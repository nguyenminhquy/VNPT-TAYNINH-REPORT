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BÁO CÁO TUẦN 29\"/>
    </mc:Choice>
  </mc:AlternateContent>
  <xr:revisionPtr revIDLastSave="0" documentId="13_ncr:1_{4024F15E-8EFC-4B6D-9330-CC30BA32CB3B}" xr6:coauthVersionLast="47" xr6:coauthVersionMax="47" xr10:uidLastSave="{00000000-0000-0000-0000-000000000000}"/>
  <bookViews>
    <workbookView xWindow="-120" yWindow="-120" windowWidth="29040" windowHeight="15720" xr2:uid="{F9460E53-6CBD-407A-BCDA-BD2D75DA3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C47" i="1"/>
  <c r="F47" i="1" s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E47" i="1" s="1"/>
  <c r="D35" i="1"/>
  <c r="F35" i="1" s="1"/>
  <c r="C35" i="1"/>
  <c r="E35" i="1" s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C23" i="1"/>
  <c r="D23" i="1"/>
  <c r="F23" i="1" s="1"/>
  <c r="C10" i="1"/>
  <c r="D10" i="1"/>
  <c r="F4" i="1"/>
  <c r="F5" i="1"/>
  <c r="F6" i="1"/>
  <c r="F7" i="1"/>
  <c r="F8" i="1"/>
  <c r="F9" i="1"/>
  <c r="F3" i="1"/>
  <c r="E4" i="1"/>
  <c r="E5" i="1"/>
  <c r="E6" i="1"/>
  <c r="E7" i="1"/>
  <c r="E8" i="1"/>
  <c r="E9" i="1"/>
  <c r="E3" i="1"/>
  <c r="E23" i="1" l="1"/>
  <c r="E10" i="1"/>
  <c r="F10" i="1"/>
</calcChain>
</file>

<file path=xl/sharedStrings.xml><?xml version="1.0" encoding="utf-8"?>
<sst xmlns="http://schemas.openxmlformats.org/spreadsheetml/2006/main" count="80" uniqueCount="24">
  <si>
    <t>STT</t>
  </si>
  <si>
    <t>Tổ hạ tầng</t>
  </si>
  <si>
    <t>Tổng trạm</t>
  </si>
  <si>
    <t>Đã thực hiện</t>
  </si>
  <si>
    <t>Chưa thực hiện</t>
  </si>
  <si>
    <t>% Đã thực hiện</t>
  </si>
  <si>
    <t>Tổng</t>
  </si>
  <si>
    <t>BÁO CÁO TIẾN ĐỘ KHẢO SÁT PHỤ TRỢ</t>
  </si>
  <si>
    <t xml:space="preserve"> Bến Lức</t>
  </si>
  <si>
    <t xml:space="preserve"> Đức Hòa</t>
  </si>
  <si>
    <t xml:space="preserve"> Gò Dầu</t>
  </si>
  <si>
    <t xml:space="preserve"> Kiến Tường</t>
  </si>
  <si>
    <t xml:space="preserve"> Tân An</t>
  </si>
  <si>
    <t xml:space="preserve"> Tân Châu</t>
  </si>
  <si>
    <t xml:space="preserve"> Tân Ninh</t>
  </si>
  <si>
    <t>BÁO CÁO TIẾN ĐỘ 5S NHÀ TRẠM - QUÝ 3/2026</t>
  </si>
  <si>
    <t>BÁO CÁO TIẾN ĐỘ VỆ SINH MÁY LẠNH - QUÝ 3/2026</t>
  </si>
  <si>
    <t>BÁO CÁO TIẾN ĐỘ 5S AP/OTB - THÁNG 7/2026</t>
  </si>
  <si>
    <t>Tổng AP tối thiểu cần thực hiện năm 2026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</si>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</sst>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2" fontId="3" fillId="0" borderId="0" xfId="0" applyNumberFormat="1" applyFo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10" fontId="4" fillId="3" borderId="2" xfId="1" applyNumberFormat="1" applyFont="1" applyFill="1" applyBorder="1" applyAlignment="1">
      <alignment horizontal="center"/>
    </xf>
    <xf numFmtId="10" fontId="4" fillId="2" borderId="2" xfId="1" applyNumberFormat="1" applyFont="1" applyFill="1" applyBorder="1" applyAlignment="1">
      <alignment horizontal="center"/>
    </xf>
    <xf numFmtId="10" fontId="4" fillId="5" borderId="2" xfId="1" applyNumberFormat="1" applyFont="1" applyFill="1" applyBorder="1" applyAlignment="1">
      <alignment horizontal="center"/>
    </xf>
    <xf numFmtId="10" fontId="4" fillId="4" borderId="2" xfId="1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2" fillId="0" borderId="10" xfId="1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7AC89-3347-45A4-B0EA-11767D8942E7}" name="b1_tan" displayName="b1_tan" ref="A1:F10" totalsRowShown="0" headerRowDxfId="30" dataDxfId="31" headerRowBorderDxfId="38" tableBorderDxfId="39" totalsRowBorderDxfId="37">
  <autoFilter ref="A1:F10" xr:uid="{0797AC89-3347-45A4-B0EA-11767D8942E7}"/>
  <tableColumns count="6">
    <tableColumn id="1" xr3:uid="{B64CC39B-D594-4933-9286-78F04F3B207F}" name="BÁO CÁO TIẾN ĐỘ 5S NHÀ TRẠM - QUÝ 3/2026" dataDxfId="36"/>
    <tableColumn id="2" xr3:uid="{54AE592C-33E6-46D8-B5E3-4862D5DFFB30}" name="Column1" dataDxfId="35"/>
    <tableColumn id="3" xr3:uid="{A7A2382F-ED55-4DF0-A02E-AAFA11190BCA}" name="Column2" dataDxfId="34"/>
    <tableColumn id="4" xr3:uid="{6345CF25-B5C9-48FE-8126-13364D7491EA}" name="Column3" dataDxfId="33"/>
    <tableColumn id="5" xr3:uid="{D1CD85C6-C832-4596-8FB9-9B5E0F6D8499}" name="Column4" dataDxfId="32"/>
    <tableColumn id="6" xr3:uid="{2EB31982-0552-4309-B6E3-00F528902B6A}" name="Column5">
      <calculatedColumnFormula>D2/C2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27B47-A5BD-4498-8BD4-88004A3B4E17}" name="b2_tan" displayName="b2_tan" ref="A14:F23" totalsRowShown="0" headerRowDxfId="20" dataDxfId="21" headerRowBorderDxfId="28" tableBorderDxfId="29" totalsRowBorderDxfId="27">
  <autoFilter ref="A14:F23" xr:uid="{ACB27B47-A5BD-4498-8BD4-88004A3B4E17}"/>
  <tableColumns count="6">
    <tableColumn id="1" xr3:uid="{CD3D43EC-5F57-4581-81BC-4F3CC99588CD}" name="BÁO CÁO TIẾN ĐỘ VỆ SINH MÁY LẠNH - QUÝ 3/2026" dataDxfId="26"/>
    <tableColumn id="2" xr3:uid="{C5797FB7-CDBB-4C86-A7F5-FF3D288ED45F}" name="Column1" dataDxfId="25"/>
    <tableColumn id="3" xr3:uid="{DC9C1B1C-5D79-4156-85A8-550BFEC1C60A}" name="Column2" dataDxfId="24"/>
    <tableColumn id="4" xr3:uid="{534E2A1E-492A-4DB2-A5ED-25BBC2A01321}" name="Column3" dataDxfId="23"/>
    <tableColumn id="5" xr3:uid="{4D3795EB-3F89-4627-A52E-601DAE4877E1}" name="Column4" dataDxfId="22"/>
    <tableColumn id="6" xr3:uid="{14BDF20C-CD2A-43FF-A28D-3FB77F5E1578}" name="Column5">
      <calculatedColumnFormula>D15/C15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D8CB1-2C89-44DE-B4E6-88C92C30F780}" name="b3_tan" displayName="b3_tan" ref="A26:F35" totalsRowShown="0" headerRowDxfId="10" dataDxfId="11" headerRowBorderDxfId="18" tableBorderDxfId="19" totalsRowBorderDxfId="17">
  <autoFilter ref="A26:F35" xr:uid="{59ED8CB1-2C89-44DE-B4E6-88C92C30F780}"/>
  <tableColumns count="6">
    <tableColumn id="1" xr3:uid="{B77ED001-1180-4E72-BDC3-783B1A3303E8}" name="BÁO CÁO TIẾN ĐỘ 5S AP/OTB - THÁNG 7/2026" dataDxfId="16"/>
    <tableColumn id="2" xr3:uid="{249A8367-AF85-4BC2-90E2-6BDAAF90C379}" name="Column1" dataDxfId="15"/>
    <tableColumn id="3" xr3:uid="{0FFA39B8-1410-4C37-B9E5-89FCA36DE7DE}" name="Column2" dataDxfId="14"/>
    <tableColumn id="4" xr3:uid="{90219448-3194-4A80-8157-3357A06E0FCA}" name="Column3" dataDxfId="13"/>
    <tableColumn id="5" xr3:uid="{9D06FDFA-D793-4372-9159-CCC146856FEC}" name="Column4" dataDxfId="12">
      <calculatedColumnFormula>MAX(C27-D27,0)</calculatedColumnFormula>
    </tableColumn>
    <tableColumn id="6" xr3:uid="{519B6635-B2AD-49DB-89C7-1E75CC36D218}" name="Column5">
      <calculatedColumnFormula>D27/C27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51DE00-36BE-4E4C-A478-F2FFB88BFB22}" name="b4_tan" displayName="b4_tan" ref="A38:F47" totalsRowShown="0" headerRowDxfId="0" dataDxfId="1" headerRowBorderDxfId="8" tableBorderDxfId="9" totalsRowBorderDxfId="7">
  <autoFilter ref="A38:F47" xr:uid="{2051DE00-36BE-4E4C-A478-F2FFB88BFB22}"/>
  <tableColumns count="6">
    <tableColumn id="1" xr3:uid="{9EF2FBE0-EAB3-480D-A533-9D2BBA43657F}" name="BÁO CÁO TIẾN ĐỘ KHẢO SÁT PHỤ TRỢ" dataDxfId="6"/>
    <tableColumn id="2" xr3:uid="{DC423761-8DF8-4DA9-B029-ADC7DF4AB2B4}" name="Column1" dataDxfId="5"/>
    <tableColumn id="3" xr3:uid="{FBB260E5-4E45-4528-9EC7-A480D0A930DE}" name="Column2" dataDxfId="4"/>
    <tableColumn id="4" xr3:uid="{A85B1372-5A68-430D-B0AC-E99F53E3AA7E}" name="Column3" dataDxfId="3"/>
    <tableColumn id="5" xr3:uid="{B5BFF582-3872-4A2F-8CC0-818A8F3B5CC9}" name="Column4" dataDxfId="2"/>
    <tableColumn id="6" xr3:uid="{93881E8D-7A0B-4DB2-965C-07D40802E288}" name="Column5">
      <calculatedColumnFormula>D39/C39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E0A7-2779-40D9-8561-89934351DDBE}">
  <dimension ref="A1:AA47"/>
  <sheetViews>
    <sheetView tabSelected="1" workbookViewId="0">
      <selection activeCell="A6" sqref="A6"/>
    </sheetView>
  </sheetViews>
  <sheetFormatPr defaultColWidth="9.140625" defaultRowHeight="15" x14ac:dyDescent="0.25"/>
  <cols>
    <col min="1" max="1" width="71.7109375" style="1" customWidth="1"/>
    <col min="2" max="2" width="14.85546875" style="1" bestFit="1" customWidth="1"/>
    <col min="3" max="3" width="13.85546875" style="1" bestFit="1" customWidth="1"/>
    <col min="4" max="4" width="16.140625" style="1" bestFit="1" customWidth="1"/>
    <col min="5" max="5" width="19.42578125" style="1" bestFit="1" customWidth="1"/>
    <col min="6" max="6" width="19.7109375" style="1" bestFit="1" customWidth="1"/>
    <col min="7" max="10" width="9.140625" style="1"/>
    <col min="11" max="11" width="6.5703125" style="1" bestFit="1" customWidth="1"/>
    <col min="12" max="12" width="14.85546875" style="1" bestFit="1" customWidth="1"/>
    <col min="13" max="13" width="13.85546875" style="1" bestFit="1" customWidth="1"/>
    <col min="14" max="14" width="16.140625" style="1" bestFit="1" customWidth="1"/>
    <col min="15" max="15" width="19.42578125" style="1" bestFit="1" customWidth="1"/>
    <col min="16" max="16" width="19.7109375" style="1" bestFit="1" customWidth="1"/>
    <col min="17" max="21" width="9.140625" style="1"/>
    <col min="22" max="22" width="6.5703125" style="1" bestFit="1" customWidth="1"/>
    <col min="23" max="23" width="12.5703125" style="1" bestFit="1" customWidth="1"/>
    <col min="24" max="24" width="23.85546875" style="1" customWidth="1"/>
    <col min="25" max="25" width="16.140625" style="1" bestFit="1" customWidth="1"/>
    <col min="26" max="26" width="19.42578125" style="1" bestFit="1" customWidth="1"/>
    <col min="27" max="27" width="19.7109375" style="1" bestFit="1" customWidth="1"/>
    <col min="28" max="16384" width="9.140625" style="1"/>
  </cols>
  <sheetData>
    <row r="1" spans="1:27" ht="18.75" x14ac:dyDescent="0.3">
      <c r="A1" s="15" t="s">
        <v>15</v>
      </c>
      <c r="B1" s="16" t="s">
        <v>19</v>
      </c>
      <c r="C1" s="16" t="s">
        <v>20</v>
      </c>
      <c r="D1" s="16" t="s">
        <v>21</v>
      </c>
      <c r="E1" s="16" t="s">
        <v>22</v>
      </c>
      <c r="F1" s="17" t="s">
        <v>23</v>
      </c>
      <c r="K1"/>
      <c r="L1"/>
      <c r="M1"/>
      <c r="N1"/>
      <c r="O1"/>
      <c r="P1"/>
      <c r="V1"/>
      <c r="W1"/>
      <c r="X1"/>
      <c r="Y1"/>
      <c r="Z1"/>
      <c r="AA1"/>
    </row>
    <row r="2" spans="1:27" ht="18.75" x14ac:dyDescent="0.25">
      <c r="A2" s="8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K2"/>
      <c r="L2"/>
      <c r="M2"/>
      <c r="N2"/>
      <c r="O2"/>
      <c r="P2"/>
      <c r="V2"/>
      <c r="W2"/>
      <c r="X2"/>
      <c r="Y2"/>
      <c r="Z2"/>
      <c r="AA2"/>
    </row>
    <row r="3" spans="1:27" ht="18.75" x14ac:dyDescent="0.3">
      <c r="A3" s="9">
        <v>1</v>
      </c>
      <c r="B3" s="4" t="s">
        <v>8</v>
      </c>
      <c r="C3" s="3">
        <v>244</v>
      </c>
      <c r="D3" s="3">
        <v>77</v>
      </c>
      <c r="E3" s="3">
        <f>C3-D3</f>
        <v>167</v>
      </c>
      <c r="F3" s="11">
        <f>D3/C3</f>
        <v>0.3155737704918033</v>
      </c>
      <c r="K3"/>
      <c r="L3"/>
      <c r="M3"/>
      <c r="N3"/>
      <c r="O3"/>
      <c r="P3"/>
      <c r="V3"/>
      <c r="W3"/>
      <c r="X3"/>
      <c r="Y3"/>
      <c r="Z3"/>
      <c r="AA3"/>
    </row>
    <row r="4" spans="1:27" ht="18.75" x14ac:dyDescent="0.3">
      <c r="A4" s="9">
        <v>2</v>
      </c>
      <c r="B4" s="4" t="s">
        <v>9</v>
      </c>
      <c r="C4" s="3">
        <v>210</v>
      </c>
      <c r="D4" s="3">
        <v>70</v>
      </c>
      <c r="E4" s="3">
        <f t="shared" ref="E4:E9" si="0">C4-D4</f>
        <v>140</v>
      </c>
      <c r="F4" s="12">
        <f t="shared" ref="F4:F10" si="1">D4/C4</f>
        <v>0.33333333333333331</v>
      </c>
      <c r="K4"/>
      <c r="L4"/>
      <c r="M4"/>
      <c r="N4"/>
      <c r="O4"/>
      <c r="P4"/>
      <c r="V4"/>
      <c r="W4"/>
      <c r="X4"/>
      <c r="Y4"/>
      <c r="Z4"/>
      <c r="AA4"/>
    </row>
    <row r="5" spans="1:27" ht="18.75" x14ac:dyDescent="0.3">
      <c r="A5" s="9">
        <v>3</v>
      </c>
      <c r="B5" s="4" t="s">
        <v>10</v>
      </c>
      <c r="C5" s="3">
        <v>283</v>
      </c>
      <c r="D5" s="3">
        <v>15</v>
      </c>
      <c r="E5" s="3">
        <f t="shared" si="0"/>
        <v>268</v>
      </c>
      <c r="F5" s="13">
        <f t="shared" si="1"/>
        <v>5.3003533568904596E-2</v>
      </c>
      <c r="K5"/>
      <c r="L5"/>
      <c r="M5"/>
      <c r="N5"/>
      <c r="O5"/>
      <c r="P5"/>
      <c r="V5"/>
      <c r="W5"/>
      <c r="X5"/>
      <c r="Y5"/>
      <c r="Z5"/>
      <c r="AA5"/>
    </row>
    <row r="6" spans="1:27" ht="18.75" x14ac:dyDescent="0.3">
      <c r="A6" s="9">
        <v>4</v>
      </c>
      <c r="B6" s="4" t="s">
        <v>11</v>
      </c>
      <c r="C6" s="3">
        <v>229</v>
      </c>
      <c r="D6" s="3">
        <v>129</v>
      </c>
      <c r="E6" s="3">
        <f t="shared" si="0"/>
        <v>100</v>
      </c>
      <c r="F6" s="14">
        <f t="shared" si="1"/>
        <v>0.5633187772925764</v>
      </c>
      <c r="K6"/>
      <c r="L6"/>
      <c r="M6"/>
      <c r="N6"/>
      <c r="O6"/>
      <c r="P6"/>
      <c r="V6"/>
      <c r="W6"/>
      <c r="X6"/>
      <c r="Y6"/>
      <c r="Z6"/>
      <c r="AA6"/>
    </row>
    <row r="7" spans="1:27" ht="18.75" x14ac:dyDescent="0.3">
      <c r="A7" s="9">
        <v>5</v>
      </c>
      <c r="B7" s="4" t="s">
        <v>12</v>
      </c>
      <c r="C7" s="3">
        <v>220</v>
      </c>
      <c r="D7" s="3">
        <v>34</v>
      </c>
      <c r="E7" s="3">
        <f t="shared" si="0"/>
        <v>186</v>
      </c>
      <c r="F7" s="12">
        <f t="shared" si="1"/>
        <v>0.15454545454545454</v>
      </c>
      <c r="K7"/>
      <c r="L7"/>
      <c r="M7"/>
      <c r="N7"/>
      <c r="O7"/>
      <c r="P7"/>
      <c r="V7"/>
      <c r="W7"/>
      <c r="X7"/>
      <c r="Y7"/>
      <c r="Z7"/>
      <c r="AA7"/>
    </row>
    <row r="8" spans="1:27" ht="18.75" x14ac:dyDescent="0.3">
      <c r="A8" s="9">
        <v>6</v>
      </c>
      <c r="B8" s="4" t="s">
        <v>13</v>
      </c>
      <c r="C8" s="3">
        <v>221</v>
      </c>
      <c r="D8" s="3">
        <v>28</v>
      </c>
      <c r="E8" s="3">
        <f t="shared" si="0"/>
        <v>193</v>
      </c>
      <c r="F8" s="13">
        <f t="shared" si="1"/>
        <v>0.12669683257918551</v>
      </c>
      <c r="K8"/>
      <c r="L8"/>
      <c r="M8"/>
      <c r="N8"/>
      <c r="O8"/>
      <c r="P8"/>
      <c r="V8"/>
      <c r="W8"/>
      <c r="X8"/>
      <c r="Y8"/>
      <c r="Z8"/>
      <c r="AA8"/>
    </row>
    <row r="9" spans="1:27" ht="18.75" x14ac:dyDescent="0.3">
      <c r="A9" s="9">
        <v>7</v>
      </c>
      <c r="B9" s="4" t="s">
        <v>14</v>
      </c>
      <c r="C9" s="3">
        <v>254</v>
      </c>
      <c r="D9" s="3">
        <v>20</v>
      </c>
      <c r="E9" s="3">
        <f t="shared" si="0"/>
        <v>234</v>
      </c>
      <c r="F9" s="12">
        <f t="shared" si="1"/>
        <v>7.874015748031496E-2</v>
      </c>
      <c r="I9" s="5"/>
      <c r="K9"/>
      <c r="L9"/>
      <c r="M9"/>
      <c r="N9"/>
      <c r="O9"/>
      <c r="P9"/>
      <c r="V9"/>
      <c r="W9"/>
      <c r="X9"/>
      <c r="Y9"/>
      <c r="Z9"/>
      <c r="AA9"/>
    </row>
    <row r="10" spans="1:27" ht="18.75" x14ac:dyDescent="0.3">
      <c r="A10" s="18" t="s">
        <v>6</v>
      </c>
      <c r="B10" s="19"/>
      <c r="C10" s="20">
        <f>SUM(C3:C9)</f>
        <v>1661</v>
      </c>
      <c r="D10" s="20">
        <f>SUM(D3:D9)</f>
        <v>373</v>
      </c>
      <c r="E10" s="20">
        <f>SUM(E3:E9)</f>
        <v>1288</v>
      </c>
      <c r="F10" s="21">
        <f t="shared" si="1"/>
        <v>0.22456351595424442</v>
      </c>
      <c r="K10"/>
      <c r="L10"/>
      <c r="M10"/>
      <c r="N10"/>
      <c r="O10"/>
      <c r="P10"/>
      <c r="V10"/>
      <c r="W10"/>
      <c r="X10"/>
      <c r="Y10"/>
      <c r="Z10"/>
      <c r="AA10"/>
    </row>
    <row r="14" spans="1:27" ht="18.75" x14ac:dyDescent="0.3">
      <c r="A14" s="22" t="s">
        <v>16</v>
      </c>
      <c r="B14" s="22" t="s">
        <v>19</v>
      </c>
      <c r="C14" s="22" t="s">
        <v>20</v>
      </c>
      <c r="D14" s="22" t="s">
        <v>21</v>
      </c>
      <c r="E14" s="22" t="s">
        <v>22</v>
      </c>
      <c r="F14" s="22" t="s">
        <v>23</v>
      </c>
    </row>
    <row r="15" spans="1:27" ht="18.75" x14ac:dyDescent="0.25">
      <c r="A15" s="8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10" t="s">
        <v>5</v>
      </c>
    </row>
    <row r="16" spans="1:27" ht="18.75" x14ac:dyDescent="0.3">
      <c r="A16" s="9">
        <v>1</v>
      </c>
      <c r="B16" s="4" t="s">
        <v>8</v>
      </c>
      <c r="C16" s="3">
        <v>221</v>
      </c>
      <c r="D16" s="3">
        <v>37</v>
      </c>
      <c r="E16" s="3">
        <f>C16-D16</f>
        <v>184</v>
      </c>
      <c r="F16" s="11">
        <f>D16/C16</f>
        <v>0.167420814479638</v>
      </c>
    </row>
    <row r="17" spans="1:6" ht="18.75" x14ac:dyDescent="0.3">
      <c r="A17" s="9">
        <v>2</v>
      </c>
      <c r="B17" s="4" t="s">
        <v>9</v>
      </c>
      <c r="C17" s="3">
        <v>193</v>
      </c>
      <c r="D17" s="3">
        <v>56</v>
      </c>
      <c r="E17" s="3">
        <f t="shared" ref="E17:E22" si="2">C17-D17</f>
        <v>137</v>
      </c>
      <c r="F17" s="12">
        <f t="shared" ref="F17:F23" si="3">D17/C17</f>
        <v>0.29015544041450775</v>
      </c>
    </row>
    <row r="18" spans="1:6" ht="18.75" x14ac:dyDescent="0.3">
      <c r="A18" s="9">
        <v>3</v>
      </c>
      <c r="B18" s="4" t="s">
        <v>10</v>
      </c>
      <c r="C18" s="3">
        <v>259</v>
      </c>
      <c r="D18" s="3">
        <v>1</v>
      </c>
      <c r="E18" s="3">
        <f t="shared" si="2"/>
        <v>258</v>
      </c>
      <c r="F18" s="13">
        <f t="shared" si="3"/>
        <v>3.8610038610038611E-3</v>
      </c>
    </row>
    <row r="19" spans="1:6" ht="18.75" x14ac:dyDescent="0.3">
      <c r="A19" s="9">
        <v>4</v>
      </c>
      <c r="B19" s="4" t="s">
        <v>11</v>
      </c>
      <c r="C19" s="3">
        <v>192</v>
      </c>
      <c r="D19" s="3">
        <v>51</v>
      </c>
      <c r="E19" s="3">
        <f t="shared" si="2"/>
        <v>141</v>
      </c>
      <c r="F19" s="14">
        <f t="shared" si="3"/>
        <v>0.265625</v>
      </c>
    </row>
    <row r="20" spans="1:6" ht="18.75" x14ac:dyDescent="0.3">
      <c r="A20" s="9">
        <v>5</v>
      </c>
      <c r="B20" s="4" t="s">
        <v>12</v>
      </c>
      <c r="C20" s="3">
        <v>191</v>
      </c>
      <c r="D20" s="3">
        <v>23</v>
      </c>
      <c r="E20" s="3">
        <f t="shared" si="2"/>
        <v>168</v>
      </c>
      <c r="F20" s="12">
        <f t="shared" si="3"/>
        <v>0.12041884816753927</v>
      </c>
    </row>
    <row r="21" spans="1:6" ht="18.75" x14ac:dyDescent="0.3">
      <c r="A21" s="9">
        <v>6</v>
      </c>
      <c r="B21" s="4" t="s">
        <v>13</v>
      </c>
      <c r="C21" s="3">
        <v>205</v>
      </c>
      <c r="D21" s="3">
        <v>21</v>
      </c>
      <c r="E21" s="3">
        <f t="shared" si="2"/>
        <v>184</v>
      </c>
      <c r="F21" s="13">
        <f t="shared" si="3"/>
        <v>0.1024390243902439</v>
      </c>
    </row>
    <row r="22" spans="1:6" ht="18.75" x14ac:dyDescent="0.3">
      <c r="A22" s="9">
        <v>7</v>
      </c>
      <c r="B22" s="4" t="s">
        <v>14</v>
      </c>
      <c r="C22" s="3">
        <v>228</v>
      </c>
      <c r="D22" s="3">
        <v>13</v>
      </c>
      <c r="E22" s="3">
        <f t="shared" si="2"/>
        <v>215</v>
      </c>
      <c r="F22" s="12">
        <f t="shared" si="3"/>
        <v>5.701754385964912E-2</v>
      </c>
    </row>
    <row r="23" spans="1:6" ht="18.75" x14ac:dyDescent="0.3">
      <c r="A23" s="18" t="s">
        <v>6</v>
      </c>
      <c r="B23" s="19"/>
      <c r="C23" s="20">
        <f>SUM(C16:C22)</f>
        <v>1489</v>
      </c>
      <c r="D23" s="20">
        <f>SUM(D16:D22)</f>
        <v>202</v>
      </c>
      <c r="E23" s="20">
        <f>SUM(E16:E22)</f>
        <v>1287</v>
      </c>
      <c r="F23" s="21">
        <f t="shared" si="3"/>
        <v>0.1356615177971793</v>
      </c>
    </row>
    <row r="26" spans="1:6" ht="18.75" x14ac:dyDescent="0.3">
      <c r="A26" s="15" t="s">
        <v>17</v>
      </c>
      <c r="B26" s="16" t="s">
        <v>19</v>
      </c>
      <c r="C26" s="16" t="s">
        <v>20</v>
      </c>
      <c r="D26" s="16" t="s">
        <v>21</v>
      </c>
      <c r="E26" s="16" t="s">
        <v>22</v>
      </c>
      <c r="F26" s="17" t="s">
        <v>23</v>
      </c>
    </row>
    <row r="27" spans="1:6" ht="93.75" x14ac:dyDescent="0.25">
      <c r="A27" s="8" t="s">
        <v>0</v>
      </c>
      <c r="B27" s="6" t="s">
        <v>1</v>
      </c>
      <c r="C27" s="7" t="s">
        <v>18</v>
      </c>
      <c r="D27" s="6" t="s">
        <v>3</v>
      </c>
      <c r="E27" s="6" t="s">
        <v>4</v>
      </c>
      <c r="F27" s="10" t="s">
        <v>5</v>
      </c>
    </row>
    <row r="28" spans="1:6" ht="18.75" x14ac:dyDescent="0.3">
      <c r="A28" s="9">
        <v>1</v>
      </c>
      <c r="B28" s="4" t="s">
        <v>8</v>
      </c>
      <c r="C28" s="3">
        <v>1890</v>
      </c>
      <c r="D28" s="3">
        <v>914</v>
      </c>
      <c r="E28" s="3">
        <f>MAX(C28-D28,0)</f>
        <v>976</v>
      </c>
      <c r="F28" s="14">
        <f t="shared" ref="F28:F35" si="4">D28/C28</f>
        <v>0.48359788359788358</v>
      </c>
    </row>
    <row r="29" spans="1:6" ht="18.75" x14ac:dyDescent="0.3">
      <c r="A29" s="9">
        <v>2</v>
      </c>
      <c r="B29" s="4" t="s">
        <v>9</v>
      </c>
      <c r="C29" s="3">
        <v>1890</v>
      </c>
      <c r="D29" s="3">
        <v>316</v>
      </c>
      <c r="E29" s="3">
        <f t="shared" ref="E29:E35" si="5">MAX(C29-D29,0)</f>
        <v>1574</v>
      </c>
      <c r="F29" s="14">
        <f t="shared" si="4"/>
        <v>0.1671957671957672</v>
      </c>
    </row>
    <row r="30" spans="1:6" ht="18.75" x14ac:dyDescent="0.3">
      <c r="A30" s="9">
        <v>3</v>
      </c>
      <c r="B30" s="4" t="s">
        <v>10</v>
      </c>
      <c r="C30" s="3">
        <v>2160</v>
      </c>
      <c r="D30" s="3">
        <v>1243</v>
      </c>
      <c r="E30" s="3">
        <f t="shared" si="5"/>
        <v>917</v>
      </c>
      <c r="F30" s="12">
        <f t="shared" si="4"/>
        <v>0.57546296296296295</v>
      </c>
    </row>
    <row r="31" spans="1:6" ht="18.75" x14ac:dyDescent="0.3">
      <c r="A31" s="9">
        <v>4</v>
      </c>
      <c r="B31" s="4" t="s">
        <v>11</v>
      </c>
      <c r="C31" s="3">
        <v>1890</v>
      </c>
      <c r="D31" s="3">
        <v>775</v>
      </c>
      <c r="E31" s="3">
        <f t="shared" si="5"/>
        <v>1115</v>
      </c>
      <c r="F31" s="11">
        <f t="shared" si="4"/>
        <v>0.41005291005291006</v>
      </c>
    </row>
    <row r="32" spans="1:6" ht="18.75" x14ac:dyDescent="0.3">
      <c r="A32" s="9">
        <v>5</v>
      </c>
      <c r="B32" s="4" t="s">
        <v>12</v>
      </c>
      <c r="C32" s="3">
        <v>2025</v>
      </c>
      <c r="D32" s="3">
        <v>401</v>
      </c>
      <c r="E32" s="3">
        <f t="shared" si="5"/>
        <v>1624</v>
      </c>
      <c r="F32" s="13">
        <f t="shared" si="4"/>
        <v>0.1980246913580247</v>
      </c>
    </row>
    <row r="33" spans="1:6" ht="18.75" x14ac:dyDescent="0.3">
      <c r="A33" s="9">
        <v>6</v>
      </c>
      <c r="B33" s="4" t="s">
        <v>13</v>
      </c>
      <c r="C33" s="3">
        <v>1890</v>
      </c>
      <c r="D33" s="3">
        <v>795</v>
      </c>
      <c r="E33" s="3">
        <f t="shared" si="5"/>
        <v>1095</v>
      </c>
      <c r="F33" s="11">
        <f t="shared" si="4"/>
        <v>0.42063492063492064</v>
      </c>
    </row>
    <row r="34" spans="1:6" ht="18.75" x14ac:dyDescent="0.3">
      <c r="A34" s="9">
        <v>7</v>
      </c>
      <c r="B34" s="4" t="s">
        <v>14</v>
      </c>
      <c r="C34" s="3">
        <v>2295</v>
      </c>
      <c r="D34" s="3">
        <v>2748</v>
      </c>
      <c r="E34" s="3">
        <f t="shared" si="5"/>
        <v>0</v>
      </c>
      <c r="F34" s="12">
        <f t="shared" si="4"/>
        <v>1.1973856209150326</v>
      </c>
    </row>
    <row r="35" spans="1:6" ht="18.75" x14ac:dyDescent="0.3">
      <c r="A35" s="18" t="s">
        <v>6</v>
      </c>
      <c r="B35" s="19"/>
      <c r="C35" s="20">
        <f>SUM(C28:C34)</f>
        <v>14040</v>
      </c>
      <c r="D35" s="20">
        <f>SUM(D28:D34)</f>
        <v>7192</v>
      </c>
      <c r="E35" s="20">
        <f t="shared" si="5"/>
        <v>6848</v>
      </c>
      <c r="F35" s="21">
        <f t="shared" si="4"/>
        <v>0.51225071225071228</v>
      </c>
    </row>
    <row r="38" spans="1:6" ht="18.75" x14ac:dyDescent="0.3">
      <c r="A38" s="25" t="s">
        <v>7</v>
      </c>
      <c r="B38" s="25" t="s">
        <v>19</v>
      </c>
      <c r="C38" s="25" t="s">
        <v>20</v>
      </c>
      <c r="D38" s="25" t="s">
        <v>21</v>
      </c>
      <c r="E38" s="25" t="s">
        <v>22</v>
      </c>
      <c r="F38" s="25" t="s">
        <v>23</v>
      </c>
    </row>
    <row r="39" spans="1:6" ht="18.75" x14ac:dyDescent="0.25">
      <c r="A39" s="23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4" t="s">
        <v>5</v>
      </c>
    </row>
    <row r="40" spans="1:6" ht="18.75" x14ac:dyDescent="0.3">
      <c r="A40" s="9">
        <v>1</v>
      </c>
      <c r="B40" s="4" t="s">
        <v>8</v>
      </c>
      <c r="C40" s="3">
        <v>231</v>
      </c>
      <c r="D40" s="3">
        <v>231</v>
      </c>
      <c r="E40" s="3">
        <f>C40-D40</f>
        <v>0</v>
      </c>
      <c r="F40" s="13">
        <f>D40/C40</f>
        <v>1</v>
      </c>
    </row>
    <row r="41" spans="1:6" ht="18.75" x14ac:dyDescent="0.3">
      <c r="A41" s="9">
        <v>2</v>
      </c>
      <c r="B41" s="4" t="s">
        <v>9</v>
      </c>
      <c r="C41" s="3">
        <v>203</v>
      </c>
      <c r="D41" s="3">
        <v>203</v>
      </c>
      <c r="E41" s="3">
        <f t="shared" ref="E41:E46" si="6">C41-D41</f>
        <v>0</v>
      </c>
      <c r="F41" s="11">
        <f t="shared" ref="F41:F47" si="7">D41/C41</f>
        <v>1</v>
      </c>
    </row>
    <row r="42" spans="1:6" ht="18.75" x14ac:dyDescent="0.3">
      <c r="A42" s="9">
        <v>3</v>
      </c>
      <c r="B42" s="4" t="s">
        <v>10</v>
      </c>
      <c r="C42" s="3">
        <v>271</v>
      </c>
      <c r="D42" s="3">
        <v>271</v>
      </c>
      <c r="E42" s="3">
        <f t="shared" si="6"/>
        <v>0</v>
      </c>
      <c r="F42" s="12">
        <f t="shared" si="7"/>
        <v>1</v>
      </c>
    </row>
    <row r="43" spans="1:6" ht="18.75" x14ac:dyDescent="0.3">
      <c r="A43" s="9">
        <v>4</v>
      </c>
      <c r="B43" s="4" t="s">
        <v>11</v>
      </c>
      <c r="C43" s="3">
        <v>218</v>
      </c>
      <c r="D43" s="3">
        <v>218</v>
      </c>
      <c r="E43" s="3">
        <f t="shared" si="6"/>
        <v>0</v>
      </c>
      <c r="F43" s="13">
        <f t="shared" si="7"/>
        <v>1</v>
      </c>
    </row>
    <row r="44" spans="1:6" ht="18.75" x14ac:dyDescent="0.3">
      <c r="A44" s="9">
        <v>5</v>
      </c>
      <c r="B44" s="4" t="s">
        <v>12</v>
      </c>
      <c r="C44" s="3">
        <v>208</v>
      </c>
      <c r="D44" s="3">
        <v>208</v>
      </c>
      <c r="E44" s="3">
        <f t="shared" si="6"/>
        <v>0</v>
      </c>
      <c r="F44" s="11">
        <f t="shared" si="7"/>
        <v>1</v>
      </c>
    </row>
    <row r="45" spans="1:6" ht="18.75" x14ac:dyDescent="0.3">
      <c r="A45" s="9">
        <v>6</v>
      </c>
      <c r="B45" s="4" t="s">
        <v>13</v>
      </c>
      <c r="C45" s="3">
        <v>207</v>
      </c>
      <c r="D45" s="3">
        <v>207</v>
      </c>
      <c r="E45" s="3">
        <f t="shared" si="6"/>
        <v>0</v>
      </c>
      <c r="F45" s="14">
        <f t="shared" si="7"/>
        <v>1</v>
      </c>
    </row>
    <row r="46" spans="1:6" ht="18.75" x14ac:dyDescent="0.3">
      <c r="A46" s="9">
        <v>7</v>
      </c>
      <c r="B46" s="4" t="s">
        <v>14</v>
      </c>
      <c r="C46" s="3">
        <v>240</v>
      </c>
      <c r="D46" s="3">
        <v>240</v>
      </c>
      <c r="E46" s="3">
        <f t="shared" si="6"/>
        <v>0</v>
      </c>
      <c r="F46" s="14">
        <f t="shared" si="7"/>
        <v>1</v>
      </c>
    </row>
    <row r="47" spans="1:6" ht="18.75" x14ac:dyDescent="0.3">
      <c r="A47" s="18" t="s">
        <v>6</v>
      </c>
      <c r="B47" s="19"/>
      <c r="C47" s="20">
        <f>SUM(C40:C46)</f>
        <v>1578</v>
      </c>
      <c r="D47" s="20">
        <f>SUM(D40:D46)</f>
        <v>1578</v>
      </c>
      <c r="E47" s="20">
        <f>SUM(E40:E46)</f>
        <v>0</v>
      </c>
      <c r="F47" s="21">
        <f t="shared" si="7"/>
        <v>1</v>
      </c>
    </row>
  </sheetData>
  <conditionalFormatting sqref="F3:F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6:F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:F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0:F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Tân</dc:creator>
  <cp:lastModifiedBy>NGUYEN MINH QUY nguyen minh</cp:lastModifiedBy>
  <dcterms:created xsi:type="dcterms:W3CDTF">2026-03-13T13:44:46Z</dcterms:created>
  <dcterms:modified xsi:type="dcterms:W3CDTF">2026-07-18T10:07:11Z</dcterms:modified>
</cp:coreProperties>
</file>