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uyng\Documents\TOOL TỔNG HỢP BÁO CÁO\VNPT REPORT\templates\MAT_LIEN_LAC\"/>
    </mc:Choice>
  </mc:AlternateContent>
  <xr:revisionPtr revIDLastSave="0" documentId="13_ncr:1_{BE885DB4-1F81-438C-9AE6-1C70CE770A7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C MLL tuần" sheetId="7" r:id="rId1"/>
    <sheet name="TH" sheetId="17" r:id="rId2"/>
    <sheet name="Lũy kế MLL" sheetId="13" r:id="rId3"/>
    <sheet name="Trạm theo NV" sheetId="15" r:id="rId4"/>
    <sheet name="XLSC Đúng hạn" sheetId="16" r:id="rId5"/>
    <sheet name="Cách tính MLL" sheetId="10" r:id="rId6"/>
  </sheets>
  <externalReferences>
    <externalReference r:id="rId7"/>
  </externalReferences>
  <definedNames>
    <definedName name="_xlnm._FilterDatabase" localSheetId="0" hidden="1">'BC MLL tuần'!$A$43:$AB$43</definedName>
    <definedName name="_xlnm._FilterDatabase" localSheetId="2" hidden="1">'Lũy kế MLL'!$A$5:$Z$5</definedName>
    <definedName name="_xlnm._FilterDatabase" localSheetId="3" hidden="1">'Trạm theo NV'!$A$1:$M$69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6" l="1"/>
  <c r="F15" i="16"/>
  <c r="D15" i="16"/>
  <c r="C3" i="16"/>
  <c r="D3" i="16"/>
  <c r="E3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31" i="16"/>
  <c r="G32" i="16"/>
  <c r="G33" i="16"/>
  <c r="G34" i="16"/>
  <c r="G35" i="16"/>
  <c r="G36" i="16"/>
  <c r="G37" i="16"/>
  <c r="G30" i="16"/>
  <c r="G29" i="16"/>
  <c r="F4" i="16"/>
  <c r="C4" i="16"/>
  <c r="G15" i="16" l="1"/>
  <c r="F11" i="16"/>
  <c r="H11" i="16" s="1"/>
  <c r="F7" i="16"/>
  <c r="H7" i="16" s="1"/>
  <c r="F10" i="16"/>
  <c r="H10" i="16" s="1"/>
  <c r="F8" i="16"/>
  <c r="H8" i="16" s="1"/>
  <c r="H4" i="16"/>
  <c r="F3" i="16"/>
  <c r="H3" i="16" s="1"/>
  <c r="F5" i="16"/>
  <c r="H5" i="16" s="1"/>
  <c r="F9" i="16"/>
  <c r="H9" i="16" s="1"/>
  <c r="F6" i="16"/>
  <c r="H6" i="16" s="1"/>
  <c r="S222" i="7"/>
  <c r="S223" i="7"/>
  <c r="S224" i="7"/>
  <c r="S225" i="7"/>
  <c r="S226" i="7"/>
  <c r="S227" i="7"/>
  <c r="S228" i="7"/>
  <c r="S229" i="7"/>
</calcChain>
</file>

<file path=xl/sharedStrings.xml><?xml version="1.0" encoding="utf-8"?>
<sst xmlns="http://schemas.openxmlformats.org/spreadsheetml/2006/main" count="3117" uniqueCount="756">
  <si>
    <t>STT</t>
  </si>
  <si>
    <t>1-MLL do lỗi nguồn</t>
  </si>
  <si>
    <t>3-MLL do lỗi thiết bị</t>
  </si>
  <si>
    <t>MLL trung bình/1BTS (phút)</t>
  </si>
  <si>
    <t>Tân An</t>
  </si>
  <si>
    <t>Bến Lức</t>
  </si>
  <si>
    <t>3G (Phút)</t>
  </si>
  <si>
    <t>4G (Phút)</t>
  </si>
  <si>
    <t>Gò Dầu</t>
  </si>
  <si>
    <t>Tân Châu</t>
  </si>
  <si>
    <t>Tây Ninh</t>
  </si>
  <si>
    <t>Tổ Hạ Tầng</t>
  </si>
  <si>
    <t>Đức hòa</t>
  </si>
  <si>
    <t>Kiến Tường</t>
  </si>
  <si>
    <t>Tân Ninh</t>
  </si>
  <si>
    <t>So sánh MLL trung bình/1BTS với chỉ tiêu</t>
  </si>
  <si>
    <t>5G (Phút)</t>
  </si>
  <si>
    <t>5-MLL do lỗi truyền dẫn</t>
  </si>
  <si>
    <t>Tổng thời gian MLL theo hệ số (phút)</t>
  </si>
  <si>
    <t>Nguyễn Hữu Tân</t>
  </si>
  <si>
    <t>Bùi Phạm Hải Đăng</t>
  </si>
  <si>
    <t>Lê Minh Kha</t>
  </si>
  <si>
    <t>Huỳnh Phước Yên</t>
  </si>
  <si>
    <t>Trần Thái Bình</t>
  </si>
  <si>
    <t>Trần Minh Tuấn</t>
  </si>
  <si>
    <t>Nguyễn Thành Chí</t>
  </si>
  <si>
    <t>Phạm Nguyễn Quang Huy</t>
  </si>
  <si>
    <t>Nguyễn Hoàng Tuấn</t>
  </si>
  <si>
    <t>Bùi Tấn Bảo</t>
  </si>
  <si>
    <t>Đặng Hoàng Vũ</t>
  </si>
  <si>
    <t>Đinh Phú Trung</t>
  </si>
  <si>
    <t>Nguyễn Khương Minh</t>
  </si>
  <si>
    <t>Nguyễn Phước Lộc</t>
  </si>
  <si>
    <t>Trịnh Minh Trí</t>
  </si>
  <si>
    <t>Trương Anh Pha</t>
  </si>
  <si>
    <t>Lại Quang Vinh</t>
  </si>
  <si>
    <t>Nguyễn Công Giang</t>
  </si>
  <si>
    <t>Nguyễn Hải Đăng</t>
  </si>
  <si>
    <t>Trần Thanh Giàu</t>
  </si>
  <si>
    <t>Thiệu Thái An</t>
  </si>
  <si>
    <t>Lê Xuân Trình</t>
  </si>
  <si>
    <t>Phan Hồng Quang</t>
  </si>
  <si>
    <t>Trần Xuân Toại</t>
  </si>
  <si>
    <t>Lê Quốc Trung Thông</t>
  </si>
  <si>
    <t>Lê Thành Tài</t>
  </si>
  <si>
    <t>Trần Thái Hòa</t>
  </si>
  <si>
    <t>Trương Đình Lợi</t>
  </si>
  <si>
    <t>Võ Thế Minh</t>
  </si>
  <si>
    <t>Lê Kỷ Dậu</t>
  </si>
  <si>
    <t>Nguyễn Hiếu Khương</t>
  </si>
  <si>
    <t>Phạm Đình Thái</t>
  </si>
  <si>
    <t>Nguyễn Văn Minh</t>
  </si>
  <si>
    <t>Nguyễn Văn Cường</t>
  </si>
  <si>
    <t>Phan Văn Thành</t>
  </si>
  <si>
    <t>Trần Hoài Vũ</t>
  </si>
  <si>
    <t>Nguyễn Ngọc Thơ</t>
  </si>
  <si>
    <t>Nguyễn Văn Long</t>
  </si>
  <si>
    <t>Nguyễn Thành Vương</t>
  </si>
  <si>
    <t>Phạm Đức Nguyên</t>
  </si>
  <si>
    <t>Tổng số phút MLL thiết bị</t>
  </si>
  <si>
    <t>1. Tổng số thiết bị do đơn vị quản lý</t>
  </si>
  <si>
    <t>Thiết bị di động: Tính theo số lượng site/node di động macro 3G/4G/5G bao gồm trạm Remote sector có thiết bị System module riêng. Loại trừ các trạm Remote Sector còn lại (không có thiết bị System module riêng) và trạm Smallcell.</t>
  </si>
  <si>
    <t>2. Trọng số theo giờ</t>
  </si>
  <si>
    <t>Cao điểm: Từ 6h00 tới 22h59, thời gian MLL tính chỉ tiêu = Thời gian MLL thực tế của thiết bị × 2 lần. Không áp dụng trọng số giờ cao điểm với các trạm loại 3.</t>
  </si>
  <si>
    <t>Thấp điểm: Từ 23h00 tới 5h59 ngày hôm sau, thời gian MLL tính chỉ tiêu = Thời gian MLL thực tế của thiết bị.</t>
  </si>
  <si>
    <t>3. Hệ số theo thiết bị</t>
  </si>
  <si>
    <t>3G: 100%</t>
  </si>
  <si>
    <t>Quy định tính MLL thiết bị (Trong phụ lục đính kèm Văn bản số 300/VNPT-TNH-KTKH ngày 22 tháng 10 năm 2025)</t>
  </si>
  <si>
    <t xml:space="preserve">= </t>
  </si>
  <si>
    <t>Kết quả điểm KPI</t>
  </si>
  <si>
    <r>
      <t xml:space="preserve">Chỉ tiêu tối đa </t>
    </r>
    <r>
      <rPr>
        <b/>
        <sz val="13"/>
        <color rgb="FFFF0000"/>
        <rFont val="Times New Roman"/>
        <family val="1"/>
      </rPr>
      <t>(tháng)</t>
    </r>
  </si>
  <si>
    <t>6-MLL không rõ nguyên nhân</t>
  </si>
  <si>
    <t>Thời gian 
MLL (phút)</t>
  </si>
  <si>
    <t>Loại 1</t>
  </si>
  <si>
    <t>Loại 2</t>
  </si>
  <si>
    <t>Huỳnh Quốc Thông</t>
  </si>
  <si>
    <t>Tổng thời gian MLL theo thời gian thực (phút)</t>
  </si>
  <si>
    <t>Số phút MLL khả dụng còn lại</t>
  </si>
  <si>
    <t>Đạt</t>
  </si>
  <si>
    <t>THỜI GIAN MẤT LIÊN LẠC MẠNG DI ĐỘNG TUẦN 09 (25/02- 27/02)</t>
  </si>
  <si>
    <t>THỜI GIAN MẤT LIÊN LẠC MẠNG DI ĐỘNG TUẦN 10 (28/02 - 06/03)</t>
  </si>
  <si>
    <t>Không đạt</t>
  </si>
  <si>
    <t>THỜI GIAN MẤT LIÊN LẠC MẠNG DI ĐỘNG TUẦN 11 (07/03 - 13/03)</t>
  </si>
  <si>
    <t>THỜI GIAN MẤT LIÊN LẠC MẠNG DI ĐỘNG TUẦN 12 (14/03 - 20/03)</t>
  </si>
  <si>
    <t>Số lượng BTS</t>
  </si>
  <si>
    <t>Số phút MLL khả dụng còn lại (TG thực)</t>
  </si>
  <si>
    <t>Số phút MLL khả dụng còn lại (TG hệ số)</t>
  </si>
  <si>
    <t>THỜI GIAN MẤT LIÊN LẠC MẠNG DI ĐỘNG TUẦN 13 (25/03 - 29/03)</t>
  </si>
  <si>
    <t>THỜI GIAN MẤT LIÊN LẠC MẠNG DI ĐỘNG TUẦN 14 (30/03 - 04/04)</t>
  </si>
  <si>
    <t>THỜI GIAN MẤT LIÊN LẠC MẠNG DI ĐỘNG TUẦN 15 (05/04 - 10/04)</t>
  </si>
  <si>
    <t>*</t>
  </si>
  <si>
    <t>THỜI GIAN MẤT LIÊN LẠC MẠNG DI ĐỘNG TUẦN 16 (11/04 - 17/04)</t>
  </si>
  <si>
    <t>THỜI GIAN MẤT LIÊN LẠC MẠNG DI ĐỘNG TUẦN 17 (18/04 - 24/04)</t>
  </si>
  <si>
    <t>THỜI GIAN MẤT LIÊN LẠC MẠNG DI ĐỘNG TUẦN 19 (25/04 - 07/05)</t>
  </si>
  <si>
    <t>3G</t>
  </si>
  <si>
    <t>4G</t>
  </si>
  <si>
    <t>Trảng Bàng</t>
  </si>
  <si>
    <t>5G</t>
  </si>
  <si>
    <t>Bến Cầu</t>
  </si>
  <si>
    <t>Cần Đước</t>
  </si>
  <si>
    <t>Bùi Minh Khánh</t>
  </si>
  <si>
    <t>Trần Thuận Thiên</t>
  </si>
  <si>
    <t>Võ Minh Tuấn An</t>
  </si>
  <si>
    <t>Nguyễn Hữu Thế</t>
  </si>
  <si>
    <t>Lê Tấn Phong</t>
  </si>
  <si>
    <t>Nguyễn Thế Sự</t>
  </si>
  <si>
    <t>Nguyễn Thanh Hải</t>
  </si>
  <si>
    <t>THỜI GIAN MẤT LIÊN LẠC MẠNG DI ĐỘNG TUẦN 22 (25/05 - 03/06)</t>
  </si>
  <si>
    <t>BTS_Name</t>
  </si>
  <si>
    <t>Loại trạm</t>
  </si>
  <si>
    <t>Máy nổ</t>
  </si>
  <si>
    <t>Bắt đầu</t>
  </si>
  <si>
    <t>Kết thúc</t>
  </si>
  <si>
    <t>Thời gian MLL theo thời gian thực</t>
  </si>
  <si>
    <t>Code lỗi</t>
  </si>
  <si>
    <t>Hệ thống</t>
  </si>
  <si>
    <t>Thời gian MLL theo hệ số</t>
  </si>
  <si>
    <t>Tổ hạ tầng</t>
  </si>
  <si>
    <t>NVQL</t>
  </si>
  <si>
    <t>TTVT</t>
  </si>
  <si>
    <t>Long An</t>
  </si>
  <si>
    <t>THỜI GIAN MẤT LIÊN LẠC MẠNG DI ĐỘNG TUẦN 23 (04/06 - 10/06)</t>
  </si>
  <si>
    <t>THỜI GIAN MẤT LIÊN LẠC MẠNG DI ĐỘNG TUẦN 24 (11/06 - 17/06)</t>
  </si>
  <si>
    <t>Cố định</t>
  </si>
  <si>
    <t>5</t>
  </si>
  <si>
    <t>1</t>
  </si>
  <si>
    <t>6</t>
  </si>
  <si>
    <t>3G_TBA016M_TNH</t>
  </si>
  <si>
    <t>3</t>
  </si>
  <si>
    <t>Ứng cứu</t>
  </si>
  <si>
    <t>Không có</t>
  </si>
  <si>
    <t>Thạnh Hóa</t>
  </si>
  <si>
    <t>Đức Hòa</t>
  </si>
  <si>
    <t>Dương Minh Châu</t>
  </si>
  <si>
    <t>Hòa Thành</t>
  </si>
  <si>
    <t>Châu Thành</t>
  </si>
  <si>
    <t>Vĩnh Hưng</t>
  </si>
  <si>
    <t>Tân Thạnh</t>
  </si>
  <si>
    <t>Tân Biên</t>
  </si>
  <si>
    <t>Thủ Thừa</t>
  </si>
  <si>
    <t>Đức Huệ</t>
  </si>
  <si>
    <t>Cần Giuộc</t>
  </si>
  <si>
    <t>Tổ Hạ tầng</t>
  </si>
  <si>
    <t>Sự cố MLL trạm trên 120 phút</t>
  </si>
  <si>
    <t>Tổng sự cố MLL trạm trong kỳ</t>
  </si>
  <si>
    <t>Tỷ lệ hoàn thành</t>
  </si>
  <si>
    <t>Mục tiêu TTHT</t>
  </si>
  <si>
    <t>Đánh giá</t>
  </si>
  <si>
    <t>Tân Trụ</t>
  </si>
  <si>
    <t>Tầm Vu</t>
  </si>
  <si>
    <t>4G: 120%</t>
  </si>
  <si>
    <t>5G: 150%</t>
  </si>
  <si>
    <t>Tổng thời gian MLL</t>
  </si>
  <si>
    <t>MLL trung bình/1BTS</t>
  </si>
  <si>
    <t>T1</t>
  </si>
  <si>
    <t>T2</t>
  </si>
  <si>
    <t>T3</t>
  </si>
  <si>
    <t>T4</t>
  </si>
  <si>
    <t>T5</t>
  </si>
  <si>
    <t>T6</t>
  </si>
  <si>
    <t>Đánh giá theo THT</t>
  </si>
  <si>
    <t>Chưa đạt</t>
  </si>
  <si>
    <t xml:space="preserve"> Không đạt </t>
  </si>
  <si>
    <t xml:space="preserve"> Đạt </t>
  </si>
  <si>
    <t>THỜI GIAN MẤT LIÊN LẠC MẠNG DI ĐỘNG TUẦN 26 (25/06 - 01/07)</t>
  </si>
  <si>
    <t>Số: 2459/VNPT-TNH-KTKH.  V/v Điều chỉnh thang điểm KPIs/BSC tháng 5/2026.</t>
  </si>
  <si>
    <t>KPI: +/- 0,5 điểm/0.1 phút giảm/tăng so KH</t>
  </si>
  <si>
    <t>THỜI GIAN MẤT LIÊN LẠC MẠNG DI ĐỘNG TUẦN 27 (02/07 - 08/07)</t>
  </si>
  <si>
    <t>3G_TNI003M_TNH</t>
  </si>
  <si>
    <t>4G-TNI003M-TNH</t>
  </si>
  <si>
    <t>5G-TBA016M-TNH</t>
  </si>
  <si>
    <t>THỜI GIAN MẤT LIÊN LẠC MẠNG DI ĐỘNG LŨY KẾ THEO TTVT</t>
  </si>
  <si>
    <t>Tổng thời gian mất liên lạc theo thời gian thực (phút)</t>
  </si>
  <si>
    <t>Tổng thời gian mất liên lạc theo hệ số (phút)</t>
  </si>
  <si>
    <t>6-MLL do Không rõ nguyên nhân</t>
  </si>
  <si>
    <t>THỜI GIAN MẤT LIÊN LẠC MẠNG DI ĐỘNG TUẦN 28 (09/07 - 15/07)</t>
  </si>
  <si>
    <t>3G_TAN051M_LAN</t>
  </si>
  <si>
    <t>11/07/2026 06:04:37</t>
  </si>
  <si>
    <t>11/07/2026 17:39:29</t>
  </si>
  <si>
    <t>UL_DHO046M_LAN</t>
  </si>
  <si>
    <t>12/07/2026 23:10:08</t>
  </si>
  <si>
    <t>13/07/2026 01:57:50</t>
  </si>
  <si>
    <t>UL_DHO045M_LAN</t>
  </si>
  <si>
    <t>15/07/2026 12:47:31</t>
  </si>
  <si>
    <t>15/07/2026 14:47:28</t>
  </si>
  <si>
    <t>11/07/2026 18:07:46</t>
  </si>
  <si>
    <t>11/07/2026 20:02:25</t>
  </si>
  <si>
    <t>UL_VHU704B_LAN</t>
  </si>
  <si>
    <t>09/07/2026 14:20:18</t>
  </si>
  <si>
    <t>09/07/2026 15:51:43</t>
  </si>
  <si>
    <t>UL_VHU705B_LAN</t>
  </si>
  <si>
    <t>09/07/2026 14:20:19</t>
  </si>
  <si>
    <t>09/07/2026 15:51:36</t>
  </si>
  <si>
    <t>UL_VHU702B_LAN</t>
  </si>
  <si>
    <t>09/07/2026 15:27:00</t>
  </si>
  <si>
    <t>UL_VHU022M_LAN</t>
  </si>
  <si>
    <t>09/07/2026 14:20:35</t>
  </si>
  <si>
    <t>09/07/2026 15:18:02</t>
  </si>
  <si>
    <t>3G_GDA036M_TNH</t>
  </si>
  <si>
    <t>09/07/2026 08:28:14</t>
  </si>
  <si>
    <t>09/07/2026 09:19:28</t>
  </si>
  <si>
    <t>UL_VHU024M_LAN</t>
  </si>
  <si>
    <t>09/07/2026 15:04:44</t>
  </si>
  <si>
    <t>3G_GDA018M_TNH</t>
  </si>
  <si>
    <t>09/07/2026 08:28:15</t>
  </si>
  <si>
    <t>09/07/2026 09:00:51</t>
  </si>
  <si>
    <t>3G_TBA093M_TNH</t>
  </si>
  <si>
    <t>15/07/2026 14:21:51</t>
  </si>
  <si>
    <t>15/07/2026 14:52:51</t>
  </si>
  <si>
    <t>UL_DHO111M_LAN</t>
  </si>
  <si>
    <t>09/07/2026 15:13:38</t>
  </si>
  <si>
    <t>09/07/2026 15:41:54</t>
  </si>
  <si>
    <t>11/07/2026 14:22:21</t>
  </si>
  <si>
    <t>11/07/2026 14:47:50</t>
  </si>
  <si>
    <t>UL_DHO128M_LAN</t>
  </si>
  <si>
    <t>09/07/2026 19:18:40</t>
  </si>
  <si>
    <t>09/07/2026 19:42:52</t>
  </si>
  <si>
    <t>09/07/2026 12:38:52</t>
  </si>
  <si>
    <t>09/07/2026 13:01:53</t>
  </si>
  <si>
    <t>09/07/2026 12:38:54</t>
  </si>
  <si>
    <t>09/07/2026 12:59:20</t>
  </si>
  <si>
    <t>3G_CTH028M_LAN</t>
  </si>
  <si>
    <t>09/07/2026 14:51:12</t>
  </si>
  <si>
    <t>09/07/2026 15:07:13</t>
  </si>
  <si>
    <t>UL_CDU061M_LAN</t>
  </si>
  <si>
    <t>15/07/2026 09:22:59</t>
  </si>
  <si>
    <t>15/07/2026 09:37:48</t>
  </si>
  <si>
    <t>3G_GDA013M_TNH</t>
  </si>
  <si>
    <t>10/07/2026 17:38:12</t>
  </si>
  <si>
    <t>10/07/2026 17:51:24</t>
  </si>
  <si>
    <t>UL_DHO142M_LAN</t>
  </si>
  <si>
    <t>09/07/2026 22:59:46</t>
  </si>
  <si>
    <t>09/07/2026 23:11:11</t>
  </si>
  <si>
    <t>3G_DMC036M_TNH</t>
  </si>
  <si>
    <t>11/07/2026 13:15:02</t>
  </si>
  <si>
    <t>11/07/2026 13:26:10</t>
  </si>
  <si>
    <t>3G_DMC016M_TNH</t>
  </si>
  <si>
    <t>11/07/2026 13:15:06</t>
  </si>
  <si>
    <t>11/07/2026 13:26:07</t>
  </si>
  <si>
    <t>3G_DMC043M_TNH</t>
  </si>
  <si>
    <t>11/07/2026 13:15:01</t>
  </si>
  <si>
    <t>11/07/2026 13:25:10</t>
  </si>
  <si>
    <t>3G_DMC016E_TNH</t>
  </si>
  <si>
    <t>11/07/2026 13:15:00</t>
  </si>
  <si>
    <t>11/07/2026 13:24:51</t>
  </si>
  <si>
    <t>3G_TBA002M_TNH</t>
  </si>
  <si>
    <t>13/07/2026 17:13:17</t>
  </si>
  <si>
    <t>13/07/2026 17:20:24</t>
  </si>
  <si>
    <t>15/07/2026 02:29:27</t>
  </si>
  <si>
    <t>15/07/2026 02:35:57</t>
  </si>
  <si>
    <t>13/07/2026 00:20:28</t>
  </si>
  <si>
    <t>13/07/2026 00:26:54</t>
  </si>
  <si>
    <t>12/07/2026 23:18:02</t>
  </si>
  <si>
    <t>12/07/2026 23:24:27</t>
  </si>
  <si>
    <t>09/07/2026 17:15:42</t>
  </si>
  <si>
    <t>09/07/2026 17:21:59</t>
  </si>
  <si>
    <t>15/07/2026 13:57:57</t>
  </si>
  <si>
    <t>15/07/2026 14:04:14</t>
  </si>
  <si>
    <t>15/07/2026 09:06:38</t>
  </si>
  <si>
    <t>15/07/2026 09:12:49</t>
  </si>
  <si>
    <t>3G_TBA058M_TNH</t>
  </si>
  <si>
    <t>13/07/2026 13:47:45</t>
  </si>
  <si>
    <t>13/07/2026 13:52:46</t>
  </si>
  <si>
    <t>4G-TBA002E-TNH</t>
  </si>
  <si>
    <t>14/07/2026 02:11:33</t>
  </si>
  <si>
    <t>14/07/2026 05:54:07</t>
  </si>
  <si>
    <t>12/07/2026 23:08:26</t>
  </si>
  <si>
    <t>13/07/2026 01:57:46</t>
  </si>
  <si>
    <t>09/07/2026 14:18:54</t>
  </si>
  <si>
    <t>09/07/2026 15:51:41</t>
  </si>
  <si>
    <t>09/07/2026 14:18:53</t>
  </si>
  <si>
    <t>09/07/2026 15:51:32</t>
  </si>
  <si>
    <t>09/07/2026 15:30:49</t>
  </si>
  <si>
    <t>09/07/2026 15:29:52</t>
  </si>
  <si>
    <t>4G-VHU026M-LAN</t>
  </si>
  <si>
    <t>09/07/2026 15:29:40</t>
  </si>
  <si>
    <t>09/07/2026 15:26:57</t>
  </si>
  <si>
    <t>4G-GDA013E-TNH</t>
  </si>
  <si>
    <t>15/07/2026 13:29:35</t>
  </si>
  <si>
    <t>15/07/2026 14:15:11</t>
  </si>
  <si>
    <t>11/07/2026 14:22:17</t>
  </si>
  <si>
    <t>11/07/2026 15:05:52</t>
  </si>
  <si>
    <t>4G-GDA036E-TNH</t>
  </si>
  <si>
    <t>09/07/2026 08:28:12</t>
  </si>
  <si>
    <t>09/07/2026 09:02:35</t>
  </si>
  <si>
    <t>4G-GDA036M-TNH</t>
  </si>
  <si>
    <t>09/07/2026 09:01:52</t>
  </si>
  <si>
    <t>4G-GDA018M-TNH</t>
  </si>
  <si>
    <t>09/07/2026 08:28:13</t>
  </si>
  <si>
    <t>09/07/2026 09:00:45</t>
  </si>
  <si>
    <t>4G-GDA018E-TNH</t>
  </si>
  <si>
    <t>09/07/2026 09:00:38</t>
  </si>
  <si>
    <t>4G-TBA093M-TNH</t>
  </si>
  <si>
    <t>15/07/2026 14:21:45</t>
  </si>
  <si>
    <t>15/07/2026 14:51:37</t>
  </si>
  <si>
    <t>4G-TBA093E-TNH</t>
  </si>
  <si>
    <t>15/07/2026 14:50:05</t>
  </si>
  <si>
    <t>09/07/2026 15:12:04</t>
  </si>
  <si>
    <t>09/07/2026 15:39:58</t>
  </si>
  <si>
    <t>09/07/2026 19:16:59</t>
  </si>
  <si>
    <t>09/07/2026 19:41:05</t>
  </si>
  <si>
    <t>09/07/2026 12:38:51</t>
  </si>
  <si>
    <t>09/07/2026 13:00:44</t>
  </si>
  <si>
    <t>09/07/2026 13:00:03</t>
  </si>
  <si>
    <t>15/07/2026 09:15:01</t>
  </si>
  <si>
    <t>15/07/2026 09:35:52</t>
  </si>
  <si>
    <t>09/07/2026 12:59:05</t>
  </si>
  <si>
    <t>09/07/2026 12:58:50</t>
  </si>
  <si>
    <t>4G-DMC016E-TNH</t>
  </si>
  <si>
    <t>11/07/2026 13:14:58</t>
  </si>
  <si>
    <t>11/07/2026 13:27:32</t>
  </si>
  <si>
    <t>4G-DMC043M-TNH</t>
  </si>
  <si>
    <t>11/07/2026 13:27:24</t>
  </si>
  <si>
    <t>15/07/2026 08:58:54</t>
  </si>
  <si>
    <t>15/07/2026 09:11:18</t>
  </si>
  <si>
    <t>4G-DMC016M-TNH</t>
  </si>
  <si>
    <t>11/07/2026 13:27:20</t>
  </si>
  <si>
    <t>4G-DMC036M-TNH</t>
  </si>
  <si>
    <t>11/07/2026 13:27:19</t>
  </si>
  <si>
    <t>09/07/2026 22:58:03</t>
  </si>
  <si>
    <t>09/07/2026 23:09:16</t>
  </si>
  <si>
    <t>4G-HTH051M-TNH</t>
  </si>
  <si>
    <t>Loại 3</t>
  </si>
  <si>
    <t>15/07/2026 07:54:25</t>
  </si>
  <si>
    <t>15/07/2026 08:00:47</t>
  </si>
  <si>
    <t>4G-TNI056M-TNH</t>
  </si>
  <si>
    <t>15/07/2026 15:27:43</t>
  </si>
  <si>
    <t>15/07/2026 15:33:57</t>
  </si>
  <si>
    <t>12/07/2026 23:20:11</t>
  </si>
  <si>
    <t>12/07/2026 23:35:13</t>
  </si>
  <si>
    <t>13/07/2026 00:20:21</t>
  </si>
  <si>
    <t>13/07/2026 00:35:12</t>
  </si>
  <si>
    <t>5G-TBA002M-TNH</t>
  </si>
  <si>
    <t>14/07/2026 02:20:46</t>
  </si>
  <si>
    <t>14/07/2026 05:50:42</t>
  </si>
  <si>
    <t>Tỷ lệ xử lý sự cố hệ thống di động đúng hạn 120 phút theo THT</t>
  </si>
  <si>
    <t>Tỷ lệ xử lý sự cố hệ thống di động đúng hạn 120 phút theo TTVT</t>
  </si>
  <si>
    <t>THỜI GIAN MẤT LIÊN LẠC MẠNG DI ĐỘNG TUẦN 29 (16/07 - 22/07)</t>
  </si>
  <si>
    <t>3G_CDU038M_LAN</t>
  </si>
  <si>
    <t>17/07/2026 12:29:40</t>
  </si>
  <si>
    <t>18/07/2026 00:07:17</t>
  </si>
  <si>
    <t>3G_CTH023M_LAN</t>
  </si>
  <si>
    <t>21/07/2026 17:07:41</t>
  </si>
  <si>
    <t>21/07/2026 19:14:46</t>
  </si>
  <si>
    <t>18/07/2026 03:42:50</t>
  </si>
  <si>
    <t>18/07/2026 04:10:15</t>
  </si>
  <si>
    <t>UL_BLU100M_LAN</t>
  </si>
  <si>
    <t>22/07/2026 16:57:11</t>
  </si>
  <si>
    <t>22/07/2026 17:24:35</t>
  </si>
  <si>
    <t>3G_TTH019M_LAN</t>
  </si>
  <si>
    <t>16/07/2026 16:24:51</t>
  </si>
  <si>
    <t>16/07/2026 16:49:52</t>
  </si>
  <si>
    <t>16/07/2026 16:13:57</t>
  </si>
  <si>
    <t>16/07/2026 16:25:51</t>
  </si>
  <si>
    <t>3G_GDA055M_TNH</t>
  </si>
  <si>
    <t>17/07/2026 21:54:48</t>
  </si>
  <si>
    <t>17/07/2026 22:04:28</t>
  </si>
  <si>
    <t>3G_CDU014E_LAN</t>
  </si>
  <si>
    <t>20/07/2026 14:26:34</t>
  </si>
  <si>
    <t>20/07/2026 14:34:57</t>
  </si>
  <si>
    <t>3G_TBI008M_TNH</t>
  </si>
  <si>
    <t>16/07/2026 06:34:48</t>
  </si>
  <si>
    <t>16/07/2026 06:43:02</t>
  </si>
  <si>
    <t>16/07/2026 15:57:49</t>
  </si>
  <si>
    <t>16/07/2026 16:04:15</t>
  </si>
  <si>
    <t>16/07/2026 13:28:15</t>
  </si>
  <si>
    <t>16/07/2026 13:34:39</t>
  </si>
  <si>
    <t>3G_TNI093M_TNH</t>
  </si>
  <si>
    <t>17/07/2026 14:24:05</t>
  </si>
  <si>
    <t>17/07/2026 14:30:14</t>
  </si>
  <si>
    <t>22/07/2026 11:36:43</t>
  </si>
  <si>
    <t>22/07/2026 11:42:20</t>
  </si>
  <si>
    <t>17/07/2026 14:35:41</t>
  </si>
  <si>
    <t>17/07/2026 14:41:16</t>
  </si>
  <si>
    <t>3G_TNI018M_TNH</t>
  </si>
  <si>
    <t>18/07/2026 00:19:00</t>
  </si>
  <si>
    <t>18/07/2026 00:24:30</t>
  </si>
  <si>
    <t>3G_GDA104M_TNH</t>
  </si>
  <si>
    <t>21/07/2026 08:00:48</t>
  </si>
  <si>
    <t>21/07/2026 08:06:16</t>
  </si>
  <si>
    <t>3G_TNI071F_TNH</t>
  </si>
  <si>
    <t>17/07/2026 14:29:31</t>
  </si>
  <si>
    <t>3G_TBI049M_TNH</t>
  </si>
  <si>
    <t>16/07/2026 06:40:12</t>
  </si>
  <si>
    <t>3G_HTH050F_TNH</t>
  </si>
  <si>
    <t>17/07/2026 14:35:42</t>
  </si>
  <si>
    <t>17/07/2026 14:40:56</t>
  </si>
  <si>
    <t>3G_TBI006M_TNH</t>
  </si>
  <si>
    <t>16/07/2026 06:34:52</t>
  </si>
  <si>
    <t>16/07/2026 06:40:02</t>
  </si>
  <si>
    <t>3G_TBI010M_TNH</t>
  </si>
  <si>
    <t>16/07/2026 06:34:56</t>
  </si>
  <si>
    <t>16/07/2026 06:40:04</t>
  </si>
  <si>
    <t>3G_TNI019M_TNH</t>
  </si>
  <si>
    <t>19/07/2026 07:56:44</t>
  </si>
  <si>
    <t>19/07/2026 08:01:52</t>
  </si>
  <si>
    <t>3G_GDA082M_TNH</t>
  </si>
  <si>
    <t>16/07/2026 16:22:33</t>
  </si>
  <si>
    <t>16/07/2026 16:27:40</t>
  </si>
  <si>
    <t>3G_GDA113M_TNH</t>
  </si>
  <si>
    <t>21/07/2026 08:00:39</t>
  </si>
  <si>
    <t>21/07/2026 08:05:40</t>
  </si>
  <si>
    <t>4G-CTH023M-LAN</t>
  </si>
  <si>
    <t>21/07/2026 17:06:13</t>
  </si>
  <si>
    <t>21/07/2026 18:55:39</t>
  </si>
  <si>
    <t>4G-TBI068M-TNH</t>
  </si>
  <si>
    <t>16/07/2026 02:45:04</t>
  </si>
  <si>
    <t>16/07/2026 04:01:15</t>
  </si>
  <si>
    <t>22/07/2026 16:55:44</t>
  </si>
  <si>
    <t>22/07/2026 17:24:37</t>
  </si>
  <si>
    <t>4G-GDA065E-TNH</t>
  </si>
  <si>
    <t>20/07/2026 11:43:45</t>
  </si>
  <si>
    <t>20/07/2026 12:08:38</t>
  </si>
  <si>
    <t>4G-CDU038M-LAN</t>
  </si>
  <si>
    <t>18/07/2026 02:58:30</t>
  </si>
  <si>
    <t>18/07/2026 03:19:01</t>
  </si>
  <si>
    <t>18/07/2026 15:45:33</t>
  </si>
  <si>
    <t>18/07/2026 16:00:16</t>
  </si>
  <si>
    <t>22/07/2026 17:26:09</t>
  </si>
  <si>
    <t>22/07/2026 17:40:18</t>
  </si>
  <si>
    <t>4G-TTH034M-LAN</t>
  </si>
  <si>
    <t>16/07/2026 10:51:10</t>
  </si>
  <si>
    <t>16/07/2026 11:02:00</t>
  </si>
  <si>
    <t>4G-TTH023M-LAN</t>
  </si>
  <si>
    <t>16/07/2026 10:51:11</t>
  </si>
  <si>
    <t>16/07/2026 11:01:57</t>
  </si>
  <si>
    <t>18/07/2026 16:13:12</t>
  </si>
  <si>
    <t>18/07/2026 16:21:12</t>
  </si>
  <si>
    <t>4G-TBA016M-TNH</t>
  </si>
  <si>
    <t>16/07/2026 16:13:50</t>
  </si>
  <si>
    <t>16/07/2026 16:21:35</t>
  </si>
  <si>
    <t>UL_DHO088M_LAN</t>
  </si>
  <si>
    <t>22/07/2026 03:01:14</t>
  </si>
  <si>
    <t>22/07/2026 03:08:24</t>
  </si>
  <si>
    <t>4G-TBI008M-TNH</t>
  </si>
  <si>
    <t>16/07/2026 06:34:45</t>
  </si>
  <si>
    <t>16/07/2026 06:41:46</t>
  </si>
  <si>
    <t>18/07/2026 03:20:02</t>
  </si>
  <si>
    <t>18/07/2026 03:26:56</t>
  </si>
  <si>
    <t>18/07/2026 15:33:19</t>
  </si>
  <si>
    <t>18/07/2026 15:40:00</t>
  </si>
  <si>
    <t>21/07/2026 12:02:37</t>
  </si>
  <si>
    <t>21/07/2026 12:09:11</t>
  </si>
  <si>
    <t>4G-TBI006M-TNH</t>
  </si>
  <si>
    <t>16/07/2026 06:40:58</t>
  </si>
  <si>
    <t>4G-TBI010M-TNH</t>
  </si>
  <si>
    <t>16/07/2026 06:40:54</t>
  </si>
  <si>
    <t>18/07/2026 16:00:48</t>
  </si>
  <si>
    <t>18/07/2026 16:06:34</t>
  </si>
  <si>
    <t>4G-TNI093M-TNH</t>
  </si>
  <si>
    <t>17/07/2026 14:24:03</t>
  </si>
  <si>
    <t>17/07/2026 14:29:43</t>
  </si>
  <si>
    <t>4G-TBI701B-TNH</t>
  </si>
  <si>
    <t>16/07/2026 06:40:14</t>
  </si>
  <si>
    <t>4G-GDA055M-TNH</t>
  </si>
  <si>
    <t>22/07/2026 11:36:07</t>
  </si>
  <si>
    <t>22/07/2026 11:41:29</t>
  </si>
  <si>
    <t>4G-TNI018M-TNH</t>
  </si>
  <si>
    <t>18/07/2026 00:18:24</t>
  </si>
  <si>
    <t>18/07/2026 00:23:43</t>
  </si>
  <si>
    <t>4G-GDA104M-TNH</t>
  </si>
  <si>
    <t>21/07/2026 08:00:17</t>
  </si>
  <si>
    <t>21/07/2026 08:05:21</t>
  </si>
  <si>
    <t>16/07/2026 16:20:16</t>
  </si>
  <si>
    <t>16/07/2026 16:35:13</t>
  </si>
  <si>
    <t>5G-TNI018M-TNH</t>
  </si>
  <si>
    <t>18/07/2026 00:10:22</t>
  </si>
  <si>
    <t>18/07/2026 00:25:12</t>
  </si>
  <si>
    <t>4G-GDA113M-TNH</t>
  </si>
  <si>
    <t>21/07/2026 14:24:32</t>
  </si>
  <si>
    <t>22/07/2026 14:00:00</t>
  </si>
  <si>
    <t>02/07/2026 11:18:48</t>
  </si>
  <si>
    <t>02/07/2026 11:24:58</t>
  </si>
  <si>
    <t>UL_BLU057M_LAN</t>
  </si>
  <si>
    <t>04/07/2026 13:39:44</t>
  </si>
  <si>
    <t>04/07/2026 14:48:08</t>
  </si>
  <si>
    <t>UL_CTH024M_LAN</t>
  </si>
  <si>
    <t>04/07/2026 13:59:22</t>
  </si>
  <si>
    <t>04/07/2026 15:41:33</t>
  </si>
  <si>
    <t>3G_KTU022M_LAN</t>
  </si>
  <si>
    <t>04/07/2026 15:19:16</t>
  </si>
  <si>
    <t>04/07/2026 15:32:13</t>
  </si>
  <si>
    <t>04/07/2026 15:44:14</t>
  </si>
  <si>
    <t>04/07/2026 15:53:59</t>
  </si>
  <si>
    <t>UL_BLU032E_LAN</t>
  </si>
  <si>
    <t>04/07/2026 15:52:52</t>
  </si>
  <si>
    <t>04/07/2026 16:01:41</t>
  </si>
  <si>
    <t>04/07/2026 17:07:03</t>
  </si>
  <si>
    <t>04/07/2026 17:21:10</t>
  </si>
  <si>
    <t>04/07/2026 20:03:07</t>
  </si>
  <si>
    <t>04/07/2026 21:12:19</t>
  </si>
  <si>
    <t>04/07/2026 21:36:30</t>
  </si>
  <si>
    <t>04/07/2026 21:41:32</t>
  </si>
  <si>
    <t>3G_TNI048M_TNH</t>
  </si>
  <si>
    <t>05/07/2026 05:16:31</t>
  </si>
  <si>
    <t>05/07/2026 05:44:10</t>
  </si>
  <si>
    <t>UL_DHO702B_LAN</t>
  </si>
  <si>
    <t>05/07/2026 08:59:01</t>
  </si>
  <si>
    <t>05/07/2026 09:28:40</t>
  </si>
  <si>
    <t>3G_CTH025M_TNH</t>
  </si>
  <si>
    <t>05/07/2026 16:24:15</t>
  </si>
  <si>
    <t>05/07/2026 16:30:09</t>
  </si>
  <si>
    <t>UL_TAN705B_LAN</t>
  </si>
  <si>
    <t>05/07/2026 18:27:29</t>
  </si>
  <si>
    <t>05/07/2026 18:49:40</t>
  </si>
  <si>
    <t>UL_TAN069M_LAN</t>
  </si>
  <si>
    <t>05/07/2026 18:33:20</t>
  </si>
  <si>
    <t>05/07/2026 18:49:38</t>
  </si>
  <si>
    <t>3G_TAN001M_LAN</t>
  </si>
  <si>
    <t>06/07/2026 13:32:20</t>
  </si>
  <si>
    <t>06/07/2026 13:45:42</t>
  </si>
  <si>
    <t>3G_CTH036M_TNH</t>
  </si>
  <si>
    <t>06/07/2026 21:22:03</t>
  </si>
  <si>
    <t>06/07/2026 21:50:15</t>
  </si>
  <si>
    <t>UL_DHO143M_LAN</t>
  </si>
  <si>
    <t>07/07/2026 11:35:49</t>
  </si>
  <si>
    <t>07/07/2026 12:06:54</t>
  </si>
  <si>
    <t>3G_TBI060M_TNH</t>
  </si>
  <si>
    <t>07/07/2026 16:51:31</t>
  </si>
  <si>
    <t>07/07/2026 19:04:42</t>
  </si>
  <si>
    <t>3G_TBI071M_TNH</t>
  </si>
  <si>
    <t>07/07/2026 19:53:46</t>
  </si>
  <si>
    <t>07/07/2026 20:34:50</t>
  </si>
  <si>
    <t>3G_GDA059M_TNH</t>
  </si>
  <si>
    <t>07/07/2026 22:41:15</t>
  </si>
  <si>
    <t>08/07/2026 02:54:26</t>
  </si>
  <si>
    <t>3G_DMC060M_TNH</t>
  </si>
  <si>
    <t>08/07/2026 15:00:10</t>
  </si>
  <si>
    <t>08/07/2026 15:06:43</t>
  </si>
  <si>
    <t>08/07/2026 16:37:24</t>
  </si>
  <si>
    <t>08/07/2026 16:42:44</t>
  </si>
  <si>
    <t>4G-GDA052E-TNH</t>
  </si>
  <si>
    <t>03/07/2026 08:05:01</t>
  </si>
  <si>
    <t>03/07/2026 08:11:07</t>
  </si>
  <si>
    <t>04/07/2026 13:38:20</t>
  </si>
  <si>
    <t>04/07/2026 14:47:54</t>
  </si>
  <si>
    <t>04/07/2026 13:57:56</t>
  </si>
  <si>
    <t>04/07/2026 15:41:31</t>
  </si>
  <si>
    <t>4G-KTU022M-LAN</t>
  </si>
  <si>
    <t>04/07/2026 15:17:34</t>
  </si>
  <si>
    <t>04/07/2026 15:30:23</t>
  </si>
  <si>
    <t>04/07/2026 15:42:50</t>
  </si>
  <si>
    <t>04/07/2026 15:54:02</t>
  </si>
  <si>
    <t>04/07/2026 15:51:25</t>
  </si>
  <si>
    <t>04/07/2026 16:00:12</t>
  </si>
  <si>
    <t>04/07/2026 17:05:34</t>
  </si>
  <si>
    <t>04/07/2026 17:19:36</t>
  </si>
  <si>
    <t>04/07/2026 20:03:45</t>
  </si>
  <si>
    <t>04/07/2026 21:11:37</t>
  </si>
  <si>
    <t>4G-TNI048M-TNH</t>
  </si>
  <si>
    <t>05/07/2026 05:16:27</t>
  </si>
  <si>
    <t>05/07/2026 05:43:14</t>
  </si>
  <si>
    <t>UL_DHO057M_LAN</t>
  </si>
  <si>
    <t>05/07/2026 08:57:27</t>
  </si>
  <si>
    <t>05/07/2026 09:27:21</t>
  </si>
  <si>
    <t>UL_DHO057E_LAN</t>
  </si>
  <si>
    <t>05/07/2026 09:27:46</t>
  </si>
  <si>
    <t>05/07/2026 18:25:41</t>
  </si>
  <si>
    <t>05/07/2026 18:47:53</t>
  </si>
  <si>
    <t>05/07/2026 18:47:41</t>
  </si>
  <si>
    <t>GL_TAN001M_LAN</t>
  </si>
  <si>
    <t>06/07/2026 13:31:43</t>
  </si>
  <si>
    <t>06/07/2026 13:46:48</t>
  </si>
  <si>
    <t>GL_TAN023M_LAN</t>
  </si>
  <si>
    <t>06/07/2026 13:40:03</t>
  </si>
  <si>
    <t>06/07/2026 13:45:18</t>
  </si>
  <si>
    <t>4G-CTH036M-TNH</t>
  </si>
  <si>
    <t>06/07/2026 21:21:55</t>
  </si>
  <si>
    <t>06/07/2026 21:48:57</t>
  </si>
  <si>
    <t>07/07/2026 11:33:43</t>
  </si>
  <si>
    <t>07/07/2026 12:05:56</t>
  </si>
  <si>
    <t>4G-TBI060M-TNH</t>
  </si>
  <si>
    <t>07/07/2026 16:51:29</t>
  </si>
  <si>
    <t>07/07/2026 19:06:47</t>
  </si>
  <si>
    <t>4G-TBI071M-TNH</t>
  </si>
  <si>
    <t>07/07/2026 19:53:44</t>
  </si>
  <si>
    <t>07/07/2026 20:33:26</t>
  </si>
  <si>
    <t>4G-GDA059M-TNH</t>
  </si>
  <si>
    <t>07/07/2026 22:41:12</t>
  </si>
  <si>
    <t>08/07/2026 02:53:53</t>
  </si>
  <si>
    <t>02/07/2026 11:20:21</t>
  </si>
  <si>
    <t>02/07/2026 11:35:12</t>
  </si>
  <si>
    <t>02/07/2026 12:20:22</t>
  </si>
  <si>
    <t>02/07/2026 12:35:13</t>
  </si>
  <si>
    <t>LN-CTH020M-LAN</t>
  </si>
  <si>
    <t>04/07/2026 06:18:18</t>
  </si>
  <si>
    <t>04/07/2026 06:58:24</t>
  </si>
  <si>
    <t>5G-DHO057M-LAN</t>
  </si>
  <si>
    <t>05/07/2026 09:04:12</t>
  </si>
  <si>
    <t>05/07/2026 09:27:17</t>
  </si>
  <si>
    <t>3G_TTH002M_LAN</t>
  </si>
  <si>
    <t>25/06/2026 09:52:24</t>
  </si>
  <si>
    <t>25/06/2026 10:07:27</t>
  </si>
  <si>
    <t>UL_CGI027M_LAN</t>
  </si>
  <si>
    <t>25/06/2026 19:20:03</t>
  </si>
  <si>
    <t>25/06/2026 19:25:07</t>
  </si>
  <si>
    <t>3G_TTH007M_LAN</t>
  </si>
  <si>
    <t>26/06/2026 10:23:25</t>
  </si>
  <si>
    <t>26/06/2026 10:40:52</t>
  </si>
  <si>
    <t>3G_CDU057M_LAN</t>
  </si>
  <si>
    <t>26/06/2026 19:17:17</t>
  </si>
  <si>
    <t>26/06/2026 19:27:18</t>
  </si>
  <si>
    <t>3G_BCA036M_TNH</t>
  </si>
  <si>
    <t>27/06/2026 07:05:03</t>
  </si>
  <si>
    <t>27/06/2026 07:18:36</t>
  </si>
  <si>
    <t>3G_TNI061M_TNH</t>
  </si>
  <si>
    <t>27/06/2026 15:06:06</t>
  </si>
  <si>
    <t>27/06/2026 15:44:54</t>
  </si>
  <si>
    <t>3G_TBI039E_TNH</t>
  </si>
  <si>
    <t>27/06/2026 16:10:43</t>
  </si>
  <si>
    <t>27/06/2026 16:36:58</t>
  </si>
  <si>
    <t>3G_BCA700B_TNH</t>
  </si>
  <si>
    <t>27/06/2026 16:57:17</t>
  </si>
  <si>
    <t>27/06/2026 17:02:17</t>
  </si>
  <si>
    <t>UL_DHO067M_LAN</t>
  </si>
  <si>
    <t>27/06/2026 22:59:59</t>
  </si>
  <si>
    <t>27/06/2026 23:29:38</t>
  </si>
  <si>
    <t>3G_TBA090M_TNH</t>
  </si>
  <si>
    <t>28/06/2026 17:58:32</t>
  </si>
  <si>
    <t>28/06/2026 20:06:46</t>
  </si>
  <si>
    <t>3G_TBA021M_TNH</t>
  </si>
  <si>
    <t>28/06/2026 17:59:00</t>
  </si>
  <si>
    <t>28/06/2026 18:04:07</t>
  </si>
  <si>
    <t>3G_TBA074M_TNH</t>
  </si>
  <si>
    <t>28/06/2026 18:11:49</t>
  </si>
  <si>
    <t>28/06/2026 18:17:04</t>
  </si>
  <si>
    <t>28/06/2026 18:12:44</t>
  </si>
  <si>
    <t>28/06/2026 18:21:40</t>
  </si>
  <si>
    <t>28/06/2026 18:12:51</t>
  </si>
  <si>
    <t>28/06/2026 18:19:15</t>
  </si>
  <si>
    <t>28/06/2026 18:48:03</t>
  </si>
  <si>
    <t>28/06/2026 19:17:41</t>
  </si>
  <si>
    <t>28/06/2026 20:17:42</t>
  </si>
  <si>
    <t>28/06/2026 20:23:53</t>
  </si>
  <si>
    <t>3G_TBA053M_TNH</t>
  </si>
  <si>
    <t>28/06/2026 20:43:05</t>
  </si>
  <si>
    <t>28/06/2026 21:00:12</t>
  </si>
  <si>
    <t>UL_TTR018M_LAN</t>
  </si>
  <si>
    <t>28/06/2026 21:10:21</t>
  </si>
  <si>
    <t>28/06/2026 22:17:04</t>
  </si>
  <si>
    <t>3G_TBA066M_TNH</t>
  </si>
  <si>
    <t>29/06/2026 11:03:32</t>
  </si>
  <si>
    <t>29/06/2026 11:08:41</t>
  </si>
  <si>
    <t>3G_TBI038M_TNH</t>
  </si>
  <si>
    <t>30/06/2026 12:33:10</t>
  </si>
  <si>
    <t>30/06/2026 12:38:17</t>
  </si>
  <si>
    <t>30/06/2026 17:29:17</t>
  </si>
  <si>
    <t>30/06/2026 18:21:02</t>
  </si>
  <si>
    <t>3G_KTU013M_LAN</t>
  </si>
  <si>
    <t>30/06/2026 17:37:56</t>
  </si>
  <si>
    <t>30/06/2026 18:02:58</t>
  </si>
  <si>
    <t>3G_TBA112M_TNH</t>
  </si>
  <si>
    <t>30/06/2026 18:21:05</t>
  </si>
  <si>
    <t>30/06/2026 19:21:41</t>
  </si>
  <si>
    <t>30/06/2026 19:22:07</t>
  </si>
  <si>
    <t>30/06/2026 19:27:24</t>
  </si>
  <si>
    <t>UL_TTU017E_LAN</t>
  </si>
  <si>
    <t>01/07/2026 14:46:30</t>
  </si>
  <si>
    <t>01/07/2026 18:28:28</t>
  </si>
  <si>
    <t>UL_TAN076M_LAN</t>
  </si>
  <si>
    <t>01/07/2026 22:20:31</t>
  </si>
  <si>
    <t>01/07/2026 23:32:43</t>
  </si>
  <si>
    <t>25/06/2026 08:03:51</t>
  </si>
  <si>
    <t>25/06/2026 08:16:11</t>
  </si>
  <si>
    <t>25/06/2026 19:18:39</t>
  </si>
  <si>
    <t>25/06/2026 19:23:42</t>
  </si>
  <si>
    <t>4G-CDU057M-LAN</t>
  </si>
  <si>
    <t>26/06/2026 18:13:44</t>
  </si>
  <si>
    <t>26/06/2026 19:20:31</t>
  </si>
  <si>
    <t>4G-DMC013M-TNH</t>
  </si>
  <si>
    <t>26/06/2026 21:34:18</t>
  </si>
  <si>
    <t>26/06/2026 23:06:39</t>
  </si>
  <si>
    <t>4G-BCA036E-TNH</t>
  </si>
  <si>
    <t>27/06/2026 07:04:35</t>
  </si>
  <si>
    <t>27/06/2026 07:16:19</t>
  </si>
  <si>
    <t>4G-BCA036M-TNH</t>
  </si>
  <si>
    <t>27/06/2026 07:04:39</t>
  </si>
  <si>
    <t>27/06/2026 07:16:17</t>
  </si>
  <si>
    <t>4G-TNI061M-TNH</t>
  </si>
  <si>
    <t>27/06/2026 15:06:03</t>
  </si>
  <si>
    <t>27/06/2026 15:43:56</t>
  </si>
  <si>
    <t>4G-TBI039M-TNH</t>
  </si>
  <si>
    <t>27/06/2026 16:10:41</t>
  </si>
  <si>
    <t>27/06/2026 16:36:04</t>
  </si>
  <si>
    <t>4G-TBI039E-TNH</t>
  </si>
  <si>
    <t>27/06/2026 16:35:57</t>
  </si>
  <si>
    <t>27/06/2026 22:58:29</t>
  </si>
  <si>
    <t>27/06/2026 23:27:47</t>
  </si>
  <si>
    <t>4G-TBA090M-TNH</t>
  </si>
  <si>
    <t>28/06/2026 17:58:31</t>
  </si>
  <si>
    <t>28/06/2026 20:07:31</t>
  </si>
  <si>
    <t>4G-TBA080E-TNH</t>
  </si>
  <si>
    <t>28/06/2026 19:55:45</t>
  </si>
  <si>
    <t>4G-TBA090E-TNH</t>
  </si>
  <si>
    <t>28/06/2026 20:14:40</t>
  </si>
  <si>
    <t>4G-TBA082E-TNH</t>
  </si>
  <si>
    <t>28/06/2026 19:56:00</t>
  </si>
  <si>
    <t>4G-TBA021M-TNH</t>
  </si>
  <si>
    <t>28/06/2026 17:58:49</t>
  </si>
  <si>
    <t>28/06/2026 18:04:16</t>
  </si>
  <si>
    <t>4G-TBA074M-TNH</t>
  </si>
  <si>
    <t>28/06/2026 18:11:43</t>
  </si>
  <si>
    <t>28/06/2026 18:16:49</t>
  </si>
  <si>
    <t>28/06/2026 18:47:58</t>
  </si>
  <si>
    <t>28/06/2026 19:18:09</t>
  </si>
  <si>
    <t>28/06/2026 20:17:35</t>
  </si>
  <si>
    <t>28/06/2026 20:24:05</t>
  </si>
  <si>
    <t>4G-TBA053E-TNH</t>
  </si>
  <si>
    <t>28/06/2026 20:46:39</t>
  </si>
  <si>
    <t>28/06/2026 20:59:29</t>
  </si>
  <si>
    <t>4G-TBA053M-TNH</t>
  </si>
  <si>
    <t>28/06/2026 20:46:40</t>
  </si>
  <si>
    <t>28/06/2026 20:58:51</t>
  </si>
  <si>
    <t>28/06/2026 21:08:55</t>
  </si>
  <si>
    <t>28/06/2026 22:16:18</t>
  </si>
  <si>
    <t>29/06/2026 14:52:00</t>
  </si>
  <si>
    <t>29/06/2026 14:58:11</t>
  </si>
  <si>
    <t>29/06/2026 23:04:21</t>
  </si>
  <si>
    <t>29/06/2026 23:11:58</t>
  </si>
  <si>
    <t>4G-BCA013M-TNH</t>
  </si>
  <si>
    <t>30/06/2026 14:44:02</t>
  </si>
  <si>
    <t>30/06/2026 14:49:09</t>
  </si>
  <si>
    <t>30/06/2026 17:29:10</t>
  </si>
  <si>
    <t>30/06/2026 18:20:09</t>
  </si>
  <si>
    <t>4G-KTU013M-LAN</t>
  </si>
  <si>
    <t>30/06/2026 17:36:13</t>
  </si>
  <si>
    <t>30/06/2026 18:01:03</t>
  </si>
  <si>
    <t>4G-TBA112E-TNH</t>
  </si>
  <si>
    <t>30/06/2026 18:20:57</t>
  </si>
  <si>
    <t>30/06/2026 19:19:35</t>
  </si>
  <si>
    <t>4G-TBA112M-TNH</t>
  </si>
  <si>
    <t>30/06/2026 18:20:59</t>
  </si>
  <si>
    <t>30/06/2026 19:26:53</t>
  </si>
  <si>
    <t>4G-TTH033M-LAN</t>
  </si>
  <si>
    <t>30/06/2026 19:41:19</t>
  </si>
  <si>
    <t>30/06/2026 20:41:20</t>
  </si>
  <si>
    <t>01/07/2026 14:45:06</t>
  </si>
  <si>
    <t>01/07/2026 18:25:04</t>
  </si>
  <si>
    <t>01/07/2026 22:12:52</t>
  </si>
  <si>
    <t>01/07/2026 23:32:57</t>
  </si>
  <si>
    <t>5G-TNI061M-TNH</t>
  </si>
  <si>
    <t>27/06/2026 15:18:52</t>
  </si>
  <si>
    <t>27/06/2026 15:48:42</t>
  </si>
  <si>
    <t>5G-DHO067M-LAN</t>
  </si>
  <si>
    <t>27/06/2026 23:04:16</t>
  </si>
  <si>
    <t>27/06/2026 23:28:25</t>
  </si>
  <si>
    <t>5G-TCH073M-TNH</t>
  </si>
  <si>
    <t>30/06/2026 06:33:01</t>
  </si>
  <si>
    <t>30/06/2026 07:32:57</t>
  </si>
  <si>
    <t>Phạm Minh Thật</t>
  </si>
  <si>
    <t>Bùi Văn Quí</t>
  </si>
  <si>
    <t>THỜI GIAN MẤT LIÊN LẠC MẠNG DI ĐỘNG LŨY KẾ THEO TTHT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</si>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</sst>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0.0"/>
    <numFmt numFmtId="167" formatCode="_(* #,##0_);_(* \(#,##0\);_(* &quot;-&quot;??_);_(@_)"/>
    <numFmt numFmtId="168" formatCode="_(* #,##0.0_);_(* \(#,##0.0\);_(* &quot;-&quot;??_);_(@_)"/>
  </numFmts>
  <fonts count="30">
    <font>
      <sz val="11"/>
      <color theme="1"/>
      <name val="Calibri"/>
      <charset val="134"/>
      <scheme val="minor"/>
    </font>
    <font>
      <b/>
      <sz val="13"/>
      <color theme="1"/>
      <name val="Times New Roman"/>
      <family val="1"/>
    </font>
    <font>
      <b/>
      <sz val="13"/>
      <color rgb="FF0070C0"/>
      <name val="Times New Roman"/>
      <family val="1"/>
    </font>
    <font>
      <b/>
      <sz val="13"/>
      <color rgb="FFFF0000"/>
      <name val="Times New Roman"/>
      <family val="1"/>
    </font>
    <font>
      <sz val="13"/>
      <color rgb="FF0070C0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4"/>
      <color rgb="FF365F91"/>
      <name val="Times New Roman"/>
      <family val="1"/>
    </font>
    <font>
      <sz val="14"/>
      <color theme="1"/>
      <name val="Times New Roman"/>
      <family val="1"/>
    </font>
    <font>
      <b/>
      <sz val="14"/>
      <color rgb="FF4F81BD"/>
      <name val="Times New Roman"/>
      <family val="1"/>
    </font>
    <font>
      <b/>
      <sz val="16"/>
      <color theme="0"/>
      <name val="Times New Roman"/>
      <family val="1"/>
    </font>
    <font>
      <b/>
      <sz val="16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EE0000"/>
      <name val="Times New Roman"/>
      <family val="1"/>
    </font>
    <font>
      <sz val="11"/>
      <color rgb="FFFF0000"/>
      <name val="Times New Roman"/>
      <family val="1"/>
    </font>
    <font>
      <sz val="11"/>
      <color rgb="FF00B050"/>
      <name val="Times New Roman"/>
      <family val="1"/>
    </font>
    <font>
      <sz val="11"/>
      <color rgb="FFEE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FE0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>
      <alignment vertical="center"/>
    </xf>
    <xf numFmtId="0" fontId="7" fillId="0" borderId="0"/>
    <xf numFmtId="9" fontId="20" fillId="0" borderId="0" applyFont="0" applyFill="0" applyBorder="0" applyAlignment="0" applyProtection="0"/>
  </cellStyleXfs>
  <cellXfs count="17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65" fontId="10" fillId="0" borderId="1" xfId="1" applyNumberFormat="1" applyFont="1" applyBorder="1" applyAlignment="1">
      <alignment horizontal="right" vertical="center"/>
    </xf>
    <xf numFmtId="165" fontId="8" fillId="0" borderId="1" xfId="1" applyNumberFormat="1" applyFont="1" applyBorder="1" applyAlignment="1">
      <alignment horizontal="right" vertical="center"/>
    </xf>
    <xf numFmtId="166" fontId="10" fillId="0" borderId="1" xfId="1" applyNumberFormat="1" applyFont="1" applyBorder="1" applyAlignment="1">
      <alignment horizontal="center" vertical="center"/>
    </xf>
    <xf numFmtId="166" fontId="8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6" fontId="8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0" xfId="0" quotePrefix="1" applyFont="1" applyAlignment="1">
      <alignment vertical="center"/>
    </xf>
    <xf numFmtId="0" fontId="15" fillId="0" borderId="0" xfId="0" applyFont="1" applyAlignment="1">
      <alignment vertical="center"/>
    </xf>
    <xf numFmtId="167" fontId="10" fillId="0" borderId="1" xfId="1" applyNumberFormat="1" applyFont="1" applyFill="1" applyBorder="1" applyAlignment="1">
      <alignment horizontal="center" vertical="center"/>
    </xf>
    <xf numFmtId="167" fontId="11" fillId="0" borderId="1" xfId="1" applyNumberFormat="1" applyFont="1" applyFill="1" applyBorder="1" applyAlignment="1">
      <alignment horizontal="center" vertical="center"/>
    </xf>
    <xf numFmtId="167" fontId="11" fillId="0" borderId="2" xfId="1" applyNumberFormat="1" applyFont="1" applyBorder="1" applyAlignment="1">
      <alignment horizontal="center" vertical="center" wrapText="1"/>
    </xf>
    <xf numFmtId="167" fontId="11" fillId="0" borderId="1" xfId="1" applyNumberFormat="1" applyFont="1" applyBorder="1" applyAlignment="1">
      <alignment horizontal="right" vertical="center"/>
    </xf>
    <xf numFmtId="167" fontId="2" fillId="0" borderId="1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7" fontId="8" fillId="0" borderId="1" xfId="1" applyNumberFormat="1" applyFont="1" applyFill="1" applyBorder="1" applyAlignment="1">
      <alignment horizontal="center" vertical="center"/>
    </xf>
    <xf numFmtId="167" fontId="12" fillId="0" borderId="1" xfId="1" applyNumberFormat="1" applyFont="1" applyFill="1" applyBorder="1" applyAlignment="1">
      <alignment horizontal="center" vertical="center"/>
    </xf>
    <xf numFmtId="167" fontId="12" fillId="0" borderId="2" xfId="1" applyNumberFormat="1" applyFont="1" applyBorder="1" applyAlignment="1">
      <alignment horizontal="center" vertical="center" wrapText="1"/>
    </xf>
    <xf numFmtId="167" fontId="12" fillId="0" borderId="1" xfId="1" applyNumberFormat="1" applyFont="1" applyBorder="1" applyAlignment="1">
      <alignment horizontal="right" vertical="center"/>
    </xf>
    <xf numFmtId="167" fontId="4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2" fontId="16" fillId="6" borderId="1" xfId="0" applyNumberFormat="1" applyFont="1" applyFill="1" applyBorder="1" applyAlignment="1">
      <alignment horizontal="centerContinuous" vertical="center"/>
    </xf>
    <xf numFmtId="168" fontId="12" fillId="0" borderId="1" xfId="0" applyNumberFormat="1" applyFont="1" applyBorder="1" applyAlignment="1">
      <alignment horizontal="center" vertical="center"/>
    </xf>
    <xf numFmtId="2" fontId="17" fillId="6" borderId="1" xfId="0" applyNumberFormat="1" applyFont="1" applyFill="1" applyBorder="1" applyAlignment="1">
      <alignment horizontal="centerContinuous" vertical="center"/>
    </xf>
    <xf numFmtId="0" fontId="2" fillId="0" borderId="1" xfId="0" applyFont="1" applyBorder="1" applyAlignment="1">
      <alignment horizontal="center" vertical="center" wrapText="1"/>
    </xf>
    <xf numFmtId="2" fontId="16" fillId="6" borderId="1" xfId="0" applyNumberFormat="1" applyFont="1" applyFill="1" applyBorder="1" applyAlignment="1">
      <alignment horizontal="left" vertical="center"/>
    </xf>
    <xf numFmtId="2" fontId="16" fillId="6" borderId="3" xfId="0" applyNumberFormat="1" applyFont="1" applyFill="1" applyBorder="1" applyAlignment="1">
      <alignment horizontal="centerContinuous" vertical="center"/>
    </xf>
    <xf numFmtId="2" fontId="16" fillId="6" borderId="4" xfId="0" applyNumberFormat="1" applyFont="1" applyFill="1" applyBorder="1" applyAlignment="1">
      <alignment horizontal="left" vertical="center"/>
    </xf>
    <xf numFmtId="2" fontId="16" fillId="6" borderId="5" xfId="0" applyNumberFormat="1" applyFont="1" applyFill="1" applyBorder="1" applyAlignment="1">
      <alignment horizontal="centerContinuous" vertical="center"/>
    </xf>
    <xf numFmtId="2" fontId="16" fillId="6" borderId="4" xfId="0" applyNumberFormat="1" applyFont="1" applyFill="1" applyBorder="1" applyAlignment="1">
      <alignment horizontal="centerContinuous" vertical="center"/>
    </xf>
    <xf numFmtId="0" fontId="3" fillId="0" borderId="1" xfId="0" applyFont="1" applyBorder="1" applyAlignment="1">
      <alignment horizontal="center" vertical="center" wrapText="1"/>
    </xf>
    <xf numFmtId="1" fontId="16" fillId="6" borderId="5" xfId="0" applyNumberFormat="1" applyFont="1" applyFill="1" applyBorder="1" applyAlignment="1">
      <alignment horizontal="centerContinuous" vertical="center"/>
    </xf>
    <xf numFmtId="1" fontId="8" fillId="0" borderId="0" xfId="0" applyNumberFormat="1" applyFont="1" applyAlignment="1">
      <alignment vertical="center"/>
    </xf>
    <xf numFmtId="1" fontId="8" fillId="3" borderId="0" xfId="0" applyNumberFormat="1" applyFont="1" applyFill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" fontId="16" fillId="6" borderId="1" xfId="0" applyNumberFormat="1" applyFont="1" applyFill="1" applyBorder="1" applyAlignment="1">
      <alignment horizontal="centerContinuous" vertical="center"/>
    </xf>
    <xf numFmtId="1" fontId="8" fillId="3" borderId="1" xfId="0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 vertical="center" wrapText="1"/>
    </xf>
    <xf numFmtId="167" fontId="12" fillId="0" borderId="1" xfId="1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10" fillId="0" borderId="4" xfId="1" applyNumberFormat="1" applyFont="1" applyBorder="1" applyAlignment="1">
      <alignment horizontal="right" vertical="center"/>
    </xf>
    <xf numFmtId="165" fontId="8" fillId="0" borderId="4" xfId="1" applyNumberFormat="1" applyFont="1" applyBorder="1" applyAlignment="1">
      <alignment horizontal="right" vertical="center"/>
    </xf>
    <xf numFmtId="2" fontId="16" fillId="6" borderId="1" xfId="0" applyNumberFormat="1" applyFont="1" applyFill="1" applyBorder="1" applyAlignment="1">
      <alignment vertical="center"/>
    </xf>
    <xf numFmtId="165" fontId="2" fillId="3" borderId="1" xfId="1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 vertical="center"/>
    </xf>
    <xf numFmtId="167" fontId="12" fillId="0" borderId="1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Continuous" vertical="center"/>
    </xf>
    <xf numFmtId="167" fontId="8" fillId="0" borderId="0" xfId="0" applyNumberFormat="1" applyFont="1" applyAlignment="1">
      <alignment vertical="center"/>
    </xf>
    <xf numFmtId="166" fontId="16" fillId="6" borderId="1" xfId="0" applyNumberFormat="1" applyFont="1" applyFill="1" applyBorder="1" applyAlignment="1">
      <alignment horizontal="centerContinuous" vertical="center"/>
    </xf>
    <xf numFmtId="166" fontId="8" fillId="0" borderId="0" xfId="0" applyNumberFormat="1" applyFont="1" applyAlignment="1">
      <alignment horizontal="centerContinuous" vertical="center"/>
    </xf>
    <xf numFmtId="166" fontId="8" fillId="0" borderId="0" xfId="0" applyNumberFormat="1" applyFont="1" applyAlignment="1">
      <alignment vertical="center"/>
    </xf>
    <xf numFmtId="166" fontId="16" fillId="6" borderId="5" xfId="0" applyNumberFormat="1" applyFont="1" applyFill="1" applyBorder="1" applyAlignment="1">
      <alignment horizontal="centerContinuous" vertical="center"/>
    </xf>
    <xf numFmtId="166" fontId="8" fillId="0" borderId="0" xfId="0" applyNumberFormat="1" applyFont="1" applyAlignment="1">
      <alignment horizontal="center" vertical="center"/>
    </xf>
    <xf numFmtId="2" fontId="17" fillId="7" borderId="1" xfId="0" applyNumberFormat="1" applyFont="1" applyFill="1" applyBorder="1" applyAlignment="1">
      <alignment horizontal="centerContinuous" vertical="center"/>
    </xf>
    <xf numFmtId="2" fontId="16" fillId="7" borderId="1" xfId="0" applyNumberFormat="1" applyFont="1" applyFill="1" applyBorder="1" applyAlignment="1">
      <alignment horizontal="centerContinuous" vertical="center"/>
    </xf>
    <xf numFmtId="1" fontId="16" fillId="7" borderId="1" xfId="0" applyNumberFormat="1" applyFont="1" applyFill="1" applyBorder="1" applyAlignment="1">
      <alignment horizontal="centerContinuous" vertical="center"/>
    </xf>
    <xf numFmtId="2" fontId="16" fillId="7" borderId="1" xfId="0" applyNumberFormat="1" applyFont="1" applyFill="1" applyBorder="1" applyAlignment="1">
      <alignment vertical="center"/>
    </xf>
    <xf numFmtId="2" fontId="16" fillId="7" borderId="4" xfId="0" applyNumberFormat="1" applyFont="1" applyFill="1" applyBorder="1" applyAlignment="1">
      <alignment horizontal="left" vertical="center"/>
    </xf>
    <xf numFmtId="2" fontId="16" fillId="7" borderId="1" xfId="0" applyNumberFormat="1" applyFont="1" applyFill="1" applyBorder="1" applyAlignment="1">
      <alignment horizontal="left" vertical="center"/>
    </xf>
    <xf numFmtId="166" fontId="16" fillId="7" borderId="1" xfId="0" applyNumberFormat="1" applyFont="1" applyFill="1" applyBorder="1" applyAlignment="1">
      <alignment horizontal="centerContinuous" vertical="center"/>
    </xf>
    <xf numFmtId="0" fontId="18" fillId="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21" fillId="0" borderId="0" xfId="0" applyFont="1"/>
    <xf numFmtId="0" fontId="11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0" fontId="11" fillId="0" borderId="1" xfId="3" applyNumberFormat="1" applyFont="1" applyFill="1" applyBorder="1" applyAlignment="1">
      <alignment horizontal="center" vertical="center"/>
    </xf>
    <xf numFmtId="9" fontId="10" fillId="0" borderId="1" xfId="3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0" fontId="8" fillId="0" borderId="1" xfId="3" applyNumberFormat="1" applyFont="1" applyFill="1" applyBorder="1" applyAlignment="1">
      <alignment horizontal="center" vertical="center"/>
    </xf>
    <xf numFmtId="9" fontId="8" fillId="0" borderId="1" xfId="3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2" fillId="0" borderId="0" xfId="0" applyFont="1"/>
    <xf numFmtId="0" fontId="23" fillId="7" borderId="1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3" fontId="18" fillId="0" borderId="11" xfId="0" applyNumberFormat="1" applyFont="1" applyBorder="1" applyAlignment="1">
      <alignment horizontal="center" vertical="center"/>
    </xf>
    <xf numFmtId="3" fontId="18" fillId="0" borderId="11" xfId="0" applyNumberFormat="1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0" xfId="0" applyFont="1"/>
    <xf numFmtId="0" fontId="25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2" fontId="23" fillId="0" borderId="11" xfId="0" applyNumberFormat="1" applyFont="1" applyBorder="1" applyAlignment="1">
      <alignment horizontal="center" vertical="center" wrapText="1"/>
    </xf>
    <xf numFmtId="2" fontId="23" fillId="0" borderId="11" xfId="0" applyNumberFormat="1" applyFont="1" applyBorder="1" applyAlignment="1">
      <alignment horizontal="center" vertical="center"/>
    </xf>
    <xf numFmtId="2" fontId="24" fillId="0" borderId="1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3" fontId="2" fillId="0" borderId="1" xfId="1" applyNumberFormat="1" applyFont="1" applyBorder="1" applyAlignment="1">
      <alignment horizontal="center" vertical="center"/>
    </xf>
    <xf numFmtId="43" fontId="4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2" fontId="18" fillId="7" borderId="1" xfId="0" applyNumberFormat="1" applyFont="1" applyFill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14" fillId="0" borderId="0" xfId="0" quotePrefix="1" applyFont="1"/>
    <xf numFmtId="0" fontId="3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167" fontId="9" fillId="0" borderId="1" xfId="1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" fontId="3" fillId="3" borderId="6" xfId="0" applyNumberFormat="1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/>
    </xf>
    <xf numFmtId="0" fontId="23" fillId="7" borderId="9" xfId="0" applyFont="1" applyFill="1" applyBorder="1" applyAlignment="1">
      <alignment horizontal="center" vertical="center"/>
    </xf>
    <xf numFmtId="0" fontId="23" fillId="7" borderId="14" xfId="0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0" fontId="23" fillId="7" borderId="12" xfId="0" applyFont="1" applyFill="1" applyBorder="1" applyAlignment="1">
      <alignment horizontal="center" vertical="center"/>
    </xf>
    <xf numFmtId="0" fontId="23" fillId="7" borderId="15" xfId="0" applyFont="1" applyFill="1" applyBorder="1" applyAlignment="1">
      <alignment horizontal="center" vertical="center"/>
    </xf>
    <xf numFmtId="0" fontId="23" fillId="7" borderId="10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10 2 6" xfId="2" xr:uid="{00000000-0005-0000-0000-000031000000}"/>
    <cellStyle name="Percent" xfId="3" builtinId="5"/>
  </cellStyles>
  <dxfs count="0"/>
  <tableStyles count="0" defaultTableStyle="TableStyleMedium2" defaultPivotStyle="PivotStyleLight16"/>
  <colors>
    <mruColors>
      <color rgb="FFB4C6E7"/>
      <color rgb="FF9FE0F7"/>
      <color rgb="FF80BB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243532</xdr:colOff>
      <xdr:row>2</xdr:row>
      <xdr:rowOff>10598</xdr:rowOff>
    </xdr:from>
    <xdr:ext cx="5466026" cy="315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CFC18A-FCCD-A828-52BD-DF94F4DA9B0C}"/>
                </a:ext>
              </a:extLst>
            </xdr:cNvPr>
            <xdr:cNvSpPr txBox="1"/>
          </xdr:nvSpPr>
          <xdr:spPr>
            <a:xfrm>
              <a:off x="243532" y="467798"/>
              <a:ext cx="5466026" cy="315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nary>
                    <m:naryPr>
                      <m:chr m:val="∑"/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400" i="1">
                          <a:latin typeface="Cambria Math" panose="02040503050406030204" pitchFamily="18" charset="0"/>
                        </a:rPr>
                        <m:t>0</m:t>
                      </m:r>
                    </m:sub>
                    <m:sup>
                      <m:r>
                        <a:rPr lang="en-US" sz="1400" i="1">
                          <a:latin typeface="Cambria Math" panose="02040503050406030204" pitchFamily="18" charset="0"/>
                        </a:rPr>
                        <m:t>𝑛</m:t>
                      </m:r>
                    </m:sup>
                    <m:e>
                      <m:d>
                        <m:dPr>
                          <m:ctrlPr>
                            <a:rPr lang="en-US" sz="140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f>
                            <m:fPr>
                              <m:type m:val="noBar"/>
                              <m:ctrlPr>
                                <a:rPr lang="en-US" sz="14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400" i="1">
                                  <a:latin typeface="Cambria Math" panose="02040503050406030204" pitchFamily="18" charset="0"/>
                                </a:rPr>
                                <m:t>𝑛</m:t>
                              </m:r>
                            </m:num>
                            <m:den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0</m:t>
                              </m:r>
                            </m:den>
                          </m:f>
                        </m:e>
                      </m:d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h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ờ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𝑔𝑖𝑎𝑛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𝑀𝐿𝐿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𝑡h𝑖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ế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𝑡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𝑏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ị 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en-US" sz="1400" i="1" baseline="-25000">
                          <a:latin typeface="Cambria Math" panose="02040503050406030204" pitchFamily="18" charset="0"/>
                        </a:rPr>
                        <m:t> </m:t>
                      </m:r>
                    </m:e>
                  </m:nary>
                </m:oMath>
              </a14:m>
              <a:r>
                <a:rPr lang="en-US" sz="1400">
                  <a:latin typeface="Times New Roman" panose="02020603050405020304" pitchFamily="18" charset="0"/>
                  <a:cs typeface="Times New Roman" panose="02020603050405020304" pitchFamily="18" charset="0"/>
                </a:rPr>
                <a:t>* Trọng số theo giờ * Hệ số theo thiết bị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CFC18A-FCCD-A828-52BD-DF94F4DA9B0C}"/>
                </a:ext>
              </a:extLst>
            </xdr:cNvPr>
            <xdr:cNvSpPr txBox="1"/>
          </xdr:nvSpPr>
          <xdr:spPr>
            <a:xfrm>
              <a:off x="243532" y="467798"/>
              <a:ext cx="5466026" cy="315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∑24_0^𝑛▒〖(𝑛¦</a:t>
              </a:r>
              <a:r>
                <a:rPr lang="en-US" sz="1400" b="0" i="0">
                  <a:latin typeface="Cambria Math" panose="02040503050406030204" pitchFamily="18" charset="0"/>
                </a:rPr>
                <a:t>0)𝑇</a:t>
              </a:r>
              <a:r>
                <a:rPr lang="en-US" sz="1400" i="0">
                  <a:latin typeface="Cambria Math" panose="02040503050406030204" pitchFamily="18" charset="0"/>
                </a:rPr>
                <a:t>ℎờ𝑖 𝑔𝑖𝑎𝑛 </a:t>
              </a:r>
              <a:r>
                <a:rPr lang="en-US" sz="1400" b="0" i="0">
                  <a:latin typeface="Cambria Math" panose="02040503050406030204" pitchFamily="18" charset="0"/>
                </a:rPr>
                <a:t>𝑀𝐿𝐿 </a:t>
              </a:r>
              <a:r>
                <a:rPr lang="en-US" sz="1400" b="0" i="0" baseline="-25000">
                  <a:latin typeface="Cambria Math" panose="02040503050406030204" pitchFamily="18" charset="0"/>
                </a:rPr>
                <a:t>𝑡ℎ𝑖ế𝑡 𝑏ị 𝑛</a:t>
              </a:r>
              <a:r>
                <a:rPr lang="en-US" sz="1400" i="0" baseline="-25000">
                  <a:latin typeface="Cambria Math" panose="02040503050406030204" pitchFamily="18" charset="0"/>
                </a:rPr>
                <a:t> 〗</a:t>
              </a:r>
              <a:r>
                <a:rPr lang="en-US" sz="1400">
                  <a:latin typeface="Times New Roman" panose="02020603050405020304" pitchFamily="18" charset="0"/>
                  <a:cs typeface="Times New Roman" panose="02020603050405020304" pitchFamily="18" charset="0"/>
                </a:rPr>
                <a:t>* Trọng số theo giờ * Hệ số theo thiết bị</a:t>
              </a:r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NPT\Tai%20lieu\To%20Khai%20Thac\Bao%20cao%20OMC\Bao%20cao%20thang%20202605\C1.4.%20Th&#7901;i%20gian%20MLL%20c&#225;c%20thi&#7871;t%20b&#7883;%20di%20&#273;&#7897;ng%20(3G4G5G)_Thang05_DOISOAT_052026.xlsx" TargetMode="External"/><Relationship Id="rId1" Type="http://schemas.openxmlformats.org/officeDocument/2006/relationships/externalLinkPath" Target="file:///D:\VNPT\Tai%20lieu\To%20Khai%20Thac\Bao%20cao%20OMC\Bao%20cao%20thang%20202605\C1.4.%20Th&#7901;i%20gian%20MLL%20c&#225;c%20thi&#7871;t%20b&#7883;%20di%20&#273;&#7897;ng%20(3G4G5G)_Thang05_DOISOAT_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C MLL tuần"/>
      <sheetName val="Lũy kế MLL"/>
      <sheetName val="Tỷ lệ XLSC VT-CNTT đúng hạn"/>
      <sheetName val="Trạm theo NV"/>
      <sheetName val="Chi tiết FMS"/>
      <sheetName val="Phân rã TTHT"/>
      <sheetName val="Cách tính MLL"/>
    </sheetNames>
    <sheetDataSet>
      <sheetData sheetId="0"/>
      <sheetData sheetId="1">
        <row r="5">
          <cell r="B5" t="str">
            <v>Tây Ninh</v>
          </cell>
          <cell r="C5">
            <v>3614</v>
          </cell>
        </row>
        <row r="6">
          <cell r="B6" t="str">
            <v>Gò Dầu</v>
          </cell>
          <cell r="C6">
            <v>631</v>
          </cell>
        </row>
        <row r="7">
          <cell r="B7" t="str">
            <v>Đức hòa</v>
          </cell>
          <cell r="C7">
            <v>500</v>
          </cell>
        </row>
        <row r="8">
          <cell r="B8" t="str">
            <v>Bến Lức</v>
          </cell>
          <cell r="C8">
            <v>524</v>
          </cell>
        </row>
        <row r="9">
          <cell r="B9" t="str">
            <v>Tân Châu</v>
          </cell>
          <cell r="C9">
            <v>457</v>
          </cell>
        </row>
        <row r="10">
          <cell r="B10" t="str">
            <v>Tân Ninh</v>
          </cell>
          <cell r="C10">
            <v>519</v>
          </cell>
        </row>
        <row r="11">
          <cell r="B11" t="str">
            <v>Kiến Tường</v>
          </cell>
          <cell r="C11">
            <v>470</v>
          </cell>
        </row>
        <row r="12">
          <cell r="B12" t="str">
            <v>Tân An</v>
          </cell>
          <cell r="C12">
            <v>513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79981C-1B70-4CA1-87CB-FE75C3FE403B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5C0F-2711-4C7A-8A4C-B10CE6E806C5}">
  <sheetPr codeName="Sheet6"/>
  <dimension ref="A1:AB229"/>
  <sheetViews>
    <sheetView zoomScale="55" zoomScaleNormal="55" workbookViewId="0">
      <selection activeCell="A4" sqref="A4:R11"/>
    </sheetView>
  </sheetViews>
  <sheetFormatPr defaultColWidth="9.21875" defaultRowHeight="16.8"/>
  <cols>
    <col min="1" max="1" width="6.5546875" style="14" customWidth="1"/>
    <col min="2" max="2" width="12.6640625" style="14" bestFit="1" customWidth="1"/>
    <col min="3" max="3" width="12.6640625" style="14" customWidth="1"/>
    <col min="4" max="4" width="11.109375" style="14" customWidth="1"/>
    <col min="5" max="5" width="10.88671875" style="14" customWidth="1"/>
    <col min="6" max="6" width="11.21875" style="14" customWidth="1"/>
    <col min="7" max="7" width="13.44140625" style="14" hidden="1" customWidth="1"/>
    <col min="8" max="8" width="11.109375" style="14" customWidth="1"/>
    <col min="9" max="9" width="11" style="14" customWidth="1"/>
    <col min="10" max="10" width="11.109375" style="14" customWidth="1"/>
    <col min="11" max="11" width="13.6640625" style="14" hidden="1" customWidth="1"/>
    <col min="12" max="12" width="10.77734375" style="14" customWidth="1"/>
    <col min="13" max="13" width="11.109375" style="14" customWidth="1"/>
    <col min="14" max="14" width="11.33203125" style="14" customWidth="1"/>
    <col min="15" max="15" width="13.6640625" style="14" hidden="1" customWidth="1"/>
    <col min="16" max="16" width="16.5546875" style="14" customWidth="1"/>
    <col min="17" max="17" width="14.6640625" style="14" customWidth="1"/>
    <col min="18" max="18" width="14.44140625" style="72" customWidth="1"/>
    <col min="19" max="19" width="14.44140625" style="54" hidden="1" customWidth="1"/>
    <col min="20" max="20" width="11.6640625" style="14" hidden="1" customWidth="1"/>
    <col min="21" max="21" width="14" style="14" hidden="1" customWidth="1"/>
    <col min="22" max="23" width="14.6640625" style="14" hidden="1" customWidth="1"/>
    <col min="24" max="16384" width="9.21875" style="14"/>
  </cols>
  <sheetData>
    <row r="1" spans="1:18" ht="20.399999999999999">
      <c r="A1" s="75" t="s">
        <v>337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81"/>
    </row>
    <row r="2" spans="1:18">
      <c r="A2" s="138" t="s">
        <v>0</v>
      </c>
      <c r="B2" s="138" t="s">
        <v>11</v>
      </c>
      <c r="C2" s="139" t="s">
        <v>84</v>
      </c>
      <c r="D2" s="141" t="s">
        <v>6</v>
      </c>
      <c r="E2" s="141"/>
      <c r="F2" s="141"/>
      <c r="G2" s="141"/>
      <c r="H2" s="142" t="s">
        <v>7</v>
      </c>
      <c r="I2" s="142"/>
      <c r="J2" s="142"/>
      <c r="K2" s="142"/>
      <c r="L2" s="143" t="s">
        <v>16</v>
      </c>
      <c r="M2" s="143"/>
      <c r="N2" s="143"/>
      <c r="O2" s="143"/>
      <c r="P2" s="144" t="s">
        <v>76</v>
      </c>
      <c r="Q2" s="145" t="s">
        <v>18</v>
      </c>
      <c r="R2" s="146" t="s">
        <v>3</v>
      </c>
    </row>
    <row r="3" spans="1:18" ht="67.2">
      <c r="A3" s="138"/>
      <c r="B3" s="138"/>
      <c r="C3" s="140"/>
      <c r="D3" s="11" t="s">
        <v>1</v>
      </c>
      <c r="E3" s="11" t="s">
        <v>2</v>
      </c>
      <c r="F3" s="11" t="s">
        <v>17</v>
      </c>
      <c r="G3" s="11" t="s">
        <v>71</v>
      </c>
      <c r="H3" s="12" t="s">
        <v>1</v>
      </c>
      <c r="I3" s="12" t="s">
        <v>2</v>
      </c>
      <c r="J3" s="12" t="s">
        <v>17</v>
      </c>
      <c r="K3" s="12" t="s">
        <v>71</v>
      </c>
      <c r="L3" s="13" t="s">
        <v>1</v>
      </c>
      <c r="M3" s="13" t="s">
        <v>2</v>
      </c>
      <c r="N3" s="13" t="s">
        <v>17</v>
      </c>
      <c r="O3" s="13" t="s">
        <v>71</v>
      </c>
      <c r="P3" s="144"/>
      <c r="Q3" s="145"/>
      <c r="R3" s="146"/>
    </row>
    <row r="4" spans="1:18">
      <c r="A4" s="1" t="s">
        <v>90</v>
      </c>
      <c r="B4" s="4" t="s">
        <v>10</v>
      </c>
      <c r="C4" s="123">
        <v>3623</v>
      </c>
      <c r="D4" s="29">
        <v>63.95</v>
      </c>
      <c r="E4" s="29">
        <v>725.03333999999995</v>
      </c>
      <c r="F4" s="29">
        <v>179.5</v>
      </c>
      <c r="G4" s="29">
        <v>57.016660000000002</v>
      </c>
      <c r="H4" s="29">
        <v>95.233350000000002</v>
      </c>
      <c r="I4" s="29">
        <v>1480.4166700000001</v>
      </c>
      <c r="J4" s="29">
        <v>253.53332</v>
      </c>
      <c r="K4" s="29">
        <v>35.866680000000002</v>
      </c>
      <c r="L4" s="29">
        <v>29.783329999999999</v>
      </c>
      <c r="M4" s="30">
        <v>0</v>
      </c>
      <c r="N4" s="59">
        <v>0</v>
      </c>
      <c r="O4" s="32">
        <v>0</v>
      </c>
      <c r="P4" s="66">
        <v>2920.3333500000003</v>
      </c>
      <c r="Q4" s="33">
        <v>5247.6699999999992</v>
      </c>
      <c r="R4" s="121">
        <v>1.4484322384764006</v>
      </c>
    </row>
    <row r="5" spans="1:18">
      <c r="A5" s="5">
        <v>1</v>
      </c>
      <c r="B5" s="6" t="s">
        <v>5</v>
      </c>
      <c r="C5" s="124">
        <v>514</v>
      </c>
      <c r="D5" s="36">
        <v>0</v>
      </c>
      <c r="E5" s="36">
        <v>725.03333999999995</v>
      </c>
      <c r="F5" s="36">
        <v>27.4</v>
      </c>
      <c r="G5" s="36">
        <v>8.3833300000000008</v>
      </c>
      <c r="H5" s="36">
        <v>28.483340000000002</v>
      </c>
      <c r="I5" s="36">
        <v>27.416670000000003</v>
      </c>
      <c r="J5" s="36">
        <v>28.883330000000001</v>
      </c>
      <c r="K5" s="36">
        <v>6.6833299999999998</v>
      </c>
      <c r="L5" s="36">
        <v>0</v>
      </c>
      <c r="M5" s="37">
        <v>0</v>
      </c>
      <c r="N5" s="60">
        <v>0</v>
      </c>
      <c r="O5" s="39">
        <v>0</v>
      </c>
      <c r="P5" s="67">
        <v>852.28333999999984</v>
      </c>
      <c r="Q5" s="40">
        <v>1613.5599999999997</v>
      </c>
      <c r="R5" s="122">
        <v>3.1392217898832677</v>
      </c>
    </row>
    <row r="6" spans="1:18">
      <c r="A6" s="5">
        <v>2</v>
      </c>
      <c r="B6" s="6" t="s">
        <v>132</v>
      </c>
      <c r="C6" s="124">
        <v>477</v>
      </c>
      <c r="D6" s="36">
        <v>0</v>
      </c>
      <c r="E6" s="36">
        <v>0</v>
      </c>
      <c r="F6" s="36">
        <v>0</v>
      </c>
      <c r="G6" s="36">
        <v>0</v>
      </c>
      <c r="H6" s="36">
        <v>7.1666699999999999</v>
      </c>
      <c r="I6" s="36">
        <v>0</v>
      </c>
      <c r="J6" s="36">
        <v>0</v>
      </c>
      <c r="K6" s="36">
        <v>0</v>
      </c>
      <c r="L6" s="36">
        <v>0</v>
      </c>
      <c r="M6" s="37">
        <v>0</v>
      </c>
      <c r="N6" s="60">
        <v>0</v>
      </c>
      <c r="O6" s="39">
        <v>0</v>
      </c>
      <c r="P6" s="67">
        <v>7.1666699999999999</v>
      </c>
      <c r="Q6" s="40">
        <v>8.6</v>
      </c>
      <c r="R6" s="122">
        <v>1.8029350104821804E-2</v>
      </c>
    </row>
    <row r="7" spans="1:18">
      <c r="A7" s="5">
        <v>3</v>
      </c>
      <c r="B7" s="6" t="s">
        <v>8</v>
      </c>
      <c r="C7" s="124">
        <v>652</v>
      </c>
      <c r="D7" s="36">
        <v>40.016669999999998</v>
      </c>
      <c r="E7" s="36">
        <v>0</v>
      </c>
      <c r="F7" s="36">
        <v>0</v>
      </c>
      <c r="G7" s="36">
        <v>15.600010000000001</v>
      </c>
      <c r="H7" s="36">
        <v>13.116669999999999</v>
      </c>
      <c r="I7" s="36">
        <v>1453</v>
      </c>
      <c r="J7" s="36">
        <v>24.883330000000001</v>
      </c>
      <c r="K7" s="36">
        <v>5.0666700000000002</v>
      </c>
      <c r="L7" s="36">
        <v>14.95</v>
      </c>
      <c r="M7" s="37">
        <v>0</v>
      </c>
      <c r="N7" s="60">
        <v>0</v>
      </c>
      <c r="O7" s="39">
        <v>0</v>
      </c>
      <c r="P7" s="67">
        <v>1566.6333500000001</v>
      </c>
      <c r="Q7" s="40">
        <v>2668.7899999999995</v>
      </c>
      <c r="R7" s="122">
        <v>4.093236196319018</v>
      </c>
    </row>
    <row r="8" spans="1:18">
      <c r="A8" s="5">
        <v>4</v>
      </c>
      <c r="B8" s="6" t="s">
        <v>13</v>
      </c>
      <c r="C8" s="124">
        <v>487</v>
      </c>
      <c r="D8" s="36">
        <v>0</v>
      </c>
      <c r="E8" s="36">
        <v>0</v>
      </c>
      <c r="F8" s="36">
        <v>25.016670000000001</v>
      </c>
      <c r="G8" s="36">
        <v>0</v>
      </c>
      <c r="H8" s="36">
        <v>21.6</v>
      </c>
      <c r="I8" s="36">
        <v>0</v>
      </c>
      <c r="J8" s="36">
        <v>0</v>
      </c>
      <c r="K8" s="36">
        <v>13.13334</v>
      </c>
      <c r="L8" s="36">
        <v>0</v>
      </c>
      <c r="M8" s="37">
        <v>0</v>
      </c>
      <c r="N8" s="60">
        <v>0</v>
      </c>
      <c r="O8" s="39">
        <v>0</v>
      </c>
      <c r="P8" s="67">
        <v>59.750010000000003</v>
      </c>
      <c r="Q8" s="40">
        <v>133.39000000000001</v>
      </c>
      <c r="R8" s="122">
        <v>0.27390143737166328</v>
      </c>
    </row>
    <row r="9" spans="1:18">
      <c r="A9" s="5">
        <v>5</v>
      </c>
      <c r="B9" s="6" t="s">
        <v>4</v>
      </c>
      <c r="C9" s="124">
        <v>501</v>
      </c>
      <c r="D9" s="36">
        <v>0</v>
      </c>
      <c r="E9" s="36">
        <v>0</v>
      </c>
      <c r="F9" s="36">
        <v>127.08333</v>
      </c>
      <c r="G9" s="36">
        <v>0</v>
      </c>
      <c r="H9" s="36">
        <v>0</v>
      </c>
      <c r="I9" s="36">
        <v>0</v>
      </c>
      <c r="J9" s="36">
        <v>123.58333</v>
      </c>
      <c r="K9" s="36">
        <v>0</v>
      </c>
      <c r="L9" s="36">
        <v>0</v>
      </c>
      <c r="M9" s="37">
        <v>0</v>
      </c>
      <c r="N9" s="60">
        <v>0</v>
      </c>
      <c r="O9" s="39">
        <v>0</v>
      </c>
      <c r="P9" s="67">
        <v>250.66666000000001</v>
      </c>
      <c r="Q9" s="40">
        <v>550.77</v>
      </c>
      <c r="R9" s="122">
        <v>1.0993413173652695</v>
      </c>
    </row>
    <row r="10" spans="1:18">
      <c r="A10" s="5">
        <v>6</v>
      </c>
      <c r="B10" s="6" t="s">
        <v>9</v>
      </c>
      <c r="C10" s="124">
        <v>450</v>
      </c>
      <c r="D10" s="36">
        <v>23.933330000000002</v>
      </c>
      <c r="E10" s="36">
        <v>0</v>
      </c>
      <c r="F10" s="36">
        <v>0</v>
      </c>
      <c r="G10" s="36">
        <v>0</v>
      </c>
      <c r="H10" s="36">
        <v>24.866669999999999</v>
      </c>
      <c r="I10" s="36">
        <v>0</v>
      </c>
      <c r="J10" s="36">
        <v>76.183329999999998</v>
      </c>
      <c r="K10" s="36">
        <v>0</v>
      </c>
      <c r="L10" s="36">
        <v>0</v>
      </c>
      <c r="M10" s="37">
        <v>0</v>
      </c>
      <c r="N10" s="60">
        <v>0</v>
      </c>
      <c r="O10" s="39">
        <v>0</v>
      </c>
      <c r="P10" s="67">
        <v>124.98333</v>
      </c>
      <c r="Q10" s="40">
        <v>198.97</v>
      </c>
      <c r="R10" s="122">
        <v>0.44215555555555558</v>
      </c>
    </row>
    <row r="11" spans="1:18">
      <c r="A11" s="5">
        <v>7</v>
      </c>
      <c r="B11" s="6" t="s">
        <v>14</v>
      </c>
      <c r="C11" s="124">
        <v>542</v>
      </c>
      <c r="D11" s="36">
        <v>0</v>
      </c>
      <c r="E11" s="36">
        <v>0</v>
      </c>
      <c r="F11" s="36">
        <v>0</v>
      </c>
      <c r="G11" s="36">
        <v>33.033319999999996</v>
      </c>
      <c r="H11" s="36">
        <v>0</v>
      </c>
      <c r="I11" s="36">
        <v>0</v>
      </c>
      <c r="J11" s="36">
        <v>0</v>
      </c>
      <c r="K11" s="36">
        <v>10.98334</v>
      </c>
      <c r="L11" s="36">
        <v>14.83333</v>
      </c>
      <c r="M11" s="37">
        <v>0</v>
      </c>
      <c r="N11" s="60">
        <v>0</v>
      </c>
      <c r="O11" s="39">
        <v>0</v>
      </c>
      <c r="P11" s="67">
        <v>58.849989999999991</v>
      </c>
      <c r="Q11" s="40">
        <v>73.59</v>
      </c>
      <c r="R11" s="122">
        <v>0.13577490774907749</v>
      </c>
    </row>
    <row r="14" spans="1:18" ht="24" customHeight="1">
      <c r="A14" s="75" t="s">
        <v>175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81"/>
    </row>
    <row r="15" spans="1:18">
      <c r="A15" s="138" t="s">
        <v>0</v>
      </c>
      <c r="B15" s="138" t="s">
        <v>11</v>
      </c>
      <c r="C15" s="139" t="s">
        <v>84</v>
      </c>
      <c r="D15" s="141" t="s">
        <v>6</v>
      </c>
      <c r="E15" s="141"/>
      <c r="F15" s="141"/>
      <c r="G15" s="141"/>
      <c r="H15" s="142" t="s">
        <v>7</v>
      </c>
      <c r="I15" s="142"/>
      <c r="J15" s="142"/>
      <c r="K15" s="142"/>
      <c r="L15" s="143" t="s">
        <v>16</v>
      </c>
      <c r="M15" s="143"/>
      <c r="N15" s="143"/>
      <c r="O15" s="143"/>
      <c r="P15" s="144" t="s">
        <v>76</v>
      </c>
      <c r="Q15" s="145" t="s">
        <v>18</v>
      </c>
      <c r="R15" s="146" t="s">
        <v>3</v>
      </c>
    </row>
    <row r="16" spans="1:18" ht="67.2">
      <c r="A16" s="138"/>
      <c r="B16" s="138"/>
      <c r="C16" s="140"/>
      <c r="D16" s="11" t="s">
        <v>1</v>
      </c>
      <c r="E16" s="11" t="s">
        <v>2</v>
      </c>
      <c r="F16" s="11" t="s">
        <v>17</v>
      </c>
      <c r="G16" s="11" t="s">
        <v>71</v>
      </c>
      <c r="H16" s="12" t="s">
        <v>1</v>
      </c>
      <c r="I16" s="12" t="s">
        <v>2</v>
      </c>
      <c r="J16" s="12" t="s">
        <v>17</v>
      </c>
      <c r="K16" s="12" t="s">
        <v>71</v>
      </c>
      <c r="L16" s="13" t="s">
        <v>1</v>
      </c>
      <c r="M16" s="13" t="s">
        <v>2</v>
      </c>
      <c r="N16" s="13" t="s">
        <v>17</v>
      </c>
      <c r="O16" s="13" t="s">
        <v>71</v>
      </c>
      <c r="P16" s="144"/>
      <c r="Q16" s="145"/>
      <c r="R16" s="146"/>
    </row>
    <row r="17" spans="1:18">
      <c r="A17" s="1" t="s">
        <v>90</v>
      </c>
      <c r="B17" s="4" t="s">
        <v>10</v>
      </c>
      <c r="C17" s="123">
        <v>3623</v>
      </c>
      <c r="D17" s="29">
        <v>272.45001000000002</v>
      </c>
      <c r="E17" s="29">
        <v>822.71667000000002</v>
      </c>
      <c r="F17" s="29">
        <v>717.44998999999996</v>
      </c>
      <c r="G17" s="29">
        <v>19.899999999999999</v>
      </c>
      <c r="H17" s="29">
        <v>361.11667</v>
      </c>
      <c r="I17" s="29">
        <v>0</v>
      </c>
      <c r="J17" s="29">
        <v>1135.8166700000002</v>
      </c>
      <c r="K17" s="29">
        <v>6.2333299999999996</v>
      </c>
      <c r="L17" s="29">
        <v>29.883330000000001</v>
      </c>
      <c r="M17" s="30">
        <v>0</v>
      </c>
      <c r="N17" s="59">
        <v>209.93333000000001</v>
      </c>
      <c r="O17" s="32">
        <v>0</v>
      </c>
      <c r="P17" s="66">
        <v>3575.5</v>
      </c>
      <c r="Q17" s="33">
        <v>6945.0899999999992</v>
      </c>
      <c r="R17" s="121">
        <v>1.9169445211150977</v>
      </c>
    </row>
    <row r="18" spans="1:18">
      <c r="A18" s="5">
        <v>1</v>
      </c>
      <c r="B18" s="6" t="s">
        <v>5</v>
      </c>
      <c r="C18" s="124">
        <v>514</v>
      </c>
      <c r="D18" s="36">
        <v>21</v>
      </c>
      <c r="E18" s="36">
        <v>0</v>
      </c>
      <c r="F18" s="36">
        <v>0</v>
      </c>
      <c r="G18" s="36">
        <v>0</v>
      </c>
      <c r="H18" s="36">
        <v>33.25</v>
      </c>
      <c r="I18" s="36">
        <v>0</v>
      </c>
      <c r="J18" s="36">
        <v>0</v>
      </c>
      <c r="K18" s="36">
        <v>0</v>
      </c>
      <c r="L18" s="36">
        <v>0</v>
      </c>
      <c r="M18" s="37">
        <v>0</v>
      </c>
      <c r="N18" s="60">
        <v>0</v>
      </c>
      <c r="O18" s="39">
        <v>0</v>
      </c>
      <c r="P18" s="67">
        <v>54.25</v>
      </c>
      <c r="Q18" s="40">
        <v>121.8</v>
      </c>
      <c r="R18" s="122">
        <v>0.23696498054474707</v>
      </c>
    </row>
    <row r="19" spans="1:18">
      <c r="A19" s="5">
        <v>2</v>
      </c>
      <c r="B19" s="6" t="s">
        <v>132</v>
      </c>
      <c r="C19" s="124">
        <v>477</v>
      </c>
      <c r="D19" s="36">
        <v>63.883340000000004</v>
      </c>
      <c r="E19" s="36">
        <v>0</v>
      </c>
      <c r="F19" s="36">
        <v>287.64999999999998</v>
      </c>
      <c r="G19" s="36">
        <v>0</v>
      </c>
      <c r="H19" s="36">
        <v>63.216670000000001</v>
      </c>
      <c r="I19" s="36">
        <v>0</v>
      </c>
      <c r="J19" s="36">
        <v>290.98333000000002</v>
      </c>
      <c r="K19" s="36">
        <v>0</v>
      </c>
      <c r="L19" s="36">
        <v>0</v>
      </c>
      <c r="M19" s="37">
        <v>0</v>
      </c>
      <c r="N19" s="60">
        <v>0</v>
      </c>
      <c r="O19" s="39">
        <v>0</v>
      </c>
      <c r="P19" s="67">
        <v>705.73334</v>
      </c>
      <c r="Q19" s="40">
        <v>1159.9399999999998</v>
      </c>
      <c r="R19" s="122">
        <v>2.431740041928721</v>
      </c>
    </row>
    <row r="20" spans="1:18">
      <c r="A20" s="5">
        <v>3</v>
      </c>
      <c r="B20" s="6" t="s">
        <v>8</v>
      </c>
      <c r="C20" s="124">
        <v>652</v>
      </c>
      <c r="D20" s="36">
        <v>129.4</v>
      </c>
      <c r="E20" s="36">
        <v>13.2</v>
      </c>
      <c r="F20" s="36">
        <v>53.033330000000007</v>
      </c>
      <c r="G20" s="36">
        <v>19.899999999999999</v>
      </c>
      <c r="H20" s="36">
        <v>214.93332999999998</v>
      </c>
      <c r="I20" s="36">
        <v>0</v>
      </c>
      <c r="J20" s="36">
        <v>327.70001000000002</v>
      </c>
      <c r="K20" s="36">
        <v>0</v>
      </c>
      <c r="L20" s="36">
        <v>29.883330000000001</v>
      </c>
      <c r="M20" s="37">
        <v>0</v>
      </c>
      <c r="N20" s="60">
        <v>209.93333000000001</v>
      </c>
      <c r="O20" s="39">
        <v>0</v>
      </c>
      <c r="P20" s="67">
        <v>997.98333000000002</v>
      </c>
      <c r="Q20" s="40">
        <v>1806.69</v>
      </c>
      <c r="R20" s="122">
        <v>2.7709969325153376</v>
      </c>
    </row>
    <row r="21" spans="1:18">
      <c r="A21" s="5">
        <v>4</v>
      </c>
      <c r="B21" s="6" t="s">
        <v>13</v>
      </c>
      <c r="C21" s="124">
        <v>487</v>
      </c>
      <c r="D21" s="36">
        <v>0</v>
      </c>
      <c r="E21" s="36">
        <v>0</v>
      </c>
      <c r="F21" s="36">
        <v>351.28332999999998</v>
      </c>
      <c r="G21" s="36">
        <v>0</v>
      </c>
      <c r="H21" s="36">
        <v>0</v>
      </c>
      <c r="I21" s="36">
        <v>0</v>
      </c>
      <c r="J21" s="36">
        <v>467.18333000000001</v>
      </c>
      <c r="K21" s="36">
        <v>0</v>
      </c>
      <c r="L21" s="36">
        <v>0</v>
      </c>
      <c r="M21" s="37">
        <v>0</v>
      </c>
      <c r="N21" s="60">
        <v>0</v>
      </c>
      <c r="O21" s="39">
        <v>0</v>
      </c>
      <c r="P21" s="67">
        <v>818.46666000000005</v>
      </c>
      <c r="Q21" s="40">
        <v>1823.81</v>
      </c>
      <c r="R21" s="122">
        <v>3.7449897330595481</v>
      </c>
    </row>
    <row r="22" spans="1:18">
      <c r="A22" s="5">
        <v>5</v>
      </c>
      <c r="B22" s="6" t="s">
        <v>4</v>
      </c>
      <c r="C22" s="124">
        <v>501</v>
      </c>
      <c r="D22" s="36">
        <v>16.016670000000001</v>
      </c>
      <c r="E22" s="36">
        <v>809.51666999999998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7">
        <v>0</v>
      </c>
      <c r="N22" s="60">
        <v>0</v>
      </c>
      <c r="O22" s="39">
        <v>0</v>
      </c>
      <c r="P22" s="67">
        <v>825.53333999999995</v>
      </c>
      <c r="Q22" s="40">
        <v>1651.06</v>
      </c>
      <c r="R22" s="122">
        <v>3.2955289421157685</v>
      </c>
    </row>
    <row r="23" spans="1:18">
      <c r="A23" s="5">
        <v>6</v>
      </c>
      <c r="B23" s="6" t="s">
        <v>9</v>
      </c>
      <c r="C23" s="124">
        <v>450</v>
      </c>
      <c r="D23" s="36">
        <v>42.15</v>
      </c>
      <c r="E23" s="36">
        <v>0</v>
      </c>
      <c r="F23" s="36">
        <v>0</v>
      </c>
      <c r="G23" s="36">
        <v>0</v>
      </c>
      <c r="H23" s="36">
        <v>49.716670000000001</v>
      </c>
      <c r="I23" s="36">
        <v>0</v>
      </c>
      <c r="J23" s="36">
        <v>0</v>
      </c>
      <c r="K23" s="36">
        <v>0</v>
      </c>
      <c r="L23" s="36">
        <v>0</v>
      </c>
      <c r="M23" s="37">
        <v>0</v>
      </c>
      <c r="N23" s="60">
        <v>0</v>
      </c>
      <c r="O23" s="39">
        <v>0</v>
      </c>
      <c r="P23" s="67">
        <v>91.866669999999999</v>
      </c>
      <c r="Q23" s="40">
        <v>203.62</v>
      </c>
      <c r="R23" s="122">
        <v>0.45248888888888888</v>
      </c>
    </row>
    <row r="24" spans="1:18">
      <c r="A24" s="5">
        <v>7</v>
      </c>
      <c r="B24" s="6" t="s">
        <v>14</v>
      </c>
      <c r="C24" s="124">
        <v>542</v>
      </c>
      <c r="D24" s="36">
        <v>0</v>
      </c>
      <c r="E24" s="36">
        <v>0</v>
      </c>
      <c r="F24" s="36">
        <v>25.483329999999999</v>
      </c>
      <c r="G24" s="36">
        <v>0</v>
      </c>
      <c r="H24" s="36">
        <v>0</v>
      </c>
      <c r="I24" s="36">
        <v>0</v>
      </c>
      <c r="J24" s="36">
        <v>49.949999999999996</v>
      </c>
      <c r="K24" s="36">
        <v>6.2333299999999996</v>
      </c>
      <c r="L24" s="36">
        <v>0</v>
      </c>
      <c r="M24" s="37">
        <v>0</v>
      </c>
      <c r="N24" s="60">
        <v>0</v>
      </c>
      <c r="O24" s="39">
        <v>0</v>
      </c>
      <c r="P24" s="67">
        <v>81.666659999999993</v>
      </c>
      <c r="Q24" s="40">
        <v>178.17</v>
      </c>
      <c r="R24" s="122">
        <v>0.32872693726937269</v>
      </c>
    </row>
    <row r="27" spans="1:18" ht="20.399999999999999">
      <c r="A27" s="75" t="s">
        <v>167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81"/>
    </row>
    <row r="28" spans="1:18">
      <c r="A28" s="138" t="s">
        <v>0</v>
      </c>
      <c r="B28" s="138" t="s">
        <v>11</v>
      </c>
      <c r="C28" s="139" t="s">
        <v>84</v>
      </c>
      <c r="D28" s="141" t="s">
        <v>6</v>
      </c>
      <c r="E28" s="141"/>
      <c r="F28" s="141"/>
      <c r="G28" s="141"/>
      <c r="H28" s="142" t="s">
        <v>7</v>
      </c>
      <c r="I28" s="142"/>
      <c r="J28" s="142"/>
      <c r="K28" s="142"/>
      <c r="L28" s="143" t="s">
        <v>16</v>
      </c>
      <c r="M28" s="143"/>
      <c r="N28" s="143"/>
      <c r="O28" s="143"/>
      <c r="P28" s="144" t="s">
        <v>76</v>
      </c>
      <c r="Q28" s="145" t="s">
        <v>18</v>
      </c>
      <c r="R28" s="146" t="s">
        <v>3</v>
      </c>
    </row>
    <row r="29" spans="1:18" ht="67.2">
      <c r="A29" s="138"/>
      <c r="B29" s="138"/>
      <c r="C29" s="140"/>
      <c r="D29" s="11" t="s">
        <v>1</v>
      </c>
      <c r="E29" s="11" t="s">
        <v>2</v>
      </c>
      <c r="F29" s="11" t="s">
        <v>17</v>
      </c>
      <c r="G29" s="11" t="s">
        <v>71</v>
      </c>
      <c r="H29" s="12" t="s">
        <v>1</v>
      </c>
      <c r="I29" s="12" t="s">
        <v>2</v>
      </c>
      <c r="J29" s="12" t="s">
        <v>17</v>
      </c>
      <c r="K29" s="12" t="s">
        <v>71</v>
      </c>
      <c r="L29" s="13" t="s">
        <v>1</v>
      </c>
      <c r="M29" s="13" t="s">
        <v>2</v>
      </c>
      <c r="N29" s="13" t="s">
        <v>17</v>
      </c>
      <c r="O29" s="13" t="s">
        <v>71</v>
      </c>
      <c r="P29" s="144"/>
      <c r="Q29" s="145"/>
      <c r="R29" s="146"/>
    </row>
    <row r="30" spans="1:18">
      <c r="A30" s="1" t="s">
        <v>90</v>
      </c>
      <c r="B30" s="4" t="s">
        <v>10</v>
      </c>
      <c r="C30" s="123">
        <v>3623</v>
      </c>
      <c r="D30" s="29">
        <v>205.21666999999999</v>
      </c>
      <c r="E30" s="29">
        <v>6.1666699999999999</v>
      </c>
      <c r="F30" s="29">
        <v>681.09999000000016</v>
      </c>
      <c r="G30" s="29">
        <v>17.783329999999999</v>
      </c>
      <c r="H30" s="29">
        <v>275.86666000000002</v>
      </c>
      <c r="I30" s="29">
        <v>0</v>
      </c>
      <c r="J30" s="29">
        <v>686.44999999999993</v>
      </c>
      <c r="K30" s="29">
        <v>0</v>
      </c>
      <c r="L30" s="29">
        <v>78.033330000000007</v>
      </c>
      <c r="M30" s="30">
        <v>14.85</v>
      </c>
      <c r="N30" s="59">
        <v>0</v>
      </c>
      <c r="O30" s="32">
        <v>0</v>
      </c>
      <c r="P30" s="66">
        <v>1965.4666500000001</v>
      </c>
      <c r="Q30" s="33">
        <v>3833.8599999999997</v>
      </c>
      <c r="R30" s="121">
        <v>1.0582003864200937</v>
      </c>
    </row>
    <row r="31" spans="1:18">
      <c r="A31" s="5">
        <v>1</v>
      </c>
      <c r="B31" s="6" t="s">
        <v>5</v>
      </c>
      <c r="C31" s="124">
        <v>514</v>
      </c>
      <c r="D31" s="36">
        <v>8.8166700000000002</v>
      </c>
      <c r="E31" s="36">
        <v>0</v>
      </c>
      <c r="F31" s="36">
        <v>82.516670000000005</v>
      </c>
      <c r="G31" s="36">
        <v>0</v>
      </c>
      <c r="H31" s="36">
        <v>8.7833299999999994</v>
      </c>
      <c r="I31" s="36">
        <v>0</v>
      </c>
      <c r="J31" s="36">
        <v>83.6</v>
      </c>
      <c r="K31" s="36">
        <v>0</v>
      </c>
      <c r="L31" s="36">
        <v>0</v>
      </c>
      <c r="M31" s="37">
        <v>0</v>
      </c>
      <c r="N31" s="60">
        <v>0</v>
      </c>
      <c r="O31" s="39">
        <v>0</v>
      </c>
      <c r="P31" s="67">
        <v>183.71666999999999</v>
      </c>
      <c r="Q31" s="40">
        <v>404.38</v>
      </c>
      <c r="R31" s="122">
        <v>0.78673151750972758</v>
      </c>
    </row>
    <row r="32" spans="1:18">
      <c r="A32" s="5">
        <v>2</v>
      </c>
      <c r="B32" s="6" t="s">
        <v>132</v>
      </c>
      <c r="C32" s="124">
        <v>477</v>
      </c>
      <c r="D32" s="36">
        <v>29.65</v>
      </c>
      <c r="E32" s="36">
        <v>0</v>
      </c>
      <c r="F32" s="36">
        <v>31.08333</v>
      </c>
      <c r="G32" s="36">
        <v>0</v>
      </c>
      <c r="H32" s="36">
        <v>90.116669999999999</v>
      </c>
      <c r="I32" s="36">
        <v>0</v>
      </c>
      <c r="J32" s="36">
        <v>32.216670000000001</v>
      </c>
      <c r="K32" s="36">
        <v>0</v>
      </c>
      <c r="L32" s="36">
        <v>23.08333</v>
      </c>
      <c r="M32" s="37">
        <v>0</v>
      </c>
      <c r="N32" s="60">
        <v>0</v>
      </c>
      <c r="O32" s="39">
        <v>0</v>
      </c>
      <c r="P32" s="67">
        <v>206.14999999999998</v>
      </c>
      <c r="Q32" s="40">
        <v>484.32</v>
      </c>
      <c r="R32" s="122">
        <v>1.0153459119496855</v>
      </c>
    </row>
    <row r="33" spans="1:18">
      <c r="A33" s="5">
        <v>3</v>
      </c>
      <c r="B33" s="6" t="s">
        <v>8</v>
      </c>
      <c r="C33" s="124">
        <v>652</v>
      </c>
      <c r="D33" s="36">
        <v>5.0333300000000003</v>
      </c>
      <c r="E33" s="36">
        <v>6.1666699999999999</v>
      </c>
      <c r="F33" s="36">
        <v>253.18333000000001</v>
      </c>
      <c r="G33" s="36">
        <v>5.3333300000000001</v>
      </c>
      <c r="H33" s="36">
        <v>6.1</v>
      </c>
      <c r="I33" s="36">
        <v>0</v>
      </c>
      <c r="J33" s="36">
        <v>252.68333000000001</v>
      </c>
      <c r="K33" s="36">
        <v>0</v>
      </c>
      <c r="L33" s="36">
        <v>14.85</v>
      </c>
      <c r="M33" s="37">
        <v>14.85</v>
      </c>
      <c r="N33" s="60">
        <v>0</v>
      </c>
      <c r="O33" s="39">
        <v>0</v>
      </c>
      <c r="P33" s="67">
        <v>558.19999000000007</v>
      </c>
      <c r="Q33" s="40">
        <v>734.51999999999987</v>
      </c>
      <c r="R33" s="122">
        <v>1.1265644171779139</v>
      </c>
    </row>
    <row r="34" spans="1:18">
      <c r="A34" s="5">
        <v>4</v>
      </c>
      <c r="B34" s="6" t="s">
        <v>13</v>
      </c>
      <c r="C34" s="124">
        <v>487</v>
      </c>
      <c r="D34" s="36">
        <v>12.95</v>
      </c>
      <c r="E34" s="36">
        <v>0</v>
      </c>
      <c r="F34" s="36">
        <v>0</v>
      </c>
      <c r="G34" s="36">
        <v>0</v>
      </c>
      <c r="H34" s="36">
        <v>12.81667</v>
      </c>
      <c r="I34" s="36">
        <v>0</v>
      </c>
      <c r="J34" s="36">
        <v>0</v>
      </c>
      <c r="K34" s="36">
        <v>0</v>
      </c>
      <c r="L34" s="36">
        <v>0</v>
      </c>
      <c r="M34" s="37">
        <v>0</v>
      </c>
      <c r="N34" s="60">
        <v>0</v>
      </c>
      <c r="O34" s="39">
        <v>0</v>
      </c>
      <c r="P34" s="67">
        <v>25.766669999999998</v>
      </c>
      <c r="Q34" s="40">
        <v>56.66</v>
      </c>
      <c r="R34" s="122">
        <v>0.11634496919917864</v>
      </c>
    </row>
    <row r="35" spans="1:18">
      <c r="A35" s="5">
        <v>5</v>
      </c>
      <c r="B35" s="6" t="s">
        <v>4</v>
      </c>
      <c r="C35" s="124">
        <v>501</v>
      </c>
      <c r="D35" s="36">
        <v>51.85</v>
      </c>
      <c r="E35" s="36">
        <v>0</v>
      </c>
      <c r="F35" s="36">
        <v>111.93333</v>
      </c>
      <c r="G35" s="36">
        <v>0</v>
      </c>
      <c r="H35" s="36">
        <v>64.533330000000007</v>
      </c>
      <c r="I35" s="36">
        <v>0</v>
      </c>
      <c r="J35" s="36">
        <v>114.78333000000001</v>
      </c>
      <c r="K35" s="36">
        <v>0</v>
      </c>
      <c r="L35" s="36">
        <v>40.1</v>
      </c>
      <c r="M35" s="37">
        <v>0</v>
      </c>
      <c r="N35" s="60">
        <v>0</v>
      </c>
      <c r="O35" s="39">
        <v>0</v>
      </c>
      <c r="P35" s="67">
        <v>383.19999000000007</v>
      </c>
      <c r="Q35" s="40">
        <v>878.23</v>
      </c>
      <c r="R35" s="122">
        <v>1.7529540918163673</v>
      </c>
    </row>
    <row r="36" spans="1:18">
      <c r="A36" s="5">
        <v>6</v>
      </c>
      <c r="B36" s="6" t="s">
        <v>9</v>
      </c>
      <c r="C36" s="124">
        <v>450</v>
      </c>
      <c r="D36" s="36">
        <v>41.066670000000002</v>
      </c>
      <c r="E36" s="36">
        <v>0</v>
      </c>
      <c r="F36" s="36">
        <v>133.18333000000001</v>
      </c>
      <c r="G36" s="36">
        <v>6.55</v>
      </c>
      <c r="H36" s="36">
        <v>39.700000000000003</v>
      </c>
      <c r="I36" s="36">
        <v>0</v>
      </c>
      <c r="J36" s="36">
        <v>135.30000000000001</v>
      </c>
      <c r="K36" s="36">
        <v>0</v>
      </c>
      <c r="L36" s="36">
        <v>0</v>
      </c>
      <c r="M36" s="37">
        <v>0</v>
      </c>
      <c r="N36" s="60">
        <v>0</v>
      </c>
      <c r="O36" s="39">
        <v>0</v>
      </c>
      <c r="P36" s="67">
        <v>355.8</v>
      </c>
      <c r="Q36" s="40">
        <v>781.6</v>
      </c>
      <c r="R36" s="122">
        <v>1.7368888888888889</v>
      </c>
    </row>
    <row r="37" spans="1:18">
      <c r="A37" s="5">
        <v>7</v>
      </c>
      <c r="B37" s="6" t="s">
        <v>14</v>
      </c>
      <c r="C37" s="124">
        <v>542</v>
      </c>
      <c r="D37" s="36">
        <v>55.849999999999994</v>
      </c>
      <c r="E37" s="36">
        <v>0</v>
      </c>
      <c r="F37" s="36">
        <v>69.2</v>
      </c>
      <c r="G37" s="36">
        <v>5.9</v>
      </c>
      <c r="H37" s="36">
        <v>53.816659999999999</v>
      </c>
      <c r="I37" s="36">
        <v>0</v>
      </c>
      <c r="J37" s="36">
        <v>67.866669999999999</v>
      </c>
      <c r="K37" s="36">
        <v>0</v>
      </c>
      <c r="L37" s="36">
        <v>0</v>
      </c>
      <c r="M37" s="37">
        <v>0</v>
      </c>
      <c r="N37" s="60">
        <v>0</v>
      </c>
      <c r="O37" s="39">
        <v>0</v>
      </c>
      <c r="P37" s="67">
        <v>252.63333</v>
      </c>
      <c r="Q37" s="40">
        <v>494.15</v>
      </c>
      <c r="R37" s="122">
        <v>0.91171586715867159</v>
      </c>
    </row>
    <row r="40" spans="1:18" ht="20.399999999999999">
      <c r="A40" s="75" t="s">
        <v>164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81"/>
    </row>
    <row r="41" spans="1:18">
      <c r="A41" s="138" t="s">
        <v>0</v>
      </c>
      <c r="B41" s="138" t="s">
        <v>11</v>
      </c>
      <c r="C41" s="139" t="s">
        <v>84</v>
      </c>
      <c r="D41" s="141" t="s">
        <v>6</v>
      </c>
      <c r="E41" s="141"/>
      <c r="F41" s="141"/>
      <c r="G41" s="141"/>
      <c r="H41" s="142" t="s">
        <v>7</v>
      </c>
      <c r="I41" s="142"/>
      <c r="J41" s="142"/>
      <c r="K41" s="142"/>
      <c r="L41" s="143" t="s">
        <v>16</v>
      </c>
      <c r="M41" s="143"/>
      <c r="N41" s="143"/>
      <c r="O41" s="143"/>
      <c r="P41" s="144" t="s">
        <v>76</v>
      </c>
      <c r="Q41" s="145" t="s">
        <v>18</v>
      </c>
      <c r="R41" s="146" t="s">
        <v>3</v>
      </c>
    </row>
    <row r="42" spans="1:18" ht="67.2">
      <c r="A42" s="138"/>
      <c r="B42" s="138"/>
      <c r="C42" s="140"/>
      <c r="D42" s="11" t="s">
        <v>1</v>
      </c>
      <c r="E42" s="11" t="s">
        <v>2</v>
      </c>
      <c r="F42" s="11" t="s">
        <v>17</v>
      </c>
      <c r="G42" s="11" t="s">
        <v>71</v>
      </c>
      <c r="H42" s="12" t="s">
        <v>1</v>
      </c>
      <c r="I42" s="12" t="s">
        <v>2</v>
      </c>
      <c r="J42" s="12" t="s">
        <v>17</v>
      </c>
      <c r="K42" s="12" t="s">
        <v>71</v>
      </c>
      <c r="L42" s="13" t="s">
        <v>1</v>
      </c>
      <c r="M42" s="13" t="s">
        <v>2</v>
      </c>
      <c r="N42" s="13" t="s">
        <v>17</v>
      </c>
      <c r="O42" s="13" t="s">
        <v>71</v>
      </c>
      <c r="P42" s="144"/>
      <c r="Q42" s="145"/>
      <c r="R42" s="146"/>
    </row>
    <row r="43" spans="1:18">
      <c r="A43" s="1" t="s">
        <v>90</v>
      </c>
      <c r="B43" s="4" t="s">
        <v>10</v>
      </c>
      <c r="C43" s="123">
        <v>3614</v>
      </c>
      <c r="D43" s="29">
        <v>377.51666</v>
      </c>
      <c r="E43" s="29">
        <v>237.01667</v>
      </c>
      <c r="F43" s="29">
        <v>246.7</v>
      </c>
      <c r="G43" s="29">
        <v>20.283339999999999</v>
      </c>
      <c r="H43" s="29">
        <v>453.06664000000001</v>
      </c>
      <c r="I43" s="29">
        <v>232.29999999999998</v>
      </c>
      <c r="J43" s="29">
        <v>844.99999000000003</v>
      </c>
      <c r="K43" s="29">
        <v>6.1833299999999998</v>
      </c>
      <c r="L43" s="29">
        <v>53.983329999999995</v>
      </c>
      <c r="M43" s="30">
        <v>0</v>
      </c>
      <c r="N43" s="59">
        <v>59.933329999999998</v>
      </c>
      <c r="O43" s="32">
        <v>0</v>
      </c>
      <c r="P43" s="66">
        <v>2531.9832899999997</v>
      </c>
      <c r="Q43" s="33">
        <v>5598.77</v>
      </c>
      <c r="R43" s="34">
        <v>1.5491892639734368</v>
      </c>
    </row>
    <row r="44" spans="1:18">
      <c r="A44" s="5">
        <v>6</v>
      </c>
      <c r="B44" s="6" t="s">
        <v>5</v>
      </c>
      <c r="C44" s="124">
        <v>524</v>
      </c>
      <c r="D44" s="36">
        <v>5.0666700000000002</v>
      </c>
      <c r="E44" s="36">
        <v>0</v>
      </c>
      <c r="F44" s="36">
        <v>0</v>
      </c>
      <c r="G44" s="36">
        <v>10.01667</v>
      </c>
      <c r="H44" s="36">
        <v>5.05</v>
      </c>
      <c r="I44" s="36">
        <v>0</v>
      </c>
      <c r="J44" s="36">
        <v>66.783330000000007</v>
      </c>
      <c r="K44" s="36">
        <v>0</v>
      </c>
      <c r="L44" s="36">
        <v>0</v>
      </c>
      <c r="M44" s="37">
        <v>0</v>
      </c>
      <c r="N44" s="60">
        <v>0</v>
      </c>
      <c r="O44" s="39">
        <v>0</v>
      </c>
      <c r="P44" s="67">
        <v>86.916670000000011</v>
      </c>
      <c r="Q44" s="40">
        <v>202.56</v>
      </c>
      <c r="R44" s="41">
        <v>0.38656488549618323</v>
      </c>
    </row>
    <row r="45" spans="1:18">
      <c r="A45" s="5">
        <v>7</v>
      </c>
      <c r="B45" s="6" t="s">
        <v>132</v>
      </c>
      <c r="C45" s="124">
        <v>500</v>
      </c>
      <c r="D45" s="36">
        <v>29.65</v>
      </c>
      <c r="E45" s="36">
        <v>0</v>
      </c>
      <c r="F45" s="36">
        <v>0</v>
      </c>
      <c r="G45" s="36">
        <v>0</v>
      </c>
      <c r="H45" s="36">
        <v>29.3</v>
      </c>
      <c r="I45" s="36">
        <v>0</v>
      </c>
      <c r="J45" s="36">
        <v>0</v>
      </c>
      <c r="K45" s="36">
        <v>0</v>
      </c>
      <c r="L45" s="36">
        <v>24.15</v>
      </c>
      <c r="M45" s="37">
        <v>0</v>
      </c>
      <c r="N45" s="60">
        <v>0</v>
      </c>
      <c r="O45" s="39">
        <v>0</v>
      </c>
      <c r="P45" s="67">
        <v>83.1</v>
      </c>
      <c r="Q45" s="40">
        <v>102.87</v>
      </c>
      <c r="R45" s="41">
        <v>0.20574000000000001</v>
      </c>
    </row>
    <row r="46" spans="1:18">
      <c r="A46" s="5">
        <v>1</v>
      </c>
      <c r="B46" s="6" t="s">
        <v>8</v>
      </c>
      <c r="C46" s="124">
        <v>631</v>
      </c>
      <c r="D46" s="36">
        <v>163.06666000000001</v>
      </c>
      <c r="E46" s="36">
        <v>0</v>
      </c>
      <c r="F46" s="36">
        <v>179.98333</v>
      </c>
      <c r="G46" s="36">
        <v>5.15</v>
      </c>
      <c r="H46" s="36">
        <v>225.26665</v>
      </c>
      <c r="I46" s="36">
        <v>12.33333</v>
      </c>
      <c r="J46" s="36">
        <v>550.84999000000005</v>
      </c>
      <c r="K46" s="36">
        <v>6.1833299999999998</v>
      </c>
      <c r="L46" s="36">
        <v>0</v>
      </c>
      <c r="M46" s="37">
        <v>0</v>
      </c>
      <c r="N46" s="60">
        <v>0</v>
      </c>
      <c r="O46" s="39">
        <v>0</v>
      </c>
      <c r="P46" s="67">
        <v>1142.8332900000003</v>
      </c>
      <c r="Q46" s="40">
        <v>2598.38</v>
      </c>
      <c r="R46" s="41">
        <v>4.1178763866877972</v>
      </c>
    </row>
    <row r="47" spans="1:18">
      <c r="A47" s="5">
        <v>4</v>
      </c>
      <c r="B47" s="6" t="s">
        <v>13</v>
      </c>
      <c r="C47" s="124">
        <v>470</v>
      </c>
      <c r="D47" s="36">
        <v>42.483329999999995</v>
      </c>
      <c r="E47" s="36">
        <v>15.05</v>
      </c>
      <c r="F47" s="36">
        <v>0</v>
      </c>
      <c r="G47" s="36">
        <v>0</v>
      </c>
      <c r="H47" s="36">
        <v>24.83333</v>
      </c>
      <c r="I47" s="36">
        <v>0</v>
      </c>
      <c r="J47" s="36">
        <v>60.016669999999998</v>
      </c>
      <c r="K47" s="36">
        <v>0</v>
      </c>
      <c r="L47" s="36">
        <v>0</v>
      </c>
      <c r="M47" s="37">
        <v>0</v>
      </c>
      <c r="N47" s="60">
        <v>0</v>
      </c>
      <c r="O47" s="39">
        <v>0</v>
      </c>
      <c r="P47" s="67">
        <v>142.38333</v>
      </c>
      <c r="Q47" s="40">
        <v>318.70999999999998</v>
      </c>
      <c r="R47" s="41">
        <v>0.67810638297872339</v>
      </c>
    </row>
    <row r="48" spans="1:18">
      <c r="A48" s="5">
        <v>2</v>
      </c>
      <c r="B48" s="6" t="s">
        <v>4</v>
      </c>
      <c r="C48" s="124">
        <v>513</v>
      </c>
      <c r="D48" s="36">
        <v>72.2</v>
      </c>
      <c r="E48" s="36">
        <v>221.96666999999999</v>
      </c>
      <c r="F48" s="36">
        <v>66.716669999999993</v>
      </c>
      <c r="G48" s="36">
        <v>0</v>
      </c>
      <c r="H48" s="36">
        <v>80.083330000000004</v>
      </c>
      <c r="I48" s="36">
        <v>219.96666999999999</v>
      </c>
      <c r="J48" s="36">
        <v>75</v>
      </c>
      <c r="K48" s="36">
        <v>0</v>
      </c>
      <c r="L48" s="36">
        <v>0</v>
      </c>
      <c r="M48" s="37">
        <v>0</v>
      </c>
      <c r="N48" s="60">
        <v>0</v>
      </c>
      <c r="O48" s="39">
        <v>0</v>
      </c>
      <c r="P48" s="67">
        <v>735.93333999999993</v>
      </c>
      <c r="Q48" s="40">
        <v>1540.48</v>
      </c>
      <c r="R48" s="41">
        <v>3.0028849902534112</v>
      </c>
    </row>
    <row r="49" spans="1:18">
      <c r="A49" s="5">
        <v>3</v>
      </c>
      <c r="B49" s="6" t="s">
        <v>9</v>
      </c>
      <c r="C49" s="124">
        <v>457</v>
      </c>
      <c r="D49" s="36">
        <v>26.25</v>
      </c>
      <c r="E49" s="36">
        <v>0</v>
      </c>
      <c r="F49" s="36">
        <v>0</v>
      </c>
      <c r="G49" s="36">
        <v>5.1166700000000001</v>
      </c>
      <c r="H49" s="36">
        <v>50.650000000000006</v>
      </c>
      <c r="I49" s="36">
        <v>0</v>
      </c>
      <c r="J49" s="36">
        <v>92.35</v>
      </c>
      <c r="K49" s="36">
        <v>0</v>
      </c>
      <c r="L49" s="36">
        <v>0</v>
      </c>
      <c r="M49" s="37">
        <v>0</v>
      </c>
      <c r="N49" s="60">
        <v>59.933329999999998</v>
      </c>
      <c r="O49" s="39">
        <v>0</v>
      </c>
      <c r="P49" s="67">
        <v>234.3</v>
      </c>
      <c r="Q49" s="40">
        <v>577.75</v>
      </c>
      <c r="R49" s="41">
        <v>1.2642231947483589</v>
      </c>
    </row>
    <row r="50" spans="1:18">
      <c r="A50" s="5">
        <v>5</v>
      </c>
      <c r="B50" s="6" t="s">
        <v>14</v>
      </c>
      <c r="C50" s="124">
        <v>519</v>
      </c>
      <c r="D50" s="36">
        <v>38.799999999999997</v>
      </c>
      <c r="E50" s="36">
        <v>0</v>
      </c>
      <c r="F50" s="36">
        <v>0</v>
      </c>
      <c r="G50" s="36">
        <v>0</v>
      </c>
      <c r="H50" s="36">
        <v>37.883330000000001</v>
      </c>
      <c r="I50" s="36">
        <v>0</v>
      </c>
      <c r="J50" s="36">
        <v>0</v>
      </c>
      <c r="K50" s="36">
        <v>0</v>
      </c>
      <c r="L50" s="36">
        <v>29.83333</v>
      </c>
      <c r="M50" s="37">
        <v>0</v>
      </c>
      <c r="N50" s="60">
        <v>0</v>
      </c>
      <c r="O50" s="39">
        <v>0</v>
      </c>
      <c r="P50" s="67">
        <v>106.51666</v>
      </c>
      <c r="Q50" s="40">
        <v>258.02</v>
      </c>
      <c r="R50" s="41">
        <v>0.49714836223506742</v>
      </c>
    </row>
    <row r="53" spans="1:18" ht="20.399999999999999">
      <c r="A53" s="75" t="s">
        <v>122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81"/>
    </row>
    <row r="54" spans="1:18">
      <c r="A54" s="138" t="s">
        <v>0</v>
      </c>
      <c r="B54" s="138" t="s">
        <v>11</v>
      </c>
      <c r="C54" s="139" t="s">
        <v>84</v>
      </c>
      <c r="D54" s="141" t="s">
        <v>6</v>
      </c>
      <c r="E54" s="141"/>
      <c r="F54" s="141"/>
      <c r="G54" s="141"/>
      <c r="H54" s="142" t="s">
        <v>7</v>
      </c>
      <c r="I54" s="142"/>
      <c r="J54" s="142"/>
      <c r="K54" s="142"/>
      <c r="L54" s="143" t="s">
        <v>16</v>
      </c>
      <c r="M54" s="143"/>
      <c r="N54" s="143"/>
      <c r="O54" s="143"/>
      <c r="P54" s="144" t="s">
        <v>76</v>
      </c>
      <c r="Q54" s="145" t="s">
        <v>18</v>
      </c>
      <c r="R54" s="146" t="s">
        <v>3</v>
      </c>
    </row>
    <row r="55" spans="1:18" ht="67.2">
      <c r="A55" s="138"/>
      <c r="B55" s="138"/>
      <c r="C55" s="140"/>
      <c r="D55" s="11" t="s">
        <v>1</v>
      </c>
      <c r="E55" s="11" t="s">
        <v>2</v>
      </c>
      <c r="F55" s="11" t="s">
        <v>17</v>
      </c>
      <c r="G55" s="11" t="s">
        <v>71</v>
      </c>
      <c r="H55" s="12" t="s">
        <v>1</v>
      </c>
      <c r="I55" s="12" t="s">
        <v>2</v>
      </c>
      <c r="J55" s="12" t="s">
        <v>17</v>
      </c>
      <c r="K55" s="12" t="s">
        <v>71</v>
      </c>
      <c r="L55" s="13" t="s">
        <v>1</v>
      </c>
      <c r="M55" s="13" t="s">
        <v>2</v>
      </c>
      <c r="N55" s="13" t="s">
        <v>17</v>
      </c>
      <c r="O55" s="13" t="s">
        <v>71</v>
      </c>
      <c r="P55" s="144"/>
      <c r="Q55" s="145"/>
      <c r="R55" s="146"/>
    </row>
    <row r="56" spans="1:18">
      <c r="A56" s="1" t="s">
        <v>90</v>
      </c>
      <c r="B56" s="4" t="s">
        <v>10</v>
      </c>
      <c r="C56" s="1">
        <v>3614</v>
      </c>
      <c r="D56" s="29">
        <v>185.23331999999999</v>
      </c>
      <c r="E56" s="29">
        <v>20.25</v>
      </c>
      <c r="F56" s="29">
        <v>263.48334</v>
      </c>
      <c r="G56" s="29">
        <v>30.66667</v>
      </c>
      <c r="H56" s="29">
        <v>455.48334</v>
      </c>
      <c r="I56" s="29">
        <v>11.9</v>
      </c>
      <c r="J56" s="29">
        <v>646.98333000000002</v>
      </c>
      <c r="K56" s="29">
        <v>31.566669999999998</v>
      </c>
      <c r="L56" s="29">
        <v>14.85</v>
      </c>
      <c r="M56" s="30">
        <v>14.93333</v>
      </c>
      <c r="N56" s="59">
        <v>59.983330000000002</v>
      </c>
      <c r="O56" s="32">
        <v>49.933329999999998</v>
      </c>
      <c r="P56" s="66">
        <v>1785.26666</v>
      </c>
      <c r="Q56" s="33">
        <v>3463.23</v>
      </c>
      <c r="R56" s="34">
        <v>0.95828168234643052</v>
      </c>
    </row>
    <row r="57" spans="1:18">
      <c r="A57" s="5">
        <v>1</v>
      </c>
      <c r="B57" s="6" t="s">
        <v>8</v>
      </c>
      <c r="C57" s="5">
        <v>631</v>
      </c>
      <c r="D57" s="36">
        <v>132.03332999999998</v>
      </c>
      <c r="E57" s="36">
        <v>7.4</v>
      </c>
      <c r="F57" s="36">
        <v>171.81666999999999</v>
      </c>
      <c r="G57" s="36">
        <v>24.3</v>
      </c>
      <c r="H57" s="36">
        <v>294.16667999999999</v>
      </c>
      <c r="I57" s="36">
        <v>0</v>
      </c>
      <c r="J57" s="36">
        <v>507.63331999999997</v>
      </c>
      <c r="K57" s="36">
        <v>5.0333300000000003</v>
      </c>
      <c r="L57" s="36">
        <v>14.85</v>
      </c>
      <c r="M57" s="37">
        <v>14.93333</v>
      </c>
      <c r="N57" s="60">
        <v>0</v>
      </c>
      <c r="O57" s="39">
        <v>14.866669999999999</v>
      </c>
      <c r="P57" s="67">
        <v>1187.0333299999998</v>
      </c>
      <c r="Q57" s="40">
        <v>2180.1600000000003</v>
      </c>
      <c r="R57" s="41">
        <v>3.4550871632329638</v>
      </c>
    </row>
    <row r="58" spans="1:18">
      <c r="A58" s="5">
        <v>2</v>
      </c>
      <c r="B58" s="6" t="s">
        <v>13</v>
      </c>
      <c r="C58" s="5">
        <v>470</v>
      </c>
      <c r="D58" s="36">
        <v>21.133330000000001</v>
      </c>
      <c r="E58" s="36">
        <v>0</v>
      </c>
      <c r="F58" s="36">
        <v>36.766670000000005</v>
      </c>
      <c r="G58" s="36">
        <v>6.3666700000000001</v>
      </c>
      <c r="H58" s="36">
        <v>124.83333</v>
      </c>
      <c r="I58" s="36">
        <v>0</v>
      </c>
      <c r="J58" s="36">
        <v>83.78334000000001</v>
      </c>
      <c r="K58" s="36">
        <v>8</v>
      </c>
      <c r="L58" s="36">
        <v>0</v>
      </c>
      <c r="M58" s="37">
        <v>0</v>
      </c>
      <c r="N58" s="60">
        <v>0</v>
      </c>
      <c r="O58" s="39">
        <v>0</v>
      </c>
      <c r="P58" s="67">
        <v>280.88334000000003</v>
      </c>
      <c r="Q58" s="40">
        <v>641.41</v>
      </c>
      <c r="R58" s="41">
        <v>1.3647021276595743</v>
      </c>
    </row>
    <row r="59" spans="1:18">
      <c r="A59" s="5">
        <v>3</v>
      </c>
      <c r="B59" s="6" t="s">
        <v>9</v>
      </c>
      <c r="C59" s="5">
        <v>457</v>
      </c>
      <c r="D59" s="36">
        <v>0</v>
      </c>
      <c r="E59" s="36">
        <v>0</v>
      </c>
      <c r="F59" s="36">
        <v>54.9</v>
      </c>
      <c r="G59" s="36">
        <v>0</v>
      </c>
      <c r="H59" s="36">
        <v>0</v>
      </c>
      <c r="I59" s="36">
        <v>0</v>
      </c>
      <c r="J59" s="36">
        <v>55.566670000000002</v>
      </c>
      <c r="K59" s="36">
        <v>0</v>
      </c>
      <c r="L59" s="36">
        <v>0</v>
      </c>
      <c r="M59" s="37">
        <v>0</v>
      </c>
      <c r="N59" s="60">
        <v>0</v>
      </c>
      <c r="O59" s="39">
        <v>0</v>
      </c>
      <c r="P59" s="67">
        <v>110.46666999999999</v>
      </c>
      <c r="Q59" s="40">
        <v>235.2</v>
      </c>
      <c r="R59" s="41">
        <v>0.51466083150984676</v>
      </c>
    </row>
    <row r="60" spans="1:18">
      <c r="A60" s="5">
        <v>4</v>
      </c>
      <c r="B60" s="6" t="s">
        <v>12</v>
      </c>
      <c r="C60" s="5">
        <v>500</v>
      </c>
      <c r="D60" s="36">
        <v>9.5833300000000001</v>
      </c>
      <c r="E60" s="36">
        <v>12.85</v>
      </c>
      <c r="F60" s="36">
        <v>0</v>
      </c>
      <c r="G60" s="36">
        <v>0</v>
      </c>
      <c r="H60" s="36">
        <v>9.3000000000000007</v>
      </c>
      <c r="I60" s="36">
        <v>11.9</v>
      </c>
      <c r="J60" s="36">
        <v>0</v>
      </c>
      <c r="K60" s="36">
        <v>6.6</v>
      </c>
      <c r="L60" s="36">
        <v>0</v>
      </c>
      <c r="M60" s="37">
        <v>0</v>
      </c>
      <c r="N60" s="60">
        <v>0</v>
      </c>
      <c r="O60" s="39">
        <v>0</v>
      </c>
      <c r="P60" s="67">
        <v>50.233330000000002</v>
      </c>
      <c r="Q60" s="40">
        <v>128.27000000000001</v>
      </c>
      <c r="R60" s="41">
        <v>0.25654000000000005</v>
      </c>
    </row>
    <row r="61" spans="1:18">
      <c r="A61" s="5">
        <v>5</v>
      </c>
      <c r="B61" s="6" t="s">
        <v>4</v>
      </c>
      <c r="C61" s="5">
        <v>513</v>
      </c>
      <c r="D61" s="36">
        <v>0</v>
      </c>
      <c r="E61" s="36">
        <v>0</v>
      </c>
      <c r="F61" s="36">
        <v>0</v>
      </c>
      <c r="G61" s="36">
        <v>0</v>
      </c>
      <c r="H61" s="36">
        <v>0</v>
      </c>
      <c r="I61" s="36">
        <v>0</v>
      </c>
      <c r="J61" s="36">
        <v>0</v>
      </c>
      <c r="K61" s="36">
        <v>0</v>
      </c>
      <c r="L61" s="36">
        <v>0</v>
      </c>
      <c r="M61" s="37">
        <v>0</v>
      </c>
      <c r="N61" s="60">
        <v>59.983330000000002</v>
      </c>
      <c r="O61" s="39">
        <v>5.2</v>
      </c>
      <c r="P61" s="67">
        <v>65.183329999999998</v>
      </c>
      <c r="Q61" s="40">
        <v>111.78</v>
      </c>
      <c r="R61" s="41">
        <v>0.21789473684210525</v>
      </c>
    </row>
    <row r="62" spans="1:18">
      <c r="A62" s="5">
        <v>6</v>
      </c>
      <c r="B62" s="6" t="s">
        <v>14</v>
      </c>
      <c r="C62" s="5">
        <v>519</v>
      </c>
      <c r="D62" s="36">
        <v>0</v>
      </c>
      <c r="E62" s="36">
        <v>0</v>
      </c>
      <c r="F62" s="36">
        <v>0</v>
      </c>
      <c r="G62" s="36">
        <v>0</v>
      </c>
      <c r="H62" s="36">
        <v>0</v>
      </c>
      <c r="I62" s="36">
        <v>0</v>
      </c>
      <c r="J62" s="36">
        <v>0</v>
      </c>
      <c r="K62" s="36">
        <v>5.9666699999999997</v>
      </c>
      <c r="L62" s="36">
        <v>0</v>
      </c>
      <c r="M62" s="37">
        <v>0</v>
      </c>
      <c r="N62" s="60">
        <v>0</v>
      </c>
      <c r="O62" s="39">
        <v>29.86666</v>
      </c>
      <c r="P62" s="67">
        <v>35.833329999999997</v>
      </c>
      <c r="Q62" s="40">
        <v>85.25</v>
      </c>
      <c r="R62" s="41">
        <v>0.16425818882466281</v>
      </c>
    </row>
    <row r="63" spans="1:18">
      <c r="A63" s="5">
        <v>7</v>
      </c>
      <c r="B63" s="6" t="s">
        <v>5</v>
      </c>
      <c r="C63" s="5">
        <v>524</v>
      </c>
      <c r="D63" s="36">
        <v>22.483329999999999</v>
      </c>
      <c r="E63" s="36">
        <v>0</v>
      </c>
      <c r="F63" s="36">
        <v>0</v>
      </c>
      <c r="G63" s="36">
        <v>0</v>
      </c>
      <c r="H63" s="36">
        <v>27.183330000000002</v>
      </c>
      <c r="I63" s="36">
        <v>0</v>
      </c>
      <c r="J63" s="36">
        <v>0</v>
      </c>
      <c r="K63" s="36">
        <v>5.9666699999999997</v>
      </c>
      <c r="L63" s="36">
        <v>0</v>
      </c>
      <c r="M63" s="37">
        <v>0</v>
      </c>
      <c r="N63" s="60">
        <v>0</v>
      </c>
      <c r="O63" s="39">
        <v>0</v>
      </c>
      <c r="P63" s="67">
        <v>55.633330000000001</v>
      </c>
      <c r="Q63" s="40">
        <v>81.16</v>
      </c>
      <c r="R63" s="41">
        <v>0.1548854961832061</v>
      </c>
    </row>
    <row r="66" spans="1:18" ht="20.399999999999999">
      <c r="A66" s="75" t="s">
        <v>121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81"/>
    </row>
    <row r="67" spans="1:18">
      <c r="A67" s="138" t="s">
        <v>0</v>
      </c>
      <c r="B67" s="138" t="s">
        <v>11</v>
      </c>
      <c r="C67" s="139" t="s">
        <v>84</v>
      </c>
      <c r="D67" s="141" t="s">
        <v>6</v>
      </c>
      <c r="E67" s="141"/>
      <c r="F67" s="141"/>
      <c r="G67" s="141"/>
      <c r="H67" s="142" t="s">
        <v>7</v>
      </c>
      <c r="I67" s="142"/>
      <c r="J67" s="142"/>
      <c r="K67" s="142"/>
      <c r="L67" s="143" t="s">
        <v>16</v>
      </c>
      <c r="M67" s="143"/>
      <c r="N67" s="143"/>
      <c r="O67" s="143"/>
      <c r="P67" s="144" t="s">
        <v>76</v>
      </c>
      <c r="Q67" s="145" t="s">
        <v>18</v>
      </c>
      <c r="R67" s="146" t="s">
        <v>3</v>
      </c>
    </row>
    <row r="68" spans="1:18" ht="67.2">
      <c r="A68" s="138"/>
      <c r="B68" s="138"/>
      <c r="C68" s="140"/>
      <c r="D68" s="11" t="s">
        <v>1</v>
      </c>
      <c r="E68" s="11" t="s">
        <v>2</v>
      </c>
      <c r="F68" s="11" t="s">
        <v>17</v>
      </c>
      <c r="G68" s="11" t="s">
        <v>71</v>
      </c>
      <c r="H68" s="12" t="s">
        <v>1</v>
      </c>
      <c r="I68" s="12" t="s">
        <v>2</v>
      </c>
      <c r="J68" s="12" t="s">
        <v>17</v>
      </c>
      <c r="K68" s="12" t="s">
        <v>71</v>
      </c>
      <c r="L68" s="13" t="s">
        <v>1</v>
      </c>
      <c r="M68" s="13" t="s">
        <v>2</v>
      </c>
      <c r="N68" s="13" t="s">
        <v>17</v>
      </c>
      <c r="O68" s="13" t="s">
        <v>71</v>
      </c>
      <c r="P68" s="144"/>
      <c r="Q68" s="145"/>
      <c r="R68" s="146"/>
    </row>
    <row r="69" spans="1:18">
      <c r="A69" s="1" t="s">
        <v>90</v>
      </c>
      <c r="B69" s="4" t="s">
        <v>10</v>
      </c>
      <c r="C69" s="1">
        <v>3614</v>
      </c>
      <c r="D69" s="29">
        <v>146.99999</v>
      </c>
      <c r="E69" s="29">
        <v>130.61667</v>
      </c>
      <c r="F69" s="29">
        <v>903.38332999999989</v>
      </c>
      <c r="G69" s="29">
        <v>0</v>
      </c>
      <c r="H69" s="29">
        <v>180.99999</v>
      </c>
      <c r="I69" s="29">
        <v>0</v>
      </c>
      <c r="J69" s="29">
        <v>1232.9166699999998</v>
      </c>
      <c r="K69" s="29">
        <v>6.1666699999999999</v>
      </c>
      <c r="L69" s="29">
        <v>29.95</v>
      </c>
      <c r="M69" s="30">
        <v>0</v>
      </c>
      <c r="N69" s="59">
        <v>163.00001</v>
      </c>
      <c r="O69" s="32">
        <v>0</v>
      </c>
      <c r="P69" s="66">
        <v>2794.0333299999998</v>
      </c>
      <c r="Q69" s="33">
        <v>6842.7500000000009</v>
      </c>
      <c r="R69" s="34">
        <v>1.8934006640841177</v>
      </c>
    </row>
    <row r="70" spans="1:18">
      <c r="A70" s="5">
        <v>1</v>
      </c>
      <c r="B70" s="6" t="s">
        <v>12</v>
      </c>
      <c r="C70" s="5">
        <v>500</v>
      </c>
      <c r="D70" s="36">
        <v>0</v>
      </c>
      <c r="E70" s="36">
        <v>0</v>
      </c>
      <c r="F70" s="36">
        <v>512.80001000000004</v>
      </c>
      <c r="G70" s="36">
        <v>0</v>
      </c>
      <c r="H70" s="36">
        <v>0</v>
      </c>
      <c r="I70" s="36">
        <v>0</v>
      </c>
      <c r="J70" s="36">
        <v>649.90000999999995</v>
      </c>
      <c r="K70" s="36">
        <v>0</v>
      </c>
      <c r="L70" s="36">
        <v>0</v>
      </c>
      <c r="M70" s="37">
        <v>0</v>
      </c>
      <c r="N70" s="60">
        <v>148.06667999999999</v>
      </c>
      <c r="O70" s="39">
        <v>0</v>
      </c>
      <c r="P70" s="67">
        <v>1310.7666999999999</v>
      </c>
      <c r="Q70" s="40">
        <v>3419.4900000000011</v>
      </c>
      <c r="R70" s="41">
        <v>6.8389800000000021</v>
      </c>
    </row>
    <row r="71" spans="1:18">
      <c r="A71" s="5">
        <v>2</v>
      </c>
      <c r="B71" s="6" t="s">
        <v>14</v>
      </c>
      <c r="C71" s="5">
        <v>519</v>
      </c>
      <c r="D71" s="36">
        <v>66.116659999999996</v>
      </c>
      <c r="E71" s="36">
        <v>118.15</v>
      </c>
      <c r="F71" s="36">
        <v>217.21665999999999</v>
      </c>
      <c r="G71" s="36">
        <v>0</v>
      </c>
      <c r="H71" s="36">
        <v>49.133330000000001</v>
      </c>
      <c r="I71" s="36">
        <v>0</v>
      </c>
      <c r="J71" s="36">
        <v>278.73332999999997</v>
      </c>
      <c r="K71" s="36">
        <v>0</v>
      </c>
      <c r="L71" s="36">
        <v>0</v>
      </c>
      <c r="M71" s="37">
        <v>0</v>
      </c>
      <c r="N71" s="60">
        <v>0</v>
      </c>
      <c r="O71" s="39">
        <v>0</v>
      </c>
      <c r="P71" s="67">
        <v>729.34997999999996</v>
      </c>
      <c r="Q71" s="40">
        <v>1656.01</v>
      </c>
      <c r="R71" s="41">
        <v>3.1907707129094414</v>
      </c>
    </row>
    <row r="72" spans="1:18">
      <c r="A72" s="5">
        <v>3</v>
      </c>
      <c r="B72" s="6" t="s">
        <v>8</v>
      </c>
      <c r="C72" s="5">
        <v>631</v>
      </c>
      <c r="D72" s="36">
        <v>45.933329999999998</v>
      </c>
      <c r="E72" s="36">
        <v>12.466670000000001</v>
      </c>
      <c r="F72" s="36">
        <v>76.183329999999998</v>
      </c>
      <c r="G72" s="36">
        <v>0</v>
      </c>
      <c r="H72" s="36">
        <v>90.699999999999989</v>
      </c>
      <c r="I72" s="36">
        <v>0</v>
      </c>
      <c r="J72" s="36">
        <v>158.81665999999998</v>
      </c>
      <c r="K72" s="36">
        <v>6.1666699999999999</v>
      </c>
      <c r="L72" s="36">
        <v>0</v>
      </c>
      <c r="M72" s="37">
        <v>0</v>
      </c>
      <c r="N72" s="60">
        <v>14.93333</v>
      </c>
      <c r="O72" s="39">
        <v>0</v>
      </c>
      <c r="P72" s="67">
        <v>405.19998999999996</v>
      </c>
      <c r="Q72" s="40">
        <v>1081.02</v>
      </c>
      <c r="R72" s="41">
        <v>1.7131854199683043</v>
      </c>
    </row>
    <row r="73" spans="1:18">
      <c r="A73" s="5">
        <v>4</v>
      </c>
      <c r="B73" s="6" t="s">
        <v>13</v>
      </c>
      <c r="C73" s="5">
        <v>470</v>
      </c>
      <c r="D73" s="36">
        <v>0</v>
      </c>
      <c r="E73" s="36">
        <v>0</v>
      </c>
      <c r="F73" s="36">
        <v>85.5</v>
      </c>
      <c r="G73" s="36">
        <v>0</v>
      </c>
      <c r="H73" s="36">
        <v>0</v>
      </c>
      <c r="I73" s="36">
        <v>0</v>
      </c>
      <c r="J73" s="36">
        <v>145.46666999999999</v>
      </c>
      <c r="K73" s="36">
        <v>0</v>
      </c>
      <c r="L73" s="36">
        <v>0</v>
      </c>
      <c r="M73" s="37">
        <v>0</v>
      </c>
      <c r="N73" s="60">
        <v>0</v>
      </c>
      <c r="O73" s="39">
        <v>0</v>
      </c>
      <c r="P73" s="67">
        <v>230.96666999999999</v>
      </c>
      <c r="Q73" s="40">
        <v>391.29999999999995</v>
      </c>
      <c r="R73" s="41">
        <v>0.83255319148936158</v>
      </c>
    </row>
    <row r="74" spans="1:18">
      <c r="A74" s="5">
        <v>5</v>
      </c>
      <c r="B74" s="6" t="s">
        <v>5</v>
      </c>
      <c r="C74" s="5">
        <v>524</v>
      </c>
      <c r="D74" s="36">
        <v>29.316669999999998</v>
      </c>
      <c r="E74" s="36">
        <v>0</v>
      </c>
      <c r="F74" s="36">
        <v>0</v>
      </c>
      <c r="G74" s="36">
        <v>0</v>
      </c>
      <c r="H74" s="36">
        <v>35.433329999999998</v>
      </c>
      <c r="I74" s="36">
        <v>0</v>
      </c>
      <c r="J74" s="36">
        <v>0</v>
      </c>
      <c r="K74" s="36">
        <v>0</v>
      </c>
      <c r="L74" s="36">
        <v>29.95</v>
      </c>
      <c r="M74" s="37">
        <v>0</v>
      </c>
      <c r="N74" s="60">
        <v>0</v>
      </c>
      <c r="O74" s="39">
        <v>0</v>
      </c>
      <c r="P74" s="67">
        <v>94.7</v>
      </c>
      <c r="Q74" s="40">
        <v>254.78</v>
      </c>
      <c r="R74" s="41">
        <v>0.48622137404580151</v>
      </c>
    </row>
    <row r="75" spans="1:18">
      <c r="A75" s="5">
        <v>6</v>
      </c>
      <c r="B75" s="6" t="s">
        <v>9</v>
      </c>
      <c r="C75" s="5">
        <v>457</v>
      </c>
      <c r="D75" s="36">
        <v>5.6333299999999999</v>
      </c>
      <c r="E75" s="36">
        <v>0</v>
      </c>
      <c r="F75" s="36">
        <v>11.68333</v>
      </c>
      <c r="G75" s="36">
        <v>0</v>
      </c>
      <c r="H75" s="36">
        <v>5.7333299999999996</v>
      </c>
      <c r="I75" s="36">
        <v>0</v>
      </c>
      <c r="J75" s="36">
        <v>0</v>
      </c>
      <c r="K75" s="36">
        <v>0</v>
      </c>
      <c r="L75" s="36">
        <v>0</v>
      </c>
      <c r="M75" s="37">
        <v>0</v>
      </c>
      <c r="N75" s="60">
        <v>0</v>
      </c>
      <c r="O75" s="39">
        <v>0</v>
      </c>
      <c r="P75" s="67">
        <v>23.049989999999998</v>
      </c>
      <c r="Q75" s="40">
        <v>40.15</v>
      </c>
      <c r="R75" s="41">
        <v>8.7855579868708969E-2</v>
      </c>
    </row>
    <row r="76" spans="1:18">
      <c r="A76" s="5">
        <v>7</v>
      </c>
      <c r="B76" s="6" t="s">
        <v>4</v>
      </c>
      <c r="C76" s="5">
        <v>513</v>
      </c>
      <c r="D76" s="36">
        <v>0</v>
      </c>
      <c r="E76" s="36">
        <v>0</v>
      </c>
      <c r="F76" s="36">
        <v>0</v>
      </c>
      <c r="G76" s="36">
        <v>0</v>
      </c>
      <c r="H76" s="36">
        <v>0</v>
      </c>
      <c r="I76" s="36">
        <v>0</v>
      </c>
      <c r="J76" s="36">
        <v>0</v>
      </c>
      <c r="K76" s="36">
        <v>0</v>
      </c>
      <c r="L76" s="36">
        <v>0</v>
      </c>
      <c r="M76" s="37">
        <v>0</v>
      </c>
      <c r="N76" s="60">
        <v>0</v>
      </c>
      <c r="O76" s="39">
        <v>0</v>
      </c>
      <c r="P76" s="67">
        <v>0</v>
      </c>
      <c r="Q76" s="40">
        <v>0</v>
      </c>
      <c r="R76" s="41">
        <v>0</v>
      </c>
    </row>
    <row r="79" spans="1:18" ht="29.1" customHeight="1">
      <c r="A79" s="75" t="s">
        <v>107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81"/>
    </row>
    <row r="80" spans="1:18">
      <c r="A80" s="138" t="s">
        <v>0</v>
      </c>
      <c r="B80" s="138" t="s">
        <v>11</v>
      </c>
      <c r="C80" s="139" t="s">
        <v>84</v>
      </c>
      <c r="D80" s="141" t="s">
        <v>6</v>
      </c>
      <c r="E80" s="141"/>
      <c r="F80" s="141"/>
      <c r="G80" s="141"/>
      <c r="H80" s="142" t="s">
        <v>7</v>
      </c>
      <c r="I80" s="142"/>
      <c r="J80" s="142"/>
      <c r="K80" s="142"/>
      <c r="L80" s="143" t="s">
        <v>16</v>
      </c>
      <c r="M80" s="143"/>
      <c r="N80" s="143"/>
      <c r="O80" s="143"/>
      <c r="P80" s="144" t="s">
        <v>76</v>
      </c>
      <c r="Q80" s="145" t="s">
        <v>18</v>
      </c>
      <c r="R80" s="146" t="s">
        <v>3</v>
      </c>
    </row>
    <row r="81" spans="1:18" ht="67.2">
      <c r="A81" s="138"/>
      <c r="B81" s="138"/>
      <c r="C81" s="140"/>
      <c r="D81" s="11" t="s">
        <v>1</v>
      </c>
      <c r="E81" s="11" t="s">
        <v>2</v>
      </c>
      <c r="F81" s="11" t="s">
        <v>17</v>
      </c>
      <c r="G81" s="11" t="s">
        <v>71</v>
      </c>
      <c r="H81" s="12" t="s">
        <v>1</v>
      </c>
      <c r="I81" s="12" t="s">
        <v>2</v>
      </c>
      <c r="J81" s="12" t="s">
        <v>17</v>
      </c>
      <c r="K81" s="12" t="s">
        <v>71</v>
      </c>
      <c r="L81" s="13" t="s">
        <v>1</v>
      </c>
      <c r="M81" s="13" t="s">
        <v>2</v>
      </c>
      <c r="N81" s="13" t="s">
        <v>17</v>
      </c>
      <c r="O81" s="13" t="s">
        <v>71</v>
      </c>
      <c r="P81" s="144"/>
      <c r="Q81" s="145"/>
      <c r="R81" s="146"/>
    </row>
    <row r="82" spans="1:18">
      <c r="A82" s="1" t="s">
        <v>90</v>
      </c>
      <c r="B82" s="4" t="s">
        <v>10</v>
      </c>
      <c r="C82" s="1">
        <v>3614</v>
      </c>
      <c r="D82" s="29">
        <v>346</v>
      </c>
      <c r="E82" s="29">
        <v>5</v>
      </c>
      <c r="F82" s="29">
        <v>674</v>
      </c>
      <c r="G82" s="29">
        <v>28</v>
      </c>
      <c r="H82" s="29">
        <v>328</v>
      </c>
      <c r="I82" s="29">
        <v>6</v>
      </c>
      <c r="J82" s="29">
        <v>926</v>
      </c>
      <c r="K82" s="29">
        <v>17</v>
      </c>
      <c r="L82" s="29">
        <v>11</v>
      </c>
      <c r="M82" s="30">
        <v>15</v>
      </c>
      <c r="N82" s="59">
        <v>0</v>
      </c>
      <c r="O82" s="32">
        <v>0</v>
      </c>
      <c r="P82" s="66">
        <v>2356</v>
      </c>
      <c r="Q82" s="33">
        <v>5648.84</v>
      </c>
      <c r="R82" s="34">
        <v>1.5630437188710571</v>
      </c>
    </row>
    <row r="83" spans="1:18">
      <c r="A83" s="5">
        <v>1</v>
      </c>
      <c r="B83" s="6" t="s">
        <v>9</v>
      </c>
      <c r="C83" s="5">
        <v>457</v>
      </c>
      <c r="D83" s="36">
        <v>43</v>
      </c>
      <c r="E83" s="36">
        <v>0</v>
      </c>
      <c r="F83" s="36">
        <v>196</v>
      </c>
      <c r="G83" s="36">
        <v>5</v>
      </c>
      <c r="H83" s="36">
        <v>36</v>
      </c>
      <c r="I83" s="36">
        <v>6</v>
      </c>
      <c r="J83" s="36">
        <v>299</v>
      </c>
      <c r="K83" s="36">
        <v>6</v>
      </c>
      <c r="L83" s="36">
        <v>0</v>
      </c>
      <c r="M83" s="37">
        <v>15</v>
      </c>
      <c r="N83" s="60">
        <v>0</v>
      </c>
      <c r="O83" s="39">
        <v>0</v>
      </c>
      <c r="P83" s="67">
        <v>606</v>
      </c>
      <c r="Q83" s="40">
        <v>1564.7500000000005</v>
      </c>
      <c r="R83" s="41">
        <v>3.423960612691467</v>
      </c>
    </row>
    <row r="84" spans="1:18">
      <c r="A84" s="5">
        <v>2</v>
      </c>
      <c r="B84" s="6" t="s">
        <v>8</v>
      </c>
      <c r="C84" s="5">
        <v>631</v>
      </c>
      <c r="D84" s="36">
        <v>189</v>
      </c>
      <c r="E84" s="36">
        <v>5</v>
      </c>
      <c r="F84" s="36">
        <v>203</v>
      </c>
      <c r="G84" s="36">
        <v>18</v>
      </c>
      <c r="H84" s="36">
        <v>164</v>
      </c>
      <c r="I84" s="36">
        <v>0</v>
      </c>
      <c r="J84" s="36">
        <v>242</v>
      </c>
      <c r="K84" s="36">
        <v>6</v>
      </c>
      <c r="L84" s="36">
        <v>0</v>
      </c>
      <c r="M84" s="37">
        <v>0</v>
      </c>
      <c r="N84" s="60">
        <v>0</v>
      </c>
      <c r="O84" s="39">
        <v>0</v>
      </c>
      <c r="P84" s="67">
        <v>827</v>
      </c>
      <c r="Q84" s="40">
        <v>1748.3199999999997</v>
      </c>
      <c r="R84" s="41">
        <v>2.7707131537242469</v>
      </c>
    </row>
    <row r="85" spans="1:18">
      <c r="A85" s="5">
        <v>3</v>
      </c>
      <c r="B85" s="6" t="s">
        <v>4</v>
      </c>
      <c r="C85" s="5">
        <v>513</v>
      </c>
      <c r="D85" s="36">
        <v>26</v>
      </c>
      <c r="E85" s="36">
        <v>0</v>
      </c>
      <c r="F85" s="36">
        <v>212</v>
      </c>
      <c r="G85" s="36">
        <v>0</v>
      </c>
      <c r="H85" s="36">
        <v>38</v>
      </c>
      <c r="I85" s="36">
        <v>0</v>
      </c>
      <c r="J85" s="36">
        <v>240</v>
      </c>
      <c r="K85" s="36">
        <v>0</v>
      </c>
      <c r="L85" s="36">
        <v>11</v>
      </c>
      <c r="M85" s="37">
        <v>0</v>
      </c>
      <c r="N85" s="60">
        <v>0</v>
      </c>
      <c r="O85" s="39">
        <v>0</v>
      </c>
      <c r="P85" s="67">
        <v>527</v>
      </c>
      <c r="Q85" s="40">
        <v>1282.51</v>
      </c>
      <c r="R85" s="41">
        <v>2.5000194931773878</v>
      </c>
    </row>
    <row r="86" spans="1:18">
      <c r="A86" s="5">
        <v>4</v>
      </c>
      <c r="B86" s="6" t="s">
        <v>5</v>
      </c>
      <c r="C86" s="5">
        <v>524</v>
      </c>
      <c r="D86" s="36">
        <v>0</v>
      </c>
      <c r="E86" s="36">
        <v>0</v>
      </c>
      <c r="F86" s="36">
        <v>0</v>
      </c>
      <c r="G86" s="36">
        <v>0</v>
      </c>
      <c r="H86" s="36">
        <v>0</v>
      </c>
      <c r="I86" s="36">
        <v>0</v>
      </c>
      <c r="J86" s="36">
        <v>116</v>
      </c>
      <c r="K86" s="36">
        <v>5</v>
      </c>
      <c r="L86" s="36">
        <v>0</v>
      </c>
      <c r="M86" s="37">
        <v>0</v>
      </c>
      <c r="N86" s="60">
        <v>0</v>
      </c>
      <c r="O86" s="39">
        <v>0</v>
      </c>
      <c r="P86" s="67">
        <v>121</v>
      </c>
      <c r="Q86" s="40">
        <v>368.45</v>
      </c>
      <c r="R86" s="41">
        <v>0.70314885496183199</v>
      </c>
    </row>
    <row r="87" spans="1:18">
      <c r="A87" s="5">
        <v>5</v>
      </c>
      <c r="B87" s="6" t="s">
        <v>13</v>
      </c>
      <c r="C87" s="5">
        <v>470</v>
      </c>
      <c r="D87" s="36">
        <v>49</v>
      </c>
      <c r="E87" s="36">
        <v>0</v>
      </c>
      <c r="F87" s="36">
        <v>0</v>
      </c>
      <c r="G87" s="36">
        <v>0</v>
      </c>
      <c r="H87" s="36">
        <v>55</v>
      </c>
      <c r="I87" s="36">
        <v>0</v>
      </c>
      <c r="J87" s="36">
        <v>0</v>
      </c>
      <c r="K87" s="36">
        <v>0</v>
      </c>
      <c r="L87" s="36">
        <v>0</v>
      </c>
      <c r="M87" s="37">
        <v>0</v>
      </c>
      <c r="N87" s="60">
        <v>0</v>
      </c>
      <c r="O87" s="39">
        <v>0</v>
      </c>
      <c r="P87" s="67">
        <v>104</v>
      </c>
      <c r="Q87" s="40">
        <v>273.37</v>
      </c>
      <c r="R87" s="41">
        <v>0.58163829787234045</v>
      </c>
    </row>
    <row r="88" spans="1:18">
      <c r="A88" s="5">
        <v>6</v>
      </c>
      <c r="B88" s="6" t="s">
        <v>12</v>
      </c>
      <c r="C88" s="5">
        <v>500</v>
      </c>
      <c r="D88" s="36">
        <v>0</v>
      </c>
      <c r="E88" s="36">
        <v>0</v>
      </c>
      <c r="F88" s="36">
        <v>58</v>
      </c>
      <c r="G88" s="36">
        <v>0</v>
      </c>
      <c r="H88" s="36">
        <v>0</v>
      </c>
      <c r="I88" s="36">
        <v>0</v>
      </c>
      <c r="J88" s="36">
        <v>29</v>
      </c>
      <c r="K88" s="36">
        <v>0</v>
      </c>
      <c r="L88" s="36">
        <v>0</v>
      </c>
      <c r="M88" s="37">
        <v>0</v>
      </c>
      <c r="N88" s="60">
        <v>0</v>
      </c>
      <c r="O88" s="39">
        <v>0</v>
      </c>
      <c r="P88" s="67">
        <v>87</v>
      </c>
      <c r="Q88" s="40">
        <v>210.51999999999998</v>
      </c>
      <c r="R88" s="41">
        <v>0.42103999999999997</v>
      </c>
    </row>
    <row r="89" spans="1:18">
      <c r="A89" s="5">
        <v>7</v>
      </c>
      <c r="B89" s="6" t="s">
        <v>14</v>
      </c>
      <c r="C89" s="5">
        <v>519</v>
      </c>
      <c r="D89" s="36">
        <v>39</v>
      </c>
      <c r="E89" s="36">
        <v>0</v>
      </c>
      <c r="F89" s="36">
        <v>5</v>
      </c>
      <c r="G89" s="36">
        <v>5</v>
      </c>
      <c r="H89" s="36">
        <v>35</v>
      </c>
      <c r="I89" s="36">
        <v>0</v>
      </c>
      <c r="J89" s="36">
        <v>0</v>
      </c>
      <c r="K89" s="36">
        <v>0</v>
      </c>
      <c r="L89" s="36">
        <v>0</v>
      </c>
      <c r="M89" s="37">
        <v>0</v>
      </c>
      <c r="N89" s="60">
        <v>0</v>
      </c>
      <c r="O89" s="39">
        <v>0</v>
      </c>
      <c r="P89" s="67">
        <v>84</v>
      </c>
      <c r="Q89" s="40">
        <v>200.92000000000002</v>
      </c>
      <c r="R89" s="41">
        <v>0.38712909441233145</v>
      </c>
    </row>
    <row r="92" spans="1:18" ht="20.399999999999999">
      <c r="A92" s="75" t="s">
        <v>93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81"/>
    </row>
    <row r="93" spans="1:18">
      <c r="A93" s="138" t="s">
        <v>0</v>
      </c>
      <c r="B93" s="138" t="s">
        <v>11</v>
      </c>
      <c r="C93" s="139" t="s">
        <v>84</v>
      </c>
      <c r="D93" s="141" t="s">
        <v>6</v>
      </c>
      <c r="E93" s="141"/>
      <c r="F93" s="141"/>
      <c r="G93" s="141"/>
      <c r="H93" s="142" t="s">
        <v>7</v>
      </c>
      <c r="I93" s="142"/>
      <c r="J93" s="142"/>
      <c r="K93" s="142"/>
      <c r="L93" s="143" t="s">
        <v>16</v>
      </c>
      <c r="M93" s="143"/>
      <c r="N93" s="143"/>
      <c r="O93" s="143"/>
      <c r="P93" s="144" t="s">
        <v>76</v>
      </c>
      <c r="Q93" s="145" t="s">
        <v>18</v>
      </c>
      <c r="R93" s="146" t="s">
        <v>3</v>
      </c>
    </row>
    <row r="94" spans="1:18" ht="67.2">
      <c r="A94" s="138"/>
      <c r="B94" s="138"/>
      <c r="C94" s="140"/>
      <c r="D94" s="11" t="s">
        <v>1</v>
      </c>
      <c r="E94" s="11" t="s">
        <v>2</v>
      </c>
      <c r="F94" s="11" t="s">
        <v>17</v>
      </c>
      <c r="G94" s="11" t="s">
        <v>71</v>
      </c>
      <c r="H94" s="12" t="s">
        <v>1</v>
      </c>
      <c r="I94" s="12" t="s">
        <v>2</v>
      </c>
      <c r="J94" s="12" t="s">
        <v>17</v>
      </c>
      <c r="K94" s="12" t="s">
        <v>71</v>
      </c>
      <c r="L94" s="13" t="s">
        <v>1</v>
      </c>
      <c r="M94" s="13" t="s">
        <v>2</v>
      </c>
      <c r="N94" s="13" t="s">
        <v>17</v>
      </c>
      <c r="O94" s="13" t="s">
        <v>71</v>
      </c>
      <c r="P94" s="144"/>
      <c r="Q94" s="145"/>
      <c r="R94" s="146"/>
    </row>
    <row r="95" spans="1:18" hidden="1">
      <c r="A95" s="1"/>
      <c r="B95" s="1"/>
      <c r="C95" s="1"/>
      <c r="D95" s="2"/>
      <c r="E95" s="2"/>
      <c r="F95" s="2"/>
      <c r="G95" s="3"/>
      <c r="H95" s="3"/>
      <c r="I95" s="3"/>
      <c r="J95" s="3"/>
      <c r="K95" s="3"/>
      <c r="L95" s="3"/>
      <c r="M95" s="46"/>
      <c r="N95" s="52"/>
      <c r="O95" s="22"/>
      <c r="P95" s="21"/>
      <c r="Q95" s="21"/>
      <c r="R95" s="23"/>
    </row>
    <row r="96" spans="1:18">
      <c r="A96" s="1" t="s">
        <v>90</v>
      </c>
      <c r="B96" s="4" t="s">
        <v>10</v>
      </c>
      <c r="C96" s="1">
        <v>3614</v>
      </c>
      <c r="D96" s="29">
        <v>521</v>
      </c>
      <c r="E96" s="29">
        <v>1538</v>
      </c>
      <c r="F96" s="29">
        <v>2613</v>
      </c>
      <c r="G96" s="29">
        <v>31</v>
      </c>
      <c r="H96" s="29">
        <v>533</v>
      </c>
      <c r="I96" s="29">
        <v>1442</v>
      </c>
      <c r="J96" s="29">
        <v>3339</v>
      </c>
      <c r="K96" s="29">
        <v>97</v>
      </c>
      <c r="L96" s="29">
        <v>105</v>
      </c>
      <c r="M96" s="30">
        <v>0</v>
      </c>
      <c r="N96" s="59">
        <v>184</v>
      </c>
      <c r="O96" s="32">
        <v>0</v>
      </c>
      <c r="P96" s="66">
        <v>10403</v>
      </c>
      <c r="Q96" s="33">
        <v>19046.490000000002</v>
      </c>
      <c r="R96" s="34">
        <v>5.2701964582180416</v>
      </c>
    </row>
    <row r="97" spans="1:18">
      <c r="A97" s="5">
        <v>1</v>
      </c>
      <c r="B97" s="6" t="s">
        <v>8</v>
      </c>
      <c r="C97" s="5">
        <v>631</v>
      </c>
      <c r="D97" s="36">
        <v>239</v>
      </c>
      <c r="E97" s="36">
        <v>71</v>
      </c>
      <c r="F97" s="36">
        <v>859</v>
      </c>
      <c r="G97" s="36">
        <v>31</v>
      </c>
      <c r="H97" s="36">
        <v>239</v>
      </c>
      <c r="I97" s="36">
        <v>15</v>
      </c>
      <c r="J97" s="36">
        <v>1457</v>
      </c>
      <c r="K97" s="36">
        <v>44</v>
      </c>
      <c r="L97" s="36">
        <v>88</v>
      </c>
      <c r="M97" s="37">
        <v>0</v>
      </c>
      <c r="N97" s="60">
        <v>43</v>
      </c>
      <c r="O97" s="39">
        <v>0</v>
      </c>
      <c r="P97" s="67">
        <v>3086</v>
      </c>
      <c r="Q97" s="40">
        <v>7673.56</v>
      </c>
      <c r="R97" s="41">
        <v>12.16095087163233</v>
      </c>
    </row>
    <row r="98" spans="1:18">
      <c r="A98" s="5">
        <v>2</v>
      </c>
      <c r="B98" s="6" t="s">
        <v>14</v>
      </c>
      <c r="C98" s="5">
        <v>519</v>
      </c>
      <c r="D98" s="36">
        <v>23</v>
      </c>
      <c r="E98" s="36">
        <v>1467</v>
      </c>
      <c r="F98" s="36">
        <v>455</v>
      </c>
      <c r="G98" s="36">
        <v>0</v>
      </c>
      <c r="H98" s="36">
        <v>0</v>
      </c>
      <c r="I98" s="36">
        <v>1427</v>
      </c>
      <c r="J98" s="36">
        <v>84</v>
      </c>
      <c r="K98" s="36">
        <v>0</v>
      </c>
      <c r="L98" s="36">
        <v>0</v>
      </c>
      <c r="M98" s="37">
        <v>0</v>
      </c>
      <c r="N98" s="60">
        <v>43</v>
      </c>
      <c r="O98" s="39">
        <v>0</v>
      </c>
      <c r="P98" s="67">
        <v>3499</v>
      </c>
      <c r="Q98" s="40">
        <v>3373.3000000000015</v>
      </c>
      <c r="R98" s="41">
        <v>6.4996146435452822</v>
      </c>
    </row>
    <row r="99" spans="1:18">
      <c r="A99" s="5">
        <v>3</v>
      </c>
      <c r="B99" s="6" t="s">
        <v>12</v>
      </c>
      <c r="C99" s="5">
        <v>500</v>
      </c>
      <c r="D99" s="36">
        <v>36</v>
      </c>
      <c r="E99" s="36">
        <v>0</v>
      </c>
      <c r="F99" s="36">
        <v>716</v>
      </c>
      <c r="G99" s="36">
        <v>0</v>
      </c>
      <c r="H99" s="36">
        <v>36</v>
      </c>
      <c r="I99" s="36">
        <v>0</v>
      </c>
      <c r="J99" s="36">
        <v>813</v>
      </c>
      <c r="K99" s="36">
        <v>0</v>
      </c>
      <c r="L99" s="36">
        <v>0</v>
      </c>
      <c r="M99" s="37">
        <v>0</v>
      </c>
      <c r="N99" s="60">
        <v>70</v>
      </c>
      <c r="O99" s="39">
        <v>0</v>
      </c>
      <c r="P99" s="67">
        <v>1671</v>
      </c>
      <c r="Q99" s="40">
        <v>2842.4299999999994</v>
      </c>
      <c r="R99" s="41">
        <v>5.6848599999999987</v>
      </c>
    </row>
    <row r="100" spans="1:18">
      <c r="A100" s="5">
        <v>4</v>
      </c>
      <c r="B100" s="6" t="s">
        <v>5</v>
      </c>
      <c r="C100" s="5">
        <v>524</v>
      </c>
      <c r="D100" s="36">
        <v>132</v>
      </c>
      <c r="E100" s="36">
        <v>0</v>
      </c>
      <c r="F100" s="36">
        <v>351</v>
      </c>
      <c r="G100" s="36">
        <v>0</v>
      </c>
      <c r="H100" s="36">
        <v>156</v>
      </c>
      <c r="I100" s="36">
        <v>0</v>
      </c>
      <c r="J100" s="36">
        <v>534</v>
      </c>
      <c r="K100" s="36">
        <v>0</v>
      </c>
      <c r="L100" s="36">
        <v>0</v>
      </c>
      <c r="M100" s="37">
        <v>0</v>
      </c>
      <c r="N100" s="60">
        <v>0</v>
      </c>
      <c r="O100" s="39">
        <v>0</v>
      </c>
      <c r="P100" s="67">
        <v>1173</v>
      </c>
      <c r="Q100" s="40">
        <v>2900.2200000000007</v>
      </c>
      <c r="R100" s="41">
        <v>5.5347709923664139</v>
      </c>
    </row>
    <row r="101" spans="1:18">
      <c r="A101" s="5">
        <v>5</v>
      </c>
      <c r="B101" s="6" t="s">
        <v>9</v>
      </c>
      <c r="C101" s="5">
        <v>457</v>
      </c>
      <c r="D101" s="36">
        <v>8</v>
      </c>
      <c r="E101" s="36">
        <v>0</v>
      </c>
      <c r="F101" s="36">
        <v>168</v>
      </c>
      <c r="G101" s="36">
        <v>0</v>
      </c>
      <c r="H101" s="36">
        <v>20</v>
      </c>
      <c r="I101" s="36">
        <v>0</v>
      </c>
      <c r="J101" s="36">
        <v>364</v>
      </c>
      <c r="K101" s="36">
        <v>24</v>
      </c>
      <c r="L101" s="36">
        <v>0</v>
      </c>
      <c r="M101" s="37">
        <v>0</v>
      </c>
      <c r="N101" s="60">
        <v>28</v>
      </c>
      <c r="O101" s="39">
        <v>0</v>
      </c>
      <c r="P101" s="67">
        <v>612</v>
      </c>
      <c r="Q101" s="40">
        <v>1506.9499999999998</v>
      </c>
      <c r="R101" s="41">
        <v>3.2974835886214438</v>
      </c>
    </row>
    <row r="102" spans="1:18">
      <c r="A102" s="5">
        <v>6</v>
      </c>
      <c r="B102" s="6" t="s">
        <v>13</v>
      </c>
      <c r="C102" s="5">
        <v>470</v>
      </c>
      <c r="D102" s="36">
        <v>83</v>
      </c>
      <c r="E102" s="36">
        <v>0</v>
      </c>
      <c r="F102" s="36">
        <v>0</v>
      </c>
      <c r="G102" s="36">
        <v>0</v>
      </c>
      <c r="H102" s="36">
        <v>82</v>
      </c>
      <c r="I102" s="36">
        <v>0</v>
      </c>
      <c r="J102" s="36">
        <v>0</v>
      </c>
      <c r="K102" s="36">
        <v>29</v>
      </c>
      <c r="L102" s="36">
        <v>17</v>
      </c>
      <c r="M102" s="37">
        <v>0</v>
      </c>
      <c r="N102" s="60">
        <v>0</v>
      </c>
      <c r="O102" s="39">
        <v>0</v>
      </c>
      <c r="P102" s="67">
        <v>211</v>
      </c>
      <c r="Q102" s="40">
        <v>528.12999999999988</v>
      </c>
      <c r="R102" s="41">
        <v>1.1236808510638296</v>
      </c>
    </row>
    <row r="103" spans="1:18">
      <c r="A103" s="5">
        <v>7</v>
      </c>
      <c r="B103" s="6" t="s">
        <v>4</v>
      </c>
      <c r="C103" s="5">
        <v>513</v>
      </c>
      <c r="D103" s="36">
        <v>0</v>
      </c>
      <c r="E103" s="36">
        <v>0</v>
      </c>
      <c r="F103" s="36">
        <v>64</v>
      </c>
      <c r="G103" s="36">
        <v>0</v>
      </c>
      <c r="H103" s="36">
        <v>0</v>
      </c>
      <c r="I103" s="36">
        <v>0</v>
      </c>
      <c r="J103" s="36">
        <v>87</v>
      </c>
      <c r="K103" s="36">
        <v>0</v>
      </c>
      <c r="L103" s="36">
        <v>0</v>
      </c>
      <c r="M103" s="37">
        <v>0</v>
      </c>
      <c r="N103" s="60">
        <v>0</v>
      </c>
      <c r="O103" s="39">
        <v>0</v>
      </c>
      <c r="P103" s="67">
        <v>151</v>
      </c>
      <c r="Q103" s="40">
        <v>221.9</v>
      </c>
      <c r="R103" s="41">
        <v>0.4325536062378168</v>
      </c>
    </row>
    <row r="106" spans="1:18" ht="20.399999999999999">
      <c r="A106" s="75" t="s">
        <v>92</v>
      </c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81"/>
    </row>
    <row r="107" spans="1:18">
      <c r="A107" s="138" t="s">
        <v>0</v>
      </c>
      <c r="B107" s="138" t="s">
        <v>11</v>
      </c>
      <c r="C107" s="139" t="s">
        <v>84</v>
      </c>
      <c r="D107" s="141" t="s">
        <v>6</v>
      </c>
      <c r="E107" s="141"/>
      <c r="F107" s="141"/>
      <c r="G107" s="141"/>
      <c r="H107" s="142" t="s">
        <v>7</v>
      </c>
      <c r="I107" s="142"/>
      <c r="J107" s="142"/>
      <c r="K107" s="142"/>
      <c r="L107" s="143" t="s">
        <v>16</v>
      </c>
      <c r="M107" s="143"/>
      <c r="N107" s="143"/>
      <c r="O107" s="143"/>
      <c r="P107" s="144" t="s">
        <v>76</v>
      </c>
      <c r="Q107" s="145" t="s">
        <v>18</v>
      </c>
      <c r="R107" s="146" t="s">
        <v>3</v>
      </c>
    </row>
    <row r="108" spans="1:18" ht="67.2">
      <c r="A108" s="138"/>
      <c r="B108" s="138"/>
      <c r="C108" s="140"/>
      <c r="D108" s="11" t="s">
        <v>1</v>
      </c>
      <c r="E108" s="11" t="s">
        <v>2</v>
      </c>
      <c r="F108" s="11" t="s">
        <v>17</v>
      </c>
      <c r="G108" s="11" t="s">
        <v>71</v>
      </c>
      <c r="H108" s="12" t="s">
        <v>1</v>
      </c>
      <c r="I108" s="12" t="s">
        <v>2</v>
      </c>
      <c r="J108" s="12" t="s">
        <v>17</v>
      </c>
      <c r="K108" s="12" t="s">
        <v>71</v>
      </c>
      <c r="L108" s="13" t="s">
        <v>1</v>
      </c>
      <c r="M108" s="13" t="s">
        <v>2</v>
      </c>
      <c r="N108" s="13" t="s">
        <v>17</v>
      </c>
      <c r="O108" s="13" t="s">
        <v>71</v>
      </c>
      <c r="P108" s="144"/>
      <c r="Q108" s="145"/>
      <c r="R108" s="146"/>
    </row>
    <row r="109" spans="1:18" hidden="1">
      <c r="A109" s="1"/>
      <c r="B109" s="1"/>
      <c r="C109" s="1"/>
      <c r="D109" s="2"/>
      <c r="E109" s="2"/>
      <c r="F109" s="2"/>
      <c r="G109" s="3"/>
      <c r="H109" s="3"/>
      <c r="I109" s="3"/>
      <c r="J109" s="3"/>
      <c r="K109" s="3"/>
      <c r="L109" s="3"/>
      <c r="M109" s="46"/>
      <c r="N109" s="52"/>
      <c r="O109" s="22"/>
      <c r="P109" s="21"/>
      <c r="Q109" s="21"/>
      <c r="R109" s="23"/>
    </row>
    <row r="110" spans="1:18">
      <c r="A110" s="1" t="s">
        <v>90</v>
      </c>
      <c r="B110" s="4" t="s">
        <v>10</v>
      </c>
      <c r="C110" s="1">
        <v>3544</v>
      </c>
      <c r="D110" s="29">
        <v>284</v>
      </c>
      <c r="E110" s="29">
        <v>51</v>
      </c>
      <c r="F110" s="29">
        <v>990</v>
      </c>
      <c r="G110" s="29">
        <v>57</v>
      </c>
      <c r="H110" s="29">
        <v>449</v>
      </c>
      <c r="I110" s="29">
        <v>76</v>
      </c>
      <c r="J110" s="29">
        <v>1372</v>
      </c>
      <c r="K110" s="29">
        <v>33</v>
      </c>
      <c r="L110" s="29">
        <v>14</v>
      </c>
      <c r="M110" s="30">
        <v>0</v>
      </c>
      <c r="N110" s="59">
        <v>367</v>
      </c>
      <c r="O110" s="32">
        <v>0</v>
      </c>
      <c r="P110" s="66">
        <v>3693</v>
      </c>
      <c r="Q110" s="33">
        <v>9750.73</v>
      </c>
      <c r="R110" s="34">
        <v>2.7513346501128666</v>
      </c>
    </row>
    <row r="111" spans="1:18">
      <c r="A111" s="5">
        <v>1</v>
      </c>
      <c r="B111" s="6" t="s">
        <v>8</v>
      </c>
      <c r="C111" s="5">
        <v>629</v>
      </c>
      <c r="D111" s="36">
        <v>115</v>
      </c>
      <c r="E111" s="36">
        <v>0</v>
      </c>
      <c r="F111" s="36">
        <v>482</v>
      </c>
      <c r="G111" s="36">
        <v>25</v>
      </c>
      <c r="H111" s="36">
        <v>241</v>
      </c>
      <c r="I111" s="36">
        <v>5</v>
      </c>
      <c r="J111" s="36">
        <v>575</v>
      </c>
      <c r="K111" s="36">
        <v>10</v>
      </c>
      <c r="L111" s="36">
        <v>14</v>
      </c>
      <c r="M111" s="37">
        <v>0</v>
      </c>
      <c r="N111" s="60">
        <v>0</v>
      </c>
      <c r="O111" s="39">
        <v>0</v>
      </c>
      <c r="P111" s="67">
        <v>1467</v>
      </c>
      <c r="Q111" s="40">
        <v>3945.3699999999994</v>
      </c>
      <c r="R111" s="41">
        <v>6.2724483306836243</v>
      </c>
    </row>
    <row r="112" spans="1:18">
      <c r="A112" s="5">
        <v>2</v>
      </c>
      <c r="B112" s="6" t="s">
        <v>12</v>
      </c>
      <c r="C112" s="5">
        <v>483</v>
      </c>
      <c r="D112" s="36">
        <v>0</v>
      </c>
      <c r="E112" s="36">
        <v>51</v>
      </c>
      <c r="F112" s="36">
        <v>292</v>
      </c>
      <c r="G112" s="36">
        <v>0</v>
      </c>
      <c r="H112" s="36">
        <v>72</v>
      </c>
      <c r="I112" s="36">
        <v>55</v>
      </c>
      <c r="J112" s="36">
        <v>469</v>
      </c>
      <c r="K112" s="36">
        <v>12</v>
      </c>
      <c r="L112" s="36">
        <v>0</v>
      </c>
      <c r="M112" s="37">
        <v>0</v>
      </c>
      <c r="N112" s="60">
        <v>210</v>
      </c>
      <c r="O112" s="39">
        <v>0</v>
      </c>
      <c r="P112" s="67">
        <v>1161</v>
      </c>
      <c r="Q112" s="40">
        <v>2999.72</v>
      </c>
      <c r="R112" s="41">
        <v>6.2106004140786748</v>
      </c>
    </row>
    <row r="113" spans="1:18">
      <c r="A113" s="5">
        <v>3</v>
      </c>
      <c r="B113" s="6" t="s">
        <v>5</v>
      </c>
      <c r="C113" s="5">
        <v>511</v>
      </c>
      <c r="D113" s="36">
        <v>108</v>
      </c>
      <c r="E113" s="36">
        <v>0</v>
      </c>
      <c r="F113" s="36">
        <v>216</v>
      </c>
      <c r="G113" s="36">
        <v>27</v>
      </c>
      <c r="H113" s="36">
        <v>27</v>
      </c>
      <c r="I113" s="36">
        <v>16</v>
      </c>
      <c r="J113" s="36">
        <v>322</v>
      </c>
      <c r="K113" s="36">
        <v>11</v>
      </c>
      <c r="L113" s="36">
        <v>0</v>
      </c>
      <c r="M113" s="37">
        <v>0</v>
      </c>
      <c r="N113" s="60">
        <v>157</v>
      </c>
      <c r="O113" s="39">
        <v>0</v>
      </c>
      <c r="P113" s="67">
        <v>884</v>
      </c>
      <c r="Q113" s="40">
        <v>2324.2099999999996</v>
      </c>
      <c r="R113" s="41">
        <v>4.5483561643835611</v>
      </c>
    </row>
    <row r="114" spans="1:18">
      <c r="A114" s="5">
        <v>4</v>
      </c>
      <c r="B114" s="6" t="s">
        <v>4</v>
      </c>
      <c r="C114" s="5">
        <v>497</v>
      </c>
      <c r="D114" s="36">
        <v>56</v>
      </c>
      <c r="E114" s="36">
        <v>0</v>
      </c>
      <c r="F114" s="36">
        <v>0</v>
      </c>
      <c r="G114" s="36">
        <v>5</v>
      </c>
      <c r="H114" s="36">
        <v>56</v>
      </c>
      <c r="I114" s="36">
        <v>0</v>
      </c>
      <c r="J114" s="36">
        <v>0</v>
      </c>
      <c r="K114" s="36">
        <v>0</v>
      </c>
      <c r="L114" s="36">
        <v>0</v>
      </c>
      <c r="M114" s="37">
        <v>0</v>
      </c>
      <c r="N114" s="60">
        <v>0</v>
      </c>
      <c r="O114" s="39">
        <v>0</v>
      </c>
      <c r="P114" s="67">
        <v>117</v>
      </c>
      <c r="Q114" s="40">
        <v>292.5</v>
      </c>
      <c r="R114" s="41">
        <v>0.58853118712273644</v>
      </c>
    </row>
    <row r="115" spans="1:18">
      <c r="A115" s="5">
        <v>5</v>
      </c>
      <c r="B115" s="6" t="s">
        <v>14</v>
      </c>
      <c r="C115" s="5">
        <v>519</v>
      </c>
      <c r="D115" s="36">
        <v>0</v>
      </c>
      <c r="E115" s="36">
        <v>0</v>
      </c>
      <c r="F115" s="36">
        <v>0</v>
      </c>
      <c r="G115" s="36">
        <v>0</v>
      </c>
      <c r="H115" s="36">
        <v>53</v>
      </c>
      <c r="I115" s="36">
        <v>0</v>
      </c>
      <c r="J115" s="36">
        <v>6</v>
      </c>
      <c r="K115" s="36">
        <v>0</v>
      </c>
      <c r="L115" s="36">
        <v>0</v>
      </c>
      <c r="M115" s="37">
        <v>0</v>
      </c>
      <c r="N115" s="60">
        <v>0</v>
      </c>
      <c r="O115" s="39">
        <v>0</v>
      </c>
      <c r="P115" s="67">
        <v>59</v>
      </c>
      <c r="Q115" s="40">
        <v>178.9</v>
      </c>
      <c r="R115" s="41">
        <v>0.34470134874759151</v>
      </c>
    </row>
    <row r="116" spans="1:18">
      <c r="A116" s="5">
        <v>6</v>
      </c>
      <c r="B116" s="6" t="s">
        <v>9</v>
      </c>
      <c r="C116" s="5">
        <v>457</v>
      </c>
      <c r="D116" s="36">
        <v>5</v>
      </c>
      <c r="E116" s="36">
        <v>0</v>
      </c>
      <c r="F116" s="36">
        <v>0</v>
      </c>
      <c r="G116" s="36">
        <v>0</v>
      </c>
      <c r="H116" s="36">
        <v>0</v>
      </c>
      <c r="I116" s="36">
        <v>0</v>
      </c>
      <c r="J116" s="36">
        <v>0</v>
      </c>
      <c r="K116" s="36">
        <v>0</v>
      </c>
      <c r="L116" s="36">
        <v>0</v>
      </c>
      <c r="M116" s="37">
        <v>0</v>
      </c>
      <c r="N116" s="60">
        <v>0</v>
      </c>
      <c r="O116" s="39">
        <v>0</v>
      </c>
      <c r="P116" s="67">
        <v>5</v>
      </c>
      <c r="Q116" s="40">
        <v>10.029999999999999</v>
      </c>
      <c r="R116" s="41">
        <v>2.1947483588621444E-2</v>
      </c>
    </row>
    <row r="117" spans="1:18">
      <c r="A117" s="5">
        <v>7</v>
      </c>
      <c r="B117" s="6" t="s">
        <v>13</v>
      </c>
      <c r="C117" s="5">
        <v>448</v>
      </c>
      <c r="D117" s="36">
        <v>0</v>
      </c>
      <c r="E117" s="36">
        <v>0</v>
      </c>
      <c r="F117" s="36">
        <v>0</v>
      </c>
      <c r="G117" s="36">
        <v>0</v>
      </c>
      <c r="H117" s="36">
        <v>0</v>
      </c>
      <c r="I117" s="36">
        <v>0</v>
      </c>
      <c r="J117" s="36">
        <v>0</v>
      </c>
      <c r="K117" s="36">
        <v>0</v>
      </c>
      <c r="L117" s="36">
        <v>0</v>
      </c>
      <c r="M117" s="37">
        <v>0</v>
      </c>
      <c r="N117" s="60">
        <v>0</v>
      </c>
      <c r="O117" s="39">
        <v>0</v>
      </c>
      <c r="P117" s="67">
        <v>0</v>
      </c>
      <c r="Q117" s="40">
        <v>0</v>
      </c>
      <c r="R117" s="41">
        <v>0</v>
      </c>
    </row>
    <row r="120" spans="1:18" ht="26.1" customHeight="1">
      <c r="A120" s="75" t="s">
        <v>91</v>
      </c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81"/>
    </row>
    <row r="121" spans="1:18">
      <c r="A121" s="138" t="s">
        <v>0</v>
      </c>
      <c r="B121" s="138" t="s">
        <v>11</v>
      </c>
      <c r="C121" s="139" t="s">
        <v>84</v>
      </c>
      <c r="D121" s="141" t="s">
        <v>6</v>
      </c>
      <c r="E121" s="141"/>
      <c r="F121" s="141"/>
      <c r="G121" s="141"/>
      <c r="H121" s="142" t="s">
        <v>7</v>
      </c>
      <c r="I121" s="142"/>
      <c r="J121" s="142"/>
      <c r="K121" s="142"/>
      <c r="L121" s="143" t="s">
        <v>16</v>
      </c>
      <c r="M121" s="143"/>
      <c r="N121" s="143"/>
      <c r="O121" s="143"/>
      <c r="P121" s="144" t="s">
        <v>76</v>
      </c>
      <c r="Q121" s="145" t="s">
        <v>18</v>
      </c>
      <c r="R121" s="146" t="s">
        <v>3</v>
      </c>
    </row>
    <row r="122" spans="1:18" ht="67.2">
      <c r="A122" s="138"/>
      <c r="B122" s="138"/>
      <c r="C122" s="140"/>
      <c r="D122" s="11" t="s">
        <v>1</v>
      </c>
      <c r="E122" s="11" t="s">
        <v>2</v>
      </c>
      <c r="F122" s="11" t="s">
        <v>17</v>
      </c>
      <c r="G122" s="11" t="s">
        <v>71</v>
      </c>
      <c r="H122" s="12" t="s">
        <v>1</v>
      </c>
      <c r="I122" s="12" t="s">
        <v>2</v>
      </c>
      <c r="J122" s="12" t="s">
        <v>17</v>
      </c>
      <c r="K122" s="12" t="s">
        <v>71</v>
      </c>
      <c r="L122" s="13" t="s">
        <v>1</v>
      </c>
      <c r="M122" s="13" t="s">
        <v>2</v>
      </c>
      <c r="N122" s="13" t="s">
        <v>17</v>
      </c>
      <c r="O122" s="13" t="s">
        <v>71</v>
      </c>
      <c r="P122" s="144"/>
      <c r="Q122" s="145"/>
      <c r="R122" s="146"/>
    </row>
    <row r="123" spans="1:18" hidden="1">
      <c r="A123" s="1"/>
      <c r="B123" s="1"/>
      <c r="C123" s="1"/>
      <c r="D123" s="2"/>
      <c r="E123" s="2"/>
      <c r="F123" s="2"/>
      <c r="G123" s="3"/>
      <c r="H123" s="3"/>
      <c r="I123" s="3"/>
      <c r="J123" s="3"/>
      <c r="K123" s="3"/>
      <c r="L123" s="3"/>
      <c r="M123" s="46"/>
      <c r="N123" s="52"/>
      <c r="O123" s="22"/>
      <c r="P123" s="21"/>
      <c r="Q123" s="21"/>
      <c r="R123" s="23"/>
    </row>
    <row r="124" spans="1:18">
      <c r="A124" s="1" t="s">
        <v>90</v>
      </c>
      <c r="B124" s="4" t="s">
        <v>10</v>
      </c>
      <c r="C124" s="1">
        <v>3544</v>
      </c>
      <c r="D124" s="29">
        <v>202</v>
      </c>
      <c r="E124" s="29">
        <v>399</v>
      </c>
      <c r="F124" s="29">
        <v>327</v>
      </c>
      <c r="G124" s="29">
        <v>0</v>
      </c>
      <c r="H124" s="29">
        <v>229</v>
      </c>
      <c r="I124" s="29">
        <v>325</v>
      </c>
      <c r="J124" s="29">
        <v>377</v>
      </c>
      <c r="K124" s="29">
        <v>0</v>
      </c>
      <c r="L124" s="29">
        <v>44</v>
      </c>
      <c r="M124" s="30">
        <v>89</v>
      </c>
      <c r="N124" s="59">
        <v>0</v>
      </c>
      <c r="O124" s="32">
        <v>0</v>
      </c>
      <c r="P124" s="66">
        <v>1992</v>
      </c>
      <c r="Q124" s="33">
        <v>4401.0600000000004</v>
      </c>
      <c r="R124" s="34">
        <v>1.2418340857787811</v>
      </c>
    </row>
    <row r="125" spans="1:18">
      <c r="A125" s="5">
        <v>1</v>
      </c>
      <c r="B125" s="6" t="s">
        <v>8</v>
      </c>
      <c r="C125" s="5">
        <v>629</v>
      </c>
      <c r="D125" s="36">
        <v>83</v>
      </c>
      <c r="E125" s="36">
        <v>374</v>
      </c>
      <c r="F125" s="36">
        <v>311</v>
      </c>
      <c r="G125" s="36">
        <v>0</v>
      </c>
      <c r="H125" s="36">
        <v>98</v>
      </c>
      <c r="I125" s="36">
        <v>325</v>
      </c>
      <c r="J125" s="36">
        <v>355</v>
      </c>
      <c r="K125" s="36">
        <v>0</v>
      </c>
      <c r="L125" s="36">
        <v>44</v>
      </c>
      <c r="M125" s="37">
        <v>74</v>
      </c>
      <c r="N125" s="60">
        <v>0</v>
      </c>
      <c r="O125" s="39">
        <v>0</v>
      </c>
      <c r="P125" s="67">
        <v>1664</v>
      </c>
      <c r="Q125" s="40">
        <v>3555.43</v>
      </c>
      <c r="R125" s="41">
        <v>5.6525119236883938</v>
      </c>
    </row>
    <row r="126" spans="1:18">
      <c r="A126" s="5">
        <v>2</v>
      </c>
      <c r="B126" s="6" t="s">
        <v>12</v>
      </c>
      <c r="C126" s="5">
        <v>483</v>
      </c>
      <c r="D126" s="36">
        <v>42</v>
      </c>
      <c r="E126" s="36">
        <v>0</v>
      </c>
      <c r="F126" s="36">
        <v>16</v>
      </c>
      <c r="G126" s="36">
        <v>0</v>
      </c>
      <c r="H126" s="36">
        <v>43</v>
      </c>
      <c r="I126" s="36">
        <v>0</v>
      </c>
      <c r="J126" s="36">
        <v>22</v>
      </c>
      <c r="K126" s="36">
        <v>0</v>
      </c>
      <c r="L126" s="36">
        <v>0</v>
      </c>
      <c r="M126" s="37">
        <v>0</v>
      </c>
      <c r="N126" s="60">
        <v>0</v>
      </c>
      <c r="O126" s="39">
        <v>0</v>
      </c>
      <c r="P126" s="67">
        <v>123</v>
      </c>
      <c r="Q126" s="40">
        <v>317.95999999999998</v>
      </c>
      <c r="R126" s="41">
        <v>0.65830227743271219</v>
      </c>
    </row>
    <row r="127" spans="1:18">
      <c r="A127" s="5">
        <v>3</v>
      </c>
      <c r="B127" s="6" t="s">
        <v>9</v>
      </c>
      <c r="C127" s="5">
        <v>457</v>
      </c>
      <c r="D127" s="36">
        <v>39</v>
      </c>
      <c r="E127" s="36">
        <v>0</v>
      </c>
      <c r="F127" s="36">
        <v>0</v>
      </c>
      <c r="G127" s="36">
        <v>0</v>
      </c>
      <c r="H127" s="36">
        <v>53</v>
      </c>
      <c r="I127" s="36">
        <v>0</v>
      </c>
      <c r="J127" s="36">
        <v>0</v>
      </c>
      <c r="K127" s="36">
        <v>0</v>
      </c>
      <c r="L127" s="36">
        <v>0</v>
      </c>
      <c r="M127" s="37">
        <v>0</v>
      </c>
      <c r="N127" s="60">
        <v>0</v>
      </c>
      <c r="O127" s="39">
        <v>0</v>
      </c>
      <c r="P127" s="67">
        <v>92</v>
      </c>
      <c r="Q127" s="40">
        <v>245.41</v>
      </c>
      <c r="R127" s="41">
        <v>0.53700218818380741</v>
      </c>
    </row>
    <row r="128" spans="1:18">
      <c r="A128" s="5">
        <v>4</v>
      </c>
      <c r="B128" s="6" t="s">
        <v>5</v>
      </c>
      <c r="C128" s="5">
        <v>511</v>
      </c>
      <c r="D128" s="36">
        <v>26</v>
      </c>
      <c r="E128" s="36">
        <v>0</v>
      </c>
      <c r="F128" s="36">
        <v>0</v>
      </c>
      <c r="G128" s="36">
        <v>0</v>
      </c>
      <c r="H128" s="36">
        <v>25</v>
      </c>
      <c r="I128" s="36">
        <v>0</v>
      </c>
      <c r="J128" s="36">
        <v>0</v>
      </c>
      <c r="K128" s="36">
        <v>0</v>
      </c>
      <c r="L128" s="36">
        <v>0</v>
      </c>
      <c r="M128" s="37">
        <v>0</v>
      </c>
      <c r="N128" s="60">
        <v>0</v>
      </c>
      <c r="O128" s="39">
        <v>0</v>
      </c>
      <c r="P128" s="67">
        <v>51</v>
      </c>
      <c r="Q128" s="40">
        <v>130.22</v>
      </c>
      <c r="R128" s="41">
        <v>0.25483365949119374</v>
      </c>
    </row>
    <row r="129" spans="1:18">
      <c r="A129" s="5">
        <v>5</v>
      </c>
      <c r="B129" s="6" t="s">
        <v>14</v>
      </c>
      <c r="C129" s="5">
        <v>519</v>
      </c>
      <c r="D129" s="36">
        <v>12</v>
      </c>
      <c r="E129" s="36">
        <v>0</v>
      </c>
      <c r="F129" s="36">
        <v>0</v>
      </c>
      <c r="G129" s="36">
        <v>0</v>
      </c>
      <c r="H129" s="36">
        <v>10</v>
      </c>
      <c r="I129" s="36">
        <v>0</v>
      </c>
      <c r="J129" s="36">
        <v>0</v>
      </c>
      <c r="K129" s="36">
        <v>0</v>
      </c>
      <c r="L129" s="36">
        <v>0</v>
      </c>
      <c r="M129" s="37">
        <v>15</v>
      </c>
      <c r="N129" s="60">
        <v>0</v>
      </c>
      <c r="O129" s="39">
        <v>0</v>
      </c>
      <c r="P129" s="67">
        <v>37</v>
      </c>
      <c r="Q129" s="40">
        <v>101.97</v>
      </c>
      <c r="R129" s="41">
        <v>0.19647398843930636</v>
      </c>
    </row>
    <row r="130" spans="1:18">
      <c r="A130" s="5">
        <v>6</v>
      </c>
      <c r="B130" s="6" t="s">
        <v>13</v>
      </c>
      <c r="C130" s="5">
        <v>448</v>
      </c>
      <c r="D130" s="36">
        <v>0</v>
      </c>
      <c r="E130" s="36">
        <v>25</v>
      </c>
      <c r="F130" s="36">
        <v>0</v>
      </c>
      <c r="G130" s="36">
        <v>0</v>
      </c>
      <c r="H130" s="36">
        <v>0</v>
      </c>
      <c r="I130" s="36">
        <v>0</v>
      </c>
      <c r="J130" s="36">
        <v>0</v>
      </c>
      <c r="K130" s="36">
        <v>0</v>
      </c>
      <c r="L130" s="36">
        <v>0</v>
      </c>
      <c r="M130" s="37">
        <v>0</v>
      </c>
      <c r="N130" s="60">
        <v>0</v>
      </c>
      <c r="O130" s="39">
        <v>0</v>
      </c>
      <c r="P130" s="67">
        <v>25</v>
      </c>
      <c r="Q130" s="40">
        <v>50.07</v>
      </c>
      <c r="R130" s="41">
        <v>0.11176339285714286</v>
      </c>
    </row>
    <row r="131" spans="1:18">
      <c r="A131" s="5">
        <v>7</v>
      </c>
      <c r="B131" s="6" t="s">
        <v>4</v>
      </c>
      <c r="C131" s="5">
        <v>497</v>
      </c>
      <c r="D131" s="36">
        <v>0</v>
      </c>
      <c r="E131" s="36">
        <v>0</v>
      </c>
      <c r="F131" s="36">
        <v>0</v>
      </c>
      <c r="G131" s="36">
        <v>0</v>
      </c>
      <c r="H131" s="36">
        <v>0</v>
      </c>
      <c r="I131" s="36">
        <v>0</v>
      </c>
      <c r="J131" s="36">
        <v>0</v>
      </c>
      <c r="K131" s="36">
        <v>0</v>
      </c>
      <c r="L131" s="36">
        <v>0</v>
      </c>
      <c r="M131" s="37">
        <v>0</v>
      </c>
      <c r="N131" s="60">
        <v>0</v>
      </c>
      <c r="O131" s="39">
        <v>0</v>
      </c>
      <c r="P131" s="67">
        <v>0</v>
      </c>
      <c r="Q131" s="40">
        <v>0</v>
      </c>
      <c r="R131" s="41">
        <v>0</v>
      </c>
    </row>
    <row r="134" spans="1:18" ht="25.35" customHeight="1">
      <c r="A134" s="75" t="s">
        <v>89</v>
      </c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81"/>
    </row>
    <row r="135" spans="1:18">
      <c r="A135" s="138" t="s">
        <v>0</v>
      </c>
      <c r="B135" s="138" t="s">
        <v>11</v>
      </c>
      <c r="C135" s="139" t="s">
        <v>84</v>
      </c>
      <c r="D135" s="141" t="s">
        <v>6</v>
      </c>
      <c r="E135" s="141"/>
      <c r="F135" s="141"/>
      <c r="G135" s="141"/>
      <c r="H135" s="142" t="s">
        <v>7</v>
      </c>
      <c r="I135" s="142"/>
      <c r="J135" s="142"/>
      <c r="K135" s="142"/>
      <c r="L135" s="143" t="s">
        <v>16</v>
      </c>
      <c r="M135" s="143"/>
      <c r="N135" s="143"/>
      <c r="O135" s="143"/>
      <c r="P135" s="144" t="s">
        <v>76</v>
      </c>
      <c r="Q135" s="145" t="s">
        <v>18</v>
      </c>
      <c r="R135" s="146" t="s">
        <v>3</v>
      </c>
    </row>
    <row r="136" spans="1:18" ht="67.2">
      <c r="A136" s="138"/>
      <c r="B136" s="138"/>
      <c r="C136" s="140"/>
      <c r="D136" s="11" t="s">
        <v>1</v>
      </c>
      <c r="E136" s="11" t="s">
        <v>2</v>
      </c>
      <c r="F136" s="11" t="s">
        <v>17</v>
      </c>
      <c r="G136" s="11" t="s">
        <v>71</v>
      </c>
      <c r="H136" s="12" t="s">
        <v>1</v>
      </c>
      <c r="I136" s="12" t="s">
        <v>2</v>
      </c>
      <c r="J136" s="12" t="s">
        <v>17</v>
      </c>
      <c r="K136" s="12" t="s">
        <v>71</v>
      </c>
      <c r="L136" s="13" t="s">
        <v>1</v>
      </c>
      <c r="M136" s="13" t="s">
        <v>2</v>
      </c>
      <c r="N136" s="13" t="s">
        <v>17</v>
      </c>
      <c r="O136" s="13" t="s">
        <v>71</v>
      </c>
      <c r="P136" s="144"/>
      <c r="Q136" s="145"/>
      <c r="R136" s="146"/>
    </row>
    <row r="137" spans="1:18" hidden="1">
      <c r="A137" s="1"/>
      <c r="B137" s="1"/>
      <c r="C137" s="1"/>
      <c r="D137" s="2"/>
      <c r="E137" s="2"/>
      <c r="F137" s="2"/>
      <c r="G137" s="3"/>
      <c r="H137" s="3"/>
      <c r="I137" s="3"/>
      <c r="J137" s="3"/>
      <c r="K137" s="3"/>
      <c r="L137" s="3"/>
      <c r="M137" s="46"/>
      <c r="N137" s="52"/>
      <c r="O137" s="22"/>
      <c r="P137" s="21"/>
      <c r="Q137" s="21"/>
      <c r="R137" s="23"/>
    </row>
    <row r="138" spans="1:18">
      <c r="A138" s="1" t="s">
        <v>90</v>
      </c>
      <c r="B138" s="4" t="s">
        <v>10</v>
      </c>
      <c r="C138" s="1">
        <v>3544</v>
      </c>
      <c r="D138" s="29">
        <v>122</v>
      </c>
      <c r="E138" s="29">
        <v>523</v>
      </c>
      <c r="F138" s="29">
        <v>253</v>
      </c>
      <c r="G138" s="29">
        <v>0</v>
      </c>
      <c r="H138" s="29">
        <v>186</v>
      </c>
      <c r="I138" s="29">
        <v>108</v>
      </c>
      <c r="J138" s="29">
        <v>358</v>
      </c>
      <c r="K138" s="29">
        <v>0</v>
      </c>
      <c r="L138" s="29">
        <v>47</v>
      </c>
      <c r="M138" s="30">
        <v>0</v>
      </c>
      <c r="N138" s="59">
        <v>0</v>
      </c>
      <c r="O138" s="32">
        <v>0</v>
      </c>
      <c r="P138" s="66">
        <v>1597</v>
      </c>
      <c r="Q138" s="33">
        <v>3806.67</v>
      </c>
      <c r="R138" s="34">
        <v>10</v>
      </c>
    </row>
    <row r="139" spans="1:18">
      <c r="A139" s="5">
        <v>1</v>
      </c>
      <c r="B139" s="6" t="s">
        <v>8</v>
      </c>
      <c r="C139" s="5">
        <v>629</v>
      </c>
      <c r="D139" s="36">
        <v>45</v>
      </c>
      <c r="E139" s="36">
        <v>523</v>
      </c>
      <c r="F139" s="36">
        <v>0</v>
      </c>
      <c r="G139" s="36">
        <v>0</v>
      </c>
      <c r="H139" s="36">
        <v>94</v>
      </c>
      <c r="I139" s="36">
        <v>108</v>
      </c>
      <c r="J139" s="36">
        <v>104</v>
      </c>
      <c r="K139" s="36">
        <v>0</v>
      </c>
      <c r="L139" s="36">
        <v>29</v>
      </c>
      <c r="M139" s="37">
        <v>0</v>
      </c>
      <c r="N139" s="60">
        <v>0</v>
      </c>
      <c r="O139" s="39">
        <v>0</v>
      </c>
      <c r="P139" s="67">
        <v>903</v>
      </c>
      <c r="Q139" s="40">
        <v>2062.7700000000004</v>
      </c>
      <c r="R139" s="41">
        <v>3.3478731624762879</v>
      </c>
    </row>
    <row r="140" spans="1:18">
      <c r="A140" s="5">
        <v>2</v>
      </c>
      <c r="B140" s="6" t="s">
        <v>9</v>
      </c>
      <c r="C140" s="5">
        <v>457</v>
      </c>
      <c r="D140" s="36">
        <v>0</v>
      </c>
      <c r="E140" s="36">
        <v>0</v>
      </c>
      <c r="F140" s="36">
        <v>154</v>
      </c>
      <c r="G140" s="36">
        <v>0</v>
      </c>
      <c r="H140" s="36">
        <v>0</v>
      </c>
      <c r="I140" s="36">
        <v>0</v>
      </c>
      <c r="J140" s="36">
        <v>153</v>
      </c>
      <c r="K140" s="36">
        <v>0</v>
      </c>
      <c r="L140" s="36">
        <v>0</v>
      </c>
      <c r="M140" s="37">
        <v>0</v>
      </c>
      <c r="N140" s="60">
        <v>0</v>
      </c>
      <c r="O140" s="39">
        <v>0</v>
      </c>
      <c r="P140" s="67">
        <v>307</v>
      </c>
      <c r="Q140" s="40">
        <v>763.7</v>
      </c>
      <c r="R140" s="41">
        <v>1.1509135072700094</v>
      </c>
    </row>
    <row r="141" spans="1:18">
      <c r="A141" s="5">
        <v>3</v>
      </c>
      <c r="B141" s="6" t="s">
        <v>12</v>
      </c>
      <c r="C141" s="5">
        <v>483</v>
      </c>
      <c r="D141" s="36">
        <v>63</v>
      </c>
      <c r="E141" s="36">
        <v>0</v>
      </c>
      <c r="F141" s="36">
        <v>0</v>
      </c>
      <c r="G141" s="36">
        <v>0</v>
      </c>
      <c r="H141" s="36">
        <v>69</v>
      </c>
      <c r="I141" s="36">
        <v>0</v>
      </c>
      <c r="J141" s="36">
        <v>0</v>
      </c>
      <c r="K141" s="36">
        <v>0</v>
      </c>
      <c r="L141" s="36">
        <v>18</v>
      </c>
      <c r="M141" s="37">
        <v>0</v>
      </c>
      <c r="N141" s="60">
        <v>0</v>
      </c>
      <c r="O141" s="39">
        <v>0</v>
      </c>
      <c r="P141" s="67">
        <v>150</v>
      </c>
      <c r="Q141" s="40">
        <v>406.06999999999994</v>
      </c>
      <c r="R141" s="41">
        <v>1.0367866307866309</v>
      </c>
    </row>
    <row r="142" spans="1:18">
      <c r="A142" s="5">
        <v>4</v>
      </c>
      <c r="B142" s="6" t="s">
        <v>13</v>
      </c>
      <c r="C142" s="5">
        <v>448</v>
      </c>
      <c r="D142" s="36">
        <v>0</v>
      </c>
      <c r="E142" s="36">
        <v>0</v>
      </c>
      <c r="F142" s="36">
        <v>99</v>
      </c>
      <c r="G142" s="36">
        <v>0</v>
      </c>
      <c r="H142" s="36">
        <v>0</v>
      </c>
      <c r="I142" s="36">
        <v>0</v>
      </c>
      <c r="J142" s="36">
        <v>101</v>
      </c>
      <c r="K142" s="36">
        <v>0</v>
      </c>
      <c r="L142" s="36">
        <v>0</v>
      </c>
      <c r="M142" s="37">
        <v>0</v>
      </c>
      <c r="N142" s="60">
        <v>0</v>
      </c>
      <c r="O142" s="39">
        <v>0</v>
      </c>
      <c r="P142" s="67">
        <v>200</v>
      </c>
      <c r="Q142" s="40">
        <v>490.55000000000007</v>
      </c>
      <c r="R142" s="41">
        <v>0.7531974437605885</v>
      </c>
    </row>
    <row r="143" spans="1:18">
      <c r="A143" s="5">
        <v>5</v>
      </c>
      <c r="B143" s="6" t="s">
        <v>4</v>
      </c>
      <c r="C143" s="5">
        <v>497</v>
      </c>
      <c r="D143" s="36">
        <v>0</v>
      </c>
      <c r="E143" s="36">
        <v>0</v>
      </c>
      <c r="F143" s="36">
        <v>0</v>
      </c>
      <c r="G143" s="36">
        <v>0</v>
      </c>
      <c r="H143" s="36">
        <v>17</v>
      </c>
      <c r="I143" s="36">
        <v>0</v>
      </c>
      <c r="J143" s="36">
        <v>0</v>
      </c>
      <c r="K143" s="36">
        <v>0</v>
      </c>
      <c r="L143" s="36">
        <v>0</v>
      </c>
      <c r="M143" s="37">
        <v>0</v>
      </c>
      <c r="N143" s="60">
        <v>0</v>
      </c>
      <c r="O143" s="39">
        <v>0</v>
      </c>
      <c r="P143" s="67">
        <v>17</v>
      </c>
      <c r="Q143" s="40">
        <v>53.2</v>
      </c>
      <c r="R143" s="41">
        <v>7.7438136826783119E-2</v>
      </c>
    </row>
    <row r="144" spans="1:18">
      <c r="A144" s="5">
        <v>6</v>
      </c>
      <c r="B144" s="6" t="s">
        <v>14</v>
      </c>
      <c r="C144" s="5">
        <v>519</v>
      </c>
      <c r="D144" s="36">
        <v>14</v>
      </c>
      <c r="E144" s="36">
        <v>0</v>
      </c>
      <c r="F144" s="36">
        <v>0</v>
      </c>
      <c r="G144" s="36">
        <v>0</v>
      </c>
      <c r="H144" s="36">
        <v>6</v>
      </c>
      <c r="I144" s="36">
        <v>0</v>
      </c>
      <c r="J144" s="36">
        <v>0</v>
      </c>
      <c r="K144" s="36">
        <v>0</v>
      </c>
      <c r="L144" s="36">
        <v>0</v>
      </c>
      <c r="M144" s="37">
        <v>0</v>
      </c>
      <c r="N144" s="60">
        <v>0</v>
      </c>
      <c r="O144" s="39">
        <v>0</v>
      </c>
      <c r="P144" s="67">
        <v>20</v>
      </c>
      <c r="Q144" s="40">
        <v>30.38</v>
      </c>
      <c r="R144" s="41">
        <v>4.1502732240437157E-2</v>
      </c>
    </row>
    <row r="145" spans="1:18">
      <c r="A145" s="5">
        <v>7</v>
      </c>
      <c r="B145" s="6" t="s">
        <v>5</v>
      </c>
      <c r="C145" s="5">
        <v>511</v>
      </c>
      <c r="D145" s="36">
        <v>0</v>
      </c>
      <c r="E145" s="36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7">
        <v>0</v>
      </c>
      <c r="N145" s="60">
        <v>0</v>
      </c>
      <c r="O145" s="39">
        <v>0</v>
      </c>
      <c r="P145" s="67">
        <v>0</v>
      </c>
      <c r="Q145" s="40">
        <v>0</v>
      </c>
      <c r="R145" s="41">
        <v>0</v>
      </c>
    </row>
    <row r="148" spans="1:18" ht="20.399999999999999">
      <c r="A148" s="45" t="s">
        <v>88</v>
      </c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70"/>
    </row>
    <row r="149" spans="1:18">
      <c r="A149" s="138" t="s">
        <v>0</v>
      </c>
      <c r="B149" s="138" t="s">
        <v>11</v>
      </c>
      <c r="C149" s="139" t="s">
        <v>84</v>
      </c>
      <c r="D149" s="141" t="s">
        <v>6</v>
      </c>
      <c r="E149" s="141"/>
      <c r="F149" s="141"/>
      <c r="G149" s="141"/>
      <c r="H149" s="142" t="s">
        <v>7</v>
      </c>
      <c r="I149" s="142"/>
      <c r="J149" s="142"/>
      <c r="K149" s="142"/>
      <c r="L149" s="143" t="s">
        <v>16</v>
      </c>
      <c r="M149" s="143"/>
      <c r="N149" s="143"/>
      <c r="O149" s="143"/>
      <c r="P149" s="144" t="s">
        <v>76</v>
      </c>
      <c r="Q149" s="145" t="s">
        <v>18</v>
      </c>
      <c r="R149" s="146" t="s">
        <v>3</v>
      </c>
    </row>
    <row r="150" spans="1:18" ht="67.2">
      <c r="A150" s="138"/>
      <c r="B150" s="138"/>
      <c r="C150" s="140"/>
      <c r="D150" s="11" t="s">
        <v>1</v>
      </c>
      <c r="E150" s="11" t="s">
        <v>2</v>
      </c>
      <c r="F150" s="11" t="s">
        <v>17</v>
      </c>
      <c r="G150" s="11" t="s">
        <v>71</v>
      </c>
      <c r="H150" s="12" t="s">
        <v>1</v>
      </c>
      <c r="I150" s="12" t="s">
        <v>2</v>
      </c>
      <c r="J150" s="12" t="s">
        <v>17</v>
      </c>
      <c r="K150" s="12" t="s">
        <v>71</v>
      </c>
      <c r="L150" s="13" t="s">
        <v>1</v>
      </c>
      <c r="M150" s="13" t="s">
        <v>2</v>
      </c>
      <c r="N150" s="13" t="s">
        <v>17</v>
      </c>
      <c r="O150" s="13" t="s">
        <v>71</v>
      </c>
      <c r="P150" s="144"/>
      <c r="Q150" s="145"/>
      <c r="R150" s="146"/>
    </row>
    <row r="151" spans="1:18" hidden="1">
      <c r="A151" s="1"/>
      <c r="B151" s="1"/>
      <c r="C151" s="1"/>
      <c r="D151" s="2"/>
      <c r="E151" s="2"/>
      <c r="F151" s="2"/>
      <c r="G151" s="3"/>
      <c r="H151" s="3"/>
      <c r="I151" s="3"/>
      <c r="J151" s="3"/>
      <c r="K151" s="3"/>
      <c r="L151" s="3"/>
      <c r="M151" s="46"/>
      <c r="N151" s="52"/>
      <c r="O151" s="22"/>
      <c r="P151" s="21"/>
      <c r="Q151" s="21"/>
      <c r="R151" s="23"/>
    </row>
    <row r="152" spans="1:18">
      <c r="A152" s="5"/>
      <c r="B152" s="4" t="s">
        <v>10</v>
      </c>
      <c r="C152" s="1">
        <v>3544</v>
      </c>
      <c r="D152" s="29">
        <v>147</v>
      </c>
      <c r="E152" s="29">
        <v>17</v>
      </c>
      <c r="F152" s="29">
        <v>593</v>
      </c>
      <c r="G152" s="29">
        <v>6</v>
      </c>
      <c r="H152" s="29">
        <v>209</v>
      </c>
      <c r="I152" s="29">
        <v>0</v>
      </c>
      <c r="J152" s="29">
        <v>602</v>
      </c>
      <c r="K152" s="29">
        <v>0</v>
      </c>
      <c r="L152" s="29">
        <v>14</v>
      </c>
      <c r="M152" s="30">
        <v>0</v>
      </c>
      <c r="N152" s="59">
        <v>0</v>
      </c>
      <c r="O152" s="32">
        <v>0</v>
      </c>
      <c r="P152" s="66">
        <v>1588</v>
      </c>
      <c r="Q152" s="33">
        <v>3413.26</v>
      </c>
      <c r="R152" s="34">
        <v>0.96310948081264114</v>
      </c>
    </row>
    <row r="153" spans="1:18">
      <c r="A153" s="5">
        <v>1</v>
      </c>
      <c r="B153" s="6" t="s">
        <v>12</v>
      </c>
      <c r="C153" s="5">
        <v>483</v>
      </c>
      <c r="D153" s="36">
        <v>17</v>
      </c>
      <c r="E153" s="36">
        <v>0</v>
      </c>
      <c r="F153" s="36">
        <v>408</v>
      </c>
      <c r="G153" s="36">
        <v>0</v>
      </c>
      <c r="H153" s="36">
        <v>16</v>
      </c>
      <c r="I153" s="36">
        <v>0</v>
      </c>
      <c r="J153" s="36">
        <v>412</v>
      </c>
      <c r="K153" s="36">
        <v>0</v>
      </c>
      <c r="L153" s="36">
        <v>0</v>
      </c>
      <c r="M153" s="37">
        <v>0</v>
      </c>
      <c r="N153" s="60">
        <v>0</v>
      </c>
      <c r="O153" s="39">
        <v>0</v>
      </c>
      <c r="P153" s="67">
        <v>853</v>
      </c>
      <c r="Q153" s="40">
        <v>1539.7400000000002</v>
      </c>
      <c r="R153" s="41">
        <v>3.1878674948240171</v>
      </c>
    </row>
    <row r="154" spans="1:18">
      <c r="A154" s="5">
        <v>2</v>
      </c>
      <c r="B154" s="6" t="s">
        <v>14</v>
      </c>
      <c r="C154" s="5">
        <v>519</v>
      </c>
      <c r="D154" s="36">
        <v>0</v>
      </c>
      <c r="E154" s="36">
        <v>0</v>
      </c>
      <c r="F154" s="36">
        <v>185</v>
      </c>
      <c r="G154" s="36">
        <v>6</v>
      </c>
      <c r="H154" s="36">
        <v>5</v>
      </c>
      <c r="I154" s="36">
        <v>0</v>
      </c>
      <c r="J154" s="36">
        <v>190</v>
      </c>
      <c r="K154" s="36">
        <v>0</v>
      </c>
      <c r="L154" s="36">
        <v>0</v>
      </c>
      <c r="M154" s="37">
        <v>0</v>
      </c>
      <c r="N154" s="60">
        <v>0</v>
      </c>
      <c r="O154" s="39">
        <v>0</v>
      </c>
      <c r="P154" s="67">
        <v>386</v>
      </c>
      <c r="Q154" s="40">
        <v>973.36999999999989</v>
      </c>
      <c r="R154" s="41">
        <v>1.8754720616570326</v>
      </c>
    </row>
    <row r="155" spans="1:18">
      <c r="A155" s="5">
        <v>3</v>
      </c>
      <c r="B155" s="6" t="s">
        <v>5</v>
      </c>
      <c r="C155" s="5">
        <v>511</v>
      </c>
      <c r="D155" s="36">
        <v>54</v>
      </c>
      <c r="E155" s="36">
        <v>17</v>
      </c>
      <c r="F155" s="36">
        <v>0</v>
      </c>
      <c r="G155" s="36">
        <v>0</v>
      </c>
      <c r="H155" s="36">
        <v>66</v>
      </c>
      <c r="I155" s="36">
        <v>0</v>
      </c>
      <c r="J155" s="36">
        <v>0</v>
      </c>
      <c r="K155" s="36">
        <v>0</v>
      </c>
      <c r="L155" s="36">
        <v>0</v>
      </c>
      <c r="M155" s="37">
        <v>0</v>
      </c>
      <c r="N155" s="60">
        <v>0</v>
      </c>
      <c r="O155" s="39">
        <v>0</v>
      </c>
      <c r="P155" s="67">
        <v>137</v>
      </c>
      <c r="Q155" s="40">
        <v>347.9</v>
      </c>
      <c r="R155" s="41">
        <v>0.6808219178082191</v>
      </c>
    </row>
    <row r="156" spans="1:18">
      <c r="A156" s="5">
        <v>4</v>
      </c>
      <c r="B156" s="6" t="s">
        <v>8</v>
      </c>
      <c r="C156" s="5">
        <v>629</v>
      </c>
      <c r="D156" s="36">
        <v>38</v>
      </c>
      <c r="E156" s="36">
        <v>0</v>
      </c>
      <c r="F156" s="36">
        <v>0</v>
      </c>
      <c r="G156" s="36">
        <v>0</v>
      </c>
      <c r="H156" s="36">
        <v>103</v>
      </c>
      <c r="I156" s="36">
        <v>0</v>
      </c>
      <c r="J156" s="36">
        <v>0</v>
      </c>
      <c r="K156" s="36">
        <v>0</v>
      </c>
      <c r="L156" s="36">
        <v>14</v>
      </c>
      <c r="M156" s="37">
        <v>0</v>
      </c>
      <c r="N156" s="60">
        <v>0</v>
      </c>
      <c r="O156" s="39">
        <v>0</v>
      </c>
      <c r="P156" s="67">
        <v>155</v>
      </c>
      <c r="Q156" s="40">
        <v>407.9</v>
      </c>
      <c r="R156" s="41">
        <v>0.64848966613672487</v>
      </c>
    </row>
    <row r="157" spans="1:18">
      <c r="A157" s="5">
        <v>5</v>
      </c>
      <c r="B157" s="6" t="s">
        <v>9</v>
      </c>
      <c r="C157" s="5">
        <v>457</v>
      </c>
      <c r="D157" s="36">
        <v>17</v>
      </c>
      <c r="E157" s="36">
        <v>0</v>
      </c>
      <c r="F157" s="36">
        <v>0</v>
      </c>
      <c r="G157" s="36">
        <v>0</v>
      </c>
      <c r="H157" s="36">
        <v>19</v>
      </c>
      <c r="I157" s="36">
        <v>0</v>
      </c>
      <c r="J157" s="36">
        <v>0</v>
      </c>
      <c r="K157" s="36">
        <v>0</v>
      </c>
      <c r="L157" s="36">
        <v>0</v>
      </c>
      <c r="M157" s="37">
        <v>0</v>
      </c>
      <c r="N157" s="60">
        <v>0</v>
      </c>
      <c r="O157" s="39">
        <v>0</v>
      </c>
      <c r="P157" s="67">
        <v>36</v>
      </c>
      <c r="Q157" s="40">
        <v>98.990000000000009</v>
      </c>
      <c r="R157" s="41">
        <v>0.21660831509846828</v>
      </c>
    </row>
    <row r="158" spans="1:18">
      <c r="A158" s="5">
        <v>6</v>
      </c>
      <c r="B158" s="6" t="s">
        <v>13</v>
      </c>
      <c r="C158" s="5">
        <v>448</v>
      </c>
      <c r="D158" s="36">
        <v>21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7">
        <v>0</v>
      </c>
      <c r="N158" s="60">
        <v>0</v>
      </c>
      <c r="O158" s="39">
        <v>0</v>
      </c>
      <c r="P158" s="67">
        <v>21</v>
      </c>
      <c r="Q158" s="40">
        <v>45.36</v>
      </c>
      <c r="R158" s="41">
        <v>0.10124999999999999</v>
      </c>
    </row>
    <row r="159" spans="1:18">
      <c r="A159" s="5">
        <v>7</v>
      </c>
      <c r="B159" s="6" t="s">
        <v>4</v>
      </c>
      <c r="C159" s="5">
        <v>497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7">
        <v>0</v>
      </c>
      <c r="N159" s="60">
        <v>0</v>
      </c>
      <c r="O159" s="39">
        <v>0</v>
      </c>
      <c r="P159" s="67">
        <v>0</v>
      </c>
      <c r="Q159" s="40">
        <v>0</v>
      </c>
      <c r="R159" s="41">
        <v>0</v>
      </c>
    </row>
    <row r="162" spans="1:18" ht="27.45" customHeight="1">
      <c r="A162" s="45" t="s">
        <v>87</v>
      </c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70"/>
    </row>
    <row r="163" spans="1:18">
      <c r="A163" s="138" t="s">
        <v>0</v>
      </c>
      <c r="B163" s="138" t="s">
        <v>11</v>
      </c>
      <c r="C163" s="139" t="s">
        <v>84</v>
      </c>
      <c r="D163" s="141" t="s">
        <v>6</v>
      </c>
      <c r="E163" s="141"/>
      <c r="F163" s="141"/>
      <c r="G163" s="141"/>
      <c r="H163" s="142" t="s">
        <v>7</v>
      </c>
      <c r="I163" s="142"/>
      <c r="J163" s="142"/>
      <c r="K163" s="142"/>
      <c r="L163" s="143" t="s">
        <v>16</v>
      </c>
      <c r="M163" s="143"/>
      <c r="N163" s="143"/>
      <c r="O163" s="143"/>
      <c r="P163" s="144" t="s">
        <v>76</v>
      </c>
      <c r="Q163" s="145" t="s">
        <v>18</v>
      </c>
      <c r="R163" s="146" t="s">
        <v>3</v>
      </c>
    </row>
    <row r="164" spans="1:18" ht="67.2">
      <c r="A164" s="138"/>
      <c r="B164" s="138"/>
      <c r="C164" s="140"/>
      <c r="D164" s="11" t="s">
        <v>1</v>
      </c>
      <c r="E164" s="11" t="s">
        <v>2</v>
      </c>
      <c r="F164" s="11" t="s">
        <v>17</v>
      </c>
      <c r="G164" s="11" t="s">
        <v>71</v>
      </c>
      <c r="H164" s="12" t="s">
        <v>1</v>
      </c>
      <c r="I164" s="12" t="s">
        <v>2</v>
      </c>
      <c r="J164" s="12" t="s">
        <v>17</v>
      </c>
      <c r="K164" s="12" t="s">
        <v>71</v>
      </c>
      <c r="L164" s="13" t="s">
        <v>1</v>
      </c>
      <c r="M164" s="13" t="s">
        <v>2</v>
      </c>
      <c r="N164" s="13" t="s">
        <v>17</v>
      </c>
      <c r="O164" s="13" t="s">
        <v>71</v>
      </c>
      <c r="P164" s="144"/>
      <c r="Q164" s="145"/>
      <c r="R164" s="146"/>
    </row>
    <row r="165" spans="1:18" hidden="1">
      <c r="A165" s="1"/>
      <c r="B165" s="1"/>
      <c r="C165" s="1"/>
      <c r="D165" s="2"/>
      <c r="E165" s="2"/>
      <c r="F165" s="2"/>
      <c r="G165" s="3"/>
      <c r="H165" s="3"/>
      <c r="I165" s="3"/>
      <c r="J165" s="3"/>
      <c r="K165" s="3"/>
      <c r="L165" s="3"/>
      <c r="M165" s="46"/>
      <c r="N165" s="52"/>
      <c r="O165" s="22"/>
      <c r="P165" s="21"/>
      <c r="Q165" s="21"/>
      <c r="R165" s="23"/>
    </row>
    <row r="166" spans="1:18">
      <c r="A166" s="5"/>
      <c r="B166" s="4" t="s">
        <v>10</v>
      </c>
      <c r="C166" s="1">
        <v>3550</v>
      </c>
      <c r="D166" s="29">
        <v>170</v>
      </c>
      <c r="E166" s="29">
        <v>0</v>
      </c>
      <c r="F166" s="29">
        <v>564</v>
      </c>
      <c r="G166" s="29">
        <v>0</v>
      </c>
      <c r="H166" s="29">
        <v>184</v>
      </c>
      <c r="I166" s="29">
        <v>0</v>
      </c>
      <c r="J166" s="29">
        <v>764</v>
      </c>
      <c r="K166" s="29">
        <v>0</v>
      </c>
      <c r="L166" s="29">
        <v>28</v>
      </c>
      <c r="M166" s="30">
        <v>0</v>
      </c>
      <c r="N166" s="59">
        <v>196</v>
      </c>
      <c r="O166" s="32">
        <v>0</v>
      </c>
      <c r="P166" s="66">
        <v>1906</v>
      </c>
      <c r="Q166" s="33">
        <v>3800.5499999999997</v>
      </c>
      <c r="R166" s="34">
        <v>1.0705774647887323</v>
      </c>
    </row>
    <row r="167" spans="1:18">
      <c r="A167" s="5">
        <v>1</v>
      </c>
      <c r="B167" s="6" t="s">
        <v>4</v>
      </c>
      <c r="C167" s="5">
        <v>499</v>
      </c>
      <c r="D167" s="36">
        <v>19</v>
      </c>
      <c r="E167" s="36">
        <v>0</v>
      </c>
      <c r="F167" s="36">
        <v>477</v>
      </c>
      <c r="G167" s="36">
        <v>0</v>
      </c>
      <c r="H167" s="36">
        <v>39</v>
      </c>
      <c r="I167" s="36">
        <v>0</v>
      </c>
      <c r="J167" s="36">
        <v>529</v>
      </c>
      <c r="K167" s="36">
        <v>0</v>
      </c>
      <c r="L167" s="36">
        <v>0</v>
      </c>
      <c r="M167" s="37">
        <v>0</v>
      </c>
      <c r="N167" s="60">
        <v>0</v>
      </c>
      <c r="O167" s="39">
        <v>0</v>
      </c>
      <c r="P167" s="67">
        <v>1064</v>
      </c>
      <c r="Q167" s="40">
        <v>1730.05</v>
      </c>
      <c r="R167" s="41">
        <v>3.4670340681362726</v>
      </c>
    </row>
    <row r="168" spans="1:18">
      <c r="A168" s="5">
        <v>2</v>
      </c>
      <c r="B168" s="6" t="s">
        <v>12</v>
      </c>
      <c r="C168" s="5">
        <v>476</v>
      </c>
      <c r="D168" s="36">
        <v>5</v>
      </c>
      <c r="E168" s="36">
        <v>0</v>
      </c>
      <c r="F168" s="36">
        <v>0</v>
      </c>
      <c r="G168" s="36">
        <v>0</v>
      </c>
      <c r="H168" s="36">
        <v>5</v>
      </c>
      <c r="I168" s="36">
        <v>0</v>
      </c>
      <c r="J168" s="36">
        <v>0</v>
      </c>
      <c r="K168" s="36">
        <v>0</v>
      </c>
      <c r="L168" s="36">
        <v>0</v>
      </c>
      <c r="M168" s="37">
        <v>0</v>
      </c>
      <c r="N168" s="60">
        <v>196</v>
      </c>
      <c r="O168" s="39">
        <v>0</v>
      </c>
      <c r="P168" s="67">
        <v>206</v>
      </c>
      <c r="Q168" s="40">
        <v>607.4</v>
      </c>
      <c r="R168" s="41">
        <v>1.2760504201680671</v>
      </c>
    </row>
    <row r="169" spans="1:18">
      <c r="A169" s="5">
        <v>3</v>
      </c>
      <c r="B169" s="6" t="s">
        <v>14</v>
      </c>
      <c r="C169" s="5">
        <v>493</v>
      </c>
      <c r="D169" s="36">
        <v>36</v>
      </c>
      <c r="E169" s="36">
        <v>0</v>
      </c>
      <c r="F169" s="36">
        <v>66</v>
      </c>
      <c r="G169" s="36">
        <v>0</v>
      </c>
      <c r="H169" s="36">
        <v>32</v>
      </c>
      <c r="I169" s="36">
        <v>0</v>
      </c>
      <c r="J169" s="36">
        <v>63</v>
      </c>
      <c r="K169" s="36">
        <v>0</v>
      </c>
      <c r="L169" s="36">
        <v>0</v>
      </c>
      <c r="M169" s="37">
        <v>0</v>
      </c>
      <c r="N169" s="60">
        <v>0</v>
      </c>
      <c r="O169" s="39">
        <v>0</v>
      </c>
      <c r="P169" s="67">
        <v>197</v>
      </c>
      <c r="Q169" s="40">
        <v>501.46999999999997</v>
      </c>
      <c r="R169" s="41">
        <v>1.0171805273833672</v>
      </c>
    </row>
    <row r="170" spans="1:18">
      <c r="A170" s="5">
        <v>4</v>
      </c>
      <c r="B170" s="6" t="s">
        <v>8</v>
      </c>
      <c r="C170" s="5">
        <v>644</v>
      </c>
      <c r="D170" s="36">
        <v>80</v>
      </c>
      <c r="E170" s="36">
        <v>0</v>
      </c>
      <c r="F170" s="36">
        <v>21</v>
      </c>
      <c r="G170" s="36">
        <v>0</v>
      </c>
      <c r="H170" s="36">
        <v>78</v>
      </c>
      <c r="I170" s="36">
        <v>0</v>
      </c>
      <c r="J170" s="36">
        <v>17</v>
      </c>
      <c r="K170" s="36">
        <v>0</v>
      </c>
      <c r="L170" s="36">
        <v>28</v>
      </c>
      <c r="M170" s="37">
        <v>0</v>
      </c>
      <c r="N170" s="60">
        <v>0</v>
      </c>
      <c r="O170" s="39">
        <v>0</v>
      </c>
      <c r="P170" s="67">
        <v>224</v>
      </c>
      <c r="Q170" s="40">
        <v>595.66999999999996</v>
      </c>
      <c r="R170" s="41">
        <v>0.92495341614906823</v>
      </c>
    </row>
    <row r="171" spans="1:18">
      <c r="A171" s="5">
        <v>5</v>
      </c>
      <c r="B171" s="6" t="s">
        <v>9</v>
      </c>
      <c r="C171" s="5">
        <v>449</v>
      </c>
      <c r="D171" s="36">
        <v>0</v>
      </c>
      <c r="E171" s="36">
        <v>0</v>
      </c>
      <c r="F171" s="36">
        <v>0</v>
      </c>
      <c r="G171" s="36">
        <v>0</v>
      </c>
      <c r="H171" s="36">
        <v>0</v>
      </c>
      <c r="I171" s="36">
        <v>0</v>
      </c>
      <c r="J171" s="36">
        <v>155</v>
      </c>
      <c r="K171" s="36">
        <v>0</v>
      </c>
      <c r="L171" s="36">
        <v>0</v>
      </c>
      <c r="M171" s="37">
        <v>0</v>
      </c>
      <c r="N171" s="60">
        <v>0</v>
      </c>
      <c r="O171" s="39">
        <v>0</v>
      </c>
      <c r="P171" s="67">
        <v>155</v>
      </c>
      <c r="Q171" s="40">
        <v>233.73</v>
      </c>
      <c r="R171" s="41">
        <v>0.52055679287305123</v>
      </c>
    </row>
    <row r="172" spans="1:18">
      <c r="A172" s="5">
        <v>6</v>
      </c>
      <c r="B172" s="6" t="s">
        <v>13</v>
      </c>
      <c r="C172" s="5">
        <v>474</v>
      </c>
      <c r="D172" s="36">
        <v>30</v>
      </c>
      <c r="E172" s="36">
        <v>0</v>
      </c>
      <c r="F172" s="36">
        <v>0</v>
      </c>
      <c r="G172" s="36">
        <v>0</v>
      </c>
      <c r="H172" s="36">
        <v>30</v>
      </c>
      <c r="I172" s="36">
        <v>0</v>
      </c>
      <c r="J172" s="36">
        <v>0</v>
      </c>
      <c r="K172" s="36">
        <v>0</v>
      </c>
      <c r="L172" s="36">
        <v>0</v>
      </c>
      <c r="M172" s="37">
        <v>0</v>
      </c>
      <c r="N172" s="60">
        <v>0</v>
      </c>
      <c r="O172" s="39">
        <v>0</v>
      </c>
      <c r="P172" s="67">
        <v>60</v>
      </c>
      <c r="Q172" s="40">
        <v>132.22999999999999</v>
      </c>
      <c r="R172" s="41">
        <v>0.27896624472573839</v>
      </c>
    </row>
    <row r="173" spans="1:18">
      <c r="A173" s="5">
        <v>7</v>
      </c>
      <c r="B173" s="6" t="s">
        <v>5</v>
      </c>
      <c r="C173" s="5">
        <v>515</v>
      </c>
      <c r="D173" s="36">
        <v>0</v>
      </c>
      <c r="E173" s="36">
        <v>0</v>
      </c>
      <c r="F173" s="36">
        <v>0</v>
      </c>
      <c r="G173" s="36">
        <v>0</v>
      </c>
      <c r="H173" s="36">
        <v>0</v>
      </c>
      <c r="I173" s="36">
        <v>0</v>
      </c>
      <c r="J173" s="36">
        <v>0</v>
      </c>
      <c r="K173" s="36">
        <v>0</v>
      </c>
      <c r="L173" s="36">
        <v>0</v>
      </c>
      <c r="M173" s="37">
        <v>0</v>
      </c>
      <c r="N173" s="60">
        <v>0</v>
      </c>
      <c r="O173" s="39">
        <v>0</v>
      </c>
      <c r="P173" s="67">
        <v>0</v>
      </c>
      <c r="Q173" s="40">
        <v>0</v>
      </c>
      <c r="R173" s="41">
        <v>0</v>
      </c>
    </row>
    <row r="174" spans="1:18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71"/>
    </row>
    <row r="175" spans="1:18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71"/>
    </row>
    <row r="176" spans="1:18" ht="30" customHeight="1">
      <c r="A176" s="45" t="s">
        <v>83</v>
      </c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70"/>
    </row>
    <row r="177" spans="1:28">
      <c r="A177" s="138" t="s">
        <v>0</v>
      </c>
      <c r="B177" s="138" t="s">
        <v>11</v>
      </c>
      <c r="C177" s="139" t="s">
        <v>84</v>
      </c>
      <c r="D177" s="141" t="s">
        <v>6</v>
      </c>
      <c r="E177" s="141"/>
      <c r="F177" s="141"/>
      <c r="G177" s="141"/>
      <c r="H177" s="142" t="s">
        <v>7</v>
      </c>
      <c r="I177" s="142"/>
      <c r="J177" s="142"/>
      <c r="K177" s="142"/>
      <c r="L177" s="143" t="s">
        <v>16</v>
      </c>
      <c r="M177" s="143"/>
      <c r="N177" s="143"/>
      <c r="O177" s="143"/>
      <c r="P177" s="144" t="s">
        <v>76</v>
      </c>
      <c r="Q177" s="145" t="s">
        <v>18</v>
      </c>
      <c r="R177" s="146" t="s">
        <v>3</v>
      </c>
    </row>
    <row r="178" spans="1:28" ht="67.2">
      <c r="A178" s="138"/>
      <c r="B178" s="138"/>
      <c r="C178" s="140"/>
      <c r="D178" s="11" t="s">
        <v>1</v>
      </c>
      <c r="E178" s="11" t="s">
        <v>2</v>
      </c>
      <c r="F178" s="11" t="s">
        <v>17</v>
      </c>
      <c r="G178" s="11" t="s">
        <v>71</v>
      </c>
      <c r="H178" s="12" t="s">
        <v>1</v>
      </c>
      <c r="I178" s="12" t="s">
        <v>2</v>
      </c>
      <c r="J178" s="12" t="s">
        <v>17</v>
      </c>
      <c r="K178" s="12" t="s">
        <v>71</v>
      </c>
      <c r="L178" s="13" t="s">
        <v>1</v>
      </c>
      <c r="M178" s="13" t="s">
        <v>2</v>
      </c>
      <c r="N178" s="13" t="s">
        <v>17</v>
      </c>
      <c r="O178" s="13" t="s">
        <v>71</v>
      </c>
      <c r="P178" s="144"/>
      <c r="Q178" s="145"/>
      <c r="R178" s="146"/>
    </row>
    <row r="179" spans="1:28" hidden="1">
      <c r="A179" s="1"/>
      <c r="B179" s="1"/>
      <c r="C179" s="1"/>
      <c r="D179" s="2"/>
      <c r="E179" s="2"/>
      <c r="F179" s="2"/>
      <c r="G179" s="3"/>
      <c r="H179" s="3"/>
      <c r="I179" s="3"/>
      <c r="J179" s="3"/>
      <c r="K179" s="3"/>
      <c r="L179" s="3"/>
      <c r="M179" s="46"/>
      <c r="N179" s="52"/>
      <c r="O179" s="22"/>
      <c r="P179" s="21"/>
      <c r="Q179" s="21"/>
      <c r="R179" s="23"/>
    </row>
    <row r="180" spans="1:28">
      <c r="A180" s="5"/>
      <c r="B180" s="4" t="s">
        <v>10</v>
      </c>
      <c r="C180" s="1">
        <v>3544</v>
      </c>
      <c r="D180" s="29">
        <v>93</v>
      </c>
      <c r="E180" s="29">
        <v>41</v>
      </c>
      <c r="F180" s="29">
        <v>510</v>
      </c>
      <c r="G180" s="29">
        <v>0</v>
      </c>
      <c r="H180" s="29">
        <v>28</v>
      </c>
      <c r="I180" s="29">
        <v>5</v>
      </c>
      <c r="J180" s="29">
        <v>586</v>
      </c>
      <c r="K180" s="29">
        <v>0</v>
      </c>
      <c r="L180" s="29">
        <v>0</v>
      </c>
      <c r="M180" s="30">
        <v>14</v>
      </c>
      <c r="N180" s="59">
        <v>134</v>
      </c>
      <c r="O180" s="32">
        <v>0</v>
      </c>
      <c r="P180" s="66">
        <v>1411</v>
      </c>
      <c r="Q180" s="33">
        <v>3209.58</v>
      </c>
      <c r="R180" s="34">
        <v>1.2166336623668992</v>
      </c>
    </row>
    <row r="181" spans="1:28">
      <c r="A181" s="5">
        <v>1</v>
      </c>
      <c r="B181" s="6" t="s">
        <v>14</v>
      </c>
      <c r="C181" s="5">
        <v>519</v>
      </c>
      <c r="D181" s="36">
        <v>0</v>
      </c>
      <c r="E181" s="36">
        <v>0</v>
      </c>
      <c r="F181" s="36">
        <v>194</v>
      </c>
      <c r="G181" s="36">
        <v>0</v>
      </c>
      <c r="H181" s="36">
        <v>0</v>
      </c>
      <c r="I181" s="36">
        <v>5</v>
      </c>
      <c r="J181" s="36">
        <v>197</v>
      </c>
      <c r="K181" s="36">
        <v>0</v>
      </c>
      <c r="L181" s="36">
        <v>0</v>
      </c>
      <c r="M181" s="37">
        <v>14</v>
      </c>
      <c r="N181" s="60">
        <v>134</v>
      </c>
      <c r="O181" s="39">
        <v>0</v>
      </c>
      <c r="P181" s="67">
        <v>544</v>
      </c>
      <c r="Q181" s="40">
        <v>1244.45</v>
      </c>
      <c r="R181" s="41">
        <v>5.7095408073329805</v>
      </c>
    </row>
    <row r="182" spans="1:28">
      <c r="A182" s="5">
        <v>2</v>
      </c>
      <c r="B182" s="6" t="s">
        <v>9</v>
      </c>
      <c r="C182" s="5">
        <v>457</v>
      </c>
      <c r="D182" s="36">
        <v>5</v>
      </c>
      <c r="E182" s="36">
        <v>0</v>
      </c>
      <c r="F182" s="36">
        <v>263</v>
      </c>
      <c r="G182" s="36">
        <v>0</v>
      </c>
      <c r="H182" s="36">
        <v>10</v>
      </c>
      <c r="I182" s="36">
        <v>0</v>
      </c>
      <c r="J182" s="36">
        <v>271</v>
      </c>
      <c r="K182" s="36">
        <v>0</v>
      </c>
      <c r="L182" s="36">
        <v>0</v>
      </c>
      <c r="M182" s="37">
        <v>0</v>
      </c>
      <c r="N182" s="60">
        <v>0</v>
      </c>
      <c r="O182" s="39">
        <v>0</v>
      </c>
      <c r="P182" s="67">
        <v>549</v>
      </c>
      <c r="Q182" s="40">
        <v>1261.3800000000001</v>
      </c>
      <c r="R182" s="41">
        <v>1.9012130044843047</v>
      </c>
      <c r="AB182" s="69"/>
    </row>
    <row r="183" spans="1:28">
      <c r="A183" s="5">
        <v>3</v>
      </c>
      <c r="B183" s="6" t="s">
        <v>8</v>
      </c>
      <c r="C183" s="5">
        <v>629</v>
      </c>
      <c r="D183" s="36">
        <v>88</v>
      </c>
      <c r="E183" s="36">
        <v>41</v>
      </c>
      <c r="F183" s="36">
        <v>0</v>
      </c>
      <c r="G183" s="36">
        <v>0</v>
      </c>
      <c r="H183" s="36">
        <v>18</v>
      </c>
      <c r="I183" s="36">
        <v>0</v>
      </c>
      <c r="J183" s="36">
        <v>13</v>
      </c>
      <c r="K183" s="36">
        <v>0</v>
      </c>
      <c r="L183" s="36">
        <v>0</v>
      </c>
      <c r="M183" s="37">
        <v>0</v>
      </c>
      <c r="N183" s="60">
        <v>0</v>
      </c>
      <c r="O183" s="39">
        <v>0</v>
      </c>
      <c r="P183" s="67">
        <v>160</v>
      </c>
      <c r="Q183" s="40">
        <v>376.55</v>
      </c>
      <c r="R183" s="41">
        <v>0.40989224376119004</v>
      </c>
    </row>
    <row r="184" spans="1:28">
      <c r="A184" s="5">
        <v>4</v>
      </c>
      <c r="B184" s="6" t="s">
        <v>12</v>
      </c>
      <c r="C184" s="5">
        <v>483</v>
      </c>
      <c r="D184" s="36">
        <v>0</v>
      </c>
      <c r="E184" s="36">
        <v>0</v>
      </c>
      <c r="F184" s="36">
        <v>23</v>
      </c>
      <c r="G184" s="36">
        <v>0</v>
      </c>
      <c r="H184" s="36">
        <v>0</v>
      </c>
      <c r="I184" s="36">
        <v>0</v>
      </c>
      <c r="J184" s="36">
        <v>23</v>
      </c>
      <c r="K184" s="36">
        <v>0</v>
      </c>
      <c r="L184" s="36">
        <v>0</v>
      </c>
      <c r="M184" s="37">
        <v>0</v>
      </c>
      <c r="N184" s="60">
        <v>0</v>
      </c>
      <c r="O184" s="39">
        <v>0</v>
      </c>
      <c r="P184" s="67">
        <v>46</v>
      </c>
      <c r="Q184" s="40">
        <v>117.80000000000001</v>
      </c>
      <c r="R184" s="41">
        <v>0.17493607168025771</v>
      </c>
    </row>
    <row r="185" spans="1:28">
      <c r="A185" s="5">
        <v>5</v>
      </c>
      <c r="B185" s="6" t="s">
        <v>13</v>
      </c>
      <c r="C185" s="5">
        <v>448</v>
      </c>
      <c r="D185" s="36">
        <v>0</v>
      </c>
      <c r="E185" s="36">
        <v>0</v>
      </c>
      <c r="F185" s="36">
        <v>21</v>
      </c>
      <c r="G185" s="36">
        <v>0</v>
      </c>
      <c r="H185" s="36">
        <v>0</v>
      </c>
      <c r="I185" s="36">
        <v>0</v>
      </c>
      <c r="J185" s="36">
        <v>56</v>
      </c>
      <c r="K185" s="36">
        <v>0</v>
      </c>
      <c r="L185" s="36">
        <v>0</v>
      </c>
      <c r="M185" s="37">
        <v>0</v>
      </c>
      <c r="N185" s="60">
        <v>0</v>
      </c>
      <c r="O185" s="39">
        <v>0</v>
      </c>
      <c r="P185" s="67">
        <v>77</v>
      </c>
      <c r="Q185" s="40">
        <v>110.58</v>
      </c>
      <c r="R185" s="41">
        <v>0.16831278191188978</v>
      </c>
    </row>
    <row r="186" spans="1:28">
      <c r="A186" s="5">
        <v>6</v>
      </c>
      <c r="B186" s="6" t="s">
        <v>4</v>
      </c>
      <c r="C186" s="5">
        <v>497</v>
      </c>
      <c r="D186" s="36">
        <v>0</v>
      </c>
      <c r="E186" s="36">
        <v>0</v>
      </c>
      <c r="F186" s="36">
        <v>9</v>
      </c>
      <c r="G186" s="36">
        <v>0</v>
      </c>
      <c r="H186" s="36">
        <v>0</v>
      </c>
      <c r="I186" s="36">
        <v>0</v>
      </c>
      <c r="J186" s="36">
        <v>26</v>
      </c>
      <c r="K186" s="36">
        <v>0</v>
      </c>
      <c r="L186" s="36">
        <v>0</v>
      </c>
      <c r="M186" s="37">
        <v>0</v>
      </c>
      <c r="N186" s="60">
        <v>0</v>
      </c>
      <c r="O186" s="39">
        <v>0</v>
      </c>
      <c r="P186" s="67">
        <v>35</v>
      </c>
      <c r="Q186" s="40">
        <v>98.82</v>
      </c>
      <c r="R186" s="41">
        <v>0.14606870176594985</v>
      </c>
    </row>
    <row r="187" spans="1:28">
      <c r="A187" s="5">
        <v>7</v>
      </c>
      <c r="B187" s="6" t="s">
        <v>5</v>
      </c>
      <c r="C187" s="5">
        <v>511</v>
      </c>
      <c r="D187" s="36">
        <v>0</v>
      </c>
      <c r="E187" s="36">
        <v>0</v>
      </c>
      <c r="F187" s="36">
        <v>0</v>
      </c>
      <c r="G187" s="36">
        <v>0</v>
      </c>
      <c r="H187" s="36">
        <v>0</v>
      </c>
      <c r="I187" s="36">
        <v>0</v>
      </c>
      <c r="J187" s="36">
        <v>0</v>
      </c>
      <c r="K187" s="36">
        <v>0</v>
      </c>
      <c r="L187" s="36">
        <v>0</v>
      </c>
      <c r="M187" s="37">
        <v>0</v>
      </c>
      <c r="N187" s="60">
        <v>0</v>
      </c>
      <c r="O187" s="39">
        <v>0</v>
      </c>
      <c r="P187" s="67">
        <v>0</v>
      </c>
      <c r="Q187" s="40">
        <v>0</v>
      </c>
      <c r="R187" s="41">
        <v>0</v>
      </c>
    </row>
    <row r="190" spans="1:28" ht="34.35" customHeight="1">
      <c r="A190" s="45" t="s">
        <v>82</v>
      </c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70"/>
      <c r="S190" s="57"/>
      <c r="T190" s="64"/>
      <c r="U190" s="49"/>
      <c r="V190" s="47"/>
      <c r="W190" s="47"/>
    </row>
    <row r="191" spans="1:28" ht="25.35" customHeight="1">
      <c r="A191" s="138" t="s">
        <v>0</v>
      </c>
      <c r="B191" s="138" t="s">
        <v>11</v>
      </c>
      <c r="C191" s="1"/>
      <c r="D191" s="141" t="s">
        <v>6</v>
      </c>
      <c r="E191" s="141"/>
      <c r="F191" s="141"/>
      <c r="G191" s="141"/>
      <c r="H191" s="142" t="s">
        <v>7</v>
      </c>
      <c r="I191" s="142"/>
      <c r="J191" s="142"/>
      <c r="K191" s="142"/>
      <c r="L191" s="143" t="s">
        <v>16</v>
      </c>
      <c r="M191" s="143"/>
      <c r="N191" s="143"/>
      <c r="O191" s="143"/>
      <c r="P191" s="144" t="s">
        <v>76</v>
      </c>
      <c r="Q191" s="145" t="s">
        <v>18</v>
      </c>
      <c r="R191" s="146" t="s">
        <v>3</v>
      </c>
      <c r="S191" s="151" t="s">
        <v>77</v>
      </c>
      <c r="T191" s="153" t="s">
        <v>69</v>
      </c>
      <c r="U191" s="147" t="s">
        <v>70</v>
      </c>
      <c r="V191" s="148"/>
      <c r="W191" s="149" t="s">
        <v>15</v>
      </c>
    </row>
    <row r="192" spans="1:28" ht="53.1" customHeight="1">
      <c r="A192" s="138"/>
      <c r="B192" s="138"/>
      <c r="C192" s="1"/>
      <c r="D192" s="11" t="s">
        <v>1</v>
      </c>
      <c r="E192" s="11" t="s">
        <v>2</v>
      </c>
      <c r="F192" s="11" t="s">
        <v>17</v>
      </c>
      <c r="G192" s="11" t="s">
        <v>71</v>
      </c>
      <c r="H192" s="12" t="s">
        <v>1</v>
      </c>
      <c r="I192" s="12" t="s">
        <v>2</v>
      </c>
      <c r="J192" s="12" t="s">
        <v>17</v>
      </c>
      <c r="K192" s="12" t="s">
        <v>71</v>
      </c>
      <c r="L192" s="13" t="s">
        <v>1</v>
      </c>
      <c r="M192" s="13" t="s">
        <v>2</v>
      </c>
      <c r="N192" s="13" t="s">
        <v>17</v>
      </c>
      <c r="O192" s="13" t="s">
        <v>71</v>
      </c>
      <c r="P192" s="144"/>
      <c r="Q192" s="145"/>
      <c r="R192" s="146"/>
      <c r="S192" s="152"/>
      <c r="T192" s="154"/>
      <c r="U192" s="61" t="s">
        <v>72</v>
      </c>
      <c r="V192" s="9" t="s">
        <v>3</v>
      </c>
      <c r="W192" s="150"/>
    </row>
    <row r="193" spans="1:23" hidden="1">
      <c r="A193" s="1"/>
      <c r="B193" s="1"/>
      <c r="C193" s="1"/>
      <c r="D193" s="2"/>
      <c r="E193" s="2"/>
      <c r="F193" s="2"/>
      <c r="G193" s="3"/>
      <c r="H193" s="3"/>
      <c r="I193" s="3"/>
      <c r="J193" s="3"/>
      <c r="K193" s="3"/>
      <c r="L193" s="3"/>
      <c r="M193" s="46"/>
      <c r="N193" s="52"/>
      <c r="O193" s="22"/>
      <c r="P193" s="21"/>
      <c r="Q193" s="21"/>
      <c r="R193" s="23"/>
      <c r="S193" s="58"/>
      <c r="T193" s="21"/>
    </row>
    <row r="194" spans="1:23" s="16" customFormat="1">
      <c r="A194" s="5"/>
      <c r="B194" s="4" t="s">
        <v>10</v>
      </c>
      <c r="C194" s="4"/>
      <c r="D194" s="29">
        <v>187</v>
      </c>
      <c r="E194" s="29">
        <v>153</v>
      </c>
      <c r="F194" s="29">
        <v>1125</v>
      </c>
      <c r="G194" s="29">
        <v>0</v>
      </c>
      <c r="H194" s="29">
        <v>217</v>
      </c>
      <c r="I194" s="29">
        <v>0</v>
      </c>
      <c r="J194" s="29">
        <v>1267</v>
      </c>
      <c r="K194" s="29">
        <v>0</v>
      </c>
      <c r="L194" s="29">
        <v>43</v>
      </c>
      <c r="M194" s="30">
        <v>0</v>
      </c>
      <c r="N194" s="59">
        <v>0</v>
      </c>
      <c r="O194" s="32">
        <v>0</v>
      </c>
      <c r="P194" s="66">
        <v>2992</v>
      </c>
      <c r="Q194" s="33">
        <v>6804.89</v>
      </c>
      <c r="R194" s="34">
        <v>1.5366142375066645</v>
      </c>
      <c r="S194" s="56"/>
      <c r="T194" s="34"/>
      <c r="U194" s="62"/>
      <c r="V194" s="19"/>
      <c r="W194" s="35"/>
    </row>
    <row r="195" spans="1:23" s="16" customFormat="1">
      <c r="A195" s="5">
        <v>1</v>
      </c>
      <c r="B195" s="6" t="s">
        <v>4</v>
      </c>
      <c r="C195" s="6"/>
      <c r="D195" s="36">
        <v>45</v>
      </c>
      <c r="E195" s="36">
        <v>153</v>
      </c>
      <c r="F195" s="36">
        <v>691</v>
      </c>
      <c r="G195" s="36">
        <v>0</v>
      </c>
      <c r="H195" s="36">
        <v>64</v>
      </c>
      <c r="I195" s="36">
        <v>0</v>
      </c>
      <c r="J195" s="36">
        <v>699</v>
      </c>
      <c r="K195" s="36">
        <v>0</v>
      </c>
      <c r="L195" s="36">
        <v>0</v>
      </c>
      <c r="M195" s="37">
        <v>0</v>
      </c>
      <c r="N195" s="60">
        <v>0</v>
      </c>
      <c r="O195" s="39">
        <v>0</v>
      </c>
      <c r="P195" s="67">
        <v>1652</v>
      </c>
      <c r="Q195" s="40">
        <v>4053.16</v>
      </c>
      <c r="R195" s="41">
        <v>6.1079401142511882</v>
      </c>
      <c r="S195" s="56"/>
      <c r="T195" s="41"/>
      <c r="U195" s="63"/>
      <c r="V195" s="20"/>
      <c r="W195" s="42"/>
    </row>
    <row r="196" spans="1:23" s="16" customFormat="1">
      <c r="A196" s="5">
        <v>2</v>
      </c>
      <c r="B196" s="6" t="s">
        <v>8</v>
      </c>
      <c r="C196" s="6"/>
      <c r="D196" s="36">
        <v>44</v>
      </c>
      <c r="E196" s="36">
        <v>0</v>
      </c>
      <c r="F196" s="36">
        <v>0</v>
      </c>
      <c r="G196" s="36">
        <v>0</v>
      </c>
      <c r="H196" s="36">
        <v>34</v>
      </c>
      <c r="I196" s="36">
        <v>0</v>
      </c>
      <c r="J196" s="36">
        <v>79</v>
      </c>
      <c r="K196" s="36">
        <v>0</v>
      </c>
      <c r="L196" s="36">
        <v>29</v>
      </c>
      <c r="M196" s="37">
        <v>0</v>
      </c>
      <c r="N196" s="60">
        <v>0</v>
      </c>
      <c r="O196" s="39">
        <v>0</v>
      </c>
      <c r="P196" s="67">
        <v>186</v>
      </c>
      <c r="Q196" s="40">
        <v>521.29999999999995</v>
      </c>
      <c r="R196" s="41">
        <v>1.595517170435939</v>
      </c>
      <c r="S196" s="56"/>
      <c r="T196" s="41"/>
      <c r="U196" s="63"/>
      <c r="V196" s="20"/>
      <c r="W196" s="42"/>
    </row>
    <row r="197" spans="1:23" s="16" customFormat="1">
      <c r="A197" s="5">
        <v>3</v>
      </c>
      <c r="B197" s="6" t="s">
        <v>12</v>
      </c>
      <c r="C197" s="6"/>
      <c r="D197" s="36">
        <v>72</v>
      </c>
      <c r="E197" s="36">
        <v>0</v>
      </c>
      <c r="F197" s="36">
        <v>196</v>
      </c>
      <c r="G197" s="36">
        <v>0</v>
      </c>
      <c r="H197" s="36">
        <v>71</v>
      </c>
      <c r="I197" s="36">
        <v>0</v>
      </c>
      <c r="J197" s="36">
        <v>201</v>
      </c>
      <c r="K197" s="36">
        <v>0</v>
      </c>
      <c r="L197" s="36">
        <v>0</v>
      </c>
      <c r="M197" s="37">
        <v>0</v>
      </c>
      <c r="N197" s="60">
        <v>0</v>
      </c>
      <c r="O197" s="39">
        <v>0</v>
      </c>
      <c r="P197" s="67">
        <v>540</v>
      </c>
      <c r="Q197" s="40">
        <v>924.38</v>
      </c>
      <c r="R197" s="41">
        <v>1.3731581596697877</v>
      </c>
      <c r="S197" s="56"/>
      <c r="T197" s="41"/>
      <c r="U197" s="63"/>
      <c r="V197" s="20"/>
      <c r="W197" s="42"/>
    </row>
    <row r="198" spans="1:23" s="16" customFormat="1">
      <c r="A198" s="5">
        <v>4</v>
      </c>
      <c r="B198" s="6" t="s">
        <v>5</v>
      </c>
      <c r="C198" s="6"/>
      <c r="D198" s="36">
        <v>26</v>
      </c>
      <c r="E198" s="36">
        <v>0</v>
      </c>
      <c r="F198" s="36">
        <v>124</v>
      </c>
      <c r="G198" s="36">
        <v>0</v>
      </c>
      <c r="H198" s="36">
        <v>48</v>
      </c>
      <c r="I198" s="36">
        <v>0</v>
      </c>
      <c r="J198" s="36">
        <v>172</v>
      </c>
      <c r="K198" s="36">
        <v>0</v>
      </c>
      <c r="L198" s="36">
        <v>0</v>
      </c>
      <c r="M198" s="37">
        <v>0</v>
      </c>
      <c r="N198" s="60">
        <v>0</v>
      </c>
      <c r="O198" s="39">
        <v>0</v>
      </c>
      <c r="P198" s="67">
        <v>370</v>
      </c>
      <c r="Q198" s="40">
        <v>972.49</v>
      </c>
      <c r="R198" s="41">
        <v>1.3519883359709279</v>
      </c>
      <c r="S198" s="56"/>
      <c r="T198" s="41"/>
      <c r="U198" s="63"/>
      <c r="V198" s="20"/>
      <c r="W198" s="42"/>
    </row>
    <row r="199" spans="1:23" s="16" customFormat="1">
      <c r="A199" s="5">
        <v>5</v>
      </c>
      <c r="B199" s="6" t="s">
        <v>14</v>
      </c>
      <c r="C199" s="6"/>
      <c r="D199" s="36">
        <v>0</v>
      </c>
      <c r="E199" s="36">
        <v>0</v>
      </c>
      <c r="F199" s="36">
        <v>114</v>
      </c>
      <c r="G199" s="36">
        <v>0</v>
      </c>
      <c r="H199" s="36">
        <v>0</v>
      </c>
      <c r="I199" s="36">
        <v>0</v>
      </c>
      <c r="J199" s="36">
        <v>116</v>
      </c>
      <c r="K199" s="36">
        <v>0</v>
      </c>
      <c r="L199" s="36">
        <v>14</v>
      </c>
      <c r="M199" s="37">
        <v>0</v>
      </c>
      <c r="N199" s="60">
        <v>0</v>
      </c>
      <c r="O199" s="39">
        <v>0</v>
      </c>
      <c r="P199" s="67">
        <v>244</v>
      </c>
      <c r="Q199" s="40">
        <v>333.56</v>
      </c>
      <c r="R199" s="41">
        <v>0.87385466243610077</v>
      </c>
      <c r="S199" s="56"/>
      <c r="T199" s="41"/>
      <c r="U199" s="63"/>
      <c r="V199" s="20"/>
      <c r="W199" s="42"/>
    </row>
    <row r="200" spans="1:23" s="16" customFormat="1">
      <c r="A200" s="5">
        <v>6</v>
      </c>
      <c r="B200" s="6" t="s">
        <v>13</v>
      </c>
      <c r="C200" s="6"/>
      <c r="D200" s="36">
        <v>0</v>
      </c>
      <c r="E200" s="36">
        <v>0</v>
      </c>
      <c r="F200" s="36">
        <v>0</v>
      </c>
      <c r="G200" s="36">
        <v>0</v>
      </c>
      <c r="H200" s="36">
        <v>0</v>
      </c>
      <c r="I200" s="36">
        <v>0</v>
      </c>
      <c r="J200" s="36">
        <v>0</v>
      </c>
      <c r="K200" s="36">
        <v>0</v>
      </c>
      <c r="L200" s="36">
        <v>0</v>
      </c>
      <c r="M200" s="37">
        <v>0</v>
      </c>
      <c r="N200" s="60">
        <v>0</v>
      </c>
      <c r="O200" s="39">
        <v>0</v>
      </c>
      <c r="P200" s="67">
        <v>0</v>
      </c>
      <c r="Q200" s="40">
        <v>0</v>
      </c>
      <c r="R200" s="41">
        <v>0</v>
      </c>
      <c r="S200" s="56"/>
      <c r="T200" s="41"/>
      <c r="U200" s="63"/>
      <c r="V200" s="20"/>
      <c r="W200" s="44"/>
    </row>
    <row r="201" spans="1:23" s="16" customFormat="1">
      <c r="A201" s="5">
        <v>7</v>
      </c>
      <c r="B201" s="6" t="s">
        <v>9</v>
      </c>
      <c r="C201" s="6"/>
      <c r="D201" s="36">
        <v>0</v>
      </c>
      <c r="E201" s="36">
        <v>0</v>
      </c>
      <c r="F201" s="36">
        <v>0</v>
      </c>
      <c r="G201" s="36">
        <v>0</v>
      </c>
      <c r="H201" s="36">
        <v>0</v>
      </c>
      <c r="I201" s="36">
        <v>0</v>
      </c>
      <c r="J201" s="36">
        <v>0</v>
      </c>
      <c r="K201" s="36">
        <v>0</v>
      </c>
      <c r="L201" s="36">
        <v>0</v>
      </c>
      <c r="M201" s="37">
        <v>0</v>
      </c>
      <c r="N201" s="60">
        <v>0</v>
      </c>
      <c r="O201" s="39">
        <v>0</v>
      </c>
      <c r="P201" s="67">
        <v>0</v>
      </c>
      <c r="Q201" s="40">
        <v>0</v>
      </c>
      <c r="R201" s="41">
        <v>0</v>
      </c>
      <c r="S201" s="56"/>
      <c r="T201" s="41"/>
      <c r="U201" s="63"/>
      <c r="V201" s="20"/>
      <c r="W201" s="42"/>
    </row>
    <row r="204" spans="1:23" ht="34.35" customHeight="1">
      <c r="A204" s="45" t="s">
        <v>80</v>
      </c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70"/>
      <c r="S204" s="57"/>
      <c r="T204" s="64"/>
      <c r="U204" s="49"/>
      <c r="V204" s="47"/>
      <c r="W204" s="47"/>
    </row>
    <row r="205" spans="1:23" ht="25.35" customHeight="1">
      <c r="A205" s="138" t="s">
        <v>0</v>
      </c>
      <c r="B205" s="138" t="s">
        <v>11</v>
      </c>
      <c r="C205" s="1"/>
      <c r="D205" s="141" t="s">
        <v>6</v>
      </c>
      <c r="E205" s="141"/>
      <c r="F205" s="141"/>
      <c r="G205" s="141"/>
      <c r="H205" s="142" t="s">
        <v>7</v>
      </c>
      <c r="I205" s="142"/>
      <c r="J205" s="142"/>
      <c r="K205" s="142"/>
      <c r="L205" s="143" t="s">
        <v>16</v>
      </c>
      <c r="M205" s="143"/>
      <c r="N205" s="143"/>
      <c r="O205" s="143"/>
      <c r="P205" s="144" t="s">
        <v>76</v>
      </c>
      <c r="Q205" s="145" t="s">
        <v>18</v>
      </c>
      <c r="R205" s="146" t="s">
        <v>3</v>
      </c>
      <c r="S205" s="151" t="s">
        <v>77</v>
      </c>
      <c r="T205" s="153" t="s">
        <v>69</v>
      </c>
      <c r="U205" s="147" t="s">
        <v>70</v>
      </c>
      <c r="V205" s="148"/>
      <c r="W205" s="149" t="s">
        <v>15</v>
      </c>
    </row>
    <row r="206" spans="1:23" ht="53.1" customHeight="1">
      <c r="A206" s="138"/>
      <c r="B206" s="138"/>
      <c r="C206" s="1"/>
      <c r="D206" s="11" t="s">
        <v>1</v>
      </c>
      <c r="E206" s="11" t="s">
        <v>2</v>
      </c>
      <c r="F206" s="11" t="s">
        <v>17</v>
      </c>
      <c r="G206" s="11" t="s">
        <v>71</v>
      </c>
      <c r="H206" s="12" t="s">
        <v>1</v>
      </c>
      <c r="I206" s="12" t="s">
        <v>2</v>
      </c>
      <c r="J206" s="12" t="s">
        <v>17</v>
      </c>
      <c r="K206" s="12" t="s">
        <v>71</v>
      </c>
      <c r="L206" s="13" t="s">
        <v>1</v>
      </c>
      <c r="M206" s="13" t="s">
        <v>2</v>
      </c>
      <c r="N206" s="13" t="s">
        <v>17</v>
      </c>
      <c r="O206" s="13" t="s">
        <v>71</v>
      </c>
      <c r="P206" s="144"/>
      <c r="Q206" s="145"/>
      <c r="R206" s="146"/>
      <c r="S206" s="152"/>
      <c r="T206" s="154"/>
      <c r="U206" s="61" t="s">
        <v>72</v>
      </c>
      <c r="V206" s="9" t="s">
        <v>3</v>
      </c>
      <c r="W206" s="150"/>
    </row>
    <row r="207" spans="1:23" hidden="1">
      <c r="A207" s="1"/>
      <c r="B207" s="1"/>
      <c r="C207" s="1"/>
      <c r="D207" s="2"/>
      <c r="E207" s="2"/>
      <c r="F207" s="2"/>
      <c r="G207" s="3"/>
      <c r="H207" s="3"/>
      <c r="I207" s="3"/>
      <c r="J207" s="3"/>
      <c r="K207" s="3"/>
      <c r="L207" s="3"/>
      <c r="M207" s="46"/>
      <c r="N207" s="52"/>
      <c r="O207" s="22"/>
      <c r="P207" s="21"/>
      <c r="Q207" s="21"/>
      <c r="R207" s="23"/>
      <c r="S207" s="58"/>
      <c r="T207" s="21"/>
    </row>
    <row r="208" spans="1:23" s="16" customFormat="1">
      <c r="A208" s="5"/>
      <c r="B208" s="4" t="s">
        <v>10</v>
      </c>
      <c r="C208" s="4"/>
      <c r="D208" s="29">
        <v>206</v>
      </c>
      <c r="E208" s="29">
        <v>0</v>
      </c>
      <c r="F208" s="29">
        <v>1318</v>
      </c>
      <c r="G208" s="29">
        <v>0</v>
      </c>
      <c r="H208" s="29">
        <v>331</v>
      </c>
      <c r="I208" s="29">
        <v>18</v>
      </c>
      <c r="J208" s="29">
        <v>1640</v>
      </c>
      <c r="K208" s="29">
        <v>0</v>
      </c>
      <c r="L208" s="29">
        <v>0</v>
      </c>
      <c r="M208" s="30">
        <v>0</v>
      </c>
      <c r="N208" s="59">
        <v>58</v>
      </c>
      <c r="O208" s="32">
        <v>0</v>
      </c>
      <c r="P208" s="66">
        <v>3571</v>
      </c>
      <c r="Q208" s="33">
        <v>8051.7500000000009</v>
      </c>
      <c r="R208" s="34">
        <v>1.8443101143369693</v>
      </c>
      <c r="S208" s="56"/>
      <c r="T208" s="34"/>
      <c r="U208" s="62"/>
      <c r="V208" s="19"/>
      <c r="W208" s="35"/>
    </row>
    <row r="209" spans="1:23" s="16" customFormat="1">
      <c r="A209" s="5">
        <v>1</v>
      </c>
      <c r="B209" s="6" t="s">
        <v>13</v>
      </c>
      <c r="C209" s="6"/>
      <c r="D209" s="36">
        <v>51</v>
      </c>
      <c r="E209" s="36">
        <v>0</v>
      </c>
      <c r="F209" s="36">
        <v>489</v>
      </c>
      <c r="G209" s="36">
        <v>0</v>
      </c>
      <c r="H209" s="36">
        <v>100</v>
      </c>
      <c r="I209" s="36">
        <v>0</v>
      </c>
      <c r="J209" s="36">
        <v>582</v>
      </c>
      <c r="K209" s="36">
        <v>0</v>
      </c>
      <c r="L209" s="36">
        <v>0</v>
      </c>
      <c r="M209" s="37">
        <v>0</v>
      </c>
      <c r="N209" s="60">
        <v>0</v>
      </c>
      <c r="O209" s="39">
        <v>0</v>
      </c>
      <c r="P209" s="67">
        <v>1222</v>
      </c>
      <c r="Q209" s="40">
        <v>3089.59</v>
      </c>
      <c r="R209" s="41">
        <v>4.7336527917765716</v>
      </c>
      <c r="S209" s="56"/>
      <c r="T209" s="41"/>
      <c r="U209" s="63"/>
      <c r="V209" s="20"/>
      <c r="W209" s="42"/>
    </row>
    <row r="210" spans="1:23" s="16" customFormat="1">
      <c r="A210" s="5">
        <v>2</v>
      </c>
      <c r="B210" s="6" t="s">
        <v>4</v>
      </c>
      <c r="C210" s="6"/>
      <c r="D210" s="36">
        <v>0</v>
      </c>
      <c r="E210" s="36">
        <v>0</v>
      </c>
      <c r="F210" s="36">
        <v>320</v>
      </c>
      <c r="G210" s="36">
        <v>0</v>
      </c>
      <c r="H210" s="36">
        <v>25</v>
      </c>
      <c r="I210" s="36">
        <v>0</v>
      </c>
      <c r="J210" s="36">
        <v>374</v>
      </c>
      <c r="K210" s="36">
        <v>0</v>
      </c>
      <c r="L210" s="36">
        <v>0</v>
      </c>
      <c r="M210" s="37">
        <v>0</v>
      </c>
      <c r="N210" s="60">
        <v>15</v>
      </c>
      <c r="O210" s="39">
        <v>0</v>
      </c>
      <c r="P210" s="67">
        <v>734</v>
      </c>
      <c r="Q210" s="40">
        <v>1576.3200000000002</v>
      </c>
      <c r="R210" s="41">
        <v>2.5689746377664524</v>
      </c>
      <c r="S210" s="56"/>
      <c r="T210" s="41"/>
      <c r="U210" s="63"/>
      <c r="V210" s="20"/>
      <c r="W210" s="44"/>
    </row>
    <row r="211" spans="1:23" s="16" customFormat="1">
      <c r="A211" s="5">
        <v>3</v>
      </c>
      <c r="B211" s="6" t="s">
        <v>8</v>
      </c>
      <c r="C211" s="6"/>
      <c r="D211" s="36">
        <v>36</v>
      </c>
      <c r="E211" s="36">
        <v>0</v>
      </c>
      <c r="F211" s="36">
        <v>117</v>
      </c>
      <c r="G211" s="36">
        <v>0</v>
      </c>
      <c r="H211" s="36">
        <v>74</v>
      </c>
      <c r="I211" s="36">
        <v>0</v>
      </c>
      <c r="J211" s="36">
        <v>242</v>
      </c>
      <c r="K211" s="36">
        <v>0</v>
      </c>
      <c r="L211" s="36">
        <v>0</v>
      </c>
      <c r="M211" s="37">
        <v>0</v>
      </c>
      <c r="N211" s="60">
        <v>28</v>
      </c>
      <c r="O211" s="39">
        <v>0</v>
      </c>
      <c r="P211" s="67">
        <v>497</v>
      </c>
      <c r="Q211" s="40">
        <v>1374.84</v>
      </c>
      <c r="R211" s="41">
        <v>2.5187410387333022</v>
      </c>
      <c r="S211" s="56"/>
      <c r="T211" s="41"/>
      <c r="U211" s="63"/>
      <c r="V211" s="20"/>
      <c r="W211" s="42"/>
    </row>
    <row r="212" spans="1:23" s="16" customFormat="1">
      <c r="A212" s="5">
        <v>4</v>
      </c>
      <c r="B212" s="6" t="s">
        <v>9</v>
      </c>
      <c r="C212" s="6"/>
      <c r="D212" s="36">
        <v>12</v>
      </c>
      <c r="E212" s="36">
        <v>0</v>
      </c>
      <c r="F212" s="36">
        <v>386</v>
      </c>
      <c r="G212" s="36">
        <v>0</v>
      </c>
      <c r="H212" s="36">
        <v>0</v>
      </c>
      <c r="I212" s="36">
        <v>0</v>
      </c>
      <c r="J212" s="36">
        <v>374</v>
      </c>
      <c r="K212" s="36">
        <v>0</v>
      </c>
      <c r="L212" s="36">
        <v>0</v>
      </c>
      <c r="M212" s="37">
        <v>0</v>
      </c>
      <c r="N212" s="60">
        <v>0</v>
      </c>
      <c r="O212" s="39">
        <v>0</v>
      </c>
      <c r="P212" s="67">
        <v>772</v>
      </c>
      <c r="Q212" s="40">
        <v>1071.93</v>
      </c>
      <c r="R212" s="41">
        <v>1.614938850387281</v>
      </c>
      <c r="S212" s="56"/>
      <c r="T212" s="41"/>
      <c r="U212" s="63"/>
      <c r="V212" s="20"/>
      <c r="W212" s="42"/>
    </row>
    <row r="213" spans="1:23" s="16" customFormat="1">
      <c r="A213" s="5">
        <v>5</v>
      </c>
      <c r="B213" s="6" t="s">
        <v>5</v>
      </c>
      <c r="C213" s="6"/>
      <c r="D213" s="36">
        <v>45</v>
      </c>
      <c r="E213" s="36">
        <v>0</v>
      </c>
      <c r="F213" s="36">
        <v>0</v>
      </c>
      <c r="G213" s="36">
        <v>0</v>
      </c>
      <c r="H213" s="36">
        <v>70</v>
      </c>
      <c r="I213" s="36">
        <v>0</v>
      </c>
      <c r="J213" s="36">
        <v>42</v>
      </c>
      <c r="K213" s="36">
        <v>0</v>
      </c>
      <c r="L213" s="36">
        <v>0</v>
      </c>
      <c r="M213" s="37">
        <v>0</v>
      </c>
      <c r="N213" s="60">
        <v>0</v>
      </c>
      <c r="O213" s="39">
        <v>0</v>
      </c>
      <c r="P213" s="67">
        <v>157</v>
      </c>
      <c r="Q213" s="40">
        <v>448.40000000000009</v>
      </c>
      <c r="R213" s="41">
        <v>0.62144657405779258</v>
      </c>
      <c r="S213" s="56"/>
      <c r="T213" s="41"/>
      <c r="U213" s="63"/>
      <c r="V213" s="20"/>
      <c r="W213" s="42"/>
    </row>
    <row r="214" spans="1:23" s="16" customFormat="1">
      <c r="A214" s="5">
        <v>6</v>
      </c>
      <c r="B214" s="6" t="s">
        <v>12</v>
      </c>
      <c r="C214" s="6"/>
      <c r="D214" s="36">
        <v>62</v>
      </c>
      <c r="E214" s="36">
        <v>0</v>
      </c>
      <c r="F214" s="36">
        <v>0</v>
      </c>
      <c r="G214" s="36">
        <v>0</v>
      </c>
      <c r="H214" s="36">
        <v>62</v>
      </c>
      <c r="I214" s="36">
        <v>0</v>
      </c>
      <c r="J214" s="36">
        <v>6</v>
      </c>
      <c r="K214" s="36">
        <v>0</v>
      </c>
      <c r="L214" s="36">
        <v>0</v>
      </c>
      <c r="M214" s="37">
        <v>0</v>
      </c>
      <c r="N214" s="60">
        <v>0</v>
      </c>
      <c r="O214" s="39">
        <v>0</v>
      </c>
      <c r="P214" s="67">
        <v>130</v>
      </c>
      <c r="Q214" s="40">
        <v>332.05</v>
      </c>
      <c r="R214" s="41">
        <v>0.49252894392429275</v>
      </c>
      <c r="S214" s="56"/>
      <c r="T214" s="41"/>
      <c r="U214" s="63"/>
      <c r="V214" s="20"/>
      <c r="W214" s="42"/>
    </row>
    <row r="215" spans="1:23" s="16" customFormat="1">
      <c r="A215" s="5">
        <v>7</v>
      </c>
      <c r="B215" s="6" t="s">
        <v>14</v>
      </c>
      <c r="C215" s="6"/>
      <c r="D215" s="36">
        <v>0</v>
      </c>
      <c r="E215" s="36">
        <v>0</v>
      </c>
      <c r="F215" s="36">
        <v>6</v>
      </c>
      <c r="G215" s="36">
        <v>0</v>
      </c>
      <c r="H215" s="36">
        <v>0</v>
      </c>
      <c r="I215" s="36">
        <v>18</v>
      </c>
      <c r="J215" s="36">
        <v>20</v>
      </c>
      <c r="K215" s="36">
        <v>0</v>
      </c>
      <c r="L215" s="36">
        <v>0</v>
      </c>
      <c r="M215" s="37">
        <v>0</v>
      </c>
      <c r="N215" s="60">
        <v>15</v>
      </c>
      <c r="O215" s="39">
        <v>0</v>
      </c>
      <c r="P215" s="67">
        <v>59</v>
      </c>
      <c r="Q215" s="40">
        <v>158.62</v>
      </c>
      <c r="R215" s="41">
        <v>0.63908954697690812</v>
      </c>
      <c r="S215" s="56"/>
      <c r="T215" s="41"/>
      <c r="U215" s="63"/>
      <c r="V215" s="20"/>
      <c r="W215" s="42"/>
    </row>
    <row r="218" spans="1:23" ht="30" customHeight="1">
      <c r="A218" s="45" t="s">
        <v>79</v>
      </c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8"/>
      <c r="P218" s="50"/>
      <c r="Q218" s="50"/>
      <c r="R218" s="73"/>
      <c r="S218" s="53"/>
      <c r="T218" s="51"/>
      <c r="U218" s="49"/>
      <c r="V218" s="47"/>
      <c r="W218" s="47"/>
    </row>
    <row r="219" spans="1:23">
      <c r="A219" s="138" t="s">
        <v>0</v>
      </c>
      <c r="B219" s="138" t="s">
        <v>11</v>
      </c>
      <c r="C219" s="1"/>
      <c r="D219" s="141" t="s">
        <v>6</v>
      </c>
      <c r="E219" s="141"/>
      <c r="F219" s="141"/>
      <c r="G219" s="141"/>
      <c r="H219" s="142" t="s">
        <v>7</v>
      </c>
      <c r="I219" s="142"/>
      <c r="J219" s="142"/>
      <c r="K219" s="142"/>
      <c r="L219" s="143" t="s">
        <v>16</v>
      </c>
      <c r="M219" s="143"/>
      <c r="N219" s="143"/>
      <c r="O219" s="143"/>
      <c r="P219" s="144" t="s">
        <v>76</v>
      </c>
      <c r="Q219" s="145" t="s">
        <v>18</v>
      </c>
      <c r="R219" s="146" t="s">
        <v>3</v>
      </c>
      <c r="S219" s="151" t="s">
        <v>77</v>
      </c>
      <c r="T219" s="153" t="s">
        <v>69</v>
      </c>
      <c r="U219" s="147" t="s">
        <v>70</v>
      </c>
      <c r="V219" s="148"/>
      <c r="W219" s="149" t="s">
        <v>15</v>
      </c>
    </row>
    <row r="220" spans="1:23" ht="67.2">
      <c r="A220" s="138"/>
      <c r="B220" s="138"/>
      <c r="C220" s="1"/>
      <c r="D220" s="11" t="s">
        <v>1</v>
      </c>
      <c r="E220" s="11" t="s">
        <v>2</v>
      </c>
      <c r="F220" s="11" t="s">
        <v>17</v>
      </c>
      <c r="G220" s="11" t="s">
        <v>71</v>
      </c>
      <c r="H220" s="12" t="s">
        <v>1</v>
      </c>
      <c r="I220" s="12" t="s">
        <v>2</v>
      </c>
      <c r="J220" s="12" t="s">
        <v>17</v>
      </c>
      <c r="K220" s="12" t="s">
        <v>71</v>
      </c>
      <c r="L220" s="13" t="s">
        <v>1</v>
      </c>
      <c r="M220" s="13" t="s">
        <v>2</v>
      </c>
      <c r="N220" s="13" t="s">
        <v>17</v>
      </c>
      <c r="O220" s="13" t="s">
        <v>71</v>
      </c>
      <c r="P220" s="144"/>
      <c r="Q220" s="145"/>
      <c r="R220" s="146"/>
      <c r="S220" s="152"/>
      <c r="T220" s="154"/>
      <c r="U220" s="9" t="s">
        <v>72</v>
      </c>
      <c r="V220" s="9" t="s">
        <v>3</v>
      </c>
      <c r="W220" s="150"/>
    </row>
    <row r="221" spans="1:23" hidden="1">
      <c r="A221" s="1"/>
      <c r="B221" s="1"/>
      <c r="C221" s="1"/>
      <c r="D221" s="2"/>
      <c r="E221" s="2"/>
      <c r="F221" s="2"/>
      <c r="G221" s="3"/>
      <c r="H221" s="3"/>
      <c r="I221" s="3"/>
      <c r="J221" s="10"/>
      <c r="K221" s="10"/>
      <c r="L221" s="10"/>
      <c r="M221" s="7"/>
      <c r="N221" s="8"/>
      <c r="P221" s="15"/>
      <c r="Q221" s="15"/>
      <c r="R221" s="74"/>
      <c r="S221" s="55"/>
      <c r="T221" s="15"/>
    </row>
    <row r="222" spans="1:23">
      <c r="A222" s="5"/>
      <c r="B222" s="4" t="s">
        <v>10</v>
      </c>
      <c r="C222" s="4"/>
      <c r="D222" s="29">
        <v>49</v>
      </c>
      <c r="E222" s="29">
        <v>0</v>
      </c>
      <c r="F222" s="29">
        <v>131</v>
      </c>
      <c r="G222" s="29">
        <v>0</v>
      </c>
      <c r="H222" s="29">
        <v>99</v>
      </c>
      <c r="I222" s="29">
        <v>0</v>
      </c>
      <c r="J222" s="29">
        <v>119</v>
      </c>
      <c r="K222" s="29">
        <v>0</v>
      </c>
      <c r="L222" s="29">
        <v>0</v>
      </c>
      <c r="M222" s="30">
        <v>0</v>
      </c>
      <c r="N222" s="31">
        <v>14</v>
      </c>
      <c r="O222" s="32">
        <v>0</v>
      </c>
      <c r="P222" s="66">
        <v>412</v>
      </c>
      <c r="Q222" s="33">
        <v>747.31000000000006</v>
      </c>
      <c r="R222" s="34">
        <v>0.2089314427094833</v>
      </c>
      <c r="S222" s="56">
        <f t="shared" ref="S222:S229" si="0">U222-P222</f>
        <v>-412</v>
      </c>
      <c r="T222" s="34"/>
      <c r="U222" s="17"/>
      <c r="V222" s="19"/>
      <c r="W222" s="35"/>
    </row>
    <row r="223" spans="1:23">
      <c r="A223" s="5">
        <v>1</v>
      </c>
      <c r="B223" s="6" t="s">
        <v>4</v>
      </c>
      <c r="C223" s="6"/>
      <c r="D223" s="36">
        <v>0</v>
      </c>
      <c r="E223" s="36">
        <v>0</v>
      </c>
      <c r="F223" s="36">
        <v>112</v>
      </c>
      <c r="G223" s="36">
        <v>0</v>
      </c>
      <c r="H223" s="36">
        <v>0</v>
      </c>
      <c r="I223" s="36">
        <v>0</v>
      </c>
      <c r="J223" s="36">
        <v>119</v>
      </c>
      <c r="K223" s="36">
        <v>0</v>
      </c>
      <c r="L223" s="36">
        <v>0</v>
      </c>
      <c r="M223" s="37">
        <v>0</v>
      </c>
      <c r="N223" s="38">
        <v>0</v>
      </c>
      <c r="O223" s="39">
        <v>0</v>
      </c>
      <c r="P223" s="67">
        <v>231</v>
      </c>
      <c r="Q223" s="40">
        <v>292.08</v>
      </c>
      <c r="R223" s="41">
        <v>0.43825265716404377</v>
      </c>
      <c r="S223" s="56">
        <f t="shared" si="0"/>
        <v>-231</v>
      </c>
      <c r="T223" s="41"/>
      <c r="U223" s="18"/>
      <c r="V223" s="20"/>
      <c r="W223" s="42"/>
    </row>
    <row r="224" spans="1:23">
      <c r="A224" s="5">
        <v>2</v>
      </c>
      <c r="B224" s="6" t="s">
        <v>12</v>
      </c>
      <c r="C224" s="6"/>
      <c r="D224" s="36">
        <v>27</v>
      </c>
      <c r="E224" s="36">
        <v>0</v>
      </c>
      <c r="F224" s="36">
        <v>0</v>
      </c>
      <c r="G224" s="36">
        <v>0</v>
      </c>
      <c r="H224" s="36">
        <v>63</v>
      </c>
      <c r="I224" s="36">
        <v>0</v>
      </c>
      <c r="J224" s="36">
        <v>0</v>
      </c>
      <c r="K224" s="36">
        <v>0</v>
      </c>
      <c r="L224" s="36">
        <v>0</v>
      </c>
      <c r="M224" s="37">
        <v>0</v>
      </c>
      <c r="N224" s="38">
        <v>0</v>
      </c>
      <c r="O224" s="39">
        <v>0</v>
      </c>
      <c r="P224" s="67">
        <v>90</v>
      </c>
      <c r="Q224" s="40">
        <v>257.60000000000002</v>
      </c>
      <c r="R224" s="41">
        <v>0.37766636464310888</v>
      </c>
      <c r="S224" s="56">
        <f t="shared" si="0"/>
        <v>-90</v>
      </c>
      <c r="T224" s="41"/>
      <c r="U224" s="18"/>
      <c r="V224" s="20"/>
      <c r="W224" s="42"/>
    </row>
    <row r="225" spans="1:23">
      <c r="A225" s="5">
        <v>3</v>
      </c>
      <c r="B225" s="6" t="s">
        <v>5</v>
      </c>
      <c r="C225" s="6"/>
      <c r="D225" s="36">
        <v>15</v>
      </c>
      <c r="E225" s="36">
        <v>0</v>
      </c>
      <c r="F225" s="36">
        <v>0</v>
      </c>
      <c r="G225" s="36">
        <v>0</v>
      </c>
      <c r="H225" s="36">
        <v>36</v>
      </c>
      <c r="I225" s="36">
        <v>0</v>
      </c>
      <c r="J225" s="36">
        <v>0</v>
      </c>
      <c r="K225" s="36">
        <v>0</v>
      </c>
      <c r="L225" s="36">
        <v>0</v>
      </c>
      <c r="M225" s="37">
        <v>0</v>
      </c>
      <c r="N225" s="38">
        <v>0</v>
      </c>
      <c r="O225" s="39">
        <v>0</v>
      </c>
      <c r="P225" s="67">
        <v>51</v>
      </c>
      <c r="Q225" s="40">
        <v>117.97999999999999</v>
      </c>
      <c r="R225" s="41">
        <v>0.16375417619131352</v>
      </c>
      <c r="S225" s="56">
        <f t="shared" si="0"/>
        <v>-51</v>
      </c>
      <c r="T225" s="41"/>
      <c r="U225" s="18"/>
      <c r="V225" s="20"/>
      <c r="W225" s="42"/>
    </row>
    <row r="226" spans="1:23">
      <c r="A226" s="5">
        <v>4</v>
      </c>
      <c r="B226" s="6" t="s">
        <v>8</v>
      </c>
      <c r="C226" s="6"/>
      <c r="D226" s="36">
        <v>7</v>
      </c>
      <c r="E226" s="36">
        <v>0</v>
      </c>
      <c r="F226" s="36">
        <v>0</v>
      </c>
      <c r="G226" s="36">
        <v>0</v>
      </c>
      <c r="H226" s="36">
        <v>0</v>
      </c>
      <c r="I226" s="36">
        <v>0</v>
      </c>
      <c r="J226" s="36">
        <v>0</v>
      </c>
      <c r="K226" s="36">
        <v>0</v>
      </c>
      <c r="L226" s="36">
        <v>0</v>
      </c>
      <c r="M226" s="37">
        <v>0</v>
      </c>
      <c r="N226" s="38">
        <v>14</v>
      </c>
      <c r="O226" s="39">
        <v>0</v>
      </c>
      <c r="P226" s="67">
        <v>21</v>
      </c>
      <c r="Q226" s="40">
        <v>60.18</v>
      </c>
      <c r="R226" s="41">
        <v>0.58969477142075</v>
      </c>
      <c r="S226" s="56">
        <f t="shared" si="0"/>
        <v>-21</v>
      </c>
      <c r="T226" s="41"/>
      <c r="U226" s="18"/>
      <c r="V226" s="20"/>
      <c r="W226" s="42"/>
    </row>
    <row r="227" spans="1:23">
      <c r="A227" s="5">
        <v>5</v>
      </c>
      <c r="B227" s="6" t="s">
        <v>9</v>
      </c>
      <c r="C227" s="6"/>
      <c r="D227" s="36">
        <v>0</v>
      </c>
      <c r="E227" s="36">
        <v>0</v>
      </c>
      <c r="F227" s="36">
        <v>19</v>
      </c>
      <c r="G227" s="36">
        <v>0</v>
      </c>
      <c r="H227" s="36">
        <v>0</v>
      </c>
      <c r="I227" s="36">
        <v>0</v>
      </c>
      <c r="J227" s="36">
        <v>0</v>
      </c>
      <c r="K227" s="36">
        <v>0</v>
      </c>
      <c r="L227" s="36">
        <v>0</v>
      </c>
      <c r="M227" s="37">
        <v>0</v>
      </c>
      <c r="N227" s="38">
        <v>0</v>
      </c>
      <c r="O227" s="39">
        <v>0</v>
      </c>
      <c r="P227" s="67">
        <v>19</v>
      </c>
      <c r="Q227" s="40">
        <v>19.47</v>
      </c>
      <c r="R227" s="41">
        <v>2.9103139013452916E-2</v>
      </c>
      <c r="S227" s="56">
        <f t="shared" si="0"/>
        <v>-19</v>
      </c>
      <c r="T227" s="41"/>
      <c r="U227" s="18"/>
      <c r="V227" s="20"/>
      <c r="W227" s="42"/>
    </row>
    <row r="228" spans="1:23">
      <c r="A228" s="5">
        <v>6</v>
      </c>
      <c r="B228" s="6" t="s">
        <v>13</v>
      </c>
      <c r="C228" s="6"/>
      <c r="D228" s="36">
        <v>0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7">
        <v>0</v>
      </c>
      <c r="N228" s="38">
        <v>0</v>
      </c>
      <c r="O228" s="39">
        <v>0</v>
      </c>
      <c r="P228" s="67">
        <v>0</v>
      </c>
      <c r="Q228" s="40">
        <v>0</v>
      </c>
      <c r="R228" s="41">
        <v>0</v>
      </c>
      <c r="S228" s="56">
        <f t="shared" si="0"/>
        <v>0</v>
      </c>
      <c r="T228" s="41"/>
      <c r="U228" s="18"/>
      <c r="V228" s="20"/>
      <c r="W228" s="42"/>
    </row>
    <row r="229" spans="1:23">
      <c r="A229" s="5">
        <v>7</v>
      </c>
      <c r="B229" s="6" t="s">
        <v>14</v>
      </c>
      <c r="C229" s="6"/>
      <c r="D229" s="36">
        <v>0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  <c r="M229" s="37">
        <v>0</v>
      </c>
      <c r="N229" s="38">
        <v>0</v>
      </c>
      <c r="O229" s="39">
        <v>0</v>
      </c>
      <c r="P229" s="67">
        <v>0</v>
      </c>
      <c r="Q229" s="40">
        <v>0</v>
      </c>
      <c r="R229" s="41">
        <v>0</v>
      </c>
      <c r="S229" s="56">
        <f t="shared" si="0"/>
        <v>0</v>
      </c>
      <c r="T229" s="41"/>
      <c r="U229" s="18"/>
      <c r="V229" s="20"/>
      <c r="W229" s="44"/>
    </row>
  </sheetData>
  <sortState xmlns:xlrd2="http://schemas.microsoft.com/office/spreadsheetml/2017/richdata2" ref="A97:R103">
    <sortCondition descending="1" ref="R96:R103"/>
  </sortState>
  <mergeCells count="162">
    <mergeCell ref="A28:A29"/>
    <mergeCell ref="B28:B29"/>
    <mergeCell ref="C28:C29"/>
    <mergeCell ref="D28:G28"/>
    <mergeCell ref="H28:K28"/>
    <mergeCell ref="L28:O28"/>
    <mergeCell ref="P28:P29"/>
    <mergeCell ref="Q28:Q29"/>
    <mergeCell ref="R28:R29"/>
    <mergeCell ref="A54:A55"/>
    <mergeCell ref="B54:B55"/>
    <mergeCell ref="C54:C55"/>
    <mergeCell ref="D54:G54"/>
    <mergeCell ref="H54:K54"/>
    <mergeCell ref="L54:O54"/>
    <mergeCell ref="P54:P55"/>
    <mergeCell ref="Q54:Q55"/>
    <mergeCell ref="R54:R55"/>
    <mergeCell ref="A67:A68"/>
    <mergeCell ref="B67:B68"/>
    <mergeCell ref="C67:C68"/>
    <mergeCell ref="D67:G67"/>
    <mergeCell ref="H67:K67"/>
    <mergeCell ref="L67:O67"/>
    <mergeCell ref="P67:P68"/>
    <mergeCell ref="Q67:Q68"/>
    <mergeCell ref="R67:R68"/>
    <mergeCell ref="L93:O93"/>
    <mergeCell ref="P93:P94"/>
    <mergeCell ref="Q93:Q94"/>
    <mergeCell ref="R93:R94"/>
    <mergeCell ref="A93:A94"/>
    <mergeCell ref="B93:B94"/>
    <mergeCell ref="C93:C94"/>
    <mergeCell ref="D93:G93"/>
    <mergeCell ref="H93:K93"/>
    <mergeCell ref="L107:O107"/>
    <mergeCell ref="P107:P108"/>
    <mergeCell ref="Q107:Q108"/>
    <mergeCell ref="R107:R108"/>
    <mergeCell ref="A107:A108"/>
    <mergeCell ref="B107:B108"/>
    <mergeCell ref="C107:C108"/>
    <mergeCell ref="D107:G107"/>
    <mergeCell ref="H107:K107"/>
    <mergeCell ref="L121:O121"/>
    <mergeCell ref="P121:P122"/>
    <mergeCell ref="Q121:Q122"/>
    <mergeCell ref="R121:R122"/>
    <mergeCell ref="A121:A122"/>
    <mergeCell ref="B121:B122"/>
    <mergeCell ref="C121:C122"/>
    <mergeCell ref="D121:G121"/>
    <mergeCell ref="H121:K121"/>
    <mergeCell ref="L149:O149"/>
    <mergeCell ref="P149:P150"/>
    <mergeCell ref="Q149:Q150"/>
    <mergeCell ref="R149:R150"/>
    <mergeCell ref="A149:A150"/>
    <mergeCell ref="B149:B150"/>
    <mergeCell ref="C149:C150"/>
    <mergeCell ref="D149:G149"/>
    <mergeCell ref="H149:K149"/>
    <mergeCell ref="P177:P178"/>
    <mergeCell ref="Q177:Q178"/>
    <mergeCell ref="R177:R178"/>
    <mergeCell ref="C177:C178"/>
    <mergeCell ref="A177:A178"/>
    <mergeCell ref="B177:B178"/>
    <mergeCell ref="D177:G177"/>
    <mergeCell ref="H177:K177"/>
    <mergeCell ref="L177:O177"/>
    <mergeCell ref="A219:A220"/>
    <mergeCell ref="B219:B220"/>
    <mergeCell ref="D219:G219"/>
    <mergeCell ref="H219:K219"/>
    <mergeCell ref="L219:O219"/>
    <mergeCell ref="U219:V219"/>
    <mergeCell ref="W219:W220"/>
    <mergeCell ref="Q219:Q220"/>
    <mergeCell ref="R219:R220"/>
    <mergeCell ref="P219:P220"/>
    <mergeCell ref="S219:S220"/>
    <mergeCell ref="T219:T220"/>
    <mergeCell ref="W205:W206"/>
    <mergeCell ref="Q205:Q206"/>
    <mergeCell ref="A205:A206"/>
    <mergeCell ref="B205:B206"/>
    <mergeCell ref="D205:G205"/>
    <mergeCell ref="H205:K205"/>
    <mergeCell ref="L205:O205"/>
    <mergeCell ref="P205:P206"/>
    <mergeCell ref="U205:V205"/>
    <mergeCell ref="T205:T206"/>
    <mergeCell ref="R205:R206"/>
    <mergeCell ref="S205:S206"/>
    <mergeCell ref="U191:V191"/>
    <mergeCell ref="W191:W192"/>
    <mergeCell ref="P191:P192"/>
    <mergeCell ref="Q191:Q192"/>
    <mergeCell ref="R191:R192"/>
    <mergeCell ref="S191:S192"/>
    <mergeCell ref="T191:T192"/>
    <mergeCell ref="A191:A192"/>
    <mergeCell ref="B191:B192"/>
    <mergeCell ref="D191:G191"/>
    <mergeCell ref="H191:K191"/>
    <mergeCell ref="L191:O191"/>
    <mergeCell ref="L163:O163"/>
    <mergeCell ref="P163:P164"/>
    <mergeCell ref="Q163:Q164"/>
    <mergeCell ref="R163:R164"/>
    <mergeCell ref="A163:A164"/>
    <mergeCell ref="B163:B164"/>
    <mergeCell ref="C163:C164"/>
    <mergeCell ref="D163:G163"/>
    <mergeCell ref="H163:K163"/>
    <mergeCell ref="L135:O135"/>
    <mergeCell ref="P135:P136"/>
    <mergeCell ref="Q135:Q136"/>
    <mergeCell ref="R135:R136"/>
    <mergeCell ref="A135:A136"/>
    <mergeCell ref="B135:B136"/>
    <mergeCell ref="C135:C136"/>
    <mergeCell ref="D135:G135"/>
    <mergeCell ref="H135:K135"/>
    <mergeCell ref="L80:O80"/>
    <mergeCell ref="P80:P81"/>
    <mergeCell ref="Q80:Q81"/>
    <mergeCell ref="R80:R81"/>
    <mergeCell ref="A80:A81"/>
    <mergeCell ref="B80:B81"/>
    <mergeCell ref="C80:C81"/>
    <mergeCell ref="D80:G80"/>
    <mergeCell ref="H80:K80"/>
    <mergeCell ref="A41:A42"/>
    <mergeCell ref="B41:B42"/>
    <mergeCell ref="C41:C42"/>
    <mergeCell ref="D41:G41"/>
    <mergeCell ref="H41:K41"/>
    <mergeCell ref="L41:O41"/>
    <mergeCell ref="P41:P42"/>
    <mergeCell ref="Q41:Q42"/>
    <mergeCell ref="R41:R42"/>
    <mergeCell ref="A15:A16"/>
    <mergeCell ref="B15:B16"/>
    <mergeCell ref="C15:C16"/>
    <mergeCell ref="D15:G15"/>
    <mergeCell ref="H15:K15"/>
    <mergeCell ref="L15:O15"/>
    <mergeCell ref="P15:P16"/>
    <mergeCell ref="Q15:Q16"/>
    <mergeCell ref="R15:R16"/>
    <mergeCell ref="A2:A3"/>
    <mergeCell ref="B2:B3"/>
    <mergeCell ref="C2:C3"/>
    <mergeCell ref="D2:G2"/>
    <mergeCell ref="H2:K2"/>
    <mergeCell ref="L2:O2"/>
    <mergeCell ref="P2:P3"/>
    <mergeCell ref="Q2:Q3"/>
    <mergeCell ref="R2:R3"/>
  </mergeCells>
  <conditionalFormatting sqref="R5:R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8:R2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1:R3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4:R5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67C4-B45C-4E57-AD2B-844BC6D4CF4F}">
  <dimension ref="A1:N21"/>
  <sheetViews>
    <sheetView zoomScale="96" workbookViewId="0">
      <selection activeCell="N3" sqref="N3:N10"/>
    </sheetView>
  </sheetViews>
  <sheetFormatPr defaultColWidth="13.88671875" defaultRowHeight="13.8"/>
  <cols>
    <col min="1" max="16384" width="13.88671875" style="108"/>
  </cols>
  <sheetData>
    <row r="1" spans="1:14" ht="14.4" thickBot="1">
      <c r="A1" s="155" t="s">
        <v>0</v>
      </c>
      <c r="B1" s="155" t="s">
        <v>11</v>
      </c>
      <c r="C1" s="157" t="s">
        <v>152</v>
      </c>
      <c r="D1" s="158"/>
      <c r="E1" s="158"/>
      <c r="F1" s="158"/>
      <c r="G1" s="158"/>
      <c r="H1" s="159"/>
      <c r="I1" s="160" t="s">
        <v>153</v>
      </c>
      <c r="J1" s="158"/>
      <c r="K1" s="158"/>
      <c r="L1" s="158"/>
      <c r="M1" s="158"/>
      <c r="N1" s="159"/>
    </row>
    <row r="2" spans="1:14" ht="14.4" thickBot="1">
      <c r="A2" s="156"/>
      <c r="B2" s="156"/>
      <c r="C2" s="97" t="s">
        <v>154</v>
      </c>
      <c r="D2" s="97" t="s">
        <v>155</v>
      </c>
      <c r="E2" s="97" t="s">
        <v>156</v>
      </c>
      <c r="F2" s="97" t="s">
        <v>157</v>
      </c>
      <c r="G2" s="97" t="s">
        <v>158</v>
      </c>
      <c r="H2" s="98" t="s">
        <v>159</v>
      </c>
      <c r="I2" s="97" t="s">
        <v>154</v>
      </c>
      <c r="J2" s="97" t="s">
        <v>155</v>
      </c>
      <c r="K2" s="97" t="s">
        <v>156</v>
      </c>
      <c r="L2" s="97" t="s">
        <v>157</v>
      </c>
      <c r="M2" s="97" t="s">
        <v>158</v>
      </c>
      <c r="N2" s="98" t="s">
        <v>159</v>
      </c>
    </row>
    <row r="3" spans="1:14" ht="14.4" thickBot="1">
      <c r="A3" s="99" t="s">
        <v>90</v>
      </c>
      <c r="B3" s="100" t="s">
        <v>10</v>
      </c>
      <c r="C3" s="101">
        <v>31773</v>
      </c>
      <c r="D3" s="101">
        <v>29154</v>
      </c>
      <c r="E3" s="101">
        <v>21125</v>
      </c>
      <c r="F3" s="101">
        <v>24712</v>
      </c>
      <c r="G3" s="101">
        <v>34694</v>
      </c>
      <c r="H3" s="102">
        <v>16766</v>
      </c>
      <c r="I3" s="115">
        <v>10.07</v>
      </c>
      <c r="J3" s="115">
        <v>7.95</v>
      </c>
      <c r="K3" s="115">
        <v>5.34</v>
      </c>
      <c r="L3" s="115">
        <v>7.03</v>
      </c>
      <c r="M3" s="115">
        <v>9.67</v>
      </c>
      <c r="N3" s="115">
        <v>4.6391588267847244</v>
      </c>
    </row>
    <row r="4" spans="1:14" ht="14.4" thickBot="1">
      <c r="A4" s="103">
        <v>1</v>
      </c>
      <c r="B4" s="104" t="s">
        <v>5</v>
      </c>
      <c r="C4" s="105">
        <v>1558</v>
      </c>
      <c r="D4" s="105">
        <v>2766</v>
      </c>
      <c r="E4" s="105">
        <v>1716</v>
      </c>
      <c r="F4" s="105">
        <v>2925</v>
      </c>
      <c r="G4" s="105">
        <v>5944</v>
      </c>
      <c r="H4" s="106">
        <v>1230</v>
      </c>
      <c r="I4" s="116">
        <v>3.78</v>
      </c>
      <c r="J4" s="116">
        <v>7.64</v>
      </c>
      <c r="K4" s="116">
        <v>2.4700000000000002</v>
      </c>
      <c r="L4" s="116">
        <v>5.76</v>
      </c>
      <c r="M4" s="116">
        <v>11.35</v>
      </c>
      <c r="N4" s="116">
        <v>2.3477671755725189</v>
      </c>
    </row>
    <row r="5" spans="1:14" ht="14.4" thickBot="1">
      <c r="A5" s="103">
        <v>2</v>
      </c>
      <c r="B5" s="104" t="s">
        <v>12</v>
      </c>
      <c r="C5" s="105">
        <v>3101</v>
      </c>
      <c r="D5" s="105">
        <v>2659</v>
      </c>
      <c r="E5" s="105">
        <v>1586</v>
      </c>
      <c r="F5" s="105">
        <v>5999</v>
      </c>
      <c r="G5" s="105">
        <v>7195</v>
      </c>
      <c r="H5" s="106">
        <v>3333</v>
      </c>
      <c r="I5" s="117">
        <v>7.57</v>
      </c>
      <c r="J5" s="117">
        <v>4.9400000000000004</v>
      </c>
      <c r="K5" s="117">
        <v>2.33</v>
      </c>
      <c r="L5" s="117">
        <v>12.42</v>
      </c>
      <c r="M5" s="117">
        <v>14.41</v>
      </c>
      <c r="N5" s="117">
        <v>6.6668200000000013</v>
      </c>
    </row>
    <row r="6" spans="1:14" ht="14.4" thickBot="1">
      <c r="A6" s="103">
        <v>3</v>
      </c>
      <c r="B6" s="104" t="s">
        <v>8</v>
      </c>
      <c r="C6" s="105">
        <v>16018</v>
      </c>
      <c r="D6" s="105">
        <v>11920</v>
      </c>
      <c r="E6" s="105">
        <v>3668</v>
      </c>
      <c r="F6" s="105">
        <v>9876</v>
      </c>
      <c r="G6" s="105">
        <v>10910</v>
      </c>
      <c r="H6" s="106">
        <v>4806</v>
      </c>
      <c r="I6" s="117">
        <v>28.68</v>
      </c>
      <c r="J6" s="117">
        <v>19.329999999999998</v>
      </c>
      <c r="K6" s="117">
        <v>6.16</v>
      </c>
      <c r="L6" s="117">
        <v>15.79</v>
      </c>
      <c r="M6" s="117">
        <v>17.39</v>
      </c>
      <c r="N6" s="117">
        <v>7.6161489698890623</v>
      </c>
    </row>
    <row r="7" spans="1:14" ht="14.4" thickBot="1">
      <c r="A7" s="103">
        <v>4</v>
      </c>
      <c r="B7" s="104" t="s">
        <v>13</v>
      </c>
      <c r="C7" s="105">
        <v>1492</v>
      </c>
      <c r="D7" s="105">
        <v>4257</v>
      </c>
      <c r="E7" s="105">
        <v>3108</v>
      </c>
      <c r="F7" s="107">
        <v>755</v>
      </c>
      <c r="G7" s="105">
        <v>2013</v>
      </c>
      <c r="H7" s="106">
        <v>1574</v>
      </c>
      <c r="I7" s="117">
        <v>2.37</v>
      </c>
      <c r="J7" s="117">
        <v>7.82</v>
      </c>
      <c r="K7" s="117">
        <v>4.87</v>
      </c>
      <c r="L7" s="117">
        <v>1.76</v>
      </c>
      <c r="M7" s="117">
        <v>4.32</v>
      </c>
      <c r="N7" s="117">
        <v>3.3495106382978714</v>
      </c>
    </row>
    <row r="8" spans="1:14" ht="14.4" thickBot="1">
      <c r="A8" s="103">
        <v>5</v>
      </c>
      <c r="B8" s="104" t="s">
        <v>4</v>
      </c>
      <c r="C8" s="105">
        <v>3565</v>
      </c>
      <c r="D8" s="105">
        <v>1490</v>
      </c>
      <c r="E8" s="105">
        <v>6709</v>
      </c>
      <c r="F8" s="105">
        <v>2048</v>
      </c>
      <c r="G8" s="107">
        <v>910</v>
      </c>
      <c r="H8" s="106">
        <v>1347</v>
      </c>
      <c r="I8" s="116">
        <v>10.18</v>
      </c>
      <c r="J8" s="116">
        <v>2.38</v>
      </c>
      <c r="K8" s="116">
        <v>10.53</v>
      </c>
      <c r="L8" s="116">
        <v>4.1500000000000004</v>
      </c>
      <c r="M8" s="116">
        <v>1.87</v>
      </c>
      <c r="N8" s="116">
        <v>2.6255360623781678</v>
      </c>
    </row>
    <row r="9" spans="1:14" ht="14.4" thickBot="1">
      <c r="A9" s="103">
        <v>6</v>
      </c>
      <c r="B9" s="104" t="s">
        <v>9</v>
      </c>
      <c r="C9" s="105">
        <v>3140</v>
      </c>
      <c r="D9" s="105">
        <v>4401</v>
      </c>
      <c r="E9" s="105">
        <v>2543</v>
      </c>
      <c r="F9" s="107">
        <v>973</v>
      </c>
      <c r="G9" s="105">
        <v>4636</v>
      </c>
      <c r="H9" s="106">
        <v>2014</v>
      </c>
      <c r="I9" s="117">
        <v>5.45</v>
      </c>
      <c r="J9" s="117">
        <v>7.18</v>
      </c>
      <c r="K9" s="117">
        <v>3.87</v>
      </c>
      <c r="L9" s="117">
        <v>2.12</v>
      </c>
      <c r="M9" s="117">
        <v>10.119999999999999</v>
      </c>
      <c r="N9" s="117">
        <v>4.4073304157549229</v>
      </c>
    </row>
    <row r="10" spans="1:14" ht="14.4" thickBot="1">
      <c r="A10" s="103">
        <v>7</v>
      </c>
      <c r="B10" s="104" t="s">
        <v>14</v>
      </c>
      <c r="C10" s="105">
        <v>2899</v>
      </c>
      <c r="D10" s="105">
        <v>1660</v>
      </c>
      <c r="E10" s="105">
        <v>1796</v>
      </c>
      <c r="F10" s="105">
        <v>2137</v>
      </c>
      <c r="G10" s="105">
        <v>3085</v>
      </c>
      <c r="H10" s="106">
        <v>2461</v>
      </c>
      <c r="I10" s="117">
        <v>5.14</v>
      </c>
      <c r="J10" s="117">
        <v>5.23</v>
      </c>
      <c r="K10" s="117">
        <v>7.54</v>
      </c>
      <c r="L10" s="117">
        <v>4.17</v>
      </c>
      <c r="M10" s="117">
        <v>5.97</v>
      </c>
      <c r="N10" s="117">
        <v>4.7421387283236989</v>
      </c>
    </row>
    <row r="11" spans="1:14" ht="14.4" thickBot="1"/>
    <row r="12" spans="1:14" ht="14.4" thickBot="1">
      <c r="A12" s="155" t="s">
        <v>0</v>
      </c>
      <c r="B12" s="155" t="s">
        <v>11</v>
      </c>
      <c r="C12" s="157" t="s">
        <v>160</v>
      </c>
      <c r="D12" s="158"/>
      <c r="E12" s="158"/>
      <c r="F12" s="158"/>
      <c r="G12" s="158"/>
      <c r="H12" s="161"/>
    </row>
    <row r="13" spans="1:14" ht="14.4" thickBot="1">
      <c r="A13" s="156"/>
      <c r="B13" s="156"/>
      <c r="C13" s="97" t="s">
        <v>154</v>
      </c>
      <c r="D13" s="97" t="s">
        <v>155</v>
      </c>
      <c r="E13" s="97" t="s">
        <v>156</v>
      </c>
      <c r="F13" s="97" t="s">
        <v>157</v>
      </c>
      <c r="G13" s="97" t="s">
        <v>158</v>
      </c>
      <c r="H13" s="98" t="s">
        <v>159</v>
      </c>
    </row>
    <row r="14" spans="1:14" ht="14.4" thickBot="1">
      <c r="A14" s="99" t="s">
        <v>90</v>
      </c>
      <c r="B14" s="100" t="s">
        <v>10</v>
      </c>
      <c r="C14" s="109" t="s">
        <v>161</v>
      </c>
      <c r="D14" s="109" t="s">
        <v>161</v>
      </c>
      <c r="E14" s="109" t="s">
        <v>161</v>
      </c>
      <c r="F14" s="109" t="s">
        <v>161</v>
      </c>
      <c r="G14" s="109" t="s">
        <v>161</v>
      </c>
      <c r="H14" s="110" t="s">
        <v>162</v>
      </c>
    </row>
    <row r="15" spans="1:14" ht="14.4" thickBot="1">
      <c r="A15" s="103">
        <v>1</v>
      </c>
      <c r="B15" s="104" t="s">
        <v>5</v>
      </c>
      <c r="C15" s="111" t="s">
        <v>161</v>
      </c>
      <c r="D15" s="111" t="s">
        <v>161</v>
      </c>
      <c r="E15" s="112" t="s">
        <v>78</v>
      </c>
      <c r="F15" s="111" t="s">
        <v>161</v>
      </c>
      <c r="G15" s="111" t="s">
        <v>161</v>
      </c>
      <c r="H15" s="113" t="s">
        <v>163</v>
      </c>
    </row>
    <row r="16" spans="1:14" ht="14.4" thickBot="1">
      <c r="A16" s="103">
        <v>2</v>
      </c>
      <c r="B16" s="104" t="s">
        <v>12</v>
      </c>
      <c r="C16" s="111" t="s">
        <v>161</v>
      </c>
      <c r="D16" s="111" t="s">
        <v>161</v>
      </c>
      <c r="E16" s="112" t="s">
        <v>78</v>
      </c>
      <c r="F16" s="111" t="s">
        <v>161</v>
      </c>
      <c r="G16" s="111" t="s">
        <v>161</v>
      </c>
      <c r="H16" s="114" t="s">
        <v>162</v>
      </c>
    </row>
    <row r="17" spans="1:8" ht="14.4" thickBot="1">
      <c r="A17" s="103">
        <v>3</v>
      </c>
      <c r="B17" s="104" t="s">
        <v>8</v>
      </c>
      <c r="C17" s="111" t="s">
        <v>161</v>
      </c>
      <c r="D17" s="111" t="s">
        <v>161</v>
      </c>
      <c r="E17" s="111" t="s">
        <v>161</v>
      </c>
      <c r="F17" s="111" t="s">
        <v>161</v>
      </c>
      <c r="G17" s="111" t="s">
        <v>161</v>
      </c>
      <c r="H17" s="114" t="s">
        <v>162</v>
      </c>
    </row>
    <row r="18" spans="1:8" ht="14.4" thickBot="1">
      <c r="A18" s="103">
        <v>4</v>
      </c>
      <c r="B18" s="104" t="s">
        <v>13</v>
      </c>
      <c r="C18" s="112" t="s">
        <v>78</v>
      </c>
      <c r="D18" s="111" t="s">
        <v>161</v>
      </c>
      <c r="E18" s="111" t="s">
        <v>161</v>
      </c>
      <c r="F18" s="112" t="s">
        <v>78</v>
      </c>
      <c r="G18" s="111" t="s">
        <v>161</v>
      </c>
      <c r="H18" s="114" t="s">
        <v>162</v>
      </c>
    </row>
    <row r="19" spans="1:8" ht="14.4" thickBot="1">
      <c r="A19" s="103">
        <v>5</v>
      </c>
      <c r="B19" s="104" t="s">
        <v>4</v>
      </c>
      <c r="C19" s="111" t="s">
        <v>161</v>
      </c>
      <c r="D19" s="112" t="s">
        <v>78</v>
      </c>
      <c r="E19" s="111" t="s">
        <v>161</v>
      </c>
      <c r="F19" s="111" t="s">
        <v>161</v>
      </c>
      <c r="G19" s="112" t="s">
        <v>78</v>
      </c>
      <c r="H19" s="113" t="s">
        <v>163</v>
      </c>
    </row>
    <row r="20" spans="1:8" ht="14.4" thickBot="1">
      <c r="A20" s="103">
        <v>6</v>
      </c>
      <c r="B20" s="104" t="s">
        <v>9</v>
      </c>
      <c r="C20" s="111" t="s">
        <v>161</v>
      </c>
      <c r="D20" s="111" t="s">
        <v>161</v>
      </c>
      <c r="E20" s="111" t="s">
        <v>161</v>
      </c>
      <c r="F20" s="112" t="s">
        <v>78</v>
      </c>
      <c r="G20" s="111" t="s">
        <v>161</v>
      </c>
      <c r="H20" s="114" t="s">
        <v>162</v>
      </c>
    </row>
    <row r="21" spans="1:8" ht="14.4" thickBot="1">
      <c r="A21" s="103">
        <v>7</v>
      </c>
      <c r="B21" s="104" t="s">
        <v>14</v>
      </c>
      <c r="C21" s="111" t="s">
        <v>161</v>
      </c>
      <c r="D21" s="111" t="s">
        <v>161</v>
      </c>
      <c r="E21" s="111" t="s">
        <v>161</v>
      </c>
      <c r="F21" s="111" t="s">
        <v>161</v>
      </c>
      <c r="G21" s="111" t="s">
        <v>161</v>
      </c>
      <c r="H21" s="114" t="s">
        <v>162</v>
      </c>
    </row>
  </sheetData>
  <mergeCells count="7">
    <mergeCell ref="A1:A2"/>
    <mergeCell ref="B1:B2"/>
    <mergeCell ref="C1:H1"/>
    <mergeCell ref="I1:N1"/>
    <mergeCell ref="A12:A13"/>
    <mergeCell ref="B12:B13"/>
    <mergeCell ref="C12:H12"/>
  </mergeCells>
  <conditionalFormatting sqref="I4:M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N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5F12-547B-4D3B-87AF-56D4BCBC7184}">
  <dimension ref="A1:AU27"/>
  <sheetViews>
    <sheetView topLeftCell="D1" zoomScale="55" zoomScaleNormal="55" workbookViewId="0">
      <selection activeCell="AU1" sqref="AU1"/>
    </sheetView>
  </sheetViews>
  <sheetFormatPr defaultColWidth="9.21875" defaultRowHeight="16.8"/>
  <cols>
    <col min="1" max="1" width="6.5546875" style="14" customWidth="1"/>
    <col min="2" max="2" width="12.6640625" style="14" bestFit="1" customWidth="1"/>
    <col min="3" max="3" width="12.6640625" style="14" customWidth="1"/>
    <col min="4" max="4" width="11.109375" style="14" customWidth="1"/>
    <col min="5" max="5" width="10.88671875" style="14" customWidth="1"/>
    <col min="6" max="6" width="11.21875" style="14" customWidth="1"/>
    <col min="7" max="7" width="13.44140625" style="14" hidden="1" customWidth="1"/>
    <col min="8" max="8" width="11.109375" style="14" customWidth="1"/>
    <col min="9" max="9" width="11" style="14" customWidth="1"/>
    <col min="10" max="10" width="11.109375" style="14" customWidth="1"/>
    <col min="11" max="11" width="13.6640625" style="14" hidden="1" customWidth="1"/>
    <col min="12" max="12" width="10.77734375" style="14" customWidth="1"/>
    <col min="13" max="13" width="11.109375" style="14" customWidth="1"/>
    <col min="14" max="14" width="11.33203125" style="14" customWidth="1"/>
    <col min="15" max="15" width="13.6640625" style="14" hidden="1" customWidth="1"/>
    <col min="16" max="16" width="14.6640625" style="14" customWidth="1"/>
    <col min="17" max="17" width="12.77734375" style="14" customWidth="1"/>
    <col min="18" max="18" width="14.44140625" style="14" customWidth="1"/>
    <col min="19" max="20" width="14.44140625" style="54" hidden="1" customWidth="1"/>
    <col min="21" max="21" width="11.6640625" style="14" hidden="1" customWidth="1"/>
    <col min="22" max="22" width="14" style="14" hidden="1" customWidth="1"/>
    <col min="23" max="24" width="14.6640625" style="14" hidden="1" customWidth="1"/>
    <col min="25" max="28" width="9.21875" style="14"/>
    <col min="29" max="29" width="12.33203125" style="14" bestFit="1" customWidth="1"/>
    <col min="30" max="30" width="18.88671875" style="14" bestFit="1" customWidth="1"/>
    <col min="31" max="42" width="9.21875" style="14"/>
    <col min="43" max="43" width="11.44140625" style="14" customWidth="1"/>
    <col min="44" max="44" width="14.5546875" style="14" customWidth="1"/>
    <col min="45" max="45" width="13" style="14" customWidth="1"/>
    <col min="46" max="46" width="19.21875" style="14" customWidth="1"/>
    <col min="47" max="16384" width="9.21875" style="14"/>
  </cols>
  <sheetData>
    <row r="1" spans="1:47" ht="34.35" customHeight="1">
      <c r="A1" s="75" t="s">
        <v>751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7"/>
      <c r="T1" s="77"/>
      <c r="U1" s="78"/>
      <c r="V1" s="79"/>
      <c r="W1" s="80"/>
      <c r="X1" s="80"/>
      <c r="Y1" s="14" t="s">
        <v>752</v>
      </c>
      <c r="AB1" s="166" t="s">
        <v>171</v>
      </c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4" t="s">
        <v>754</v>
      </c>
    </row>
    <row r="2" spans="1:47" ht="25.35" customHeight="1">
      <c r="A2" s="138" t="s">
        <v>0</v>
      </c>
      <c r="B2" s="138" t="s">
        <v>11</v>
      </c>
      <c r="C2" s="139" t="s">
        <v>84</v>
      </c>
      <c r="D2" s="141" t="s">
        <v>6</v>
      </c>
      <c r="E2" s="141"/>
      <c r="F2" s="141"/>
      <c r="G2" s="141"/>
      <c r="H2" s="142" t="s">
        <v>7</v>
      </c>
      <c r="I2" s="142"/>
      <c r="J2" s="142"/>
      <c r="K2" s="142"/>
      <c r="L2" s="143" t="s">
        <v>16</v>
      </c>
      <c r="M2" s="143"/>
      <c r="N2" s="143"/>
      <c r="O2" s="143"/>
      <c r="P2" s="144" t="s">
        <v>76</v>
      </c>
      <c r="Q2" s="145" t="s">
        <v>18</v>
      </c>
      <c r="R2" s="153" t="s">
        <v>3</v>
      </c>
      <c r="S2" s="167" t="s">
        <v>85</v>
      </c>
      <c r="T2" s="167" t="s">
        <v>86</v>
      </c>
      <c r="U2" s="145" t="s">
        <v>69</v>
      </c>
      <c r="V2" s="148" t="s">
        <v>70</v>
      </c>
      <c r="W2" s="138"/>
      <c r="X2" s="144" t="s">
        <v>15</v>
      </c>
      <c r="AB2" s="162" t="s">
        <v>0</v>
      </c>
      <c r="AC2" s="164" t="s">
        <v>142</v>
      </c>
      <c r="AD2" s="138" t="s">
        <v>119</v>
      </c>
      <c r="AE2" s="162" t="s">
        <v>84</v>
      </c>
      <c r="AF2" s="141" t="s">
        <v>6</v>
      </c>
      <c r="AG2" s="141"/>
      <c r="AH2" s="141"/>
      <c r="AI2" s="141"/>
      <c r="AJ2" s="142" t="s">
        <v>7</v>
      </c>
      <c r="AK2" s="142"/>
      <c r="AL2" s="142"/>
      <c r="AM2" s="142"/>
      <c r="AN2" s="143" t="s">
        <v>16</v>
      </c>
      <c r="AO2" s="143"/>
      <c r="AP2" s="143"/>
      <c r="AQ2" s="143"/>
      <c r="AR2" s="145" t="s">
        <v>172</v>
      </c>
      <c r="AS2" s="145" t="s">
        <v>173</v>
      </c>
      <c r="AT2" s="145" t="s">
        <v>3</v>
      </c>
    </row>
    <row r="3" spans="1:47" ht="100.8">
      <c r="A3" s="138"/>
      <c r="B3" s="138"/>
      <c r="C3" s="140"/>
      <c r="D3" s="11" t="s">
        <v>1</v>
      </c>
      <c r="E3" s="11" t="s">
        <v>2</v>
      </c>
      <c r="F3" s="11" t="s">
        <v>17</v>
      </c>
      <c r="G3" s="11" t="s">
        <v>71</v>
      </c>
      <c r="H3" s="12" t="s">
        <v>1</v>
      </c>
      <c r="I3" s="12" t="s">
        <v>2</v>
      </c>
      <c r="J3" s="12" t="s">
        <v>17</v>
      </c>
      <c r="K3" s="12" t="s">
        <v>71</v>
      </c>
      <c r="L3" s="13" t="s">
        <v>1</v>
      </c>
      <c r="M3" s="13" t="s">
        <v>2</v>
      </c>
      <c r="N3" s="13" t="s">
        <v>17</v>
      </c>
      <c r="O3" s="13" t="s">
        <v>71</v>
      </c>
      <c r="P3" s="144"/>
      <c r="Q3" s="145"/>
      <c r="R3" s="154"/>
      <c r="S3" s="167"/>
      <c r="T3" s="167"/>
      <c r="U3" s="145"/>
      <c r="V3" s="61" t="s">
        <v>72</v>
      </c>
      <c r="W3" s="9" t="s">
        <v>3</v>
      </c>
      <c r="X3" s="144"/>
      <c r="AB3" s="163"/>
      <c r="AC3" s="165"/>
      <c r="AD3" s="138"/>
      <c r="AE3" s="163"/>
      <c r="AF3" s="2" t="s">
        <v>1</v>
      </c>
      <c r="AG3" s="2" t="s">
        <v>2</v>
      </c>
      <c r="AH3" s="2" t="s">
        <v>17</v>
      </c>
      <c r="AI3" s="2" t="s">
        <v>174</v>
      </c>
      <c r="AJ3" s="3" t="s">
        <v>1</v>
      </c>
      <c r="AK3" s="3" t="s">
        <v>2</v>
      </c>
      <c r="AL3" s="3" t="s">
        <v>17</v>
      </c>
      <c r="AM3" s="3" t="s">
        <v>174</v>
      </c>
      <c r="AN3" s="131" t="s">
        <v>1</v>
      </c>
      <c r="AO3" s="131" t="s">
        <v>2</v>
      </c>
      <c r="AP3" s="131" t="s">
        <v>17</v>
      </c>
      <c r="AQ3" s="131" t="s">
        <v>174</v>
      </c>
      <c r="AR3" s="145"/>
      <c r="AS3" s="145"/>
      <c r="AT3" s="145"/>
    </row>
    <row r="4" spans="1:47" ht="16.350000000000001" hidden="1" customHeight="1">
      <c r="A4" s="1"/>
      <c r="B4" s="1"/>
      <c r="C4" s="1"/>
      <c r="D4" s="2"/>
      <c r="E4" s="2"/>
      <c r="F4" s="2"/>
      <c r="G4" s="3"/>
      <c r="H4" s="3"/>
      <c r="I4" s="3"/>
      <c r="J4" s="3"/>
      <c r="K4" s="3"/>
      <c r="L4" s="3"/>
      <c r="M4" s="46"/>
      <c r="N4" s="52"/>
      <c r="O4" s="22"/>
      <c r="P4" s="21"/>
      <c r="Q4" s="21"/>
      <c r="R4" s="21"/>
      <c r="S4" s="58"/>
      <c r="T4" s="58"/>
      <c r="U4" s="21"/>
      <c r="AB4" s="132"/>
      <c r="AC4" s="133"/>
      <c r="AD4" s="1"/>
      <c r="AE4" s="132"/>
      <c r="AF4" s="2"/>
      <c r="AG4" s="2"/>
      <c r="AH4" s="2"/>
      <c r="AI4" s="2"/>
      <c r="AJ4" s="3"/>
      <c r="AK4" s="3"/>
      <c r="AL4" s="3"/>
      <c r="AM4" s="3"/>
      <c r="AN4" s="134"/>
      <c r="AO4" s="134"/>
      <c r="AP4" s="134"/>
      <c r="AQ4" s="134"/>
      <c r="AR4" s="46"/>
      <c r="AS4" s="46"/>
      <c r="AT4" s="46"/>
    </row>
    <row r="5" spans="1:47" s="16" customFormat="1">
      <c r="A5" s="1" t="s">
        <v>90</v>
      </c>
      <c r="B5" s="4" t="s">
        <v>10</v>
      </c>
      <c r="C5" s="118">
        <v>3623</v>
      </c>
      <c r="D5" s="29">
        <v>919.13333999999998</v>
      </c>
      <c r="E5" s="29">
        <v>1790.9333499999998</v>
      </c>
      <c r="F5" s="29">
        <v>1824.7499800000001</v>
      </c>
      <c r="G5" s="29">
        <v>114.98333</v>
      </c>
      <c r="H5" s="29">
        <v>1185.28332</v>
      </c>
      <c r="I5" s="29">
        <v>1712.71667</v>
      </c>
      <c r="J5" s="29">
        <v>2918.7999800000007</v>
      </c>
      <c r="K5" s="29">
        <v>48.283339999999995</v>
      </c>
      <c r="L5" s="29">
        <v>191.68332000000001</v>
      </c>
      <c r="M5" s="29">
        <v>14.85</v>
      </c>
      <c r="N5" s="29">
        <v>269.86666000000002</v>
      </c>
      <c r="O5" s="29">
        <v>0</v>
      </c>
      <c r="P5" s="66">
        <v>10991.283289999999</v>
      </c>
      <c r="Q5" s="33">
        <v>21625.39</v>
      </c>
      <c r="R5" s="119">
        <v>5.9727664099850291</v>
      </c>
      <c r="S5" s="65">
        <v>-6172.6166233333324</v>
      </c>
      <c r="T5" s="65">
        <v>-10783.39</v>
      </c>
      <c r="U5" s="121">
        <v>-14.863832049925145</v>
      </c>
      <c r="V5" s="62">
        <v>10842</v>
      </c>
      <c r="W5" s="19">
        <v>3</v>
      </c>
      <c r="X5" s="35" t="s">
        <v>81</v>
      </c>
      <c r="AB5" s="5" t="s">
        <v>90</v>
      </c>
      <c r="AC5" s="1" t="s">
        <v>10</v>
      </c>
      <c r="AD5" s="1" t="s">
        <v>10</v>
      </c>
      <c r="AE5" s="135">
        <v>3623</v>
      </c>
      <c r="AF5" s="135">
        <v>919.13333999999998</v>
      </c>
      <c r="AG5" s="135">
        <v>1790.9333499999998</v>
      </c>
      <c r="AH5" s="135">
        <v>1824.7499800000001</v>
      </c>
      <c r="AI5" s="135">
        <v>114.98333</v>
      </c>
      <c r="AJ5" s="135">
        <v>1185.28332</v>
      </c>
      <c r="AK5" s="135">
        <v>1712.71667</v>
      </c>
      <c r="AL5" s="135">
        <v>2919.0999799999995</v>
      </c>
      <c r="AM5" s="135">
        <v>48.283339999999995</v>
      </c>
      <c r="AN5" s="135">
        <v>191.68332000000001</v>
      </c>
      <c r="AO5" s="135">
        <v>14.85</v>
      </c>
      <c r="AP5" s="135">
        <v>269.86666000000002</v>
      </c>
      <c r="AQ5" s="135">
        <v>0</v>
      </c>
      <c r="AR5" s="135">
        <v>10991.583289999999</v>
      </c>
      <c r="AS5" s="135">
        <v>21621.309999999998</v>
      </c>
      <c r="AT5" s="136">
        <v>5.9677918851780287</v>
      </c>
    </row>
    <row r="6" spans="1:47" s="16" customFormat="1">
      <c r="A6" s="5">
        <v>1</v>
      </c>
      <c r="B6" s="6" t="s">
        <v>8</v>
      </c>
      <c r="C6" s="5">
        <v>652</v>
      </c>
      <c r="D6" s="36">
        <v>337.51666</v>
      </c>
      <c r="E6" s="36">
        <v>19.366669999999999</v>
      </c>
      <c r="F6" s="36">
        <v>486.19998999999996</v>
      </c>
      <c r="G6" s="36">
        <v>45.983339999999998</v>
      </c>
      <c r="H6" s="36">
        <v>459.41665</v>
      </c>
      <c r="I6" s="36">
        <v>1465.3333299999999</v>
      </c>
      <c r="J6" s="36">
        <v>1156.1166600000001</v>
      </c>
      <c r="K6" s="36">
        <v>11.25</v>
      </c>
      <c r="L6" s="36">
        <v>59.683329999999998</v>
      </c>
      <c r="M6" s="36">
        <v>14.85</v>
      </c>
      <c r="N6" s="36">
        <v>209.93333000000001</v>
      </c>
      <c r="O6" s="36">
        <v>0</v>
      </c>
      <c r="P6" s="67">
        <v>4265.6499599999997</v>
      </c>
      <c r="Q6" s="40">
        <v>7808.3799999999992</v>
      </c>
      <c r="R6" s="120">
        <v>12.108673932700068</v>
      </c>
      <c r="S6" s="56">
        <v>-3424.3166266666663</v>
      </c>
      <c r="T6" s="56">
        <v>-5915.3799999999992</v>
      </c>
      <c r="U6" s="122">
        <v>-45.543369663500343</v>
      </c>
      <c r="V6" s="63">
        <v>1893</v>
      </c>
      <c r="W6" s="20">
        <v>3</v>
      </c>
      <c r="X6" s="42" t="s">
        <v>81</v>
      </c>
      <c r="AB6" s="5">
        <v>1</v>
      </c>
      <c r="AC6" s="5" t="s">
        <v>5</v>
      </c>
      <c r="AD6" s="5" t="s">
        <v>5</v>
      </c>
      <c r="AE6" s="135">
        <v>231</v>
      </c>
      <c r="AF6" s="135">
        <v>8.8166700000000002</v>
      </c>
      <c r="AG6" s="135">
        <v>0</v>
      </c>
      <c r="AH6" s="135">
        <v>109.91667000000001</v>
      </c>
      <c r="AI6" s="135">
        <v>0</v>
      </c>
      <c r="AJ6" s="135">
        <v>8.7833299999999994</v>
      </c>
      <c r="AK6" s="135">
        <v>0</v>
      </c>
      <c r="AL6" s="135">
        <v>112.48333</v>
      </c>
      <c r="AM6" s="135">
        <v>0</v>
      </c>
      <c r="AN6" s="135">
        <v>0</v>
      </c>
      <c r="AO6" s="135">
        <v>0</v>
      </c>
      <c r="AP6" s="135">
        <v>0</v>
      </c>
      <c r="AQ6" s="135">
        <v>0</v>
      </c>
      <c r="AR6" s="135">
        <v>240</v>
      </c>
      <c r="AS6" s="137">
        <v>528.5</v>
      </c>
      <c r="AT6" s="136">
        <v>2.2878787878787881</v>
      </c>
    </row>
    <row r="7" spans="1:47" s="16" customFormat="1">
      <c r="A7" s="5">
        <v>2</v>
      </c>
      <c r="B7" s="6" t="s">
        <v>4</v>
      </c>
      <c r="C7" s="5">
        <v>501</v>
      </c>
      <c r="D7" s="36">
        <v>140.06667000000002</v>
      </c>
      <c r="E7" s="36">
        <v>1031.48334</v>
      </c>
      <c r="F7" s="36">
        <v>305.73333000000002</v>
      </c>
      <c r="G7" s="36">
        <v>0</v>
      </c>
      <c r="H7" s="36">
        <v>144.61666000000002</v>
      </c>
      <c r="I7" s="36">
        <v>219.96666999999999</v>
      </c>
      <c r="J7" s="36">
        <v>313.36666000000002</v>
      </c>
      <c r="K7" s="36">
        <v>0</v>
      </c>
      <c r="L7" s="36">
        <v>40.1</v>
      </c>
      <c r="M7" s="36">
        <v>0</v>
      </c>
      <c r="N7" s="36">
        <v>0</v>
      </c>
      <c r="O7" s="36">
        <v>0</v>
      </c>
      <c r="P7" s="67">
        <v>2195.3333299999999</v>
      </c>
      <c r="Q7" s="40">
        <v>4620.54</v>
      </c>
      <c r="R7" s="120">
        <v>9.1507093415508152</v>
      </c>
      <c r="S7" s="56">
        <v>-1511.3333299999999</v>
      </c>
      <c r="T7" s="56">
        <v>-3081.54</v>
      </c>
      <c r="U7" s="122">
        <v>-30.753546707754076</v>
      </c>
      <c r="V7" s="63">
        <v>1539</v>
      </c>
      <c r="W7" s="20">
        <v>3</v>
      </c>
      <c r="X7" s="44" t="s">
        <v>81</v>
      </c>
      <c r="AB7" s="5">
        <v>2</v>
      </c>
      <c r="AC7" s="5" t="s">
        <v>5</v>
      </c>
      <c r="AD7" s="5" t="s">
        <v>99</v>
      </c>
      <c r="AE7" s="135">
        <v>136</v>
      </c>
      <c r="AF7" s="135">
        <v>21</v>
      </c>
      <c r="AG7" s="135">
        <v>725.03333999999995</v>
      </c>
      <c r="AH7" s="135">
        <v>0</v>
      </c>
      <c r="AI7" s="135">
        <v>18.399999999999999</v>
      </c>
      <c r="AJ7" s="135">
        <v>61.733340000000005</v>
      </c>
      <c r="AK7" s="135">
        <v>27.416670000000003</v>
      </c>
      <c r="AL7" s="135">
        <v>66.783330000000007</v>
      </c>
      <c r="AM7" s="135">
        <v>6.6833299999999998</v>
      </c>
      <c r="AN7" s="135">
        <v>0</v>
      </c>
      <c r="AO7" s="135">
        <v>0</v>
      </c>
      <c r="AP7" s="135">
        <v>0</v>
      </c>
      <c r="AQ7" s="135">
        <v>0</v>
      </c>
      <c r="AR7" s="135">
        <v>927.05000999999982</v>
      </c>
      <c r="AS7" s="137">
        <v>1791.5499999999997</v>
      </c>
      <c r="AT7" s="136">
        <v>13.173161764705881</v>
      </c>
    </row>
    <row r="8" spans="1:47" s="16" customFormat="1">
      <c r="A8" s="5">
        <v>3</v>
      </c>
      <c r="B8" s="6" t="s">
        <v>13</v>
      </c>
      <c r="C8" s="5">
        <v>487</v>
      </c>
      <c r="D8" s="36">
        <v>55.433329999999998</v>
      </c>
      <c r="E8" s="36">
        <v>15.05</v>
      </c>
      <c r="F8" s="36">
        <v>376.29999999999995</v>
      </c>
      <c r="G8" s="36">
        <v>0</v>
      </c>
      <c r="H8" s="36">
        <v>59.25</v>
      </c>
      <c r="I8" s="36">
        <v>0</v>
      </c>
      <c r="J8" s="36">
        <v>527.20000000000005</v>
      </c>
      <c r="K8" s="36">
        <v>13.13334</v>
      </c>
      <c r="L8" s="36">
        <v>0</v>
      </c>
      <c r="M8" s="36">
        <v>0</v>
      </c>
      <c r="N8" s="36">
        <v>0</v>
      </c>
      <c r="O8" s="36">
        <v>0</v>
      </c>
      <c r="P8" s="67">
        <v>1046.3666700000001</v>
      </c>
      <c r="Q8" s="40">
        <v>2332.5699999999997</v>
      </c>
      <c r="R8" s="120">
        <v>4.8133425226091138</v>
      </c>
      <c r="S8" s="56">
        <v>-419.70000333333348</v>
      </c>
      <c r="T8" s="56">
        <v>-922.56999999999971</v>
      </c>
      <c r="U8" s="122">
        <v>-9.0667126130455689</v>
      </c>
      <c r="V8" s="63">
        <v>1410</v>
      </c>
      <c r="W8" s="20">
        <v>3</v>
      </c>
      <c r="X8" s="42" t="s">
        <v>81</v>
      </c>
      <c r="AB8" s="5">
        <v>3</v>
      </c>
      <c r="AC8" s="5" t="s">
        <v>5</v>
      </c>
      <c r="AD8" s="5" t="s">
        <v>141</v>
      </c>
      <c r="AE8" s="135">
        <v>147</v>
      </c>
      <c r="AF8" s="135">
        <v>5.0666700000000002</v>
      </c>
      <c r="AG8" s="135">
        <v>0</v>
      </c>
      <c r="AH8" s="135">
        <v>0</v>
      </c>
      <c r="AI8" s="135">
        <v>0</v>
      </c>
      <c r="AJ8" s="135">
        <v>5.05</v>
      </c>
      <c r="AK8" s="135">
        <v>0</v>
      </c>
      <c r="AL8" s="135">
        <v>0</v>
      </c>
      <c r="AM8" s="135">
        <v>0</v>
      </c>
      <c r="AN8" s="135">
        <v>0</v>
      </c>
      <c r="AO8" s="135">
        <v>0</v>
      </c>
      <c r="AP8" s="135">
        <v>0</v>
      </c>
      <c r="AQ8" s="135">
        <v>0</v>
      </c>
      <c r="AR8" s="135">
        <v>10.116669999999999</v>
      </c>
      <c r="AS8" s="137">
        <v>22.25</v>
      </c>
      <c r="AT8" s="136">
        <v>0.15136054421768708</v>
      </c>
    </row>
    <row r="9" spans="1:47" s="16" customFormat="1">
      <c r="A9" s="5">
        <v>4</v>
      </c>
      <c r="B9" s="6" t="s">
        <v>5</v>
      </c>
      <c r="C9" s="5">
        <v>514</v>
      </c>
      <c r="D9" s="36">
        <v>34.883340000000004</v>
      </c>
      <c r="E9" s="36">
        <v>725.03333999999995</v>
      </c>
      <c r="F9" s="36">
        <v>109.91667000000001</v>
      </c>
      <c r="G9" s="36">
        <v>18.399999999999999</v>
      </c>
      <c r="H9" s="36">
        <v>75.566670000000002</v>
      </c>
      <c r="I9" s="36">
        <v>27.416670000000003</v>
      </c>
      <c r="J9" s="36">
        <v>179.26666</v>
      </c>
      <c r="K9" s="36">
        <v>6.6833299999999998</v>
      </c>
      <c r="L9" s="36">
        <v>0</v>
      </c>
      <c r="M9" s="36">
        <v>0</v>
      </c>
      <c r="N9" s="36">
        <v>0</v>
      </c>
      <c r="O9" s="36">
        <v>0</v>
      </c>
      <c r="P9" s="67">
        <v>1177.16668</v>
      </c>
      <c r="Q9" s="40">
        <v>2342.2999999999997</v>
      </c>
      <c r="R9" s="120">
        <v>4.5494831734339263</v>
      </c>
      <c r="S9" s="56">
        <v>-478.50001333333341</v>
      </c>
      <c r="T9" s="56">
        <v>-770.29999999999973</v>
      </c>
      <c r="U9" s="122">
        <v>-7.7474158671696314</v>
      </c>
      <c r="V9" s="63">
        <v>1572</v>
      </c>
      <c r="W9" s="20">
        <v>3</v>
      </c>
      <c r="X9" s="42" t="s">
        <v>81</v>
      </c>
      <c r="AB9" s="5">
        <v>4</v>
      </c>
      <c r="AC9" s="5" t="s">
        <v>132</v>
      </c>
      <c r="AD9" s="5" t="s">
        <v>132</v>
      </c>
      <c r="AE9" s="135">
        <v>325</v>
      </c>
      <c r="AF9" s="135">
        <v>123.18334000000002</v>
      </c>
      <c r="AG9" s="135">
        <v>0</v>
      </c>
      <c r="AH9" s="135">
        <v>198.78332999999998</v>
      </c>
      <c r="AI9" s="135">
        <v>0</v>
      </c>
      <c r="AJ9" s="135">
        <v>189.80001000000001</v>
      </c>
      <c r="AK9" s="135">
        <v>0</v>
      </c>
      <c r="AL9" s="135">
        <v>201.54999999999998</v>
      </c>
      <c r="AM9" s="135">
        <v>0</v>
      </c>
      <c r="AN9" s="135">
        <v>47.233329999999995</v>
      </c>
      <c r="AO9" s="135">
        <v>0</v>
      </c>
      <c r="AP9" s="135">
        <v>0</v>
      </c>
      <c r="AQ9" s="135">
        <v>0</v>
      </c>
      <c r="AR9" s="135">
        <v>760.55001000000004</v>
      </c>
      <c r="AS9" s="137">
        <v>1223.8699999999999</v>
      </c>
      <c r="AT9" s="136">
        <v>3.7657538461538458</v>
      </c>
    </row>
    <row r="10" spans="1:47" s="16" customFormat="1">
      <c r="A10" s="5">
        <v>5</v>
      </c>
      <c r="B10" s="6" t="s">
        <v>9</v>
      </c>
      <c r="C10" s="5">
        <v>450</v>
      </c>
      <c r="D10" s="36">
        <v>133.4</v>
      </c>
      <c r="E10" s="36">
        <v>0</v>
      </c>
      <c r="F10" s="36">
        <v>133.18333000000001</v>
      </c>
      <c r="G10" s="36">
        <v>11.66667</v>
      </c>
      <c r="H10" s="36">
        <v>164.93334000000002</v>
      </c>
      <c r="I10" s="36">
        <v>0</v>
      </c>
      <c r="J10" s="36">
        <v>303.83332999999999</v>
      </c>
      <c r="K10" s="36">
        <v>0</v>
      </c>
      <c r="L10" s="36">
        <v>0</v>
      </c>
      <c r="M10" s="36">
        <v>0</v>
      </c>
      <c r="N10" s="36">
        <v>59.933329999999998</v>
      </c>
      <c r="O10" s="36">
        <v>0</v>
      </c>
      <c r="P10" s="67">
        <v>806.94999999999993</v>
      </c>
      <c r="Q10" s="40">
        <v>1761.94</v>
      </c>
      <c r="R10" s="120">
        <v>3.8957565280816921</v>
      </c>
      <c r="S10" s="56">
        <v>-197.61666666666656</v>
      </c>
      <c r="T10" s="56">
        <v>-390.94000000000005</v>
      </c>
      <c r="U10" s="122">
        <v>-4.4787826404084612</v>
      </c>
      <c r="V10" s="63">
        <v>1371</v>
      </c>
      <c r="W10" s="20">
        <v>3</v>
      </c>
      <c r="X10" s="42" t="s">
        <v>81</v>
      </c>
      <c r="AB10" s="5">
        <v>5</v>
      </c>
      <c r="AC10" s="5" t="s">
        <v>132</v>
      </c>
      <c r="AD10" s="5" t="s">
        <v>140</v>
      </c>
      <c r="AE10" s="135">
        <v>152</v>
      </c>
      <c r="AF10" s="135">
        <v>0</v>
      </c>
      <c r="AG10" s="135">
        <v>0</v>
      </c>
      <c r="AH10" s="135">
        <v>119.95</v>
      </c>
      <c r="AI10" s="135">
        <v>0</v>
      </c>
      <c r="AJ10" s="135">
        <v>0</v>
      </c>
      <c r="AK10" s="135">
        <v>0</v>
      </c>
      <c r="AL10" s="135">
        <v>119.95</v>
      </c>
      <c r="AM10" s="135">
        <v>0</v>
      </c>
      <c r="AN10" s="135">
        <v>0</v>
      </c>
      <c r="AO10" s="135">
        <v>0</v>
      </c>
      <c r="AP10" s="135">
        <v>0</v>
      </c>
      <c r="AQ10" s="135">
        <v>0</v>
      </c>
      <c r="AR10" s="135">
        <v>239.9</v>
      </c>
      <c r="AS10" s="137">
        <v>527.78</v>
      </c>
      <c r="AT10" s="136">
        <v>3.472236842105263</v>
      </c>
    </row>
    <row r="11" spans="1:47" s="16" customFormat="1">
      <c r="A11" s="5">
        <v>6</v>
      </c>
      <c r="B11" s="6" t="s">
        <v>132</v>
      </c>
      <c r="C11" s="5">
        <v>477</v>
      </c>
      <c r="D11" s="36">
        <v>123.18334</v>
      </c>
      <c r="E11" s="36">
        <v>0</v>
      </c>
      <c r="F11" s="36">
        <v>318.73332999999997</v>
      </c>
      <c r="G11" s="36">
        <v>0</v>
      </c>
      <c r="H11" s="36">
        <v>189.80000999999999</v>
      </c>
      <c r="I11" s="36">
        <v>0</v>
      </c>
      <c r="J11" s="36">
        <v>321.20000000000005</v>
      </c>
      <c r="K11" s="36">
        <v>0</v>
      </c>
      <c r="L11" s="36">
        <v>47.233329999999995</v>
      </c>
      <c r="M11" s="36">
        <v>0</v>
      </c>
      <c r="N11" s="36">
        <v>0</v>
      </c>
      <c r="O11" s="36">
        <v>0</v>
      </c>
      <c r="P11" s="67">
        <v>1000.1500100000001</v>
      </c>
      <c r="Q11" s="40">
        <v>1755.7299999999998</v>
      </c>
      <c r="R11" s="120">
        <v>3.6708553039832283</v>
      </c>
      <c r="S11" s="56">
        <v>-333.48334333333344</v>
      </c>
      <c r="T11" s="56">
        <v>-255.72999999999979</v>
      </c>
      <c r="U11" s="122">
        <v>-3.3542765199161417</v>
      </c>
      <c r="V11" s="63">
        <v>1500</v>
      </c>
      <c r="W11" s="20">
        <v>3</v>
      </c>
      <c r="X11" s="42" t="s">
        <v>81</v>
      </c>
      <c r="AB11" s="5">
        <v>6</v>
      </c>
      <c r="AC11" s="5" t="s">
        <v>8</v>
      </c>
      <c r="AD11" s="5" t="s">
        <v>98</v>
      </c>
      <c r="AE11" s="135">
        <v>144</v>
      </c>
      <c r="AF11" s="135">
        <v>18.55</v>
      </c>
      <c r="AG11" s="135">
        <v>0</v>
      </c>
      <c r="AH11" s="135">
        <v>0</v>
      </c>
      <c r="AI11" s="135">
        <v>0</v>
      </c>
      <c r="AJ11" s="135">
        <v>28.483330000000002</v>
      </c>
      <c r="AK11" s="135">
        <v>0</v>
      </c>
      <c r="AL11" s="135">
        <v>0</v>
      </c>
      <c r="AM11" s="135">
        <v>0</v>
      </c>
      <c r="AN11" s="135">
        <v>0</v>
      </c>
      <c r="AO11" s="135">
        <v>0</v>
      </c>
      <c r="AP11" s="135">
        <v>0</v>
      </c>
      <c r="AQ11" s="135">
        <v>0</v>
      </c>
      <c r="AR11" s="135">
        <v>47.033330000000007</v>
      </c>
      <c r="AS11" s="137">
        <v>105.46000000000001</v>
      </c>
      <c r="AT11" s="136">
        <v>0.73236111111111113</v>
      </c>
    </row>
    <row r="12" spans="1:47" s="16" customFormat="1">
      <c r="A12" s="5">
        <v>7</v>
      </c>
      <c r="B12" s="6" t="s">
        <v>14</v>
      </c>
      <c r="C12" s="5">
        <v>542</v>
      </c>
      <c r="D12" s="36">
        <v>94.649999999999991</v>
      </c>
      <c r="E12" s="36">
        <v>0</v>
      </c>
      <c r="F12" s="36">
        <v>94.683329999999998</v>
      </c>
      <c r="G12" s="36">
        <v>38.933319999999995</v>
      </c>
      <c r="H12" s="36">
        <v>91.69999</v>
      </c>
      <c r="I12" s="36">
        <v>0</v>
      </c>
      <c r="J12" s="36">
        <v>117.81666999999999</v>
      </c>
      <c r="K12" s="36">
        <v>17.216670000000001</v>
      </c>
      <c r="L12" s="36">
        <v>44.66666</v>
      </c>
      <c r="M12" s="36">
        <v>0</v>
      </c>
      <c r="N12" s="36">
        <v>0</v>
      </c>
      <c r="O12" s="36">
        <v>0</v>
      </c>
      <c r="P12" s="67">
        <v>499.66663999999997</v>
      </c>
      <c r="Q12" s="40">
        <v>1003.93</v>
      </c>
      <c r="R12" s="120">
        <v>1.8733660744121892</v>
      </c>
      <c r="S12" s="56">
        <v>192.33336000000003</v>
      </c>
      <c r="T12" s="56">
        <v>553.07000000000005</v>
      </c>
      <c r="U12" s="122">
        <v>5.6331696279390542</v>
      </c>
      <c r="V12" s="63">
        <v>1557</v>
      </c>
      <c r="W12" s="20">
        <v>3</v>
      </c>
      <c r="X12" s="44" t="s">
        <v>78</v>
      </c>
      <c r="AB12" s="5">
        <v>7</v>
      </c>
      <c r="AC12" s="5" t="s">
        <v>8</v>
      </c>
      <c r="AD12" s="5" t="s">
        <v>96</v>
      </c>
      <c r="AE12" s="135">
        <v>275</v>
      </c>
      <c r="AF12" s="135">
        <v>182.09999000000002</v>
      </c>
      <c r="AG12" s="135">
        <v>6.1666699999999999</v>
      </c>
      <c r="AH12" s="135">
        <v>0</v>
      </c>
      <c r="AI12" s="135">
        <v>25.049999999999997</v>
      </c>
      <c r="AJ12" s="135">
        <v>192.58332000000001</v>
      </c>
      <c r="AK12" s="135">
        <v>0</v>
      </c>
      <c r="AL12" s="135">
        <v>339.79999999999995</v>
      </c>
      <c r="AM12" s="135">
        <v>6.1833299999999998</v>
      </c>
      <c r="AN12" s="135">
        <v>59.683329999999998</v>
      </c>
      <c r="AO12" s="135">
        <v>14.85</v>
      </c>
      <c r="AP12" s="135">
        <v>209.93333000000001</v>
      </c>
      <c r="AQ12" s="135">
        <v>0</v>
      </c>
      <c r="AR12" s="135">
        <v>1036.34997</v>
      </c>
      <c r="AS12" s="137">
        <v>1921.2999999999997</v>
      </c>
      <c r="AT12" s="136">
        <v>6.9865454545454533</v>
      </c>
    </row>
    <row r="13" spans="1:47">
      <c r="AB13" s="5">
        <v>8</v>
      </c>
      <c r="AC13" s="5" t="s">
        <v>8</v>
      </c>
      <c r="AD13" s="5" t="s">
        <v>8</v>
      </c>
      <c r="AE13" s="135">
        <v>233</v>
      </c>
      <c r="AF13" s="135">
        <v>62.616669999999992</v>
      </c>
      <c r="AG13" s="135">
        <v>0</v>
      </c>
      <c r="AH13" s="135">
        <v>486.19999000000007</v>
      </c>
      <c r="AI13" s="135">
        <v>20.933340000000001</v>
      </c>
      <c r="AJ13" s="135">
        <v>81.616669999999999</v>
      </c>
      <c r="AK13" s="135">
        <v>1465.3333299999999</v>
      </c>
      <c r="AL13" s="135">
        <v>816.31666000000007</v>
      </c>
      <c r="AM13" s="135">
        <v>5.0666700000000002</v>
      </c>
      <c r="AN13" s="135">
        <v>0</v>
      </c>
      <c r="AO13" s="135">
        <v>0</v>
      </c>
      <c r="AP13" s="135">
        <v>0</v>
      </c>
      <c r="AQ13" s="135">
        <v>0</v>
      </c>
      <c r="AR13" s="135">
        <v>2938.0833299999999</v>
      </c>
      <c r="AS13" s="137">
        <v>5230.5600000000013</v>
      </c>
      <c r="AT13" s="136">
        <v>22.448755364806871</v>
      </c>
    </row>
    <row r="14" spans="1:47">
      <c r="AB14" s="5">
        <v>9</v>
      </c>
      <c r="AC14" s="5" t="s">
        <v>13</v>
      </c>
      <c r="AD14" s="5" t="s">
        <v>13</v>
      </c>
      <c r="AE14" s="135">
        <v>156</v>
      </c>
      <c r="AF14" s="135">
        <v>37.983329999999995</v>
      </c>
      <c r="AG14" s="135">
        <v>0</v>
      </c>
      <c r="AH14" s="135">
        <v>0</v>
      </c>
      <c r="AI14" s="135">
        <v>0</v>
      </c>
      <c r="AJ14" s="135">
        <v>37.65</v>
      </c>
      <c r="AK14" s="135">
        <v>0</v>
      </c>
      <c r="AL14" s="135">
        <v>0</v>
      </c>
      <c r="AM14" s="135">
        <v>0</v>
      </c>
      <c r="AN14" s="135">
        <v>0</v>
      </c>
      <c r="AO14" s="135">
        <v>0</v>
      </c>
      <c r="AP14" s="135">
        <v>0</v>
      </c>
      <c r="AQ14" s="135">
        <v>0</v>
      </c>
      <c r="AR14" s="135">
        <v>75.633330000000001</v>
      </c>
      <c r="AS14" s="137">
        <v>166.32999999999998</v>
      </c>
      <c r="AT14" s="136">
        <v>1.0662179487179486</v>
      </c>
    </row>
    <row r="15" spans="1:47">
      <c r="AB15" s="5">
        <v>10</v>
      </c>
      <c r="AC15" s="5" t="s">
        <v>13</v>
      </c>
      <c r="AD15" s="5" t="s">
        <v>131</v>
      </c>
      <c r="AE15" s="135">
        <v>126</v>
      </c>
      <c r="AF15" s="135">
        <v>0</v>
      </c>
      <c r="AG15" s="135">
        <v>0</v>
      </c>
      <c r="AH15" s="135">
        <v>0</v>
      </c>
      <c r="AI15" s="135">
        <v>0</v>
      </c>
      <c r="AJ15" s="135">
        <v>0</v>
      </c>
      <c r="AK15" s="135">
        <v>0</v>
      </c>
      <c r="AL15" s="135">
        <v>0</v>
      </c>
      <c r="AM15" s="135">
        <v>0</v>
      </c>
      <c r="AN15" s="135">
        <v>0</v>
      </c>
      <c r="AO15" s="135">
        <v>0</v>
      </c>
      <c r="AP15" s="135">
        <v>0</v>
      </c>
      <c r="AQ15" s="135">
        <v>0</v>
      </c>
      <c r="AR15" s="135">
        <v>0</v>
      </c>
      <c r="AS15" s="137">
        <v>0</v>
      </c>
      <c r="AT15" s="136">
        <v>0</v>
      </c>
    </row>
    <row r="16" spans="1:47">
      <c r="AB16" s="5">
        <v>11</v>
      </c>
      <c r="AC16" s="5" t="s">
        <v>13</v>
      </c>
      <c r="AD16" s="5" t="s">
        <v>137</v>
      </c>
      <c r="AE16" s="135">
        <v>76</v>
      </c>
      <c r="AF16" s="135">
        <v>17.45</v>
      </c>
      <c r="AG16" s="135">
        <v>15.05</v>
      </c>
      <c r="AH16" s="135">
        <v>25.016670000000001</v>
      </c>
      <c r="AI16" s="135">
        <v>0</v>
      </c>
      <c r="AJ16" s="135">
        <v>21.6</v>
      </c>
      <c r="AK16" s="135">
        <v>0</v>
      </c>
      <c r="AL16" s="135">
        <v>60.016669999999998</v>
      </c>
      <c r="AM16" s="135">
        <v>13.13334</v>
      </c>
      <c r="AN16" s="135">
        <v>0</v>
      </c>
      <c r="AO16" s="135">
        <v>0</v>
      </c>
      <c r="AP16" s="135">
        <v>0</v>
      </c>
      <c r="AQ16" s="135">
        <v>0</v>
      </c>
      <c r="AR16" s="135">
        <v>152.26668000000001</v>
      </c>
      <c r="AS16" s="137">
        <v>342.43</v>
      </c>
      <c r="AT16" s="136">
        <v>4.5056578947368422</v>
      </c>
    </row>
    <row r="17" spans="28:46">
      <c r="AB17" s="5">
        <v>12</v>
      </c>
      <c r="AC17" s="5" t="s">
        <v>13</v>
      </c>
      <c r="AD17" s="5" t="s">
        <v>136</v>
      </c>
      <c r="AE17" s="135">
        <v>129</v>
      </c>
      <c r="AF17" s="135">
        <v>0</v>
      </c>
      <c r="AG17" s="135">
        <v>0</v>
      </c>
      <c r="AH17" s="135">
        <v>351.28332999999998</v>
      </c>
      <c r="AI17" s="135">
        <v>0</v>
      </c>
      <c r="AJ17" s="135">
        <v>0</v>
      </c>
      <c r="AK17" s="135">
        <v>0</v>
      </c>
      <c r="AL17" s="135">
        <v>467.18333000000001</v>
      </c>
      <c r="AM17" s="135">
        <v>0</v>
      </c>
      <c r="AN17" s="135">
        <v>0</v>
      </c>
      <c r="AO17" s="135">
        <v>0</v>
      </c>
      <c r="AP17" s="135">
        <v>0</v>
      </c>
      <c r="AQ17" s="135">
        <v>0</v>
      </c>
      <c r="AR17" s="135">
        <v>818.46666000000005</v>
      </c>
      <c r="AS17" s="137">
        <v>1823.81</v>
      </c>
      <c r="AT17" s="136">
        <v>14.138062015503875</v>
      </c>
    </row>
    <row r="18" spans="28:46">
      <c r="AB18" s="5">
        <v>13</v>
      </c>
      <c r="AC18" s="5" t="s">
        <v>4</v>
      </c>
      <c r="AD18" s="5" t="s">
        <v>120</v>
      </c>
      <c r="AE18" s="135">
        <v>242</v>
      </c>
      <c r="AF18" s="135">
        <v>124.05000000000001</v>
      </c>
      <c r="AG18" s="135">
        <v>809.51666999999998</v>
      </c>
      <c r="AH18" s="135">
        <v>0</v>
      </c>
      <c r="AI18" s="135">
        <v>0</v>
      </c>
      <c r="AJ18" s="135">
        <v>144.61666000000002</v>
      </c>
      <c r="AK18" s="135">
        <v>0</v>
      </c>
      <c r="AL18" s="135">
        <v>0</v>
      </c>
      <c r="AM18" s="135">
        <v>0</v>
      </c>
      <c r="AN18" s="135">
        <v>0</v>
      </c>
      <c r="AO18" s="135">
        <v>0</v>
      </c>
      <c r="AP18" s="135">
        <v>0</v>
      </c>
      <c r="AQ18" s="135">
        <v>0</v>
      </c>
      <c r="AR18" s="135">
        <v>1078.1833299999998</v>
      </c>
      <c r="AS18" s="137">
        <v>2141.9499999999998</v>
      </c>
      <c r="AT18" s="136">
        <v>8.8510330578512395</v>
      </c>
    </row>
    <row r="19" spans="28:46">
      <c r="AB19" s="5">
        <v>14</v>
      </c>
      <c r="AC19" s="5" t="s">
        <v>4</v>
      </c>
      <c r="AD19" s="5" t="s">
        <v>148</v>
      </c>
      <c r="AE19" s="135">
        <v>53</v>
      </c>
      <c r="AF19" s="135">
        <v>0</v>
      </c>
      <c r="AG19" s="135">
        <v>0</v>
      </c>
      <c r="AH19" s="135">
        <v>66.716669999999993</v>
      </c>
      <c r="AI19" s="135">
        <v>0</v>
      </c>
      <c r="AJ19" s="135">
        <v>0</v>
      </c>
      <c r="AK19" s="135">
        <v>0</v>
      </c>
      <c r="AL19" s="135">
        <v>75</v>
      </c>
      <c r="AM19" s="135">
        <v>0</v>
      </c>
      <c r="AN19" s="135">
        <v>0</v>
      </c>
      <c r="AO19" s="135">
        <v>0</v>
      </c>
      <c r="AP19" s="135">
        <v>0</v>
      </c>
      <c r="AQ19" s="135">
        <v>0</v>
      </c>
      <c r="AR19" s="135">
        <v>141.71666999999999</v>
      </c>
      <c r="AS19" s="137">
        <v>304.28999999999996</v>
      </c>
      <c r="AT19" s="136">
        <v>5.7413207547169804</v>
      </c>
    </row>
    <row r="20" spans="28:46">
      <c r="AB20" s="5">
        <v>15</v>
      </c>
      <c r="AC20" s="5" t="s">
        <v>4</v>
      </c>
      <c r="AD20" s="5" t="s">
        <v>149</v>
      </c>
      <c r="AE20" s="135">
        <v>73</v>
      </c>
      <c r="AF20" s="135">
        <v>16.016670000000001</v>
      </c>
      <c r="AG20" s="135">
        <v>0</v>
      </c>
      <c r="AH20" s="135">
        <v>239.01666</v>
      </c>
      <c r="AI20" s="135">
        <v>0</v>
      </c>
      <c r="AJ20" s="135">
        <v>0</v>
      </c>
      <c r="AK20" s="135">
        <v>0</v>
      </c>
      <c r="AL20" s="135">
        <v>238.36666</v>
      </c>
      <c r="AM20" s="135">
        <v>0</v>
      </c>
      <c r="AN20" s="135">
        <v>40.1</v>
      </c>
      <c r="AO20" s="135">
        <v>0</v>
      </c>
      <c r="AP20" s="135">
        <v>0</v>
      </c>
      <c r="AQ20" s="135">
        <v>0</v>
      </c>
      <c r="AR20" s="135">
        <v>533.49999000000003</v>
      </c>
      <c r="AS20" s="137">
        <v>1202.45</v>
      </c>
      <c r="AT20" s="136">
        <v>16.471917808219178</v>
      </c>
    </row>
    <row r="21" spans="28:46">
      <c r="AB21" s="5">
        <v>16</v>
      </c>
      <c r="AC21" s="5" t="s">
        <v>4</v>
      </c>
      <c r="AD21" s="5" t="s">
        <v>139</v>
      </c>
      <c r="AE21" s="135">
        <v>133</v>
      </c>
      <c r="AF21" s="135">
        <v>0</v>
      </c>
      <c r="AG21" s="135">
        <v>221.96666999999999</v>
      </c>
      <c r="AH21" s="135">
        <v>0</v>
      </c>
      <c r="AI21" s="135">
        <v>0</v>
      </c>
      <c r="AJ21" s="135">
        <v>0</v>
      </c>
      <c r="AK21" s="135">
        <v>219.96666999999999</v>
      </c>
      <c r="AL21" s="135">
        <v>0</v>
      </c>
      <c r="AM21" s="135">
        <v>0</v>
      </c>
      <c r="AN21" s="135">
        <v>0</v>
      </c>
      <c r="AO21" s="135">
        <v>0</v>
      </c>
      <c r="AP21" s="135">
        <v>0</v>
      </c>
      <c r="AQ21" s="135">
        <v>0</v>
      </c>
      <c r="AR21" s="135">
        <v>441.93333999999999</v>
      </c>
      <c r="AS21" s="137">
        <v>971.84999999999991</v>
      </c>
      <c r="AT21" s="136">
        <v>7.3071428571428561</v>
      </c>
    </row>
    <row r="22" spans="28:46">
      <c r="AB22" s="5">
        <v>17</v>
      </c>
      <c r="AC22" s="5" t="s">
        <v>9</v>
      </c>
      <c r="AD22" s="5" t="s">
        <v>9</v>
      </c>
      <c r="AE22" s="135">
        <v>139</v>
      </c>
      <c r="AF22" s="135">
        <v>0</v>
      </c>
      <c r="AG22" s="135">
        <v>0</v>
      </c>
      <c r="AH22" s="135">
        <v>0</v>
      </c>
      <c r="AI22" s="135">
        <v>0</v>
      </c>
      <c r="AJ22" s="135">
        <v>0</v>
      </c>
      <c r="AK22" s="135">
        <v>0</v>
      </c>
      <c r="AL22" s="135">
        <v>0</v>
      </c>
      <c r="AM22" s="135">
        <v>0</v>
      </c>
      <c r="AN22" s="135">
        <v>0</v>
      </c>
      <c r="AO22" s="135">
        <v>0</v>
      </c>
      <c r="AP22" s="135">
        <v>59.933329999999998</v>
      </c>
      <c r="AQ22" s="135">
        <v>0</v>
      </c>
      <c r="AR22" s="135">
        <v>59.933329999999998</v>
      </c>
      <c r="AS22" s="137">
        <v>179.8</v>
      </c>
      <c r="AT22" s="136">
        <v>1.2935251798561151</v>
      </c>
    </row>
    <row r="23" spans="28:46">
      <c r="AB23" s="5">
        <v>18</v>
      </c>
      <c r="AC23" s="5" t="s">
        <v>9</v>
      </c>
      <c r="AD23" s="5" t="s">
        <v>138</v>
      </c>
      <c r="AE23" s="135">
        <v>128</v>
      </c>
      <c r="AF23" s="135">
        <v>26.25</v>
      </c>
      <c r="AG23" s="135">
        <v>0</v>
      </c>
      <c r="AH23" s="135">
        <v>133.18333000000001</v>
      </c>
      <c r="AI23" s="135">
        <v>5.1166700000000001</v>
      </c>
      <c r="AJ23" s="135">
        <v>50.650000000000006</v>
      </c>
      <c r="AK23" s="135">
        <v>0</v>
      </c>
      <c r="AL23" s="135">
        <v>211.48333000000002</v>
      </c>
      <c r="AM23" s="135">
        <v>0</v>
      </c>
      <c r="AN23" s="135">
        <v>0</v>
      </c>
      <c r="AO23" s="135">
        <v>0</v>
      </c>
      <c r="AP23" s="135">
        <v>0</v>
      </c>
      <c r="AQ23" s="135">
        <v>0</v>
      </c>
      <c r="AR23" s="135">
        <v>426.68333000000007</v>
      </c>
      <c r="AS23" s="137">
        <v>866.8</v>
      </c>
      <c r="AT23" s="136">
        <v>6.7718749999999996</v>
      </c>
    </row>
    <row r="24" spans="28:46">
      <c r="AB24" s="5">
        <v>19</v>
      </c>
      <c r="AC24" s="5" t="s">
        <v>9</v>
      </c>
      <c r="AD24" s="5" t="s">
        <v>133</v>
      </c>
      <c r="AE24" s="135">
        <v>183</v>
      </c>
      <c r="AF24" s="135">
        <v>116.4</v>
      </c>
      <c r="AG24" s="135">
        <v>13.2</v>
      </c>
      <c r="AH24" s="135">
        <v>0</v>
      </c>
      <c r="AI24" s="135">
        <v>6.55</v>
      </c>
      <c r="AJ24" s="135">
        <v>206.45</v>
      </c>
      <c r="AK24" s="135">
        <v>0</v>
      </c>
      <c r="AL24" s="135">
        <v>92.35</v>
      </c>
      <c r="AM24" s="135">
        <v>0</v>
      </c>
      <c r="AN24" s="135">
        <v>0</v>
      </c>
      <c r="AO24" s="135">
        <v>0</v>
      </c>
      <c r="AP24" s="135">
        <v>0</v>
      </c>
      <c r="AQ24" s="135">
        <v>0</v>
      </c>
      <c r="AR24" s="135">
        <v>434.95000000000005</v>
      </c>
      <c r="AS24" s="137">
        <v>981.43999999999983</v>
      </c>
      <c r="AT24" s="136">
        <v>5.3630601092896164</v>
      </c>
    </row>
    <row r="25" spans="28:46">
      <c r="AB25" s="5">
        <v>20</v>
      </c>
      <c r="AC25" s="5" t="s">
        <v>14</v>
      </c>
      <c r="AD25" s="5" t="s">
        <v>14</v>
      </c>
      <c r="AE25" s="135">
        <v>272</v>
      </c>
      <c r="AF25" s="135">
        <v>107.51666999999999</v>
      </c>
      <c r="AG25" s="135">
        <v>0</v>
      </c>
      <c r="AH25" s="135">
        <v>94.683329999999998</v>
      </c>
      <c r="AI25" s="135">
        <v>33.033319999999996</v>
      </c>
      <c r="AJ25" s="135">
        <v>104.36666</v>
      </c>
      <c r="AK25" s="135">
        <v>0</v>
      </c>
      <c r="AL25" s="135">
        <v>111.44999999999999</v>
      </c>
      <c r="AM25" s="135">
        <v>17.216670000000001</v>
      </c>
      <c r="AN25" s="135">
        <v>44.66666</v>
      </c>
      <c r="AO25" s="135">
        <v>0</v>
      </c>
      <c r="AP25" s="135">
        <v>0</v>
      </c>
      <c r="AQ25" s="135">
        <v>0</v>
      </c>
      <c r="AR25" s="135">
        <v>512.93331000000001</v>
      </c>
      <c r="AS25" s="137">
        <v>1040.6199999999999</v>
      </c>
      <c r="AT25" s="136">
        <v>3.8258088235294112</v>
      </c>
    </row>
    <row r="26" spans="28:46">
      <c r="AB26" s="5">
        <v>21</v>
      </c>
      <c r="AC26" s="5" t="s">
        <v>14</v>
      </c>
      <c r="AD26" s="5" t="s">
        <v>134</v>
      </c>
      <c r="AE26" s="135">
        <v>95</v>
      </c>
      <c r="AF26" s="135">
        <v>0</v>
      </c>
      <c r="AG26" s="135">
        <v>0</v>
      </c>
      <c r="AH26" s="135">
        <v>0</v>
      </c>
      <c r="AI26" s="135">
        <v>0</v>
      </c>
      <c r="AJ26" s="135">
        <v>0</v>
      </c>
      <c r="AK26" s="135">
        <v>0</v>
      </c>
      <c r="AL26" s="135">
        <v>6.3666700000000001</v>
      </c>
      <c r="AM26" s="135">
        <v>0</v>
      </c>
      <c r="AN26" s="135">
        <v>0</v>
      </c>
      <c r="AO26" s="135">
        <v>0</v>
      </c>
      <c r="AP26" s="135">
        <v>0</v>
      </c>
      <c r="AQ26" s="135">
        <v>0</v>
      </c>
      <c r="AR26" s="135">
        <v>6.3666700000000001</v>
      </c>
      <c r="AS26" s="137">
        <v>7.64</v>
      </c>
      <c r="AT26" s="136">
        <v>8.0421052631578949E-2</v>
      </c>
    </row>
    <row r="27" spans="28:46">
      <c r="AB27" s="5">
        <v>22</v>
      </c>
      <c r="AC27" s="5" t="s">
        <v>14</v>
      </c>
      <c r="AD27" s="5" t="s">
        <v>135</v>
      </c>
      <c r="AE27" s="135">
        <v>175</v>
      </c>
      <c r="AF27" s="135">
        <v>52.133330000000001</v>
      </c>
      <c r="AG27" s="135">
        <v>0</v>
      </c>
      <c r="AH27" s="135">
        <v>0</v>
      </c>
      <c r="AI27" s="135">
        <v>5.9</v>
      </c>
      <c r="AJ27" s="135">
        <v>51.9</v>
      </c>
      <c r="AK27" s="135">
        <v>0</v>
      </c>
      <c r="AL27" s="135">
        <v>0</v>
      </c>
      <c r="AM27" s="135">
        <v>0</v>
      </c>
      <c r="AN27" s="135">
        <v>0</v>
      </c>
      <c r="AO27" s="135">
        <v>0</v>
      </c>
      <c r="AP27" s="135">
        <v>0</v>
      </c>
      <c r="AQ27" s="135">
        <v>0</v>
      </c>
      <c r="AR27" s="135">
        <v>109.93333</v>
      </c>
      <c r="AS27" s="137">
        <v>240.63</v>
      </c>
      <c r="AT27" s="136">
        <v>1.3750285714285715</v>
      </c>
    </row>
  </sheetData>
  <sortState xmlns:xlrd2="http://schemas.microsoft.com/office/spreadsheetml/2017/richdata2" ref="A6:X12">
    <sortCondition descending="1" ref="R5:R12"/>
  </sortState>
  <mergeCells count="25">
    <mergeCell ref="X2:X3"/>
    <mergeCell ref="A2:A3"/>
    <mergeCell ref="B2:B3"/>
    <mergeCell ref="D2:G2"/>
    <mergeCell ref="H2:K2"/>
    <mergeCell ref="L2:O2"/>
    <mergeCell ref="Q2:Q3"/>
    <mergeCell ref="P2:P3"/>
    <mergeCell ref="S2:S3"/>
    <mergeCell ref="U2:U3"/>
    <mergeCell ref="V2:W2"/>
    <mergeCell ref="R2:R3"/>
    <mergeCell ref="C2:C3"/>
    <mergeCell ref="T2:T3"/>
    <mergeCell ref="AB1:AT1"/>
    <mergeCell ref="AE2:AE3"/>
    <mergeCell ref="AF2:AI2"/>
    <mergeCell ref="AJ2:AM2"/>
    <mergeCell ref="AN2:AQ2"/>
    <mergeCell ref="AT2:AT3"/>
    <mergeCell ref="AB2:AB3"/>
    <mergeCell ref="AC2:AC3"/>
    <mergeCell ref="AD2:AD3"/>
    <mergeCell ref="AR2:AR3"/>
    <mergeCell ref="AS2:AS3"/>
  </mergeCells>
  <conditionalFormatting sqref="R6:R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6:AT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98E8-7050-42E5-8F5E-E0EE81F07927}">
  <dimension ref="A1:M228"/>
  <sheetViews>
    <sheetView topLeftCell="A197" zoomScale="70" zoomScaleNormal="70" workbookViewId="0">
      <selection activeCell="A52" sqref="A52:A228"/>
    </sheetView>
  </sheetViews>
  <sheetFormatPr defaultRowHeight="14.4"/>
  <cols>
    <col min="2" max="2" width="20.77734375" customWidth="1"/>
    <col min="3" max="3" width="10.88671875" customWidth="1"/>
    <col min="4" max="4" width="9.33203125" customWidth="1"/>
    <col min="5" max="5" width="19.109375" customWidth="1"/>
    <col min="6" max="6" width="20.5546875" customWidth="1"/>
    <col min="7" max="7" width="19.109375" style="127" customWidth="1"/>
    <col min="10" max="10" width="16.88671875" style="127" customWidth="1"/>
    <col min="11" max="11" width="12.88671875" customWidth="1"/>
    <col min="12" max="12" width="20.21875" customWidth="1"/>
    <col min="13" max="13" width="17.44140625" customWidth="1"/>
  </cols>
  <sheetData>
    <row r="1" spans="1:13" ht="27.6">
      <c r="A1" s="82" t="s">
        <v>0</v>
      </c>
      <c r="B1" s="82" t="s">
        <v>108</v>
      </c>
      <c r="C1" s="82" t="s">
        <v>109</v>
      </c>
      <c r="D1" s="82" t="s">
        <v>110</v>
      </c>
      <c r="E1" s="82" t="s">
        <v>111</v>
      </c>
      <c r="F1" s="82" t="s">
        <v>112</v>
      </c>
      <c r="G1" s="125" t="s">
        <v>113</v>
      </c>
      <c r="H1" s="82" t="s">
        <v>114</v>
      </c>
      <c r="I1" s="82" t="s">
        <v>115</v>
      </c>
      <c r="J1" s="125" t="s">
        <v>116</v>
      </c>
      <c r="K1" s="82" t="s">
        <v>117</v>
      </c>
      <c r="L1" s="82" t="s">
        <v>118</v>
      </c>
      <c r="M1" s="82" t="s">
        <v>119</v>
      </c>
    </row>
    <row r="2" spans="1:13">
      <c r="A2" s="83">
        <v>1</v>
      </c>
      <c r="B2" s="83" t="s">
        <v>338</v>
      </c>
      <c r="C2" s="83" t="s">
        <v>74</v>
      </c>
      <c r="D2" s="83" t="s">
        <v>130</v>
      </c>
      <c r="E2" s="83" t="s">
        <v>339</v>
      </c>
      <c r="F2" s="83" t="s">
        <v>340</v>
      </c>
      <c r="G2" s="126">
        <v>697.61667</v>
      </c>
      <c r="H2" s="83" t="s">
        <v>128</v>
      </c>
      <c r="I2" s="83" t="s">
        <v>94</v>
      </c>
      <c r="J2" s="126">
        <v>1327.95</v>
      </c>
      <c r="K2" s="83" t="s">
        <v>5</v>
      </c>
      <c r="L2" s="83" t="s">
        <v>29</v>
      </c>
      <c r="M2" s="83" t="s">
        <v>99</v>
      </c>
    </row>
    <row r="3" spans="1:13">
      <c r="A3" s="83">
        <v>2</v>
      </c>
      <c r="B3" s="83" t="s">
        <v>341</v>
      </c>
      <c r="C3" s="83" t="s">
        <v>74</v>
      </c>
      <c r="D3" s="83" t="s">
        <v>123</v>
      </c>
      <c r="E3" s="83" t="s">
        <v>342</v>
      </c>
      <c r="F3" s="83" t="s">
        <v>343</v>
      </c>
      <c r="G3" s="126">
        <v>127.08333</v>
      </c>
      <c r="H3" s="83" t="s">
        <v>124</v>
      </c>
      <c r="I3" s="83" t="s">
        <v>94</v>
      </c>
      <c r="J3" s="126">
        <v>254.17</v>
      </c>
      <c r="K3" s="83" t="s">
        <v>4</v>
      </c>
      <c r="L3" s="83" t="s">
        <v>20</v>
      </c>
      <c r="M3" s="83" t="s">
        <v>149</v>
      </c>
    </row>
    <row r="4" spans="1:13">
      <c r="A4" s="83">
        <v>3</v>
      </c>
      <c r="B4" s="83" t="s">
        <v>338</v>
      </c>
      <c r="C4" s="83" t="s">
        <v>74</v>
      </c>
      <c r="D4" s="83" t="s">
        <v>130</v>
      </c>
      <c r="E4" s="83" t="s">
        <v>344</v>
      </c>
      <c r="F4" s="83" t="s">
        <v>345</v>
      </c>
      <c r="G4" s="126">
        <v>27.41667</v>
      </c>
      <c r="H4" s="83" t="s">
        <v>128</v>
      </c>
      <c r="I4" s="83" t="s">
        <v>94</v>
      </c>
      <c r="J4" s="126">
        <v>27.42</v>
      </c>
      <c r="K4" s="83" t="s">
        <v>5</v>
      </c>
      <c r="L4" s="83" t="s">
        <v>29</v>
      </c>
      <c r="M4" s="83" t="s">
        <v>99</v>
      </c>
    </row>
    <row r="5" spans="1:13">
      <c r="A5" s="83">
        <v>4</v>
      </c>
      <c r="B5" s="83" t="s">
        <v>346</v>
      </c>
      <c r="C5" s="83" t="s">
        <v>74</v>
      </c>
      <c r="D5" s="83" t="s">
        <v>129</v>
      </c>
      <c r="E5" s="83" t="s">
        <v>347</v>
      </c>
      <c r="F5" s="83" t="s">
        <v>348</v>
      </c>
      <c r="G5" s="126">
        <v>27.4</v>
      </c>
      <c r="H5" s="83" t="s">
        <v>124</v>
      </c>
      <c r="I5" s="83" t="s">
        <v>94</v>
      </c>
      <c r="J5" s="126">
        <v>54.8</v>
      </c>
      <c r="K5" s="83" t="s">
        <v>5</v>
      </c>
      <c r="L5" s="83" t="s">
        <v>28</v>
      </c>
      <c r="M5" s="83" t="s">
        <v>5</v>
      </c>
    </row>
    <row r="6" spans="1:13">
      <c r="A6" s="83">
        <v>5</v>
      </c>
      <c r="B6" s="83" t="s">
        <v>349</v>
      </c>
      <c r="C6" s="83" t="s">
        <v>74</v>
      </c>
      <c r="D6" s="83" t="s">
        <v>123</v>
      </c>
      <c r="E6" s="83" t="s">
        <v>350</v>
      </c>
      <c r="F6" s="83" t="s">
        <v>351</v>
      </c>
      <c r="G6" s="126">
        <v>25.016670000000001</v>
      </c>
      <c r="H6" s="83" t="s">
        <v>124</v>
      </c>
      <c r="I6" s="83" t="s">
        <v>94</v>
      </c>
      <c r="J6" s="126">
        <v>50.03</v>
      </c>
      <c r="K6" s="83" t="s">
        <v>13</v>
      </c>
      <c r="L6" s="83" t="s">
        <v>41</v>
      </c>
      <c r="M6" s="83" t="s">
        <v>137</v>
      </c>
    </row>
    <row r="7" spans="1:13">
      <c r="A7" s="83">
        <v>6</v>
      </c>
      <c r="B7" s="83" t="s">
        <v>127</v>
      </c>
      <c r="C7" s="83" t="s">
        <v>74</v>
      </c>
      <c r="D7" s="83" t="s">
        <v>123</v>
      </c>
      <c r="E7" s="83" t="s">
        <v>352</v>
      </c>
      <c r="F7" s="83" t="s">
        <v>353</v>
      </c>
      <c r="G7" s="126">
        <v>11.9</v>
      </c>
      <c r="H7" s="83" t="s">
        <v>125</v>
      </c>
      <c r="I7" s="83" t="s">
        <v>94</v>
      </c>
      <c r="J7" s="126">
        <v>23.8</v>
      </c>
      <c r="K7" s="83" t="s">
        <v>8</v>
      </c>
      <c r="L7" s="83" t="s">
        <v>104</v>
      </c>
      <c r="M7" s="83" t="s">
        <v>96</v>
      </c>
    </row>
    <row r="8" spans="1:13">
      <c r="A8" s="83">
        <v>7</v>
      </c>
      <c r="B8" s="83" t="s">
        <v>354</v>
      </c>
      <c r="C8" s="83" t="s">
        <v>74</v>
      </c>
      <c r="D8" s="83" t="s">
        <v>123</v>
      </c>
      <c r="E8" s="83" t="s">
        <v>355</v>
      </c>
      <c r="F8" s="83" t="s">
        <v>356</v>
      </c>
      <c r="G8" s="126">
        <v>9.6666699999999999</v>
      </c>
      <c r="H8" s="83" t="s">
        <v>125</v>
      </c>
      <c r="I8" s="83" t="s">
        <v>94</v>
      </c>
      <c r="J8" s="126">
        <v>19.329999999999998</v>
      </c>
      <c r="K8" s="83" t="s">
        <v>8</v>
      </c>
      <c r="L8" s="83" t="s">
        <v>50</v>
      </c>
      <c r="M8" s="83" t="s">
        <v>8</v>
      </c>
    </row>
    <row r="9" spans="1:13">
      <c r="A9" s="83">
        <v>8</v>
      </c>
      <c r="B9" s="83" t="s">
        <v>357</v>
      </c>
      <c r="C9" s="83" t="s">
        <v>73</v>
      </c>
      <c r="D9" s="83" t="s">
        <v>123</v>
      </c>
      <c r="E9" s="83" t="s">
        <v>358</v>
      </c>
      <c r="F9" s="83" t="s">
        <v>359</v>
      </c>
      <c r="G9" s="126">
        <v>8.3833300000000008</v>
      </c>
      <c r="H9" s="83" t="s">
        <v>126</v>
      </c>
      <c r="I9" s="83" t="s">
        <v>94</v>
      </c>
      <c r="J9" s="126">
        <v>16.77</v>
      </c>
      <c r="K9" s="83" t="s">
        <v>5</v>
      </c>
      <c r="L9" s="83" t="s">
        <v>100</v>
      </c>
      <c r="M9" s="83" t="s">
        <v>99</v>
      </c>
    </row>
    <row r="10" spans="1:13">
      <c r="A10" s="83">
        <v>9</v>
      </c>
      <c r="B10" s="83" t="s">
        <v>360</v>
      </c>
      <c r="C10" s="83" t="s">
        <v>74</v>
      </c>
      <c r="D10" s="83" t="s">
        <v>123</v>
      </c>
      <c r="E10" s="83" t="s">
        <v>361</v>
      </c>
      <c r="F10" s="83" t="s">
        <v>362</v>
      </c>
      <c r="G10" s="126">
        <v>8.2333300000000005</v>
      </c>
      <c r="H10" s="83" t="s">
        <v>125</v>
      </c>
      <c r="I10" s="83" t="s">
        <v>94</v>
      </c>
      <c r="J10" s="126">
        <v>16.47</v>
      </c>
      <c r="K10" s="83" t="s">
        <v>9</v>
      </c>
      <c r="L10" s="83" t="s">
        <v>56</v>
      </c>
      <c r="M10" s="83" t="s">
        <v>135</v>
      </c>
    </row>
    <row r="11" spans="1:13">
      <c r="A11" s="83">
        <v>10</v>
      </c>
      <c r="B11" s="83" t="s">
        <v>127</v>
      </c>
      <c r="C11" s="83" t="s">
        <v>74</v>
      </c>
      <c r="D11" s="83" t="s">
        <v>123</v>
      </c>
      <c r="E11" s="83" t="s">
        <v>363</v>
      </c>
      <c r="F11" s="83" t="s">
        <v>364</v>
      </c>
      <c r="G11" s="126">
        <v>6.4333299999999998</v>
      </c>
      <c r="H11" s="83" t="s">
        <v>125</v>
      </c>
      <c r="I11" s="83" t="s">
        <v>94</v>
      </c>
      <c r="J11" s="126">
        <v>12.87</v>
      </c>
      <c r="K11" s="83" t="s">
        <v>8</v>
      </c>
      <c r="L11" s="83" t="s">
        <v>104</v>
      </c>
      <c r="M11" s="83" t="s">
        <v>96</v>
      </c>
    </row>
    <row r="12" spans="1:13">
      <c r="A12" s="83">
        <v>11</v>
      </c>
      <c r="B12" s="83" t="s">
        <v>127</v>
      </c>
      <c r="C12" s="83" t="s">
        <v>74</v>
      </c>
      <c r="D12" s="83" t="s">
        <v>123</v>
      </c>
      <c r="E12" s="83" t="s">
        <v>365</v>
      </c>
      <c r="F12" s="83" t="s">
        <v>366</v>
      </c>
      <c r="G12" s="126">
        <v>6.4</v>
      </c>
      <c r="H12" s="83" t="s">
        <v>125</v>
      </c>
      <c r="I12" s="83" t="s">
        <v>94</v>
      </c>
      <c r="J12" s="126">
        <v>12.8</v>
      </c>
      <c r="K12" s="83" t="s">
        <v>8</v>
      </c>
      <c r="L12" s="83" t="s">
        <v>104</v>
      </c>
      <c r="M12" s="83" t="s">
        <v>96</v>
      </c>
    </row>
    <row r="13" spans="1:13">
      <c r="A13" s="83">
        <v>12</v>
      </c>
      <c r="B13" s="83" t="s">
        <v>367</v>
      </c>
      <c r="C13" s="83" t="s">
        <v>322</v>
      </c>
      <c r="D13" s="83" t="s">
        <v>130</v>
      </c>
      <c r="E13" s="83" t="s">
        <v>368</v>
      </c>
      <c r="F13" s="83" t="s">
        <v>369</v>
      </c>
      <c r="G13" s="126">
        <v>6.15</v>
      </c>
      <c r="H13" s="83" t="s">
        <v>126</v>
      </c>
      <c r="I13" s="83" t="s">
        <v>94</v>
      </c>
      <c r="J13" s="126">
        <v>6.15</v>
      </c>
      <c r="K13" s="83" t="s">
        <v>14</v>
      </c>
      <c r="L13" s="83" t="s">
        <v>45</v>
      </c>
      <c r="M13" s="83" t="s">
        <v>14</v>
      </c>
    </row>
    <row r="14" spans="1:13">
      <c r="A14" s="83">
        <v>13</v>
      </c>
      <c r="B14" s="83" t="s">
        <v>354</v>
      </c>
      <c r="C14" s="83" t="s">
        <v>74</v>
      </c>
      <c r="D14" s="83" t="s">
        <v>123</v>
      </c>
      <c r="E14" s="83" t="s">
        <v>370</v>
      </c>
      <c r="F14" s="83" t="s">
        <v>371</v>
      </c>
      <c r="G14" s="126">
        <v>5.6166700000000001</v>
      </c>
      <c r="H14" s="83" t="s">
        <v>125</v>
      </c>
      <c r="I14" s="83" t="s">
        <v>94</v>
      </c>
      <c r="J14" s="126">
        <v>11.23</v>
      </c>
      <c r="K14" s="83" t="s">
        <v>8</v>
      </c>
      <c r="L14" s="83" t="s">
        <v>50</v>
      </c>
      <c r="M14" s="83" t="s">
        <v>8</v>
      </c>
    </row>
    <row r="15" spans="1:13">
      <c r="A15" s="83">
        <v>14</v>
      </c>
      <c r="B15" s="83" t="s">
        <v>367</v>
      </c>
      <c r="C15" s="83" t="s">
        <v>322</v>
      </c>
      <c r="D15" s="83" t="s">
        <v>130</v>
      </c>
      <c r="E15" s="83" t="s">
        <v>372</v>
      </c>
      <c r="F15" s="83" t="s">
        <v>373</v>
      </c>
      <c r="G15" s="126">
        <v>5.5833300000000001</v>
      </c>
      <c r="H15" s="83" t="s">
        <v>126</v>
      </c>
      <c r="I15" s="83" t="s">
        <v>94</v>
      </c>
      <c r="J15" s="126">
        <v>5.58</v>
      </c>
      <c r="K15" s="83" t="s">
        <v>14</v>
      </c>
      <c r="L15" s="83" t="s">
        <v>45</v>
      </c>
      <c r="M15" s="83" t="s">
        <v>14</v>
      </c>
    </row>
    <row r="16" spans="1:13">
      <c r="A16" s="83">
        <v>15</v>
      </c>
      <c r="B16" s="83" t="s">
        <v>374</v>
      </c>
      <c r="C16" s="83" t="s">
        <v>73</v>
      </c>
      <c r="D16" s="83" t="s">
        <v>123</v>
      </c>
      <c r="E16" s="83" t="s">
        <v>375</v>
      </c>
      <c r="F16" s="83" t="s">
        <v>376</v>
      </c>
      <c r="G16" s="126">
        <v>5.5</v>
      </c>
      <c r="H16" s="83" t="s">
        <v>126</v>
      </c>
      <c r="I16" s="83" t="s">
        <v>94</v>
      </c>
      <c r="J16" s="126">
        <v>5.5</v>
      </c>
      <c r="K16" s="83" t="s">
        <v>14</v>
      </c>
      <c r="L16" s="83" t="s">
        <v>47</v>
      </c>
      <c r="M16" s="83" t="s">
        <v>14</v>
      </c>
    </row>
    <row r="17" spans="1:13">
      <c r="A17" s="83">
        <v>16</v>
      </c>
      <c r="B17" s="83" t="s">
        <v>377</v>
      </c>
      <c r="C17" s="83" t="s">
        <v>73</v>
      </c>
      <c r="D17" s="83" t="s">
        <v>123</v>
      </c>
      <c r="E17" s="83" t="s">
        <v>378</v>
      </c>
      <c r="F17" s="83" t="s">
        <v>379</v>
      </c>
      <c r="G17" s="126">
        <v>5.4666699999999997</v>
      </c>
      <c r="H17" s="83" t="s">
        <v>126</v>
      </c>
      <c r="I17" s="83" t="s">
        <v>94</v>
      </c>
      <c r="J17" s="126">
        <v>10.93</v>
      </c>
      <c r="K17" s="83" t="s">
        <v>8</v>
      </c>
      <c r="L17" s="83" t="s">
        <v>50</v>
      </c>
      <c r="M17" s="83" t="s">
        <v>8</v>
      </c>
    </row>
    <row r="18" spans="1:13">
      <c r="A18" s="83">
        <v>17</v>
      </c>
      <c r="B18" s="83" t="s">
        <v>380</v>
      </c>
      <c r="C18" s="83" t="s">
        <v>322</v>
      </c>
      <c r="D18" s="83" t="s">
        <v>130</v>
      </c>
      <c r="E18" s="83" t="s">
        <v>368</v>
      </c>
      <c r="F18" s="83" t="s">
        <v>381</v>
      </c>
      <c r="G18" s="126">
        <v>5.4333299999999998</v>
      </c>
      <c r="H18" s="83" t="s">
        <v>126</v>
      </c>
      <c r="I18" s="83" t="s">
        <v>94</v>
      </c>
      <c r="J18" s="126">
        <v>5.43</v>
      </c>
      <c r="K18" s="83" t="s">
        <v>14</v>
      </c>
      <c r="L18" s="83" t="s">
        <v>45</v>
      </c>
      <c r="M18" s="83" t="s">
        <v>14</v>
      </c>
    </row>
    <row r="19" spans="1:13">
      <c r="A19" s="83">
        <v>18</v>
      </c>
      <c r="B19" s="83" t="s">
        <v>382</v>
      </c>
      <c r="C19" s="83" t="s">
        <v>74</v>
      </c>
      <c r="D19" s="83" t="s">
        <v>123</v>
      </c>
      <c r="E19" s="83" t="s">
        <v>361</v>
      </c>
      <c r="F19" s="83" t="s">
        <v>383</v>
      </c>
      <c r="G19" s="126">
        <v>5.4</v>
      </c>
      <c r="H19" s="83" t="s">
        <v>125</v>
      </c>
      <c r="I19" s="83" t="s">
        <v>94</v>
      </c>
      <c r="J19" s="126">
        <v>10.8</v>
      </c>
      <c r="K19" s="83" t="s">
        <v>9</v>
      </c>
      <c r="L19" s="83" t="s">
        <v>56</v>
      </c>
      <c r="M19" s="83" t="s">
        <v>135</v>
      </c>
    </row>
    <row r="20" spans="1:13">
      <c r="A20" s="83">
        <v>19</v>
      </c>
      <c r="B20" s="83" t="s">
        <v>384</v>
      </c>
      <c r="C20" s="83" t="s">
        <v>322</v>
      </c>
      <c r="D20" s="83" t="s">
        <v>130</v>
      </c>
      <c r="E20" s="83" t="s">
        <v>385</v>
      </c>
      <c r="F20" s="83" t="s">
        <v>386</v>
      </c>
      <c r="G20" s="126">
        <v>5.2333299999999996</v>
      </c>
      <c r="H20" s="83" t="s">
        <v>126</v>
      </c>
      <c r="I20" s="83" t="s">
        <v>94</v>
      </c>
      <c r="J20" s="126">
        <v>5.23</v>
      </c>
      <c r="K20" s="83" t="s">
        <v>14</v>
      </c>
      <c r="L20" s="83" t="s">
        <v>46</v>
      </c>
      <c r="M20" s="83" t="s">
        <v>14</v>
      </c>
    </row>
    <row r="21" spans="1:13">
      <c r="A21" s="83">
        <v>20</v>
      </c>
      <c r="B21" s="83" t="s">
        <v>387</v>
      </c>
      <c r="C21" s="83" t="s">
        <v>74</v>
      </c>
      <c r="D21" s="83" t="s">
        <v>123</v>
      </c>
      <c r="E21" s="83" t="s">
        <v>388</v>
      </c>
      <c r="F21" s="83" t="s">
        <v>389</v>
      </c>
      <c r="G21" s="126">
        <v>5.1666699999999999</v>
      </c>
      <c r="H21" s="83" t="s">
        <v>125</v>
      </c>
      <c r="I21" s="83" t="s">
        <v>94</v>
      </c>
      <c r="J21" s="126">
        <v>10.33</v>
      </c>
      <c r="K21" s="83" t="s">
        <v>9</v>
      </c>
      <c r="L21" s="83" t="s">
        <v>56</v>
      </c>
      <c r="M21" s="83" t="s">
        <v>135</v>
      </c>
    </row>
    <row r="22" spans="1:13">
      <c r="A22" s="83">
        <v>21</v>
      </c>
      <c r="B22" s="83" t="s">
        <v>390</v>
      </c>
      <c r="C22" s="83" t="s">
        <v>74</v>
      </c>
      <c r="D22" s="83" t="s">
        <v>123</v>
      </c>
      <c r="E22" s="83" t="s">
        <v>391</v>
      </c>
      <c r="F22" s="83" t="s">
        <v>392</v>
      </c>
      <c r="G22" s="126">
        <v>5.1333299999999999</v>
      </c>
      <c r="H22" s="83" t="s">
        <v>125</v>
      </c>
      <c r="I22" s="83" t="s">
        <v>94</v>
      </c>
      <c r="J22" s="126">
        <v>10.27</v>
      </c>
      <c r="K22" s="83" t="s">
        <v>9</v>
      </c>
      <c r="L22" s="83" t="s">
        <v>57</v>
      </c>
      <c r="M22" s="83" t="s">
        <v>135</v>
      </c>
    </row>
    <row r="23" spans="1:13">
      <c r="A23" s="83">
        <v>22</v>
      </c>
      <c r="B23" s="83" t="s">
        <v>393</v>
      </c>
      <c r="C23" s="83" t="s">
        <v>73</v>
      </c>
      <c r="D23" s="83" t="s">
        <v>123</v>
      </c>
      <c r="E23" s="83" t="s">
        <v>394</v>
      </c>
      <c r="F23" s="83" t="s">
        <v>395</v>
      </c>
      <c r="G23" s="126">
        <v>5.1333299999999999</v>
      </c>
      <c r="H23" s="83" t="s">
        <v>126</v>
      </c>
      <c r="I23" s="83" t="s">
        <v>94</v>
      </c>
      <c r="J23" s="126">
        <v>10.27</v>
      </c>
      <c r="K23" s="83" t="s">
        <v>14</v>
      </c>
      <c r="L23" s="83" t="s">
        <v>45</v>
      </c>
      <c r="M23" s="83" t="s">
        <v>14</v>
      </c>
    </row>
    <row r="24" spans="1:13">
      <c r="A24" s="83">
        <v>23</v>
      </c>
      <c r="B24" s="83" t="s">
        <v>396</v>
      </c>
      <c r="C24" s="83" t="s">
        <v>73</v>
      </c>
      <c r="D24" s="83" t="s">
        <v>123</v>
      </c>
      <c r="E24" s="83" t="s">
        <v>397</v>
      </c>
      <c r="F24" s="83" t="s">
        <v>398</v>
      </c>
      <c r="G24" s="126">
        <v>5.1166700000000001</v>
      </c>
      <c r="H24" s="83" t="s">
        <v>126</v>
      </c>
      <c r="I24" s="83" t="s">
        <v>94</v>
      </c>
      <c r="J24" s="126">
        <v>10.23</v>
      </c>
      <c r="K24" s="83" t="s">
        <v>8</v>
      </c>
      <c r="L24" s="83" t="s">
        <v>50</v>
      </c>
      <c r="M24" s="83" t="s">
        <v>8</v>
      </c>
    </row>
    <row r="25" spans="1:13">
      <c r="A25" s="83">
        <v>24</v>
      </c>
      <c r="B25" s="83" t="s">
        <v>399</v>
      </c>
      <c r="C25" s="83" t="s">
        <v>74</v>
      </c>
      <c r="D25" s="83" t="s">
        <v>130</v>
      </c>
      <c r="E25" s="83" t="s">
        <v>400</v>
      </c>
      <c r="F25" s="83" t="s">
        <v>401</v>
      </c>
      <c r="G25" s="126">
        <v>5.0166700000000004</v>
      </c>
      <c r="H25" s="83" t="s">
        <v>126</v>
      </c>
      <c r="I25" s="83" t="s">
        <v>94</v>
      </c>
      <c r="J25" s="126">
        <v>10.029999999999999</v>
      </c>
      <c r="K25" s="83" t="s">
        <v>8</v>
      </c>
      <c r="L25" s="83" t="s">
        <v>49</v>
      </c>
      <c r="M25" s="83" t="s">
        <v>8</v>
      </c>
    </row>
    <row r="26" spans="1:13">
      <c r="A26" s="83">
        <v>25</v>
      </c>
      <c r="B26" s="83" t="s">
        <v>468</v>
      </c>
      <c r="C26" s="83" t="s">
        <v>74</v>
      </c>
      <c r="D26" s="83" t="s">
        <v>130</v>
      </c>
      <c r="E26" s="83" t="s">
        <v>469</v>
      </c>
      <c r="F26" s="83" t="s">
        <v>470</v>
      </c>
      <c r="G26" s="126">
        <v>1453.9</v>
      </c>
      <c r="H26" s="83" t="s">
        <v>128</v>
      </c>
      <c r="I26" s="83" t="s">
        <v>95</v>
      </c>
      <c r="J26" s="126">
        <v>2409.36</v>
      </c>
      <c r="K26" s="83" t="s">
        <v>8</v>
      </c>
      <c r="L26" s="83" t="s">
        <v>49</v>
      </c>
      <c r="M26" s="83" t="s">
        <v>8</v>
      </c>
    </row>
    <row r="27" spans="1:13">
      <c r="A27" s="83">
        <v>26</v>
      </c>
      <c r="B27" s="83" t="s">
        <v>402</v>
      </c>
      <c r="C27" s="83" t="s">
        <v>74</v>
      </c>
      <c r="D27" s="83" t="s">
        <v>123</v>
      </c>
      <c r="E27" s="83" t="s">
        <v>403</v>
      </c>
      <c r="F27" s="83" t="s">
        <v>404</v>
      </c>
      <c r="G27" s="126">
        <v>109.43333</v>
      </c>
      <c r="H27" s="83" t="s">
        <v>124</v>
      </c>
      <c r="I27" s="83" t="s">
        <v>95</v>
      </c>
      <c r="J27" s="126">
        <v>262.64</v>
      </c>
      <c r="K27" s="83" t="s">
        <v>4</v>
      </c>
      <c r="L27" s="83" t="s">
        <v>20</v>
      </c>
      <c r="M27" s="83" t="s">
        <v>149</v>
      </c>
    </row>
    <row r="28" spans="1:13">
      <c r="A28" s="83">
        <v>27</v>
      </c>
      <c r="B28" s="83" t="s">
        <v>405</v>
      </c>
      <c r="C28" s="83" t="s">
        <v>74</v>
      </c>
      <c r="D28" s="83" t="s">
        <v>123</v>
      </c>
      <c r="E28" s="83" t="s">
        <v>406</v>
      </c>
      <c r="F28" s="83" t="s">
        <v>407</v>
      </c>
      <c r="G28" s="126">
        <v>76.183329999999998</v>
      </c>
      <c r="H28" s="83" t="s">
        <v>124</v>
      </c>
      <c r="I28" s="83" t="s">
        <v>95</v>
      </c>
      <c r="J28" s="126">
        <v>91.42</v>
      </c>
      <c r="K28" s="83" t="s">
        <v>9</v>
      </c>
      <c r="L28" s="83" t="s">
        <v>58</v>
      </c>
      <c r="M28" s="83" t="s">
        <v>138</v>
      </c>
    </row>
    <row r="29" spans="1:13">
      <c r="A29" s="83">
        <v>28</v>
      </c>
      <c r="B29" s="83" t="s">
        <v>346</v>
      </c>
      <c r="C29" s="83" t="s">
        <v>74</v>
      </c>
      <c r="D29" s="83" t="s">
        <v>129</v>
      </c>
      <c r="E29" s="83" t="s">
        <v>408</v>
      </c>
      <c r="F29" s="83" t="s">
        <v>409</v>
      </c>
      <c r="G29" s="126">
        <v>28.883330000000001</v>
      </c>
      <c r="H29" s="83" t="s">
        <v>124</v>
      </c>
      <c r="I29" s="83" t="s">
        <v>95</v>
      </c>
      <c r="J29" s="126">
        <v>69.319999999999993</v>
      </c>
      <c r="K29" s="83" t="s">
        <v>5</v>
      </c>
      <c r="L29" s="83" t="s">
        <v>28</v>
      </c>
      <c r="M29" s="83" t="s">
        <v>5</v>
      </c>
    </row>
    <row r="30" spans="1:13">
      <c r="A30" s="83">
        <v>29</v>
      </c>
      <c r="B30" s="83" t="s">
        <v>410</v>
      </c>
      <c r="C30" s="83" t="s">
        <v>74</v>
      </c>
      <c r="D30" s="83" t="s">
        <v>123</v>
      </c>
      <c r="E30" s="83" t="s">
        <v>411</v>
      </c>
      <c r="F30" s="83" t="s">
        <v>412</v>
      </c>
      <c r="G30" s="126">
        <v>24.883330000000001</v>
      </c>
      <c r="H30" s="83" t="s">
        <v>124</v>
      </c>
      <c r="I30" s="83" t="s">
        <v>95</v>
      </c>
      <c r="J30" s="126">
        <v>59.72</v>
      </c>
      <c r="K30" s="83" t="s">
        <v>8</v>
      </c>
      <c r="L30" s="83" t="s">
        <v>103</v>
      </c>
      <c r="M30" s="83" t="s">
        <v>8</v>
      </c>
    </row>
    <row r="31" spans="1:13">
      <c r="A31" s="83">
        <v>30</v>
      </c>
      <c r="B31" s="83" t="s">
        <v>413</v>
      </c>
      <c r="C31" s="83" t="s">
        <v>74</v>
      </c>
      <c r="D31" s="83" t="s">
        <v>130</v>
      </c>
      <c r="E31" s="83" t="s">
        <v>414</v>
      </c>
      <c r="F31" s="83" t="s">
        <v>415</v>
      </c>
      <c r="G31" s="126">
        <v>20.516670000000001</v>
      </c>
      <c r="H31" s="83" t="s">
        <v>128</v>
      </c>
      <c r="I31" s="83" t="s">
        <v>95</v>
      </c>
      <c r="J31" s="126">
        <v>24.62</v>
      </c>
      <c r="K31" s="83" t="s">
        <v>5</v>
      </c>
      <c r="L31" s="83" t="s">
        <v>29</v>
      </c>
      <c r="M31" s="83" t="s">
        <v>99</v>
      </c>
    </row>
    <row r="32" spans="1:13">
      <c r="A32" s="83">
        <v>31</v>
      </c>
      <c r="B32" s="83" t="s">
        <v>413</v>
      </c>
      <c r="C32" s="83" t="s">
        <v>74</v>
      </c>
      <c r="D32" s="83" t="s">
        <v>130</v>
      </c>
      <c r="E32" s="83" t="s">
        <v>416</v>
      </c>
      <c r="F32" s="83" t="s">
        <v>417</v>
      </c>
      <c r="G32" s="126">
        <v>14.716670000000001</v>
      </c>
      <c r="H32" s="83" t="s">
        <v>125</v>
      </c>
      <c r="I32" s="83" t="s">
        <v>95</v>
      </c>
      <c r="J32" s="126">
        <v>35.32</v>
      </c>
      <c r="K32" s="83" t="s">
        <v>5</v>
      </c>
      <c r="L32" s="83" t="s">
        <v>29</v>
      </c>
      <c r="M32" s="83" t="s">
        <v>99</v>
      </c>
    </row>
    <row r="33" spans="1:13">
      <c r="A33" s="83">
        <v>32</v>
      </c>
      <c r="B33" s="83" t="s">
        <v>402</v>
      </c>
      <c r="C33" s="83" t="s">
        <v>74</v>
      </c>
      <c r="D33" s="83" t="s">
        <v>123</v>
      </c>
      <c r="E33" s="83" t="s">
        <v>418</v>
      </c>
      <c r="F33" s="83" t="s">
        <v>419</v>
      </c>
      <c r="G33" s="126">
        <v>14.15</v>
      </c>
      <c r="H33" s="83" t="s">
        <v>124</v>
      </c>
      <c r="I33" s="83" t="s">
        <v>95</v>
      </c>
      <c r="J33" s="126">
        <v>33.96</v>
      </c>
      <c r="K33" s="83" t="s">
        <v>4</v>
      </c>
      <c r="L33" s="83" t="s">
        <v>20</v>
      </c>
      <c r="M33" s="83" t="s">
        <v>149</v>
      </c>
    </row>
    <row r="34" spans="1:13">
      <c r="A34" s="83">
        <v>33</v>
      </c>
      <c r="B34" s="83" t="s">
        <v>420</v>
      </c>
      <c r="C34" s="83" t="s">
        <v>74</v>
      </c>
      <c r="D34" s="83" t="s">
        <v>130</v>
      </c>
      <c r="E34" s="83" t="s">
        <v>421</v>
      </c>
      <c r="F34" s="83" t="s">
        <v>422</v>
      </c>
      <c r="G34" s="126">
        <v>10.83333</v>
      </c>
      <c r="H34" s="83" t="s">
        <v>125</v>
      </c>
      <c r="I34" s="83" t="s">
        <v>95</v>
      </c>
      <c r="J34" s="126">
        <v>26</v>
      </c>
      <c r="K34" s="83" t="s">
        <v>13</v>
      </c>
      <c r="L34" s="83" t="s">
        <v>41</v>
      </c>
      <c r="M34" s="83" t="s">
        <v>137</v>
      </c>
    </row>
    <row r="35" spans="1:13">
      <c r="A35" s="83">
        <v>34</v>
      </c>
      <c r="B35" s="83" t="s">
        <v>423</v>
      </c>
      <c r="C35" s="83" t="s">
        <v>74</v>
      </c>
      <c r="D35" s="83" t="s">
        <v>123</v>
      </c>
      <c r="E35" s="83" t="s">
        <v>424</v>
      </c>
      <c r="F35" s="83" t="s">
        <v>425</v>
      </c>
      <c r="G35" s="126">
        <v>10.76667</v>
      </c>
      <c r="H35" s="83" t="s">
        <v>125</v>
      </c>
      <c r="I35" s="83" t="s">
        <v>95</v>
      </c>
      <c r="J35" s="126">
        <v>25.84</v>
      </c>
      <c r="K35" s="83" t="s">
        <v>13</v>
      </c>
      <c r="L35" s="83" t="s">
        <v>41</v>
      </c>
      <c r="M35" s="83" t="s">
        <v>137</v>
      </c>
    </row>
    <row r="36" spans="1:13">
      <c r="A36" s="83">
        <v>35</v>
      </c>
      <c r="B36" s="83" t="s">
        <v>413</v>
      </c>
      <c r="C36" s="83" t="s">
        <v>74</v>
      </c>
      <c r="D36" s="83" t="s">
        <v>130</v>
      </c>
      <c r="E36" s="83" t="s">
        <v>426</v>
      </c>
      <c r="F36" s="83" t="s">
        <v>427</v>
      </c>
      <c r="G36" s="126">
        <v>8</v>
      </c>
      <c r="H36" s="83" t="s">
        <v>125</v>
      </c>
      <c r="I36" s="83" t="s">
        <v>95</v>
      </c>
      <c r="J36" s="126">
        <v>19.2</v>
      </c>
      <c r="K36" s="83" t="s">
        <v>5</v>
      </c>
      <c r="L36" s="83" t="s">
        <v>29</v>
      </c>
      <c r="M36" s="83" t="s">
        <v>99</v>
      </c>
    </row>
    <row r="37" spans="1:13">
      <c r="A37" s="83">
        <v>36</v>
      </c>
      <c r="B37" s="83" t="s">
        <v>428</v>
      </c>
      <c r="C37" s="83" t="s">
        <v>74</v>
      </c>
      <c r="D37" s="83" t="s">
        <v>123</v>
      </c>
      <c r="E37" s="83" t="s">
        <v>429</v>
      </c>
      <c r="F37" s="83" t="s">
        <v>430</v>
      </c>
      <c r="G37" s="126">
        <v>7.75</v>
      </c>
      <c r="H37" s="83" t="s">
        <v>125</v>
      </c>
      <c r="I37" s="83" t="s">
        <v>95</v>
      </c>
      <c r="J37" s="126">
        <v>18.600000000000001</v>
      </c>
      <c r="K37" s="83" t="s">
        <v>8</v>
      </c>
      <c r="L37" s="83" t="s">
        <v>104</v>
      </c>
      <c r="M37" s="83" t="s">
        <v>96</v>
      </c>
    </row>
    <row r="38" spans="1:13">
      <c r="A38" s="83">
        <v>37</v>
      </c>
      <c r="B38" s="83" t="s">
        <v>431</v>
      </c>
      <c r="C38" s="83" t="s">
        <v>73</v>
      </c>
      <c r="D38" s="83" t="s">
        <v>123</v>
      </c>
      <c r="E38" s="83" t="s">
        <v>432</v>
      </c>
      <c r="F38" s="83" t="s">
        <v>433</v>
      </c>
      <c r="G38" s="126">
        <v>7.1666699999999999</v>
      </c>
      <c r="H38" s="83" t="s">
        <v>125</v>
      </c>
      <c r="I38" s="83" t="s">
        <v>95</v>
      </c>
      <c r="J38" s="126">
        <v>8.6</v>
      </c>
      <c r="K38" s="83" t="s">
        <v>132</v>
      </c>
      <c r="L38" s="83" t="s">
        <v>38</v>
      </c>
      <c r="M38" s="83" t="s">
        <v>132</v>
      </c>
    </row>
    <row r="39" spans="1:13">
      <c r="A39" s="83">
        <v>38</v>
      </c>
      <c r="B39" s="83" t="s">
        <v>434</v>
      </c>
      <c r="C39" s="83" t="s">
        <v>74</v>
      </c>
      <c r="D39" s="83" t="s">
        <v>123</v>
      </c>
      <c r="E39" s="83" t="s">
        <v>435</v>
      </c>
      <c r="F39" s="83" t="s">
        <v>436</v>
      </c>
      <c r="G39" s="126">
        <v>7.0166700000000004</v>
      </c>
      <c r="H39" s="83" t="s">
        <v>125</v>
      </c>
      <c r="I39" s="83" t="s">
        <v>95</v>
      </c>
      <c r="J39" s="126">
        <v>16.84</v>
      </c>
      <c r="K39" s="83" t="s">
        <v>9</v>
      </c>
      <c r="L39" s="83" t="s">
        <v>56</v>
      </c>
      <c r="M39" s="83" t="s">
        <v>135</v>
      </c>
    </row>
    <row r="40" spans="1:13">
      <c r="A40" s="83">
        <v>39</v>
      </c>
      <c r="B40" s="83" t="s">
        <v>413</v>
      </c>
      <c r="C40" s="83" t="s">
        <v>74</v>
      </c>
      <c r="D40" s="83" t="s">
        <v>130</v>
      </c>
      <c r="E40" s="83" t="s">
        <v>437</v>
      </c>
      <c r="F40" s="83" t="s">
        <v>438</v>
      </c>
      <c r="G40" s="126">
        <v>6.9</v>
      </c>
      <c r="H40" s="83" t="s">
        <v>128</v>
      </c>
      <c r="I40" s="83" t="s">
        <v>95</v>
      </c>
      <c r="J40" s="126">
        <v>8.2799999999999994</v>
      </c>
      <c r="K40" s="83" t="s">
        <v>5</v>
      </c>
      <c r="L40" s="83" t="s">
        <v>29</v>
      </c>
      <c r="M40" s="83" t="s">
        <v>99</v>
      </c>
    </row>
    <row r="41" spans="1:13">
      <c r="A41" s="83">
        <v>40</v>
      </c>
      <c r="B41" s="83" t="s">
        <v>413</v>
      </c>
      <c r="C41" s="83" t="s">
        <v>74</v>
      </c>
      <c r="D41" s="83" t="s">
        <v>130</v>
      </c>
      <c r="E41" s="83" t="s">
        <v>439</v>
      </c>
      <c r="F41" s="83" t="s">
        <v>440</v>
      </c>
      <c r="G41" s="126">
        <v>6.6833299999999998</v>
      </c>
      <c r="H41" s="83" t="s">
        <v>126</v>
      </c>
      <c r="I41" s="83" t="s">
        <v>95</v>
      </c>
      <c r="J41" s="126">
        <v>16.04</v>
      </c>
      <c r="K41" s="83" t="s">
        <v>5</v>
      </c>
      <c r="L41" s="83" t="s">
        <v>29</v>
      </c>
      <c r="M41" s="83" t="s">
        <v>99</v>
      </c>
    </row>
    <row r="42" spans="1:13">
      <c r="A42" s="83">
        <v>41</v>
      </c>
      <c r="B42" s="83" t="s">
        <v>420</v>
      </c>
      <c r="C42" s="83" t="s">
        <v>74</v>
      </c>
      <c r="D42" s="83" t="s">
        <v>130</v>
      </c>
      <c r="E42" s="83" t="s">
        <v>441</v>
      </c>
      <c r="F42" s="83" t="s">
        <v>442</v>
      </c>
      <c r="G42" s="126">
        <v>6.5666700000000002</v>
      </c>
      <c r="H42" s="83" t="s">
        <v>126</v>
      </c>
      <c r="I42" s="83" t="s">
        <v>95</v>
      </c>
      <c r="J42" s="126">
        <v>15.76</v>
      </c>
      <c r="K42" s="83" t="s">
        <v>13</v>
      </c>
      <c r="L42" s="83" t="s">
        <v>41</v>
      </c>
      <c r="M42" s="83" t="s">
        <v>137</v>
      </c>
    </row>
    <row r="43" spans="1:13">
      <c r="A43" s="83">
        <v>42</v>
      </c>
      <c r="B43" s="83" t="s">
        <v>423</v>
      </c>
      <c r="C43" s="83" t="s">
        <v>74</v>
      </c>
      <c r="D43" s="83" t="s">
        <v>123</v>
      </c>
      <c r="E43" s="83" t="s">
        <v>441</v>
      </c>
      <c r="F43" s="83" t="s">
        <v>442</v>
      </c>
      <c r="G43" s="126">
        <v>6.5666700000000002</v>
      </c>
      <c r="H43" s="83" t="s">
        <v>126</v>
      </c>
      <c r="I43" s="83" t="s">
        <v>95</v>
      </c>
      <c r="J43" s="126">
        <v>15.76</v>
      </c>
      <c r="K43" s="83" t="s">
        <v>13</v>
      </c>
      <c r="L43" s="83" t="s">
        <v>41</v>
      </c>
      <c r="M43" s="83" t="s">
        <v>137</v>
      </c>
    </row>
    <row r="44" spans="1:13">
      <c r="A44" s="83">
        <v>43</v>
      </c>
      <c r="B44" s="83" t="s">
        <v>443</v>
      </c>
      <c r="C44" s="83" t="s">
        <v>74</v>
      </c>
      <c r="D44" s="83" t="s">
        <v>123</v>
      </c>
      <c r="E44" s="83" t="s">
        <v>435</v>
      </c>
      <c r="F44" s="83" t="s">
        <v>444</v>
      </c>
      <c r="G44" s="126">
        <v>6.2166699999999997</v>
      </c>
      <c r="H44" s="83" t="s">
        <v>125</v>
      </c>
      <c r="I44" s="83" t="s">
        <v>95</v>
      </c>
      <c r="J44" s="126">
        <v>14.92</v>
      </c>
      <c r="K44" s="83" t="s">
        <v>9</v>
      </c>
      <c r="L44" s="83" t="s">
        <v>56</v>
      </c>
      <c r="M44" s="83" t="s">
        <v>135</v>
      </c>
    </row>
    <row r="45" spans="1:13">
      <c r="A45" s="83">
        <v>44</v>
      </c>
      <c r="B45" s="83" t="s">
        <v>445</v>
      </c>
      <c r="C45" s="83" t="s">
        <v>74</v>
      </c>
      <c r="D45" s="83" t="s">
        <v>123</v>
      </c>
      <c r="E45" s="83" t="s">
        <v>435</v>
      </c>
      <c r="F45" s="83" t="s">
        <v>446</v>
      </c>
      <c r="G45" s="126">
        <v>6.15</v>
      </c>
      <c r="H45" s="83" t="s">
        <v>125</v>
      </c>
      <c r="I45" s="83" t="s">
        <v>95</v>
      </c>
      <c r="J45" s="126">
        <v>14.76</v>
      </c>
      <c r="K45" s="83" t="s">
        <v>9</v>
      </c>
      <c r="L45" s="83" t="s">
        <v>57</v>
      </c>
      <c r="M45" s="83" t="s">
        <v>135</v>
      </c>
    </row>
    <row r="46" spans="1:13">
      <c r="A46" s="83">
        <v>45</v>
      </c>
      <c r="B46" s="83" t="s">
        <v>413</v>
      </c>
      <c r="C46" s="83" t="s">
        <v>74</v>
      </c>
      <c r="D46" s="83" t="s">
        <v>130</v>
      </c>
      <c r="E46" s="83" t="s">
        <v>447</v>
      </c>
      <c r="F46" s="83" t="s">
        <v>448</v>
      </c>
      <c r="G46" s="126">
        <v>5.7666700000000004</v>
      </c>
      <c r="H46" s="83" t="s">
        <v>125</v>
      </c>
      <c r="I46" s="83" t="s">
        <v>95</v>
      </c>
      <c r="J46" s="126">
        <v>13.84</v>
      </c>
      <c r="K46" s="83" t="s">
        <v>5</v>
      </c>
      <c r="L46" s="83" t="s">
        <v>29</v>
      </c>
      <c r="M46" s="83" t="s">
        <v>99</v>
      </c>
    </row>
    <row r="47" spans="1:13">
      <c r="A47" s="83">
        <v>46</v>
      </c>
      <c r="B47" s="83" t="s">
        <v>449</v>
      </c>
      <c r="C47" s="83" t="s">
        <v>322</v>
      </c>
      <c r="D47" s="83" t="s">
        <v>130</v>
      </c>
      <c r="E47" s="83" t="s">
        <v>450</v>
      </c>
      <c r="F47" s="83" t="s">
        <v>451</v>
      </c>
      <c r="G47" s="126">
        <v>5.6666699999999999</v>
      </c>
      <c r="H47" s="83" t="s">
        <v>126</v>
      </c>
      <c r="I47" s="83" t="s">
        <v>95</v>
      </c>
      <c r="J47" s="126">
        <v>6.8</v>
      </c>
      <c r="K47" s="83" t="s">
        <v>14</v>
      </c>
      <c r="L47" s="83" t="s">
        <v>45</v>
      </c>
      <c r="M47" s="83" t="s">
        <v>14</v>
      </c>
    </row>
    <row r="48" spans="1:13">
      <c r="A48" s="83">
        <v>47</v>
      </c>
      <c r="B48" s="83" t="s">
        <v>452</v>
      </c>
      <c r="C48" s="83" t="s">
        <v>74</v>
      </c>
      <c r="D48" s="83" t="s">
        <v>123</v>
      </c>
      <c r="E48" s="83" t="s">
        <v>435</v>
      </c>
      <c r="F48" s="83" t="s">
        <v>453</v>
      </c>
      <c r="G48" s="126">
        <v>5.4833299999999996</v>
      </c>
      <c r="H48" s="83" t="s">
        <v>125</v>
      </c>
      <c r="I48" s="83" t="s">
        <v>95</v>
      </c>
      <c r="J48" s="126">
        <v>13.16</v>
      </c>
      <c r="K48" s="83" t="s">
        <v>9</v>
      </c>
      <c r="L48" s="83" t="s">
        <v>56</v>
      </c>
      <c r="M48" s="83" t="s">
        <v>135</v>
      </c>
    </row>
    <row r="49" spans="1:13">
      <c r="A49" s="83">
        <v>48</v>
      </c>
      <c r="B49" s="83" t="s">
        <v>454</v>
      </c>
      <c r="C49" s="83" t="s">
        <v>74</v>
      </c>
      <c r="D49" s="83" t="s">
        <v>123</v>
      </c>
      <c r="E49" s="83" t="s">
        <v>455</v>
      </c>
      <c r="F49" s="83" t="s">
        <v>456</v>
      </c>
      <c r="G49" s="126">
        <v>5.3666700000000001</v>
      </c>
      <c r="H49" s="83" t="s">
        <v>125</v>
      </c>
      <c r="I49" s="83" t="s">
        <v>95</v>
      </c>
      <c r="J49" s="126">
        <v>12.88</v>
      </c>
      <c r="K49" s="83" t="s">
        <v>8</v>
      </c>
      <c r="L49" s="83" t="s">
        <v>50</v>
      </c>
      <c r="M49" s="83" t="s">
        <v>8</v>
      </c>
    </row>
    <row r="50" spans="1:13">
      <c r="A50" s="83">
        <v>49</v>
      </c>
      <c r="B50" s="83" t="s">
        <v>457</v>
      </c>
      <c r="C50" s="83" t="s">
        <v>73</v>
      </c>
      <c r="D50" s="83" t="s">
        <v>123</v>
      </c>
      <c r="E50" s="83" t="s">
        <v>458</v>
      </c>
      <c r="F50" s="83" t="s">
        <v>459</v>
      </c>
      <c r="G50" s="126">
        <v>5.3166700000000002</v>
      </c>
      <c r="H50" s="83" t="s">
        <v>126</v>
      </c>
      <c r="I50" s="83" t="s">
        <v>95</v>
      </c>
      <c r="J50" s="126">
        <v>6.38</v>
      </c>
      <c r="K50" s="83" t="s">
        <v>14</v>
      </c>
      <c r="L50" s="83" t="s">
        <v>47</v>
      </c>
      <c r="M50" s="83" t="s">
        <v>14</v>
      </c>
    </row>
    <row r="51" spans="1:13">
      <c r="A51" s="83">
        <v>50</v>
      </c>
      <c r="B51" s="83" t="s">
        <v>460</v>
      </c>
      <c r="C51" s="83" t="s">
        <v>73</v>
      </c>
      <c r="D51" s="83" t="s">
        <v>123</v>
      </c>
      <c r="E51" s="83" t="s">
        <v>461</v>
      </c>
      <c r="F51" s="83" t="s">
        <v>462</v>
      </c>
      <c r="G51" s="126">
        <v>5.0666700000000002</v>
      </c>
      <c r="H51" s="83" t="s">
        <v>126</v>
      </c>
      <c r="I51" s="83" t="s">
        <v>95</v>
      </c>
      <c r="J51" s="126">
        <v>12.16</v>
      </c>
      <c r="K51" s="83" t="s">
        <v>8</v>
      </c>
      <c r="L51" s="83" t="s">
        <v>50</v>
      </c>
      <c r="M51" s="83" t="s">
        <v>8</v>
      </c>
    </row>
    <row r="52" spans="1:13">
      <c r="A52" s="83">
        <v>51</v>
      </c>
      <c r="B52" s="83" t="s">
        <v>170</v>
      </c>
      <c r="C52" s="83" t="s">
        <v>74</v>
      </c>
      <c r="D52" s="83" t="s">
        <v>123</v>
      </c>
      <c r="E52" s="83" t="s">
        <v>463</v>
      </c>
      <c r="F52" s="83" t="s">
        <v>464</v>
      </c>
      <c r="G52" s="126">
        <v>14.95</v>
      </c>
      <c r="H52" s="83" t="s">
        <v>125</v>
      </c>
      <c r="I52" s="83" t="s">
        <v>97</v>
      </c>
      <c r="J52" s="126">
        <v>44.85</v>
      </c>
      <c r="K52" s="83" t="s">
        <v>8</v>
      </c>
      <c r="L52" s="83" t="s">
        <v>104</v>
      </c>
      <c r="M52" s="83" t="s">
        <v>96</v>
      </c>
    </row>
    <row r="53" spans="1:13">
      <c r="A53" s="83">
        <v>52</v>
      </c>
      <c r="B53" s="83" t="s">
        <v>465</v>
      </c>
      <c r="C53" s="83" t="s">
        <v>73</v>
      </c>
      <c r="D53" s="83" t="s">
        <v>123</v>
      </c>
      <c r="E53" s="83" t="s">
        <v>466</v>
      </c>
      <c r="F53" s="83" t="s">
        <v>467</v>
      </c>
      <c r="G53" s="126">
        <v>14.83333</v>
      </c>
      <c r="H53" s="83" t="s">
        <v>125</v>
      </c>
      <c r="I53" s="83" t="s">
        <v>97</v>
      </c>
      <c r="J53" s="126">
        <v>22.25</v>
      </c>
      <c r="K53" s="83" t="s">
        <v>14</v>
      </c>
      <c r="L53" s="83" t="s">
        <v>47</v>
      </c>
      <c r="M53" s="83" t="s">
        <v>14</v>
      </c>
    </row>
    <row r="54" spans="1:13">
      <c r="A54" s="83">
        <v>53</v>
      </c>
      <c r="B54" s="83" t="s">
        <v>176</v>
      </c>
      <c r="C54" s="83" t="s">
        <v>74</v>
      </c>
      <c r="D54" s="83" t="s">
        <v>123</v>
      </c>
      <c r="E54" s="83" t="s">
        <v>177</v>
      </c>
      <c r="F54" s="83" t="s">
        <v>178</v>
      </c>
      <c r="G54" s="126">
        <v>694.86667</v>
      </c>
      <c r="H54" s="83" t="s">
        <v>128</v>
      </c>
      <c r="I54" s="83" t="s">
        <v>94</v>
      </c>
      <c r="J54" s="126">
        <v>1389.73</v>
      </c>
      <c r="K54" s="83" t="s">
        <v>4</v>
      </c>
      <c r="L54" s="83" t="s">
        <v>22</v>
      </c>
      <c r="M54" s="83" t="s">
        <v>120</v>
      </c>
    </row>
    <row r="55" spans="1:13">
      <c r="A55" s="83">
        <v>54</v>
      </c>
      <c r="B55" s="83" t="s">
        <v>263</v>
      </c>
      <c r="C55" s="83" t="s">
        <v>73</v>
      </c>
      <c r="D55" s="83" t="s">
        <v>123</v>
      </c>
      <c r="E55" s="83" t="s">
        <v>264</v>
      </c>
      <c r="F55" s="83" t="s">
        <v>265</v>
      </c>
      <c r="G55" s="126">
        <v>222.56666999999999</v>
      </c>
      <c r="H55" s="83" t="s">
        <v>124</v>
      </c>
      <c r="I55" s="83" t="s">
        <v>95</v>
      </c>
      <c r="J55" s="126">
        <v>267.08</v>
      </c>
      <c r="K55" s="83" t="s">
        <v>8</v>
      </c>
      <c r="L55" s="83" t="s">
        <v>51</v>
      </c>
      <c r="M55" s="83" t="s">
        <v>96</v>
      </c>
    </row>
    <row r="56" spans="1:13">
      <c r="A56" s="83">
        <v>55</v>
      </c>
      <c r="B56" s="83" t="s">
        <v>332</v>
      </c>
      <c r="C56" s="83" t="s">
        <v>73</v>
      </c>
      <c r="D56" s="83" t="s">
        <v>123</v>
      </c>
      <c r="E56" s="83" t="s">
        <v>333</v>
      </c>
      <c r="F56" s="83" t="s">
        <v>334</v>
      </c>
      <c r="G56" s="126">
        <v>209.93333000000001</v>
      </c>
      <c r="H56" s="83" t="s">
        <v>124</v>
      </c>
      <c r="I56" s="83" t="s">
        <v>97</v>
      </c>
      <c r="J56" s="126">
        <v>314.89999999999998</v>
      </c>
      <c r="K56" s="83" t="s">
        <v>8</v>
      </c>
      <c r="L56" s="83" t="s">
        <v>51</v>
      </c>
      <c r="M56" s="83" t="s">
        <v>96</v>
      </c>
    </row>
    <row r="57" spans="1:13">
      <c r="A57" s="83">
        <v>56</v>
      </c>
      <c r="B57" s="83" t="s">
        <v>179</v>
      </c>
      <c r="C57" s="83" t="s">
        <v>73</v>
      </c>
      <c r="D57" s="83" t="s">
        <v>123</v>
      </c>
      <c r="E57" s="83" t="s">
        <v>266</v>
      </c>
      <c r="F57" s="83" t="s">
        <v>267</v>
      </c>
      <c r="G57" s="126">
        <v>169.33332999999999</v>
      </c>
      <c r="H57" s="83" t="s">
        <v>124</v>
      </c>
      <c r="I57" s="83" t="s">
        <v>95</v>
      </c>
      <c r="J57" s="126">
        <v>203.2</v>
      </c>
      <c r="K57" s="83" t="s">
        <v>132</v>
      </c>
      <c r="L57" s="83" t="s">
        <v>35</v>
      </c>
      <c r="M57" s="83" t="s">
        <v>132</v>
      </c>
    </row>
    <row r="58" spans="1:13">
      <c r="A58" s="83">
        <v>57</v>
      </c>
      <c r="B58" s="83" t="s">
        <v>179</v>
      </c>
      <c r="C58" s="83" t="s">
        <v>73</v>
      </c>
      <c r="D58" s="83" t="s">
        <v>123</v>
      </c>
      <c r="E58" s="83" t="s">
        <v>180</v>
      </c>
      <c r="F58" s="83" t="s">
        <v>181</v>
      </c>
      <c r="G58" s="126">
        <v>167.7</v>
      </c>
      <c r="H58" s="83" t="s">
        <v>124</v>
      </c>
      <c r="I58" s="83" t="s">
        <v>94</v>
      </c>
      <c r="J58" s="126">
        <v>167.7</v>
      </c>
      <c r="K58" s="83" t="s">
        <v>132</v>
      </c>
      <c r="L58" s="83" t="s">
        <v>35</v>
      </c>
      <c r="M58" s="83" t="s">
        <v>132</v>
      </c>
    </row>
    <row r="59" spans="1:13">
      <c r="A59" s="83">
        <v>58</v>
      </c>
      <c r="B59" s="83" t="s">
        <v>182</v>
      </c>
      <c r="C59" s="83" t="s">
        <v>74</v>
      </c>
      <c r="D59" s="83" t="s">
        <v>123</v>
      </c>
      <c r="E59" s="83" t="s">
        <v>183</v>
      </c>
      <c r="F59" s="83" t="s">
        <v>184</v>
      </c>
      <c r="G59" s="126">
        <v>119.95</v>
      </c>
      <c r="H59" s="83" t="s">
        <v>124</v>
      </c>
      <c r="I59" s="83" t="s">
        <v>95</v>
      </c>
      <c r="J59" s="126">
        <v>287.88</v>
      </c>
      <c r="K59" s="83" t="s">
        <v>132</v>
      </c>
      <c r="L59" s="83" t="s">
        <v>32</v>
      </c>
      <c r="M59" s="83" t="s">
        <v>140</v>
      </c>
    </row>
    <row r="60" spans="1:13">
      <c r="A60" s="83">
        <v>59</v>
      </c>
      <c r="B60" s="83" t="s">
        <v>182</v>
      </c>
      <c r="C60" s="83" t="s">
        <v>74</v>
      </c>
      <c r="D60" s="83" t="s">
        <v>123</v>
      </c>
      <c r="E60" s="83" t="s">
        <v>183</v>
      </c>
      <c r="F60" s="83" t="s">
        <v>184</v>
      </c>
      <c r="G60" s="126">
        <v>119.95</v>
      </c>
      <c r="H60" s="83" t="s">
        <v>124</v>
      </c>
      <c r="I60" s="83" t="s">
        <v>94</v>
      </c>
      <c r="J60" s="126">
        <v>239.9</v>
      </c>
      <c r="K60" s="83" t="s">
        <v>132</v>
      </c>
      <c r="L60" s="83" t="s">
        <v>32</v>
      </c>
      <c r="M60" s="83" t="s">
        <v>140</v>
      </c>
    </row>
    <row r="61" spans="1:13">
      <c r="A61" s="83">
        <v>60</v>
      </c>
      <c r="B61" s="83" t="s">
        <v>176</v>
      </c>
      <c r="C61" s="83" t="s">
        <v>74</v>
      </c>
      <c r="D61" s="83" t="s">
        <v>123</v>
      </c>
      <c r="E61" s="83" t="s">
        <v>185</v>
      </c>
      <c r="F61" s="83" t="s">
        <v>186</v>
      </c>
      <c r="G61" s="126">
        <v>114.65</v>
      </c>
      <c r="H61" s="83" t="s">
        <v>128</v>
      </c>
      <c r="I61" s="83" t="s">
        <v>94</v>
      </c>
      <c r="J61" s="126">
        <v>229.3</v>
      </c>
      <c r="K61" s="83" t="s">
        <v>4</v>
      </c>
      <c r="L61" s="83" t="s">
        <v>22</v>
      </c>
      <c r="M61" s="83" t="s">
        <v>120</v>
      </c>
    </row>
    <row r="62" spans="1:13">
      <c r="A62" s="83">
        <v>61</v>
      </c>
      <c r="B62" s="83" t="s">
        <v>187</v>
      </c>
      <c r="C62" s="83" t="s">
        <v>74</v>
      </c>
      <c r="D62" s="83" t="s">
        <v>123</v>
      </c>
      <c r="E62" s="83" t="s">
        <v>268</v>
      </c>
      <c r="F62" s="83" t="s">
        <v>269</v>
      </c>
      <c r="G62" s="126">
        <v>92.783330000000007</v>
      </c>
      <c r="H62" s="83" t="s">
        <v>124</v>
      </c>
      <c r="I62" s="83" t="s">
        <v>95</v>
      </c>
      <c r="J62" s="126">
        <v>222.68</v>
      </c>
      <c r="K62" s="83" t="s">
        <v>13</v>
      </c>
      <c r="L62" s="83" t="s">
        <v>42</v>
      </c>
      <c r="M62" s="83" t="s">
        <v>136</v>
      </c>
    </row>
    <row r="63" spans="1:13">
      <c r="A63" s="83">
        <v>62</v>
      </c>
      <c r="B63" s="83" t="s">
        <v>190</v>
      </c>
      <c r="C63" s="83" t="s">
        <v>74</v>
      </c>
      <c r="D63" s="83" t="s">
        <v>123</v>
      </c>
      <c r="E63" s="83" t="s">
        <v>270</v>
      </c>
      <c r="F63" s="83" t="s">
        <v>271</v>
      </c>
      <c r="G63" s="126">
        <v>92.65</v>
      </c>
      <c r="H63" s="83" t="s">
        <v>124</v>
      </c>
      <c r="I63" s="83" t="s">
        <v>95</v>
      </c>
      <c r="J63" s="126">
        <v>222.36</v>
      </c>
      <c r="K63" s="83" t="s">
        <v>13</v>
      </c>
      <c r="L63" s="83" t="s">
        <v>42</v>
      </c>
      <c r="M63" s="83" t="s">
        <v>136</v>
      </c>
    </row>
    <row r="64" spans="1:13">
      <c r="A64" s="83">
        <v>63</v>
      </c>
      <c r="B64" s="83" t="s">
        <v>187</v>
      </c>
      <c r="C64" s="83" t="s">
        <v>74</v>
      </c>
      <c r="D64" s="83" t="s">
        <v>123</v>
      </c>
      <c r="E64" s="83" t="s">
        <v>188</v>
      </c>
      <c r="F64" s="83" t="s">
        <v>189</v>
      </c>
      <c r="G64" s="126">
        <v>91.416669999999996</v>
      </c>
      <c r="H64" s="83" t="s">
        <v>124</v>
      </c>
      <c r="I64" s="83" t="s">
        <v>94</v>
      </c>
      <c r="J64" s="126">
        <v>182.83</v>
      </c>
      <c r="K64" s="83" t="s">
        <v>13</v>
      </c>
      <c r="L64" s="83" t="s">
        <v>42</v>
      </c>
      <c r="M64" s="83" t="s">
        <v>136</v>
      </c>
    </row>
    <row r="65" spans="1:13">
      <c r="A65" s="83">
        <v>64</v>
      </c>
      <c r="B65" s="83" t="s">
        <v>190</v>
      </c>
      <c r="C65" s="83" t="s">
        <v>74</v>
      </c>
      <c r="D65" s="83" t="s">
        <v>123</v>
      </c>
      <c r="E65" s="83" t="s">
        <v>191</v>
      </c>
      <c r="F65" s="83" t="s">
        <v>192</v>
      </c>
      <c r="G65" s="126">
        <v>91.283330000000007</v>
      </c>
      <c r="H65" s="83" t="s">
        <v>124</v>
      </c>
      <c r="I65" s="83" t="s">
        <v>94</v>
      </c>
      <c r="J65" s="126">
        <v>182.57</v>
      </c>
      <c r="K65" s="83" t="s">
        <v>13</v>
      </c>
      <c r="L65" s="83" t="s">
        <v>42</v>
      </c>
      <c r="M65" s="83" t="s">
        <v>136</v>
      </c>
    </row>
    <row r="66" spans="1:13">
      <c r="A66" s="83">
        <v>65</v>
      </c>
      <c r="B66" s="83" t="s">
        <v>195</v>
      </c>
      <c r="C66" s="83" t="s">
        <v>74</v>
      </c>
      <c r="D66" s="83" t="s">
        <v>129</v>
      </c>
      <c r="E66" s="83" t="s">
        <v>270</v>
      </c>
      <c r="F66" s="83" t="s">
        <v>272</v>
      </c>
      <c r="G66" s="126">
        <v>71.933329999999998</v>
      </c>
      <c r="H66" s="83" t="s">
        <v>124</v>
      </c>
      <c r="I66" s="83" t="s">
        <v>95</v>
      </c>
      <c r="J66" s="126">
        <v>172.64</v>
      </c>
      <c r="K66" s="83" t="s">
        <v>13</v>
      </c>
      <c r="L66" s="83" t="s">
        <v>101</v>
      </c>
      <c r="M66" s="83" t="s">
        <v>136</v>
      </c>
    </row>
    <row r="67" spans="1:13">
      <c r="A67" s="83">
        <v>66</v>
      </c>
      <c r="B67" s="83" t="s">
        <v>201</v>
      </c>
      <c r="C67" s="83" t="s">
        <v>74</v>
      </c>
      <c r="D67" s="83" t="s">
        <v>123</v>
      </c>
      <c r="E67" s="83" t="s">
        <v>270</v>
      </c>
      <c r="F67" s="83" t="s">
        <v>273</v>
      </c>
      <c r="G67" s="126">
        <v>70.983329999999995</v>
      </c>
      <c r="H67" s="83" t="s">
        <v>124</v>
      </c>
      <c r="I67" s="83" t="s">
        <v>95</v>
      </c>
      <c r="J67" s="126">
        <v>170.36</v>
      </c>
      <c r="K67" s="83" t="s">
        <v>13</v>
      </c>
      <c r="L67" s="83" t="s">
        <v>42</v>
      </c>
      <c r="M67" s="83" t="s">
        <v>136</v>
      </c>
    </row>
    <row r="68" spans="1:13">
      <c r="A68" s="83">
        <v>67</v>
      </c>
      <c r="B68" s="83" t="s">
        <v>274</v>
      </c>
      <c r="C68" s="83" t="s">
        <v>74</v>
      </c>
      <c r="D68" s="83" t="s">
        <v>130</v>
      </c>
      <c r="E68" s="83" t="s">
        <v>268</v>
      </c>
      <c r="F68" s="83" t="s">
        <v>275</v>
      </c>
      <c r="G68" s="126">
        <v>70.766670000000005</v>
      </c>
      <c r="H68" s="83" t="s">
        <v>124</v>
      </c>
      <c r="I68" s="83" t="s">
        <v>95</v>
      </c>
      <c r="J68" s="126">
        <v>169.84</v>
      </c>
      <c r="K68" s="83" t="s">
        <v>13</v>
      </c>
      <c r="L68" s="83" t="s">
        <v>101</v>
      </c>
      <c r="M68" s="83" t="s">
        <v>136</v>
      </c>
    </row>
    <row r="69" spans="1:13">
      <c r="A69" s="83">
        <v>68</v>
      </c>
      <c r="B69" s="83" t="s">
        <v>193</v>
      </c>
      <c r="C69" s="83" t="s">
        <v>73</v>
      </c>
      <c r="D69" s="83" t="s">
        <v>123</v>
      </c>
      <c r="E69" s="83" t="s">
        <v>270</v>
      </c>
      <c r="F69" s="83" t="s">
        <v>276</v>
      </c>
      <c r="G69" s="126">
        <v>68.066670000000002</v>
      </c>
      <c r="H69" s="83" t="s">
        <v>124</v>
      </c>
      <c r="I69" s="83" t="s">
        <v>95</v>
      </c>
      <c r="J69" s="126">
        <v>163.36000000000001</v>
      </c>
      <c r="K69" s="83" t="s">
        <v>13</v>
      </c>
      <c r="L69" s="83" t="s">
        <v>42</v>
      </c>
      <c r="M69" s="83" t="s">
        <v>136</v>
      </c>
    </row>
    <row r="70" spans="1:13">
      <c r="A70" s="83">
        <v>69</v>
      </c>
      <c r="B70" s="83" t="s">
        <v>193</v>
      </c>
      <c r="C70" s="83" t="s">
        <v>73</v>
      </c>
      <c r="D70" s="83" t="s">
        <v>123</v>
      </c>
      <c r="E70" s="83" t="s">
        <v>188</v>
      </c>
      <c r="F70" s="83" t="s">
        <v>194</v>
      </c>
      <c r="G70" s="126">
        <v>66.7</v>
      </c>
      <c r="H70" s="83" t="s">
        <v>124</v>
      </c>
      <c r="I70" s="83" t="s">
        <v>94</v>
      </c>
      <c r="J70" s="126">
        <v>133.4</v>
      </c>
      <c r="K70" s="83" t="s">
        <v>13</v>
      </c>
      <c r="L70" s="83" t="s">
        <v>42</v>
      </c>
      <c r="M70" s="83" t="s">
        <v>136</v>
      </c>
    </row>
    <row r="71" spans="1:13">
      <c r="A71" s="83">
        <v>70</v>
      </c>
      <c r="B71" s="83" t="s">
        <v>195</v>
      </c>
      <c r="C71" s="83" t="s">
        <v>74</v>
      </c>
      <c r="D71" s="83" t="s">
        <v>129</v>
      </c>
      <c r="E71" s="83" t="s">
        <v>196</v>
      </c>
      <c r="F71" s="83" t="s">
        <v>197</v>
      </c>
      <c r="G71" s="126">
        <v>57.45</v>
      </c>
      <c r="H71" s="83" t="s">
        <v>124</v>
      </c>
      <c r="I71" s="83" t="s">
        <v>94</v>
      </c>
      <c r="J71" s="126">
        <v>114.9</v>
      </c>
      <c r="K71" s="83" t="s">
        <v>13</v>
      </c>
      <c r="L71" s="83" t="s">
        <v>101</v>
      </c>
      <c r="M71" s="83" t="s">
        <v>136</v>
      </c>
    </row>
    <row r="72" spans="1:13">
      <c r="A72" s="83">
        <v>71</v>
      </c>
      <c r="B72" s="83" t="s">
        <v>198</v>
      </c>
      <c r="C72" s="83" t="s">
        <v>73</v>
      </c>
      <c r="D72" s="83" t="s">
        <v>123</v>
      </c>
      <c r="E72" s="83" t="s">
        <v>199</v>
      </c>
      <c r="F72" s="83" t="s">
        <v>200</v>
      </c>
      <c r="G72" s="126">
        <v>51.233330000000002</v>
      </c>
      <c r="H72" s="83" t="s">
        <v>125</v>
      </c>
      <c r="I72" s="83" t="s">
        <v>94</v>
      </c>
      <c r="J72" s="126">
        <v>102.47</v>
      </c>
      <c r="K72" s="83" t="s">
        <v>8</v>
      </c>
      <c r="L72" s="83" t="s">
        <v>103</v>
      </c>
      <c r="M72" s="83" t="s">
        <v>133</v>
      </c>
    </row>
    <row r="73" spans="1:13">
      <c r="A73" s="83">
        <v>72</v>
      </c>
      <c r="B73" s="83" t="s">
        <v>277</v>
      </c>
      <c r="C73" s="83" t="s">
        <v>74</v>
      </c>
      <c r="D73" s="83" t="s">
        <v>130</v>
      </c>
      <c r="E73" s="83" t="s">
        <v>278</v>
      </c>
      <c r="F73" s="83" t="s">
        <v>279</v>
      </c>
      <c r="G73" s="126">
        <v>45.6</v>
      </c>
      <c r="H73" s="83" t="s">
        <v>125</v>
      </c>
      <c r="I73" s="83" t="s">
        <v>95</v>
      </c>
      <c r="J73" s="126">
        <v>109.44</v>
      </c>
      <c r="K73" s="83" t="s">
        <v>8</v>
      </c>
      <c r="L73" s="83" t="s">
        <v>49</v>
      </c>
      <c r="M73" s="83" t="s">
        <v>133</v>
      </c>
    </row>
    <row r="74" spans="1:13">
      <c r="A74" s="83">
        <v>73</v>
      </c>
      <c r="B74" s="83" t="s">
        <v>201</v>
      </c>
      <c r="C74" s="83" t="s">
        <v>74</v>
      </c>
      <c r="D74" s="83" t="s">
        <v>123</v>
      </c>
      <c r="E74" s="83" t="s">
        <v>188</v>
      </c>
      <c r="F74" s="83" t="s">
        <v>202</v>
      </c>
      <c r="G74" s="126">
        <v>44.433329999999998</v>
      </c>
      <c r="H74" s="83" t="s">
        <v>124</v>
      </c>
      <c r="I74" s="83" t="s">
        <v>94</v>
      </c>
      <c r="J74" s="126">
        <v>88.87</v>
      </c>
      <c r="K74" s="83" t="s">
        <v>13</v>
      </c>
      <c r="L74" s="83" t="s">
        <v>42</v>
      </c>
      <c r="M74" s="83" t="s">
        <v>136</v>
      </c>
    </row>
    <row r="75" spans="1:13">
      <c r="A75" s="83">
        <v>74</v>
      </c>
      <c r="B75" s="83" t="s">
        <v>169</v>
      </c>
      <c r="C75" s="83" t="s">
        <v>74</v>
      </c>
      <c r="D75" s="83" t="s">
        <v>123</v>
      </c>
      <c r="E75" s="83" t="s">
        <v>280</v>
      </c>
      <c r="F75" s="83" t="s">
        <v>281</v>
      </c>
      <c r="G75" s="126">
        <v>43.583329999999997</v>
      </c>
      <c r="H75" s="83" t="s">
        <v>124</v>
      </c>
      <c r="I75" s="83" t="s">
        <v>95</v>
      </c>
      <c r="J75" s="126">
        <v>104.6</v>
      </c>
      <c r="K75" s="83" t="s">
        <v>14</v>
      </c>
      <c r="L75" s="83" t="s">
        <v>44</v>
      </c>
      <c r="M75" s="83" t="s">
        <v>14</v>
      </c>
    </row>
    <row r="76" spans="1:13">
      <c r="A76" s="83">
        <v>75</v>
      </c>
      <c r="B76" s="83" t="s">
        <v>282</v>
      </c>
      <c r="C76" s="83" t="s">
        <v>73</v>
      </c>
      <c r="D76" s="83" t="s">
        <v>123</v>
      </c>
      <c r="E76" s="83" t="s">
        <v>283</v>
      </c>
      <c r="F76" s="83" t="s">
        <v>284</v>
      </c>
      <c r="G76" s="126">
        <v>34.383330000000001</v>
      </c>
      <c r="H76" s="83" t="s">
        <v>125</v>
      </c>
      <c r="I76" s="83" t="s">
        <v>95</v>
      </c>
      <c r="J76" s="126">
        <v>82.52</v>
      </c>
      <c r="K76" s="83" t="s">
        <v>8</v>
      </c>
      <c r="L76" s="83" t="s">
        <v>103</v>
      </c>
      <c r="M76" s="83" t="s">
        <v>133</v>
      </c>
    </row>
    <row r="77" spans="1:13">
      <c r="A77" s="83">
        <v>76</v>
      </c>
      <c r="B77" s="83" t="s">
        <v>285</v>
      </c>
      <c r="C77" s="83" t="s">
        <v>73</v>
      </c>
      <c r="D77" s="83" t="s">
        <v>123</v>
      </c>
      <c r="E77" s="83" t="s">
        <v>283</v>
      </c>
      <c r="F77" s="83" t="s">
        <v>286</v>
      </c>
      <c r="G77" s="126">
        <v>33.666670000000003</v>
      </c>
      <c r="H77" s="83" t="s">
        <v>125</v>
      </c>
      <c r="I77" s="83" t="s">
        <v>95</v>
      </c>
      <c r="J77" s="126">
        <v>80.8</v>
      </c>
      <c r="K77" s="83" t="s">
        <v>8</v>
      </c>
      <c r="L77" s="83" t="s">
        <v>103</v>
      </c>
      <c r="M77" s="83" t="s">
        <v>133</v>
      </c>
    </row>
    <row r="78" spans="1:13">
      <c r="A78" s="83">
        <v>77</v>
      </c>
      <c r="B78" s="83" t="s">
        <v>203</v>
      </c>
      <c r="C78" s="83" t="s">
        <v>74</v>
      </c>
      <c r="D78" s="83" t="s">
        <v>130</v>
      </c>
      <c r="E78" s="83" t="s">
        <v>204</v>
      </c>
      <c r="F78" s="83" t="s">
        <v>205</v>
      </c>
      <c r="G78" s="126">
        <v>32.6</v>
      </c>
      <c r="H78" s="83" t="s">
        <v>124</v>
      </c>
      <c r="I78" s="83" t="s">
        <v>94</v>
      </c>
      <c r="J78" s="126">
        <v>65.2</v>
      </c>
      <c r="K78" s="83" t="s">
        <v>8</v>
      </c>
      <c r="L78" s="83" t="s">
        <v>103</v>
      </c>
      <c r="M78" s="83" t="s">
        <v>8</v>
      </c>
    </row>
    <row r="79" spans="1:13">
      <c r="A79" s="83">
        <v>78</v>
      </c>
      <c r="B79" s="83" t="s">
        <v>287</v>
      </c>
      <c r="C79" s="83" t="s">
        <v>74</v>
      </c>
      <c r="D79" s="83" t="s">
        <v>130</v>
      </c>
      <c r="E79" s="83" t="s">
        <v>288</v>
      </c>
      <c r="F79" s="83" t="s">
        <v>289</v>
      </c>
      <c r="G79" s="126">
        <v>32.533329999999999</v>
      </c>
      <c r="H79" s="83" t="s">
        <v>124</v>
      </c>
      <c r="I79" s="83" t="s">
        <v>95</v>
      </c>
      <c r="J79" s="126">
        <v>78.08</v>
      </c>
      <c r="K79" s="83" t="s">
        <v>8</v>
      </c>
      <c r="L79" s="83" t="s">
        <v>103</v>
      </c>
      <c r="M79" s="83" t="s">
        <v>8</v>
      </c>
    </row>
    <row r="80" spans="1:13">
      <c r="A80" s="83">
        <v>79</v>
      </c>
      <c r="B80" s="83" t="s">
        <v>290</v>
      </c>
      <c r="C80" s="83" t="s">
        <v>74</v>
      </c>
      <c r="D80" s="83" t="s">
        <v>130</v>
      </c>
      <c r="E80" s="83" t="s">
        <v>288</v>
      </c>
      <c r="F80" s="83" t="s">
        <v>291</v>
      </c>
      <c r="G80" s="126">
        <v>32.416670000000003</v>
      </c>
      <c r="H80" s="83" t="s">
        <v>124</v>
      </c>
      <c r="I80" s="83" t="s">
        <v>95</v>
      </c>
      <c r="J80" s="126">
        <v>77.8</v>
      </c>
      <c r="K80" s="83" t="s">
        <v>8</v>
      </c>
      <c r="L80" s="83" t="s">
        <v>103</v>
      </c>
      <c r="M80" s="83" t="s">
        <v>8</v>
      </c>
    </row>
    <row r="81" spans="1:13">
      <c r="A81" s="83">
        <v>80</v>
      </c>
      <c r="B81" s="83" t="s">
        <v>206</v>
      </c>
      <c r="C81" s="83" t="s">
        <v>74</v>
      </c>
      <c r="D81" s="83" t="s">
        <v>123</v>
      </c>
      <c r="E81" s="83" t="s">
        <v>207</v>
      </c>
      <c r="F81" s="83" t="s">
        <v>208</v>
      </c>
      <c r="G81" s="126">
        <v>31</v>
      </c>
      <c r="H81" s="83" t="s">
        <v>125</v>
      </c>
      <c r="I81" s="83" t="s">
        <v>94</v>
      </c>
      <c r="J81" s="126">
        <v>62</v>
      </c>
      <c r="K81" s="83" t="s">
        <v>8</v>
      </c>
      <c r="L81" s="83" t="s">
        <v>104</v>
      </c>
      <c r="M81" s="83" t="s">
        <v>8</v>
      </c>
    </row>
    <row r="82" spans="1:13">
      <c r="A82" s="83">
        <v>81</v>
      </c>
      <c r="B82" s="83" t="s">
        <v>292</v>
      </c>
      <c r="C82" s="83" t="s">
        <v>74</v>
      </c>
      <c r="D82" s="83" t="s">
        <v>123</v>
      </c>
      <c r="E82" s="83" t="s">
        <v>293</v>
      </c>
      <c r="F82" s="83" t="s">
        <v>294</v>
      </c>
      <c r="G82" s="126">
        <v>29.866669999999999</v>
      </c>
      <c r="H82" s="83" t="s">
        <v>125</v>
      </c>
      <c r="I82" s="83" t="s">
        <v>95</v>
      </c>
      <c r="J82" s="126">
        <v>71.680000000000007</v>
      </c>
      <c r="K82" s="83" t="s">
        <v>8</v>
      </c>
      <c r="L82" s="83" t="s">
        <v>104</v>
      </c>
      <c r="M82" s="83" t="s">
        <v>8</v>
      </c>
    </row>
    <row r="83" spans="1:13">
      <c r="A83" s="83">
        <v>82</v>
      </c>
      <c r="B83" s="83" t="s">
        <v>295</v>
      </c>
      <c r="C83" s="83" t="s">
        <v>74</v>
      </c>
      <c r="D83" s="83" t="s">
        <v>123</v>
      </c>
      <c r="E83" s="83" t="s">
        <v>293</v>
      </c>
      <c r="F83" s="83" t="s">
        <v>296</v>
      </c>
      <c r="G83" s="126">
        <v>28.33333</v>
      </c>
      <c r="H83" s="83" t="s">
        <v>125</v>
      </c>
      <c r="I83" s="83" t="s">
        <v>95</v>
      </c>
      <c r="J83" s="126">
        <v>68</v>
      </c>
      <c r="K83" s="83" t="s">
        <v>8</v>
      </c>
      <c r="L83" s="83" t="s">
        <v>104</v>
      </c>
      <c r="M83" s="83" t="s">
        <v>8</v>
      </c>
    </row>
    <row r="84" spans="1:13">
      <c r="A84" s="83">
        <v>83</v>
      </c>
      <c r="B84" s="83" t="s">
        <v>209</v>
      </c>
      <c r="C84" s="83" t="s">
        <v>74</v>
      </c>
      <c r="D84" s="83" t="s">
        <v>130</v>
      </c>
      <c r="E84" s="83" t="s">
        <v>210</v>
      </c>
      <c r="F84" s="83" t="s">
        <v>211</v>
      </c>
      <c r="G84" s="126">
        <v>28.266670000000001</v>
      </c>
      <c r="H84" s="83" t="s">
        <v>125</v>
      </c>
      <c r="I84" s="83" t="s">
        <v>94</v>
      </c>
      <c r="J84" s="126">
        <v>56.53</v>
      </c>
      <c r="K84" s="83" t="s">
        <v>132</v>
      </c>
      <c r="L84" s="83" t="s">
        <v>37</v>
      </c>
      <c r="M84" s="83" t="s">
        <v>132</v>
      </c>
    </row>
    <row r="85" spans="1:13">
      <c r="A85" s="83">
        <v>84</v>
      </c>
      <c r="B85" s="83" t="s">
        <v>209</v>
      </c>
      <c r="C85" s="83" t="s">
        <v>74</v>
      </c>
      <c r="D85" s="83" t="s">
        <v>130</v>
      </c>
      <c r="E85" s="83" t="s">
        <v>297</v>
      </c>
      <c r="F85" s="83" t="s">
        <v>298</v>
      </c>
      <c r="G85" s="126">
        <v>27.9</v>
      </c>
      <c r="H85" s="83" t="s">
        <v>125</v>
      </c>
      <c r="I85" s="83" t="s">
        <v>95</v>
      </c>
      <c r="J85" s="126">
        <v>66.959999999999994</v>
      </c>
      <c r="K85" s="83" t="s">
        <v>132</v>
      </c>
      <c r="L85" s="83" t="s">
        <v>37</v>
      </c>
      <c r="M85" s="83" t="s">
        <v>132</v>
      </c>
    </row>
    <row r="86" spans="1:13">
      <c r="A86" s="83">
        <v>85</v>
      </c>
      <c r="B86" s="83" t="s">
        <v>168</v>
      </c>
      <c r="C86" s="83" t="s">
        <v>74</v>
      </c>
      <c r="D86" s="83" t="s">
        <v>123</v>
      </c>
      <c r="E86" s="83" t="s">
        <v>212</v>
      </c>
      <c r="F86" s="83" t="s">
        <v>213</v>
      </c>
      <c r="G86" s="126">
        <v>25.483329999999999</v>
      </c>
      <c r="H86" s="83" t="s">
        <v>124</v>
      </c>
      <c r="I86" s="83" t="s">
        <v>94</v>
      </c>
      <c r="J86" s="126">
        <v>50.97</v>
      </c>
      <c r="K86" s="83" t="s">
        <v>14</v>
      </c>
      <c r="L86" s="83" t="s">
        <v>44</v>
      </c>
      <c r="M86" s="83" t="s">
        <v>14</v>
      </c>
    </row>
    <row r="87" spans="1:13">
      <c r="A87" s="83">
        <v>86</v>
      </c>
      <c r="B87" s="83" t="s">
        <v>214</v>
      </c>
      <c r="C87" s="83" t="s">
        <v>73</v>
      </c>
      <c r="D87" s="83" t="s">
        <v>130</v>
      </c>
      <c r="E87" s="83" t="s">
        <v>215</v>
      </c>
      <c r="F87" s="83" t="s">
        <v>216</v>
      </c>
      <c r="G87" s="126">
        <v>24.2</v>
      </c>
      <c r="H87" s="83" t="s">
        <v>125</v>
      </c>
      <c r="I87" s="83" t="s">
        <v>94</v>
      </c>
      <c r="J87" s="126">
        <v>48.4</v>
      </c>
      <c r="K87" s="83" t="s">
        <v>132</v>
      </c>
      <c r="L87" s="83" t="s">
        <v>36</v>
      </c>
      <c r="M87" s="83" t="s">
        <v>132</v>
      </c>
    </row>
    <row r="88" spans="1:13">
      <c r="A88" s="83">
        <v>87</v>
      </c>
      <c r="B88" s="83" t="s">
        <v>214</v>
      </c>
      <c r="C88" s="83" t="s">
        <v>73</v>
      </c>
      <c r="D88" s="83" t="s">
        <v>130</v>
      </c>
      <c r="E88" s="83" t="s">
        <v>299</v>
      </c>
      <c r="F88" s="83" t="s">
        <v>300</v>
      </c>
      <c r="G88" s="126">
        <v>24.1</v>
      </c>
      <c r="H88" s="83" t="s">
        <v>125</v>
      </c>
      <c r="I88" s="83" t="s">
        <v>95</v>
      </c>
      <c r="J88" s="126">
        <v>57.84</v>
      </c>
      <c r="K88" s="83" t="s">
        <v>132</v>
      </c>
      <c r="L88" s="83" t="s">
        <v>36</v>
      </c>
      <c r="M88" s="83" t="s">
        <v>132</v>
      </c>
    </row>
    <row r="89" spans="1:13">
      <c r="A89" s="83">
        <v>88</v>
      </c>
      <c r="B89" s="83" t="s">
        <v>198</v>
      </c>
      <c r="C89" s="83" t="s">
        <v>73</v>
      </c>
      <c r="D89" s="83" t="s">
        <v>123</v>
      </c>
      <c r="E89" s="83" t="s">
        <v>217</v>
      </c>
      <c r="F89" s="83" t="s">
        <v>218</v>
      </c>
      <c r="G89" s="126">
        <v>23.016670000000001</v>
      </c>
      <c r="H89" s="83" t="s">
        <v>125</v>
      </c>
      <c r="I89" s="83" t="s">
        <v>94</v>
      </c>
      <c r="J89" s="126">
        <v>46.03</v>
      </c>
      <c r="K89" s="83" t="s">
        <v>8</v>
      </c>
      <c r="L89" s="83" t="s">
        <v>103</v>
      </c>
      <c r="M89" s="83" t="s">
        <v>133</v>
      </c>
    </row>
    <row r="90" spans="1:13">
      <c r="A90" s="83">
        <v>89</v>
      </c>
      <c r="B90" s="83" t="s">
        <v>282</v>
      </c>
      <c r="C90" s="83" t="s">
        <v>73</v>
      </c>
      <c r="D90" s="83" t="s">
        <v>123</v>
      </c>
      <c r="E90" s="83" t="s">
        <v>301</v>
      </c>
      <c r="F90" s="83" t="s">
        <v>302</v>
      </c>
      <c r="G90" s="126">
        <v>21.883330000000001</v>
      </c>
      <c r="H90" s="83" t="s">
        <v>125</v>
      </c>
      <c r="I90" s="83" t="s">
        <v>95</v>
      </c>
      <c r="J90" s="126">
        <v>52.52</v>
      </c>
      <c r="K90" s="83" t="s">
        <v>8</v>
      </c>
      <c r="L90" s="83" t="s">
        <v>103</v>
      </c>
      <c r="M90" s="83" t="s">
        <v>133</v>
      </c>
    </row>
    <row r="91" spans="1:13">
      <c r="A91" s="83">
        <v>90</v>
      </c>
      <c r="B91" s="83" t="s">
        <v>285</v>
      </c>
      <c r="C91" s="83" t="s">
        <v>73</v>
      </c>
      <c r="D91" s="83" t="s">
        <v>123</v>
      </c>
      <c r="E91" s="83" t="s">
        <v>301</v>
      </c>
      <c r="F91" s="83" t="s">
        <v>303</v>
      </c>
      <c r="G91" s="126">
        <v>21.2</v>
      </c>
      <c r="H91" s="83" t="s">
        <v>125</v>
      </c>
      <c r="I91" s="83" t="s">
        <v>95</v>
      </c>
      <c r="J91" s="126">
        <v>50.88</v>
      </c>
      <c r="K91" s="83" t="s">
        <v>8</v>
      </c>
      <c r="L91" s="83" t="s">
        <v>103</v>
      </c>
      <c r="M91" s="83" t="s">
        <v>133</v>
      </c>
    </row>
    <row r="92" spans="1:13">
      <c r="A92" s="83">
        <v>91</v>
      </c>
      <c r="B92" s="83" t="s">
        <v>224</v>
      </c>
      <c r="C92" s="83" t="s">
        <v>73</v>
      </c>
      <c r="D92" s="83" t="s">
        <v>130</v>
      </c>
      <c r="E92" s="83" t="s">
        <v>304</v>
      </c>
      <c r="F92" s="83" t="s">
        <v>305</v>
      </c>
      <c r="G92" s="126">
        <v>20.85</v>
      </c>
      <c r="H92" s="83" t="s">
        <v>125</v>
      </c>
      <c r="I92" s="83" t="s">
        <v>95</v>
      </c>
      <c r="J92" s="126">
        <v>50.04</v>
      </c>
      <c r="K92" s="83" t="s">
        <v>5</v>
      </c>
      <c r="L92" s="83" t="s">
        <v>33</v>
      </c>
      <c r="M92" s="83" t="s">
        <v>99</v>
      </c>
    </row>
    <row r="93" spans="1:13">
      <c r="A93" s="83">
        <v>92</v>
      </c>
      <c r="B93" s="83" t="s">
        <v>203</v>
      </c>
      <c r="C93" s="83" t="s">
        <v>74</v>
      </c>
      <c r="D93" s="83" t="s">
        <v>130</v>
      </c>
      <c r="E93" s="83" t="s">
        <v>219</v>
      </c>
      <c r="F93" s="83" t="s">
        <v>220</v>
      </c>
      <c r="G93" s="126">
        <v>20.433330000000002</v>
      </c>
      <c r="H93" s="83" t="s">
        <v>124</v>
      </c>
      <c r="I93" s="83" t="s">
        <v>94</v>
      </c>
      <c r="J93" s="126">
        <v>40.869999999999997</v>
      </c>
      <c r="K93" s="83" t="s">
        <v>8</v>
      </c>
      <c r="L93" s="83" t="s">
        <v>103</v>
      </c>
      <c r="M93" s="83" t="s">
        <v>8</v>
      </c>
    </row>
    <row r="94" spans="1:13">
      <c r="A94" s="83">
        <v>93</v>
      </c>
      <c r="B94" s="83" t="s">
        <v>290</v>
      </c>
      <c r="C94" s="83" t="s">
        <v>74</v>
      </c>
      <c r="D94" s="83" t="s">
        <v>130</v>
      </c>
      <c r="E94" s="83" t="s">
        <v>217</v>
      </c>
      <c r="F94" s="83" t="s">
        <v>306</v>
      </c>
      <c r="G94" s="126">
        <v>20.216670000000001</v>
      </c>
      <c r="H94" s="83" t="s">
        <v>124</v>
      </c>
      <c r="I94" s="83" t="s">
        <v>95</v>
      </c>
      <c r="J94" s="126">
        <v>48.52</v>
      </c>
      <c r="K94" s="83" t="s">
        <v>8</v>
      </c>
      <c r="L94" s="83" t="s">
        <v>103</v>
      </c>
      <c r="M94" s="83" t="s">
        <v>8</v>
      </c>
    </row>
    <row r="95" spans="1:13">
      <c r="A95" s="83">
        <v>94</v>
      </c>
      <c r="B95" s="83" t="s">
        <v>287</v>
      </c>
      <c r="C95" s="83" t="s">
        <v>74</v>
      </c>
      <c r="D95" s="83" t="s">
        <v>130</v>
      </c>
      <c r="E95" s="83" t="s">
        <v>217</v>
      </c>
      <c r="F95" s="83" t="s">
        <v>307</v>
      </c>
      <c r="G95" s="126">
        <v>19.966670000000001</v>
      </c>
      <c r="H95" s="83" t="s">
        <v>124</v>
      </c>
      <c r="I95" s="83" t="s">
        <v>95</v>
      </c>
      <c r="J95" s="126">
        <v>47.92</v>
      </c>
      <c r="K95" s="83" t="s">
        <v>8</v>
      </c>
      <c r="L95" s="83" t="s">
        <v>103</v>
      </c>
      <c r="M95" s="83" t="s">
        <v>8</v>
      </c>
    </row>
    <row r="96" spans="1:13">
      <c r="A96" s="83">
        <v>95</v>
      </c>
      <c r="B96" s="83" t="s">
        <v>221</v>
      </c>
      <c r="C96" s="83" t="s">
        <v>74</v>
      </c>
      <c r="D96" s="83" t="s">
        <v>123</v>
      </c>
      <c r="E96" s="83" t="s">
        <v>222</v>
      </c>
      <c r="F96" s="83" t="s">
        <v>223</v>
      </c>
      <c r="G96" s="126">
        <v>16.016670000000001</v>
      </c>
      <c r="H96" s="83" t="s">
        <v>125</v>
      </c>
      <c r="I96" s="83" t="s">
        <v>94</v>
      </c>
      <c r="J96" s="126">
        <v>32.03</v>
      </c>
      <c r="K96" s="83" t="s">
        <v>4</v>
      </c>
      <c r="L96" s="83" t="s">
        <v>20</v>
      </c>
      <c r="M96" s="83" t="s">
        <v>149</v>
      </c>
    </row>
    <row r="97" spans="1:13">
      <c r="A97" s="83">
        <v>96</v>
      </c>
      <c r="B97" s="83" t="s">
        <v>170</v>
      </c>
      <c r="C97" s="83" t="s">
        <v>74</v>
      </c>
      <c r="D97" s="83" t="s">
        <v>123</v>
      </c>
      <c r="E97" s="83" t="s">
        <v>328</v>
      </c>
      <c r="F97" s="83" t="s">
        <v>329</v>
      </c>
      <c r="G97" s="126">
        <v>15.033329999999999</v>
      </c>
      <c r="H97" s="83" t="s">
        <v>125</v>
      </c>
      <c r="I97" s="83" t="s">
        <v>97</v>
      </c>
      <c r="J97" s="126">
        <v>22.55</v>
      </c>
      <c r="K97" s="83" t="s">
        <v>8</v>
      </c>
      <c r="L97" s="83" t="s">
        <v>104</v>
      </c>
      <c r="M97" s="83" t="s">
        <v>96</v>
      </c>
    </row>
    <row r="98" spans="1:13">
      <c r="A98" s="83">
        <v>97</v>
      </c>
      <c r="B98" s="83" t="s">
        <v>170</v>
      </c>
      <c r="C98" s="83" t="s">
        <v>74</v>
      </c>
      <c r="D98" s="83" t="s">
        <v>123</v>
      </c>
      <c r="E98" s="83" t="s">
        <v>330</v>
      </c>
      <c r="F98" s="83" t="s">
        <v>331</v>
      </c>
      <c r="G98" s="126">
        <v>14.85</v>
      </c>
      <c r="H98" s="83" t="s">
        <v>125</v>
      </c>
      <c r="I98" s="83" t="s">
        <v>97</v>
      </c>
      <c r="J98" s="126">
        <v>22.28</v>
      </c>
      <c r="K98" s="83" t="s">
        <v>8</v>
      </c>
      <c r="L98" s="83" t="s">
        <v>104</v>
      </c>
      <c r="M98" s="83" t="s">
        <v>96</v>
      </c>
    </row>
    <row r="99" spans="1:13">
      <c r="A99" s="83">
        <v>98</v>
      </c>
      <c r="B99" s="83" t="s">
        <v>224</v>
      </c>
      <c r="C99" s="83" t="s">
        <v>73</v>
      </c>
      <c r="D99" s="83" t="s">
        <v>130</v>
      </c>
      <c r="E99" s="83" t="s">
        <v>225</v>
      </c>
      <c r="F99" s="83" t="s">
        <v>226</v>
      </c>
      <c r="G99" s="126">
        <v>14.81667</v>
      </c>
      <c r="H99" s="83" t="s">
        <v>125</v>
      </c>
      <c r="I99" s="83" t="s">
        <v>94</v>
      </c>
      <c r="J99" s="126">
        <v>29.63</v>
      </c>
      <c r="K99" s="83" t="s">
        <v>5</v>
      </c>
      <c r="L99" s="83" t="s">
        <v>33</v>
      </c>
      <c r="M99" s="83" t="s">
        <v>99</v>
      </c>
    </row>
    <row r="100" spans="1:13">
      <c r="A100" s="83">
        <v>99</v>
      </c>
      <c r="B100" s="83" t="s">
        <v>227</v>
      </c>
      <c r="C100" s="83" t="s">
        <v>74</v>
      </c>
      <c r="D100" s="83" t="s">
        <v>130</v>
      </c>
      <c r="E100" s="83" t="s">
        <v>228</v>
      </c>
      <c r="F100" s="83" t="s">
        <v>229</v>
      </c>
      <c r="G100" s="126">
        <v>13.2</v>
      </c>
      <c r="H100" s="83" t="s">
        <v>128</v>
      </c>
      <c r="I100" s="83" t="s">
        <v>94</v>
      </c>
      <c r="J100" s="126">
        <v>26.4</v>
      </c>
      <c r="K100" s="83" t="s">
        <v>8</v>
      </c>
      <c r="L100" s="83" t="s">
        <v>49</v>
      </c>
      <c r="M100" s="83" t="s">
        <v>133</v>
      </c>
    </row>
    <row r="101" spans="1:13">
      <c r="A101" s="83">
        <v>100</v>
      </c>
      <c r="B101" s="83" t="s">
        <v>308</v>
      </c>
      <c r="C101" s="83" t="s">
        <v>74</v>
      </c>
      <c r="D101" s="83" t="s">
        <v>123</v>
      </c>
      <c r="E101" s="83" t="s">
        <v>309</v>
      </c>
      <c r="F101" s="83" t="s">
        <v>310</v>
      </c>
      <c r="G101" s="126">
        <v>12.56667</v>
      </c>
      <c r="H101" s="83" t="s">
        <v>125</v>
      </c>
      <c r="I101" s="83" t="s">
        <v>95</v>
      </c>
      <c r="J101" s="126">
        <v>30.16</v>
      </c>
      <c r="K101" s="83" t="s">
        <v>9</v>
      </c>
      <c r="L101" s="83" t="s">
        <v>75</v>
      </c>
      <c r="M101" s="83" t="s">
        <v>133</v>
      </c>
    </row>
    <row r="102" spans="1:13">
      <c r="A102" s="83">
        <v>101</v>
      </c>
      <c r="B102" s="83" t="s">
        <v>311</v>
      </c>
      <c r="C102" s="83" t="s">
        <v>74</v>
      </c>
      <c r="D102" s="83" t="s">
        <v>123</v>
      </c>
      <c r="E102" s="83" t="s">
        <v>309</v>
      </c>
      <c r="F102" s="83" t="s">
        <v>312</v>
      </c>
      <c r="G102" s="126">
        <v>12.43333</v>
      </c>
      <c r="H102" s="83" t="s">
        <v>125</v>
      </c>
      <c r="I102" s="83" t="s">
        <v>95</v>
      </c>
      <c r="J102" s="126">
        <v>29.84</v>
      </c>
      <c r="K102" s="83" t="s">
        <v>9</v>
      </c>
      <c r="L102" s="83" t="s">
        <v>54</v>
      </c>
      <c r="M102" s="83" t="s">
        <v>133</v>
      </c>
    </row>
    <row r="103" spans="1:13">
      <c r="A103" s="83">
        <v>102</v>
      </c>
      <c r="B103" s="83" t="s">
        <v>224</v>
      </c>
      <c r="C103" s="83" t="s">
        <v>73</v>
      </c>
      <c r="D103" s="83" t="s">
        <v>130</v>
      </c>
      <c r="E103" s="83" t="s">
        <v>313</v>
      </c>
      <c r="F103" s="83" t="s">
        <v>314</v>
      </c>
      <c r="G103" s="126">
        <v>12.4</v>
      </c>
      <c r="H103" s="83" t="s">
        <v>125</v>
      </c>
      <c r="I103" s="83" t="s">
        <v>95</v>
      </c>
      <c r="J103" s="126">
        <v>29.76</v>
      </c>
      <c r="K103" s="83" t="s">
        <v>5</v>
      </c>
      <c r="L103" s="83" t="s">
        <v>33</v>
      </c>
      <c r="M103" s="83" t="s">
        <v>99</v>
      </c>
    </row>
    <row r="104" spans="1:13">
      <c r="A104" s="83">
        <v>103</v>
      </c>
      <c r="B104" s="83" t="s">
        <v>315</v>
      </c>
      <c r="C104" s="83" t="s">
        <v>74</v>
      </c>
      <c r="D104" s="83" t="s">
        <v>123</v>
      </c>
      <c r="E104" s="83" t="s">
        <v>309</v>
      </c>
      <c r="F104" s="83" t="s">
        <v>316</v>
      </c>
      <c r="G104" s="126">
        <v>12.366669999999999</v>
      </c>
      <c r="H104" s="83" t="s">
        <v>125</v>
      </c>
      <c r="I104" s="83" t="s">
        <v>95</v>
      </c>
      <c r="J104" s="126">
        <v>29.68</v>
      </c>
      <c r="K104" s="83" t="s">
        <v>9</v>
      </c>
      <c r="L104" s="83" t="s">
        <v>75</v>
      </c>
      <c r="M104" s="83" t="s">
        <v>133</v>
      </c>
    </row>
    <row r="105" spans="1:13">
      <c r="A105" s="83">
        <v>104</v>
      </c>
      <c r="B105" s="83" t="s">
        <v>317</v>
      </c>
      <c r="C105" s="83" t="s">
        <v>74</v>
      </c>
      <c r="D105" s="83" t="s">
        <v>123</v>
      </c>
      <c r="E105" s="83" t="s">
        <v>309</v>
      </c>
      <c r="F105" s="83" t="s">
        <v>318</v>
      </c>
      <c r="G105" s="126">
        <v>12.35</v>
      </c>
      <c r="H105" s="83" t="s">
        <v>125</v>
      </c>
      <c r="I105" s="83" t="s">
        <v>95</v>
      </c>
      <c r="J105" s="126">
        <v>29.64</v>
      </c>
      <c r="K105" s="83" t="s">
        <v>9</v>
      </c>
      <c r="L105" s="83" t="s">
        <v>54</v>
      </c>
      <c r="M105" s="83" t="s">
        <v>133</v>
      </c>
    </row>
    <row r="106" spans="1:13">
      <c r="A106" s="83">
        <v>105</v>
      </c>
      <c r="B106" s="83" t="s">
        <v>230</v>
      </c>
      <c r="C106" s="83" t="s">
        <v>73</v>
      </c>
      <c r="D106" s="83" t="s">
        <v>129</v>
      </c>
      <c r="E106" s="83" t="s">
        <v>231</v>
      </c>
      <c r="F106" s="83" t="s">
        <v>232</v>
      </c>
      <c r="G106" s="126">
        <v>11.41667</v>
      </c>
      <c r="H106" s="83" t="s">
        <v>125</v>
      </c>
      <c r="I106" s="83" t="s">
        <v>94</v>
      </c>
      <c r="J106" s="126">
        <v>11.65</v>
      </c>
      <c r="K106" s="83" t="s">
        <v>132</v>
      </c>
      <c r="L106" s="83" t="s">
        <v>36</v>
      </c>
      <c r="M106" s="83" t="s">
        <v>132</v>
      </c>
    </row>
    <row r="107" spans="1:13">
      <c r="A107" s="83">
        <v>106</v>
      </c>
      <c r="B107" s="83" t="s">
        <v>230</v>
      </c>
      <c r="C107" s="83" t="s">
        <v>73</v>
      </c>
      <c r="D107" s="83" t="s">
        <v>129</v>
      </c>
      <c r="E107" s="83" t="s">
        <v>319</v>
      </c>
      <c r="F107" s="83" t="s">
        <v>320</v>
      </c>
      <c r="G107" s="126">
        <v>11.216670000000001</v>
      </c>
      <c r="H107" s="83" t="s">
        <v>125</v>
      </c>
      <c r="I107" s="83" t="s">
        <v>95</v>
      </c>
      <c r="J107" s="126">
        <v>15.8</v>
      </c>
      <c r="K107" s="83" t="s">
        <v>132</v>
      </c>
      <c r="L107" s="83" t="s">
        <v>36</v>
      </c>
      <c r="M107" s="83" t="s">
        <v>132</v>
      </c>
    </row>
    <row r="108" spans="1:13">
      <c r="A108" s="83">
        <v>107</v>
      </c>
      <c r="B108" s="83" t="s">
        <v>233</v>
      </c>
      <c r="C108" s="83" t="s">
        <v>74</v>
      </c>
      <c r="D108" s="83" t="s">
        <v>123</v>
      </c>
      <c r="E108" s="83" t="s">
        <v>234</v>
      </c>
      <c r="F108" s="83" t="s">
        <v>235</v>
      </c>
      <c r="G108" s="126">
        <v>11.133330000000001</v>
      </c>
      <c r="H108" s="83" t="s">
        <v>125</v>
      </c>
      <c r="I108" s="83" t="s">
        <v>94</v>
      </c>
      <c r="J108" s="126">
        <v>22.27</v>
      </c>
      <c r="K108" s="83" t="s">
        <v>9</v>
      </c>
      <c r="L108" s="83" t="s">
        <v>54</v>
      </c>
      <c r="M108" s="83" t="s">
        <v>133</v>
      </c>
    </row>
    <row r="109" spans="1:13">
      <c r="A109" s="83">
        <v>108</v>
      </c>
      <c r="B109" s="83" t="s">
        <v>236</v>
      </c>
      <c r="C109" s="83" t="s">
        <v>74</v>
      </c>
      <c r="D109" s="83" t="s">
        <v>123</v>
      </c>
      <c r="E109" s="83" t="s">
        <v>237</v>
      </c>
      <c r="F109" s="83" t="s">
        <v>238</v>
      </c>
      <c r="G109" s="126">
        <v>11.01667</v>
      </c>
      <c r="H109" s="83" t="s">
        <v>125</v>
      </c>
      <c r="I109" s="83" t="s">
        <v>94</v>
      </c>
      <c r="J109" s="126">
        <v>22.03</v>
      </c>
      <c r="K109" s="83" t="s">
        <v>9</v>
      </c>
      <c r="L109" s="83" t="s">
        <v>75</v>
      </c>
      <c r="M109" s="83" t="s">
        <v>133</v>
      </c>
    </row>
    <row r="110" spans="1:13">
      <c r="A110" s="83">
        <v>109</v>
      </c>
      <c r="B110" s="83" t="s">
        <v>239</v>
      </c>
      <c r="C110" s="83" t="s">
        <v>74</v>
      </c>
      <c r="D110" s="83" t="s">
        <v>123</v>
      </c>
      <c r="E110" s="83" t="s">
        <v>240</v>
      </c>
      <c r="F110" s="83" t="s">
        <v>241</v>
      </c>
      <c r="G110" s="126">
        <v>10.15</v>
      </c>
      <c r="H110" s="83" t="s">
        <v>125</v>
      </c>
      <c r="I110" s="83" t="s">
        <v>94</v>
      </c>
      <c r="J110" s="126">
        <v>20.3</v>
      </c>
      <c r="K110" s="83" t="s">
        <v>9</v>
      </c>
      <c r="L110" s="83" t="s">
        <v>54</v>
      </c>
      <c r="M110" s="83" t="s">
        <v>133</v>
      </c>
    </row>
    <row r="111" spans="1:13">
      <c r="A111" s="83">
        <v>110</v>
      </c>
      <c r="B111" s="83" t="s">
        <v>242</v>
      </c>
      <c r="C111" s="83" t="s">
        <v>74</v>
      </c>
      <c r="D111" s="83" t="s">
        <v>123</v>
      </c>
      <c r="E111" s="83" t="s">
        <v>243</v>
      </c>
      <c r="F111" s="83" t="s">
        <v>244</v>
      </c>
      <c r="G111" s="126">
        <v>9.85</v>
      </c>
      <c r="H111" s="83" t="s">
        <v>125</v>
      </c>
      <c r="I111" s="83" t="s">
        <v>94</v>
      </c>
      <c r="J111" s="126">
        <v>19.7</v>
      </c>
      <c r="K111" s="83" t="s">
        <v>9</v>
      </c>
      <c r="L111" s="83" t="s">
        <v>75</v>
      </c>
      <c r="M111" s="83" t="s">
        <v>133</v>
      </c>
    </row>
    <row r="112" spans="1:13">
      <c r="A112" s="83">
        <v>111</v>
      </c>
      <c r="B112" s="83" t="s">
        <v>245</v>
      </c>
      <c r="C112" s="83" t="s">
        <v>73</v>
      </c>
      <c r="D112" s="83" t="s">
        <v>123</v>
      </c>
      <c r="E112" s="83" t="s">
        <v>246</v>
      </c>
      <c r="F112" s="83" t="s">
        <v>247</v>
      </c>
      <c r="G112" s="126">
        <v>7.1166700000000001</v>
      </c>
      <c r="H112" s="83" t="s">
        <v>126</v>
      </c>
      <c r="I112" s="83" t="s">
        <v>94</v>
      </c>
      <c r="J112" s="126">
        <v>14.23</v>
      </c>
      <c r="K112" s="83" t="s">
        <v>8</v>
      </c>
      <c r="L112" s="83" t="s">
        <v>51</v>
      </c>
      <c r="M112" s="83" t="s">
        <v>96</v>
      </c>
    </row>
    <row r="113" spans="1:13">
      <c r="A113" s="83">
        <v>112</v>
      </c>
      <c r="B113" s="83" t="s">
        <v>127</v>
      </c>
      <c r="C113" s="83" t="s">
        <v>74</v>
      </c>
      <c r="D113" s="83" t="s">
        <v>123</v>
      </c>
      <c r="E113" s="83" t="s">
        <v>248</v>
      </c>
      <c r="F113" s="83" t="s">
        <v>249</v>
      </c>
      <c r="G113" s="126">
        <v>6.5</v>
      </c>
      <c r="H113" s="83" t="s">
        <v>126</v>
      </c>
      <c r="I113" s="83" t="s">
        <v>94</v>
      </c>
      <c r="J113" s="126">
        <v>6.5</v>
      </c>
      <c r="K113" s="83" t="s">
        <v>8</v>
      </c>
      <c r="L113" s="83" t="s">
        <v>104</v>
      </c>
      <c r="M113" s="83" t="s">
        <v>96</v>
      </c>
    </row>
    <row r="114" spans="1:13">
      <c r="A114" s="83">
        <v>113</v>
      </c>
      <c r="B114" s="83" t="s">
        <v>127</v>
      </c>
      <c r="C114" s="83" t="s">
        <v>74</v>
      </c>
      <c r="D114" s="83" t="s">
        <v>123</v>
      </c>
      <c r="E114" s="83" t="s">
        <v>250</v>
      </c>
      <c r="F114" s="83" t="s">
        <v>251</v>
      </c>
      <c r="G114" s="126">
        <v>6.4333299999999998</v>
      </c>
      <c r="H114" s="83" t="s">
        <v>125</v>
      </c>
      <c r="I114" s="83" t="s">
        <v>94</v>
      </c>
      <c r="J114" s="126">
        <v>6.43</v>
      </c>
      <c r="K114" s="83" t="s">
        <v>8</v>
      </c>
      <c r="L114" s="83" t="s">
        <v>104</v>
      </c>
      <c r="M114" s="83" t="s">
        <v>96</v>
      </c>
    </row>
    <row r="115" spans="1:13">
      <c r="A115" s="83">
        <v>114</v>
      </c>
      <c r="B115" s="83" t="s">
        <v>127</v>
      </c>
      <c r="C115" s="83" t="s">
        <v>74</v>
      </c>
      <c r="D115" s="83" t="s">
        <v>123</v>
      </c>
      <c r="E115" s="83" t="s">
        <v>252</v>
      </c>
      <c r="F115" s="83" t="s">
        <v>253</v>
      </c>
      <c r="G115" s="126">
        <v>6.4166699999999999</v>
      </c>
      <c r="H115" s="83" t="s">
        <v>125</v>
      </c>
      <c r="I115" s="83" t="s">
        <v>94</v>
      </c>
      <c r="J115" s="126">
        <v>6.42</v>
      </c>
      <c r="K115" s="83" t="s">
        <v>8</v>
      </c>
      <c r="L115" s="83" t="s">
        <v>104</v>
      </c>
      <c r="M115" s="83" t="s">
        <v>96</v>
      </c>
    </row>
    <row r="116" spans="1:13">
      <c r="A116" s="83">
        <v>115</v>
      </c>
      <c r="B116" s="83" t="s">
        <v>321</v>
      </c>
      <c r="C116" s="83" t="s">
        <v>322</v>
      </c>
      <c r="D116" s="83" t="s">
        <v>130</v>
      </c>
      <c r="E116" s="83" t="s">
        <v>323</v>
      </c>
      <c r="F116" s="83" t="s">
        <v>324</v>
      </c>
      <c r="G116" s="126">
        <v>6.3666700000000001</v>
      </c>
      <c r="H116" s="83" t="s">
        <v>124</v>
      </c>
      <c r="I116" s="83" t="s">
        <v>95</v>
      </c>
      <c r="J116" s="126">
        <v>7.64</v>
      </c>
      <c r="K116" s="83" t="s">
        <v>14</v>
      </c>
      <c r="L116" s="83" t="s">
        <v>46</v>
      </c>
      <c r="M116" s="83" t="s">
        <v>134</v>
      </c>
    </row>
    <row r="117" spans="1:13">
      <c r="A117" s="83">
        <v>116</v>
      </c>
      <c r="B117" s="83" t="s">
        <v>127</v>
      </c>
      <c r="C117" s="83" t="s">
        <v>74</v>
      </c>
      <c r="D117" s="83" t="s">
        <v>123</v>
      </c>
      <c r="E117" s="83" t="s">
        <v>254</v>
      </c>
      <c r="F117" s="83" t="s">
        <v>255</v>
      </c>
      <c r="G117" s="126">
        <v>6.2833300000000003</v>
      </c>
      <c r="H117" s="83" t="s">
        <v>125</v>
      </c>
      <c r="I117" s="83" t="s">
        <v>94</v>
      </c>
      <c r="J117" s="126">
        <v>12.57</v>
      </c>
      <c r="K117" s="83" t="s">
        <v>8</v>
      </c>
      <c r="L117" s="83" t="s">
        <v>104</v>
      </c>
      <c r="M117" s="83" t="s">
        <v>96</v>
      </c>
    </row>
    <row r="118" spans="1:13">
      <c r="A118" s="83">
        <v>117</v>
      </c>
      <c r="B118" s="83" t="s">
        <v>245</v>
      </c>
      <c r="C118" s="83" t="s">
        <v>73</v>
      </c>
      <c r="D118" s="83" t="s">
        <v>123</v>
      </c>
      <c r="E118" s="83" t="s">
        <v>256</v>
      </c>
      <c r="F118" s="83" t="s">
        <v>257</v>
      </c>
      <c r="G118" s="126">
        <v>6.2833300000000003</v>
      </c>
      <c r="H118" s="83" t="s">
        <v>126</v>
      </c>
      <c r="I118" s="83" t="s">
        <v>94</v>
      </c>
      <c r="J118" s="126">
        <v>12.57</v>
      </c>
      <c r="K118" s="83" t="s">
        <v>8</v>
      </c>
      <c r="L118" s="83" t="s">
        <v>51</v>
      </c>
      <c r="M118" s="83" t="s">
        <v>96</v>
      </c>
    </row>
    <row r="119" spans="1:13">
      <c r="A119" s="83">
        <v>118</v>
      </c>
      <c r="B119" s="83" t="s">
        <v>325</v>
      </c>
      <c r="C119" s="83" t="s">
        <v>74</v>
      </c>
      <c r="D119" s="83" t="s">
        <v>123</v>
      </c>
      <c r="E119" s="83" t="s">
        <v>326</v>
      </c>
      <c r="F119" s="83" t="s">
        <v>327</v>
      </c>
      <c r="G119" s="126">
        <v>6.2333299999999996</v>
      </c>
      <c r="H119" s="83" t="s">
        <v>126</v>
      </c>
      <c r="I119" s="83" t="s">
        <v>95</v>
      </c>
      <c r="J119" s="126">
        <v>14.96</v>
      </c>
      <c r="K119" s="83" t="s">
        <v>14</v>
      </c>
      <c r="L119" s="83" t="s">
        <v>44</v>
      </c>
      <c r="M119" s="83" t="s">
        <v>14</v>
      </c>
    </row>
    <row r="120" spans="1:13">
      <c r="A120" s="83">
        <v>119</v>
      </c>
      <c r="B120" s="83" t="s">
        <v>224</v>
      </c>
      <c r="C120" s="83" t="s">
        <v>73</v>
      </c>
      <c r="D120" s="83" t="s">
        <v>130</v>
      </c>
      <c r="E120" s="83" t="s">
        <v>258</v>
      </c>
      <c r="F120" s="83" t="s">
        <v>259</v>
      </c>
      <c r="G120" s="126">
        <v>6.1833299999999998</v>
      </c>
      <c r="H120" s="83" t="s">
        <v>125</v>
      </c>
      <c r="I120" s="83" t="s">
        <v>94</v>
      </c>
      <c r="J120" s="126">
        <v>12.37</v>
      </c>
      <c r="K120" s="83" t="s">
        <v>5</v>
      </c>
      <c r="L120" s="83" t="s">
        <v>33</v>
      </c>
      <c r="M120" s="83" t="s">
        <v>99</v>
      </c>
    </row>
    <row r="121" spans="1:13">
      <c r="A121" s="83">
        <v>120</v>
      </c>
      <c r="B121" s="83" t="s">
        <v>260</v>
      </c>
      <c r="C121" s="83" t="s">
        <v>74</v>
      </c>
      <c r="D121" s="83" t="s">
        <v>123</v>
      </c>
      <c r="E121" s="83" t="s">
        <v>261</v>
      </c>
      <c r="F121" s="83" t="s">
        <v>262</v>
      </c>
      <c r="G121" s="126">
        <v>5.0166700000000004</v>
      </c>
      <c r="H121" s="83" t="s">
        <v>125</v>
      </c>
      <c r="I121" s="83" t="s">
        <v>94</v>
      </c>
      <c r="J121" s="126">
        <v>10.029999999999999</v>
      </c>
      <c r="K121" s="83" t="s">
        <v>8</v>
      </c>
      <c r="L121" s="83" t="s">
        <v>53</v>
      </c>
      <c r="M121" s="83" t="s">
        <v>96</v>
      </c>
    </row>
    <row r="122" spans="1:13">
      <c r="A122" s="83">
        <v>121</v>
      </c>
      <c r="B122" s="83" t="s">
        <v>127</v>
      </c>
      <c r="C122" s="83" t="s">
        <v>74</v>
      </c>
      <c r="D122" s="83" t="s">
        <v>123</v>
      </c>
      <c r="E122" s="83" t="s">
        <v>471</v>
      </c>
      <c r="F122" s="83" t="s">
        <v>472</v>
      </c>
      <c r="G122" s="126">
        <v>6.1666699999999999</v>
      </c>
      <c r="H122" s="83" t="s">
        <v>128</v>
      </c>
      <c r="I122" s="83" t="s">
        <v>94</v>
      </c>
      <c r="J122" s="126">
        <v>12.33</v>
      </c>
      <c r="K122" s="83" t="s">
        <v>8</v>
      </c>
      <c r="L122" s="83" t="s">
        <v>104</v>
      </c>
      <c r="M122" s="83" t="s">
        <v>96</v>
      </c>
    </row>
    <row r="123" spans="1:13">
      <c r="A123" s="83">
        <v>122</v>
      </c>
      <c r="B123" s="83" t="s">
        <v>473</v>
      </c>
      <c r="C123" s="83" t="s">
        <v>73</v>
      </c>
      <c r="D123" s="83" t="s">
        <v>130</v>
      </c>
      <c r="E123" s="83" t="s">
        <v>474</v>
      </c>
      <c r="F123" s="83" t="s">
        <v>475</v>
      </c>
      <c r="G123" s="126">
        <v>68.400000000000006</v>
      </c>
      <c r="H123" s="83" t="s">
        <v>124</v>
      </c>
      <c r="I123" s="83" t="s">
        <v>94</v>
      </c>
      <c r="J123" s="126">
        <v>136.80000000000001</v>
      </c>
      <c r="K123" s="83" t="s">
        <v>5</v>
      </c>
      <c r="L123" s="83" t="s">
        <v>30</v>
      </c>
      <c r="M123" s="83" t="s">
        <v>5</v>
      </c>
    </row>
    <row r="124" spans="1:13">
      <c r="A124" s="83">
        <v>123</v>
      </c>
      <c r="B124" s="83" t="s">
        <v>476</v>
      </c>
      <c r="C124" s="83" t="s">
        <v>74</v>
      </c>
      <c r="D124" s="83" t="s">
        <v>123</v>
      </c>
      <c r="E124" s="83" t="s">
        <v>477</v>
      </c>
      <c r="F124" s="83" t="s">
        <v>478</v>
      </c>
      <c r="G124" s="126">
        <v>102.18333</v>
      </c>
      <c r="H124" s="83" t="s">
        <v>124</v>
      </c>
      <c r="I124" s="83" t="s">
        <v>94</v>
      </c>
      <c r="J124" s="126">
        <v>204.37</v>
      </c>
      <c r="K124" s="83" t="s">
        <v>4</v>
      </c>
      <c r="L124" s="83" t="s">
        <v>19</v>
      </c>
      <c r="M124" s="83" t="s">
        <v>149</v>
      </c>
    </row>
    <row r="125" spans="1:13">
      <c r="A125" s="83">
        <v>124</v>
      </c>
      <c r="B125" s="83" t="s">
        <v>479</v>
      </c>
      <c r="C125" s="83" t="s">
        <v>74</v>
      </c>
      <c r="D125" s="83" t="s">
        <v>130</v>
      </c>
      <c r="E125" s="83" t="s">
        <v>480</v>
      </c>
      <c r="F125" s="83" t="s">
        <v>481</v>
      </c>
      <c r="G125" s="126">
        <v>12.95</v>
      </c>
      <c r="H125" s="83" t="s">
        <v>125</v>
      </c>
      <c r="I125" s="83" t="s">
        <v>94</v>
      </c>
      <c r="J125" s="126">
        <v>25.9</v>
      </c>
      <c r="K125" s="83" t="s">
        <v>13</v>
      </c>
      <c r="L125" s="83" t="s">
        <v>39</v>
      </c>
      <c r="M125" s="83" t="s">
        <v>13</v>
      </c>
    </row>
    <row r="126" spans="1:13">
      <c r="A126" s="83">
        <v>125</v>
      </c>
      <c r="B126" s="83" t="s">
        <v>476</v>
      </c>
      <c r="C126" s="83" t="s">
        <v>74</v>
      </c>
      <c r="D126" s="83" t="s">
        <v>123</v>
      </c>
      <c r="E126" s="83" t="s">
        <v>482</v>
      </c>
      <c r="F126" s="83" t="s">
        <v>483</v>
      </c>
      <c r="G126" s="126">
        <v>9.75</v>
      </c>
      <c r="H126" s="83" t="s">
        <v>124</v>
      </c>
      <c r="I126" s="83" t="s">
        <v>94</v>
      </c>
      <c r="J126" s="126">
        <v>19.5</v>
      </c>
      <c r="K126" s="83" t="s">
        <v>4</v>
      </c>
      <c r="L126" s="83" t="s">
        <v>19</v>
      </c>
      <c r="M126" s="83" t="s">
        <v>149</v>
      </c>
    </row>
    <row r="127" spans="1:13">
      <c r="A127" s="83">
        <v>126</v>
      </c>
      <c r="B127" s="83" t="s">
        <v>484</v>
      </c>
      <c r="C127" s="83" t="s">
        <v>73</v>
      </c>
      <c r="D127" s="83" t="s">
        <v>123</v>
      </c>
      <c r="E127" s="83" t="s">
        <v>485</v>
      </c>
      <c r="F127" s="83" t="s">
        <v>486</v>
      </c>
      <c r="G127" s="126">
        <v>8.8166700000000002</v>
      </c>
      <c r="H127" s="83" t="s">
        <v>125</v>
      </c>
      <c r="I127" s="83" t="s">
        <v>94</v>
      </c>
      <c r="J127" s="126">
        <v>17.63</v>
      </c>
      <c r="K127" s="83" t="s">
        <v>5</v>
      </c>
      <c r="L127" s="83" t="s">
        <v>34</v>
      </c>
      <c r="M127" s="83" t="s">
        <v>5</v>
      </c>
    </row>
    <row r="128" spans="1:13">
      <c r="A128" s="83">
        <v>127</v>
      </c>
      <c r="B128" s="83" t="s">
        <v>473</v>
      </c>
      <c r="C128" s="83" t="s">
        <v>73</v>
      </c>
      <c r="D128" s="83" t="s">
        <v>130</v>
      </c>
      <c r="E128" s="83" t="s">
        <v>487</v>
      </c>
      <c r="F128" s="83" t="s">
        <v>488</v>
      </c>
      <c r="G128" s="126">
        <v>14.116669999999999</v>
      </c>
      <c r="H128" s="83" t="s">
        <v>124</v>
      </c>
      <c r="I128" s="83" t="s">
        <v>94</v>
      </c>
      <c r="J128" s="126">
        <v>28.23</v>
      </c>
      <c r="K128" s="83" t="s">
        <v>5</v>
      </c>
      <c r="L128" s="83" t="s">
        <v>30</v>
      </c>
      <c r="M128" s="83" t="s">
        <v>5</v>
      </c>
    </row>
    <row r="129" spans="1:13">
      <c r="A129" s="83">
        <v>128</v>
      </c>
      <c r="B129" s="83" t="s">
        <v>168</v>
      </c>
      <c r="C129" s="83" t="s">
        <v>74</v>
      </c>
      <c r="D129" s="83" t="s">
        <v>123</v>
      </c>
      <c r="E129" s="83" t="s">
        <v>489</v>
      </c>
      <c r="F129" s="83" t="s">
        <v>490</v>
      </c>
      <c r="G129" s="126">
        <v>69.2</v>
      </c>
      <c r="H129" s="83" t="s">
        <v>124</v>
      </c>
      <c r="I129" s="83" t="s">
        <v>94</v>
      </c>
      <c r="J129" s="126">
        <v>138.4</v>
      </c>
      <c r="K129" s="83" t="s">
        <v>14</v>
      </c>
      <c r="L129" s="83" t="s">
        <v>44</v>
      </c>
      <c r="M129" s="83" t="s">
        <v>14</v>
      </c>
    </row>
    <row r="130" spans="1:13">
      <c r="A130" s="83">
        <v>129</v>
      </c>
      <c r="B130" s="83" t="s">
        <v>399</v>
      </c>
      <c r="C130" s="83" t="s">
        <v>74</v>
      </c>
      <c r="D130" s="83" t="s">
        <v>130</v>
      </c>
      <c r="E130" s="83" t="s">
        <v>491</v>
      </c>
      <c r="F130" s="83" t="s">
        <v>492</v>
      </c>
      <c r="G130" s="126">
        <v>5.0333300000000003</v>
      </c>
      <c r="H130" s="83" t="s">
        <v>125</v>
      </c>
      <c r="I130" s="83" t="s">
        <v>94</v>
      </c>
      <c r="J130" s="126">
        <v>10.07</v>
      </c>
      <c r="K130" s="83" t="s">
        <v>8</v>
      </c>
      <c r="L130" s="83" t="s">
        <v>49</v>
      </c>
      <c r="M130" s="83" t="s">
        <v>8</v>
      </c>
    </row>
    <row r="131" spans="1:13">
      <c r="A131" s="83">
        <v>130</v>
      </c>
      <c r="B131" s="83" t="s">
        <v>493</v>
      </c>
      <c r="C131" s="83" t="s">
        <v>74</v>
      </c>
      <c r="D131" s="83" t="s">
        <v>129</v>
      </c>
      <c r="E131" s="83" t="s">
        <v>494</v>
      </c>
      <c r="F131" s="83" t="s">
        <v>495</v>
      </c>
      <c r="G131" s="126">
        <v>27.65</v>
      </c>
      <c r="H131" s="83" t="s">
        <v>125</v>
      </c>
      <c r="I131" s="83" t="s">
        <v>94</v>
      </c>
      <c r="J131" s="126">
        <v>27.65</v>
      </c>
      <c r="K131" s="83" t="s">
        <v>14</v>
      </c>
      <c r="L131" s="83" t="s">
        <v>45</v>
      </c>
      <c r="M131" s="83" t="s">
        <v>14</v>
      </c>
    </row>
    <row r="132" spans="1:13">
      <c r="A132" s="83">
        <v>131</v>
      </c>
      <c r="B132" s="83" t="s">
        <v>496</v>
      </c>
      <c r="C132" s="83" t="s">
        <v>73</v>
      </c>
      <c r="D132" s="83" t="s">
        <v>123</v>
      </c>
      <c r="E132" s="83" t="s">
        <v>497</v>
      </c>
      <c r="F132" s="83" t="s">
        <v>498</v>
      </c>
      <c r="G132" s="126">
        <v>29.65</v>
      </c>
      <c r="H132" s="83" t="s">
        <v>125</v>
      </c>
      <c r="I132" s="83" t="s">
        <v>94</v>
      </c>
      <c r="J132" s="126">
        <v>59.3</v>
      </c>
      <c r="K132" s="83" t="s">
        <v>132</v>
      </c>
      <c r="L132" s="83" t="s">
        <v>36</v>
      </c>
      <c r="M132" s="83" t="s">
        <v>132</v>
      </c>
    </row>
    <row r="133" spans="1:13">
      <c r="A133" s="83">
        <v>132</v>
      </c>
      <c r="B133" s="83" t="s">
        <v>499</v>
      </c>
      <c r="C133" s="83" t="s">
        <v>74</v>
      </c>
      <c r="D133" s="83" t="s">
        <v>123</v>
      </c>
      <c r="E133" s="83" t="s">
        <v>500</v>
      </c>
      <c r="F133" s="83" t="s">
        <v>501</v>
      </c>
      <c r="G133" s="126">
        <v>5.9</v>
      </c>
      <c r="H133" s="83" t="s">
        <v>126</v>
      </c>
      <c r="I133" s="83" t="s">
        <v>94</v>
      </c>
      <c r="J133" s="126">
        <v>11.8</v>
      </c>
      <c r="K133" s="83" t="s">
        <v>14</v>
      </c>
      <c r="L133" s="83" t="s">
        <v>102</v>
      </c>
      <c r="M133" s="83" t="s">
        <v>135</v>
      </c>
    </row>
    <row r="134" spans="1:13">
      <c r="A134" s="83">
        <v>133</v>
      </c>
      <c r="B134" s="83" t="s">
        <v>502</v>
      </c>
      <c r="C134" s="83" t="s">
        <v>73</v>
      </c>
      <c r="D134" s="83" t="s">
        <v>129</v>
      </c>
      <c r="E134" s="83" t="s">
        <v>503</v>
      </c>
      <c r="F134" s="83" t="s">
        <v>504</v>
      </c>
      <c r="G134" s="126">
        <v>22.183330000000002</v>
      </c>
      <c r="H134" s="83" t="s">
        <v>125</v>
      </c>
      <c r="I134" s="83" t="s">
        <v>94</v>
      </c>
      <c r="J134" s="126">
        <v>44.37</v>
      </c>
      <c r="K134" s="83" t="s">
        <v>4</v>
      </c>
      <c r="L134" s="83" t="s">
        <v>23</v>
      </c>
      <c r="M134" s="83" t="s">
        <v>120</v>
      </c>
    </row>
    <row r="135" spans="1:13">
      <c r="A135" s="83">
        <v>134</v>
      </c>
      <c r="B135" s="83" t="s">
        <v>505</v>
      </c>
      <c r="C135" s="83" t="s">
        <v>73</v>
      </c>
      <c r="D135" s="83" t="s">
        <v>129</v>
      </c>
      <c r="E135" s="83" t="s">
        <v>506</v>
      </c>
      <c r="F135" s="83" t="s">
        <v>507</v>
      </c>
      <c r="G135" s="126">
        <v>16.3</v>
      </c>
      <c r="H135" s="83" t="s">
        <v>125</v>
      </c>
      <c r="I135" s="83" t="s">
        <v>94</v>
      </c>
      <c r="J135" s="126">
        <v>32.6</v>
      </c>
      <c r="K135" s="83" t="s">
        <v>4</v>
      </c>
      <c r="L135" s="83" t="s">
        <v>23</v>
      </c>
      <c r="M135" s="83" t="s">
        <v>120</v>
      </c>
    </row>
    <row r="136" spans="1:13">
      <c r="A136" s="83">
        <v>135</v>
      </c>
      <c r="B136" s="83" t="s">
        <v>508</v>
      </c>
      <c r="C136" s="83" t="s">
        <v>74</v>
      </c>
      <c r="D136" s="83" t="s">
        <v>123</v>
      </c>
      <c r="E136" s="83" t="s">
        <v>509</v>
      </c>
      <c r="F136" s="83" t="s">
        <v>510</v>
      </c>
      <c r="G136" s="126">
        <v>13.366669999999999</v>
      </c>
      <c r="H136" s="83" t="s">
        <v>125</v>
      </c>
      <c r="I136" s="83" t="s">
        <v>94</v>
      </c>
      <c r="J136" s="126">
        <v>26.73</v>
      </c>
      <c r="K136" s="83" t="s">
        <v>4</v>
      </c>
      <c r="L136" s="83" t="s">
        <v>25</v>
      </c>
      <c r="M136" s="83" t="s">
        <v>120</v>
      </c>
    </row>
    <row r="137" spans="1:13">
      <c r="A137" s="83">
        <v>136</v>
      </c>
      <c r="B137" s="83" t="s">
        <v>511</v>
      </c>
      <c r="C137" s="83" t="s">
        <v>74</v>
      </c>
      <c r="D137" s="83" t="s">
        <v>123</v>
      </c>
      <c r="E137" s="83" t="s">
        <v>512</v>
      </c>
      <c r="F137" s="83" t="s">
        <v>513</v>
      </c>
      <c r="G137" s="126">
        <v>28.2</v>
      </c>
      <c r="H137" s="83" t="s">
        <v>125</v>
      </c>
      <c r="I137" s="83" t="s">
        <v>94</v>
      </c>
      <c r="J137" s="126">
        <v>56.4</v>
      </c>
      <c r="K137" s="83" t="s">
        <v>14</v>
      </c>
      <c r="L137" s="83" t="s">
        <v>43</v>
      </c>
      <c r="M137" s="83" t="s">
        <v>135</v>
      </c>
    </row>
    <row r="138" spans="1:13">
      <c r="A138" s="83">
        <v>137</v>
      </c>
      <c r="B138" s="83" t="s">
        <v>514</v>
      </c>
      <c r="C138" s="83" t="s">
        <v>73</v>
      </c>
      <c r="D138" s="83" t="s">
        <v>130</v>
      </c>
      <c r="E138" s="83" t="s">
        <v>515</v>
      </c>
      <c r="F138" s="83" t="s">
        <v>516</v>
      </c>
      <c r="G138" s="126">
        <v>31.08333</v>
      </c>
      <c r="H138" s="83" t="s">
        <v>124</v>
      </c>
      <c r="I138" s="83" t="s">
        <v>94</v>
      </c>
      <c r="J138" s="126">
        <v>62.17</v>
      </c>
      <c r="K138" s="83" t="s">
        <v>132</v>
      </c>
      <c r="L138" s="83" t="s">
        <v>37</v>
      </c>
      <c r="M138" s="83" t="s">
        <v>132</v>
      </c>
    </row>
    <row r="139" spans="1:13">
      <c r="A139" s="83">
        <v>138</v>
      </c>
      <c r="B139" s="83" t="s">
        <v>517</v>
      </c>
      <c r="C139" s="83" t="s">
        <v>74</v>
      </c>
      <c r="D139" s="83" t="s">
        <v>123</v>
      </c>
      <c r="E139" s="83" t="s">
        <v>518</v>
      </c>
      <c r="F139" s="83" t="s">
        <v>519</v>
      </c>
      <c r="G139" s="126">
        <v>133.18333000000001</v>
      </c>
      <c r="H139" s="83" t="s">
        <v>124</v>
      </c>
      <c r="I139" s="83" t="s">
        <v>94</v>
      </c>
      <c r="J139" s="126">
        <v>266.37</v>
      </c>
      <c r="K139" s="83" t="s">
        <v>9</v>
      </c>
      <c r="L139" s="83" t="s">
        <v>58</v>
      </c>
      <c r="M139" s="83" t="s">
        <v>138</v>
      </c>
    </row>
    <row r="140" spans="1:13">
      <c r="A140" s="83">
        <v>139</v>
      </c>
      <c r="B140" s="83" t="s">
        <v>520</v>
      </c>
      <c r="C140" s="83" t="s">
        <v>74</v>
      </c>
      <c r="D140" s="83" t="s">
        <v>123</v>
      </c>
      <c r="E140" s="83" t="s">
        <v>521</v>
      </c>
      <c r="F140" s="83" t="s">
        <v>522</v>
      </c>
      <c r="G140" s="126">
        <v>41.066670000000002</v>
      </c>
      <c r="H140" s="83" t="s">
        <v>125</v>
      </c>
      <c r="I140" s="83" t="s">
        <v>94</v>
      </c>
      <c r="J140" s="126">
        <v>82.13</v>
      </c>
      <c r="K140" s="83" t="s">
        <v>9</v>
      </c>
      <c r="L140" s="83" t="s">
        <v>106</v>
      </c>
      <c r="M140" s="83" t="s">
        <v>14</v>
      </c>
    </row>
    <row r="141" spans="1:13">
      <c r="A141" s="83">
        <v>140</v>
      </c>
      <c r="B141" s="83" t="s">
        <v>523</v>
      </c>
      <c r="C141" s="83" t="s">
        <v>73</v>
      </c>
      <c r="D141" s="83" t="s">
        <v>123</v>
      </c>
      <c r="E141" s="83" t="s">
        <v>524</v>
      </c>
      <c r="F141" s="83" t="s">
        <v>525</v>
      </c>
      <c r="G141" s="126">
        <v>253.18333000000001</v>
      </c>
      <c r="H141" s="83" t="s">
        <v>124</v>
      </c>
      <c r="I141" s="83" t="s">
        <v>94</v>
      </c>
      <c r="J141" s="126">
        <v>271.93</v>
      </c>
      <c r="K141" s="83" t="s">
        <v>8</v>
      </c>
      <c r="L141" s="83" t="s">
        <v>50</v>
      </c>
      <c r="M141" s="83" t="s">
        <v>8</v>
      </c>
    </row>
    <row r="142" spans="1:13">
      <c r="A142" s="83">
        <v>141</v>
      </c>
      <c r="B142" s="83" t="s">
        <v>526</v>
      </c>
      <c r="C142" s="83" t="s">
        <v>74</v>
      </c>
      <c r="D142" s="83" t="s">
        <v>123</v>
      </c>
      <c r="E142" s="83" t="s">
        <v>527</v>
      </c>
      <c r="F142" s="83" t="s">
        <v>528</v>
      </c>
      <c r="G142" s="126">
        <v>6.55</v>
      </c>
      <c r="H142" s="83" t="s">
        <v>126</v>
      </c>
      <c r="I142" s="83" t="s">
        <v>94</v>
      </c>
      <c r="J142" s="126">
        <v>13.1</v>
      </c>
      <c r="K142" s="83" t="s">
        <v>9</v>
      </c>
      <c r="L142" s="83" t="s">
        <v>749</v>
      </c>
      <c r="M142" s="83" t="s">
        <v>133</v>
      </c>
    </row>
    <row r="143" spans="1:13">
      <c r="A143" s="83">
        <v>142</v>
      </c>
      <c r="B143" s="83" t="s">
        <v>396</v>
      </c>
      <c r="C143" s="83" t="s">
        <v>73</v>
      </c>
      <c r="D143" s="83" t="s">
        <v>123</v>
      </c>
      <c r="E143" s="83" t="s">
        <v>529</v>
      </c>
      <c r="F143" s="83" t="s">
        <v>530</v>
      </c>
      <c r="G143" s="126">
        <v>5.3333300000000001</v>
      </c>
      <c r="H143" s="83" t="s">
        <v>126</v>
      </c>
      <c r="I143" s="83" t="s">
        <v>94</v>
      </c>
      <c r="J143" s="126">
        <v>10.67</v>
      </c>
      <c r="K143" s="83" t="s">
        <v>8</v>
      </c>
      <c r="L143" s="83" t="s">
        <v>50</v>
      </c>
      <c r="M143" s="83" t="s">
        <v>8</v>
      </c>
    </row>
    <row r="144" spans="1:13">
      <c r="A144" s="83">
        <v>143</v>
      </c>
      <c r="B144" s="83" t="s">
        <v>531</v>
      </c>
      <c r="C144" s="83" t="s">
        <v>74</v>
      </c>
      <c r="D144" s="83" t="s">
        <v>123</v>
      </c>
      <c r="E144" s="83" t="s">
        <v>532</v>
      </c>
      <c r="F144" s="83" t="s">
        <v>533</v>
      </c>
      <c r="G144" s="126">
        <v>6.1</v>
      </c>
      <c r="H144" s="83" t="s">
        <v>125</v>
      </c>
      <c r="I144" s="83" t="s">
        <v>95</v>
      </c>
      <c r="J144" s="126">
        <v>14.64</v>
      </c>
      <c r="K144" s="83" t="s">
        <v>8</v>
      </c>
      <c r="L144" s="83" t="s">
        <v>51</v>
      </c>
      <c r="M144" s="83" t="s">
        <v>8</v>
      </c>
    </row>
    <row r="145" spans="1:13">
      <c r="A145" s="83">
        <v>144</v>
      </c>
      <c r="B145" s="83" t="s">
        <v>473</v>
      </c>
      <c r="C145" s="83" t="s">
        <v>73</v>
      </c>
      <c r="D145" s="83" t="s">
        <v>130</v>
      </c>
      <c r="E145" s="83" t="s">
        <v>534</v>
      </c>
      <c r="F145" s="83" t="s">
        <v>535</v>
      </c>
      <c r="G145" s="126">
        <v>69.566670000000002</v>
      </c>
      <c r="H145" s="83" t="s">
        <v>124</v>
      </c>
      <c r="I145" s="83" t="s">
        <v>95</v>
      </c>
      <c r="J145" s="126">
        <v>166.96</v>
      </c>
      <c r="K145" s="83" t="s">
        <v>5</v>
      </c>
      <c r="L145" s="83" t="s">
        <v>30</v>
      </c>
      <c r="M145" s="83" t="s">
        <v>5</v>
      </c>
    </row>
    <row r="146" spans="1:13">
      <c r="A146" s="83">
        <v>145</v>
      </c>
      <c r="B146" s="83" t="s">
        <v>476</v>
      </c>
      <c r="C146" s="83" t="s">
        <v>74</v>
      </c>
      <c r="D146" s="83" t="s">
        <v>123</v>
      </c>
      <c r="E146" s="83" t="s">
        <v>536</v>
      </c>
      <c r="F146" s="83" t="s">
        <v>537</v>
      </c>
      <c r="G146" s="126">
        <v>103.58333</v>
      </c>
      <c r="H146" s="83" t="s">
        <v>124</v>
      </c>
      <c r="I146" s="83" t="s">
        <v>95</v>
      </c>
      <c r="J146" s="126">
        <v>248.6</v>
      </c>
      <c r="K146" s="83" t="s">
        <v>4</v>
      </c>
      <c r="L146" s="83" t="s">
        <v>19</v>
      </c>
      <c r="M146" s="83" t="s">
        <v>149</v>
      </c>
    </row>
    <row r="147" spans="1:13">
      <c r="A147" s="83">
        <v>146</v>
      </c>
      <c r="B147" s="83" t="s">
        <v>538</v>
      </c>
      <c r="C147" s="83" t="s">
        <v>74</v>
      </c>
      <c r="D147" s="83" t="s">
        <v>130</v>
      </c>
      <c r="E147" s="83" t="s">
        <v>539</v>
      </c>
      <c r="F147" s="83" t="s">
        <v>540</v>
      </c>
      <c r="G147" s="126">
        <v>12.81667</v>
      </c>
      <c r="H147" s="83" t="s">
        <v>125</v>
      </c>
      <c r="I147" s="83" t="s">
        <v>95</v>
      </c>
      <c r="J147" s="126">
        <v>30.76</v>
      </c>
      <c r="K147" s="83" t="s">
        <v>13</v>
      </c>
      <c r="L147" s="83" t="s">
        <v>39</v>
      </c>
      <c r="M147" s="83" t="s">
        <v>13</v>
      </c>
    </row>
    <row r="148" spans="1:13">
      <c r="A148" s="83">
        <v>147</v>
      </c>
      <c r="B148" s="83" t="s">
        <v>476</v>
      </c>
      <c r="C148" s="83" t="s">
        <v>74</v>
      </c>
      <c r="D148" s="83" t="s">
        <v>123</v>
      </c>
      <c r="E148" s="83" t="s">
        <v>541</v>
      </c>
      <c r="F148" s="83" t="s">
        <v>542</v>
      </c>
      <c r="G148" s="126">
        <v>11.2</v>
      </c>
      <c r="H148" s="83" t="s">
        <v>124</v>
      </c>
      <c r="I148" s="83" t="s">
        <v>95</v>
      </c>
      <c r="J148" s="126">
        <v>26.88</v>
      </c>
      <c r="K148" s="83" t="s">
        <v>4</v>
      </c>
      <c r="L148" s="83" t="s">
        <v>19</v>
      </c>
      <c r="M148" s="83" t="s">
        <v>149</v>
      </c>
    </row>
    <row r="149" spans="1:13">
      <c r="A149" s="83">
        <v>148</v>
      </c>
      <c r="B149" s="83" t="s">
        <v>484</v>
      </c>
      <c r="C149" s="83" t="s">
        <v>73</v>
      </c>
      <c r="D149" s="83" t="s">
        <v>123</v>
      </c>
      <c r="E149" s="83" t="s">
        <v>543</v>
      </c>
      <c r="F149" s="83" t="s">
        <v>544</v>
      </c>
      <c r="G149" s="126">
        <v>8.7833299999999994</v>
      </c>
      <c r="H149" s="83" t="s">
        <v>125</v>
      </c>
      <c r="I149" s="83" t="s">
        <v>95</v>
      </c>
      <c r="J149" s="126">
        <v>21.08</v>
      </c>
      <c r="K149" s="83" t="s">
        <v>5</v>
      </c>
      <c r="L149" s="83" t="s">
        <v>34</v>
      </c>
      <c r="M149" s="83" t="s">
        <v>5</v>
      </c>
    </row>
    <row r="150" spans="1:13">
      <c r="A150" s="83">
        <v>149</v>
      </c>
      <c r="B150" s="83" t="s">
        <v>473</v>
      </c>
      <c r="C150" s="83" t="s">
        <v>73</v>
      </c>
      <c r="D150" s="83" t="s">
        <v>130</v>
      </c>
      <c r="E150" s="83" t="s">
        <v>545</v>
      </c>
      <c r="F150" s="83" t="s">
        <v>546</v>
      </c>
      <c r="G150" s="126">
        <v>14.033329999999999</v>
      </c>
      <c r="H150" s="83" t="s">
        <v>124</v>
      </c>
      <c r="I150" s="83" t="s">
        <v>95</v>
      </c>
      <c r="J150" s="126">
        <v>33.68</v>
      </c>
      <c r="K150" s="83" t="s">
        <v>5</v>
      </c>
      <c r="L150" s="83" t="s">
        <v>30</v>
      </c>
      <c r="M150" s="83" t="s">
        <v>5</v>
      </c>
    </row>
    <row r="151" spans="1:13">
      <c r="A151" s="83">
        <v>150</v>
      </c>
      <c r="B151" s="83" t="s">
        <v>169</v>
      </c>
      <c r="C151" s="83" t="s">
        <v>74</v>
      </c>
      <c r="D151" s="83" t="s">
        <v>123</v>
      </c>
      <c r="E151" s="83" t="s">
        <v>547</v>
      </c>
      <c r="F151" s="83" t="s">
        <v>548</v>
      </c>
      <c r="G151" s="126">
        <v>67.866669999999999</v>
      </c>
      <c r="H151" s="83" t="s">
        <v>124</v>
      </c>
      <c r="I151" s="83" t="s">
        <v>95</v>
      </c>
      <c r="J151" s="126">
        <v>162.88</v>
      </c>
      <c r="K151" s="83" t="s">
        <v>14</v>
      </c>
      <c r="L151" s="83" t="s">
        <v>44</v>
      </c>
      <c r="M151" s="83" t="s">
        <v>14</v>
      </c>
    </row>
    <row r="152" spans="1:13">
      <c r="A152" s="83">
        <v>151</v>
      </c>
      <c r="B152" s="83" t="s">
        <v>549</v>
      </c>
      <c r="C152" s="83" t="s">
        <v>74</v>
      </c>
      <c r="D152" s="83" t="s">
        <v>129</v>
      </c>
      <c r="E152" s="83" t="s">
        <v>550</v>
      </c>
      <c r="F152" s="83" t="s">
        <v>551</v>
      </c>
      <c r="G152" s="126">
        <v>26.783329999999999</v>
      </c>
      <c r="H152" s="83" t="s">
        <v>125</v>
      </c>
      <c r="I152" s="83" t="s">
        <v>95</v>
      </c>
      <c r="J152" s="126">
        <v>32.14</v>
      </c>
      <c r="K152" s="83" t="s">
        <v>14</v>
      </c>
      <c r="L152" s="83" t="s">
        <v>45</v>
      </c>
      <c r="M152" s="83" t="s">
        <v>14</v>
      </c>
    </row>
    <row r="153" spans="1:13">
      <c r="A153" s="83">
        <v>152</v>
      </c>
      <c r="B153" s="83" t="s">
        <v>552</v>
      </c>
      <c r="C153" s="83" t="s">
        <v>73</v>
      </c>
      <c r="D153" s="83" t="s">
        <v>123</v>
      </c>
      <c r="E153" s="83" t="s">
        <v>553</v>
      </c>
      <c r="F153" s="83" t="s">
        <v>554</v>
      </c>
      <c r="G153" s="126">
        <v>29.9</v>
      </c>
      <c r="H153" s="83" t="s">
        <v>125</v>
      </c>
      <c r="I153" s="83" t="s">
        <v>95</v>
      </c>
      <c r="J153" s="126">
        <v>71.760000000000005</v>
      </c>
      <c r="K153" s="83" t="s">
        <v>132</v>
      </c>
      <c r="L153" s="83" t="s">
        <v>36</v>
      </c>
      <c r="M153" s="83" t="s">
        <v>132</v>
      </c>
    </row>
    <row r="154" spans="1:13">
      <c r="A154" s="83">
        <v>153</v>
      </c>
      <c r="B154" s="83" t="s">
        <v>496</v>
      </c>
      <c r="C154" s="83" t="s">
        <v>73</v>
      </c>
      <c r="D154" s="83" t="s">
        <v>123</v>
      </c>
      <c r="E154" s="83" t="s">
        <v>553</v>
      </c>
      <c r="F154" s="83" t="s">
        <v>554</v>
      </c>
      <c r="G154" s="126">
        <v>29.9</v>
      </c>
      <c r="H154" s="83" t="s">
        <v>125</v>
      </c>
      <c r="I154" s="83" t="s">
        <v>95</v>
      </c>
      <c r="J154" s="126">
        <v>71.760000000000005</v>
      </c>
      <c r="K154" s="83" t="s">
        <v>132</v>
      </c>
      <c r="L154" s="83" t="s">
        <v>36</v>
      </c>
      <c r="M154" s="83" t="s">
        <v>132</v>
      </c>
    </row>
    <row r="155" spans="1:13">
      <c r="A155" s="83">
        <v>154</v>
      </c>
      <c r="B155" s="83" t="s">
        <v>555</v>
      </c>
      <c r="C155" s="83" t="s">
        <v>73</v>
      </c>
      <c r="D155" s="83" t="s">
        <v>123</v>
      </c>
      <c r="E155" s="83" t="s">
        <v>553</v>
      </c>
      <c r="F155" s="83" t="s">
        <v>556</v>
      </c>
      <c r="G155" s="126">
        <v>30.316669999999998</v>
      </c>
      <c r="H155" s="83" t="s">
        <v>125</v>
      </c>
      <c r="I155" s="83" t="s">
        <v>95</v>
      </c>
      <c r="J155" s="126">
        <v>72.760000000000005</v>
      </c>
      <c r="K155" s="83" t="s">
        <v>132</v>
      </c>
      <c r="L155" s="83" t="s">
        <v>36</v>
      </c>
      <c r="M155" s="83" t="s">
        <v>132</v>
      </c>
    </row>
    <row r="156" spans="1:13">
      <c r="A156" s="83">
        <v>155</v>
      </c>
      <c r="B156" s="83" t="s">
        <v>505</v>
      </c>
      <c r="C156" s="83" t="s">
        <v>73</v>
      </c>
      <c r="D156" s="83" t="s">
        <v>129</v>
      </c>
      <c r="E156" s="83" t="s">
        <v>557</v>
      </c>
      <c r="F156" s="83" t="s">
        <v>558</v>
      </c>
      <c r="G156" s="126">
        <v>22.2</v>
      </c>
      <c r="H156" s="83" t="s">
        <v>125</v>
      </c>
      <c r="I156" s="83" t="s">
        <v>95</v>
      </c>
      <c r="J156" s="126">
        <v>53.28</v>
      </c>
      <c r="K156" s="83" t="s">
        <v>4</v>
      </c>
      <c r="L156" s="83" t="s">
        <v>23</v>
      </c>
      <c r="M156" s="83" t="s">
        <v>120</v>
      </c>
    </row>
    <row r="157" spans="1:13">
      <c r="A157" s="83">
        <v>156</v>
      </c>
      <c r="B157" s="83" t="s">
        <v>502</v>
      </c>
      <c r="C157" s="83" t="s">
        <v>73</v>
      </c>
      <c r="D157" s="83" t="s">
        <v>129</v>
      </c>
      <c r="E157" s="83" t="s">
        <v>557</v>
      </c>
      <c r="F157" s="83" t="s">
        <v>559</v>
      </c>
      <c r="G157" s="126">
        <v>22</v>
      </c>
      <c r="H157" s="83" t="s">
        <v>125</v>
      </c>
      <c r="I157" s="83" t="s">
        <v>95</v>
      </c>
      <c r="J157" s="126">
        <v>52.8</v>
      </c>
      <c r="K157" s="83" t="s">
        <v>4</v>
      </c>
      <c r="L157" s="83" t="s">
        <v>23</v>
      </c>
      <c r="M157" s="83" t="s">
        <v>120</v>
      </c>
    </row>
    <row r="158" spans="1:13">
      <c r="A158" s="83">
        <v>157</v>
      </c>
      <c r="B158" s="83" t="s">
        <v>560</v>
      </c>
      <c r="C158" s="83" t="s">
        <v>74</v>
      </c>
      <c r="D158" s="83" t="s">
        <v>123</v>
      </c>
      <c r="E158" s="83" t="s">
        <v>561</v>
      </c>
      <c r="F158" s="83" t="s">
        <v>562</v>
      </c>
      <c r="G158" s="126">
        <v>15.08333</v>
      </c>
      <c r="H158" s="83" t="s">
        <v>125</v>
      </c>
      <c r="I158" s="83" t="s">
        <v>95</v>
      </c>
      <c r="J158" s="126">
        <v>36.200000000000003</v>
      </c>
      <c r="K158" s="83" t="s">
        <v>4</v>
      </c>
      <c r="L158" s="83" t="s">
        <v>25</v>
      </c>
      <c r="M158" s="83" t="s">
        <v>120</v>
      </c>
    </row>
    <row r="159" spans="1:13">
      <c r="A159" s="83">
        <v>158</v>
      </c>
      <c r="B159" s="83" t="s">
        <v>563</v>
      </c>
      <c r="C159" s="83" t="s">
        <v>74</v>
      </c>
      <c r="D159" s="83" t="s">
        <v>129</v>
      </c>
      <c r="E159" s="83" t="s">
        <v>564</v>
      </c>
      <c r="F159" s="83" t="s">
        <v>565</v>
      </c>
      <c r="G159" s="126">
        <v>5.25</v>
      </c>
      <c r="H159" s="83" t="s">
        <v>125</v>
      </c>
      <c r="I159" s="83" t="s">
        <v>95</v>
      </c>
      <c r="J159" s="126">
        <v>12.6</v>
      </c>
      <c r="K159" s="83" t="s">
        <v>4</v>
      </c>
      <c r="L159" s="83" t="s">
        <v>25</v>
      </c>
      <c r="M159" s="83" t="s">
        <v>120</v>
      </c>
    </row>
    <row r="160" spans="1:13">
      <c r="A160" s="83">
        <v>159</v>
      </c>
      <c r="B160" s="83" t="s">
        <v>566</v>
      </c>
      <c r="C160" s="83" t="s">
        <v>74</v>
      </c>
      <c r="D160" s="83" t="s">
        <v>123</v>
      </c>
      <c r="E160" s="83" t="s">
        <v>567</v>
      </c>
      <c r="F160" s="83" t="s">
        <v>568</v>
      </c>
      <c r="G160" s="126">
        <v>27.033329999999999</v>
      </c>
      <c r="H160" s="83" t="s">
        <v>125</v>
      </c>
      <c r="I160" s="83" t="s">
        <v>95</v>
      </c>
      <c r="J160" s="126">
        <v>64.88</v>
      </c>
      <c r="K160" s="83" t="s">
        <v>14</v>
      </c>
      <c r="L160" s="83" t="s">
        <v>43</v>
      </c>
      <c r="M160" s="83" t="s">
        <v>135</v>
      </c>
    </row>
    <row r="161" spans="1:13">
      <c r="A161" s="83">
        <v>160</v>
      </c>
      <c r="B161" s="83" t="s">
        <v>514</v>
      </c>
      <c r="C161" s="83" t="s">
        <v>73</v>
      </c>
      <c r="D161" s="83" t="s">
        <v>130</v>
      </c>
      <c r="E161" s="83" t="s">
        <v>569</v>
      </c>
      <c r="F161" s="83" t="s">
        <v>570</v>
      </c>
      <c r="G161" s="126">
        <v>32.216670000000001</v>
      </c>
      <c r="H161" s="83" t="s">
        <v>124</v>
      </c>
      <c r="I161" s="83" t="s">
        <v>95</v>
      </c>
      <c r="J161" s="126">
        <v>77.319999999999993</v>
      </c>
      <c r="K161" s="83" t="s">
        <v>132</v>
      </c>
      <c r="L161" s="83" t="s">
        <v>37</v>
      </c>
      <c r="M161" s="83" t="s">
        <v>132</v>
      </c>
    </row>
    <row r="162" spans="1:13">
      <c r="A162" s="83">
        <v>161</v>
      </c>
      <c r="B162" s="83" t="s">
        <v>571</v>
      </c>
      <c r="C162" s="83" t="s">
        <v>74</v>
      </c>
      <c r="D162" s="83" t="s">
        <v>123</v>
      </c>
      <c r="E162" s="83" t="s">
        <v>572</v>
      </c>
      <c r="F162" s="83" t="s">
        <v>573</v>
      </c>
      <c r="G162" s="126">
        <v>135.30000000000001</v>
      </c>
      <c r="H162" s="83" t="s">
        <v>124</v>
      </c>
      <c r="I162" s="83" t="s">
        <v>95</v>
      </c>
      <c r="J162" s="126">
        <v>324.72000000000003</v>
      </c>
      <c r="K162" s="83" t="s">
        <v>9</v>
      </c>
      <c r="L162" s="83" t="s">
        <v>58</v>
      </c>
      <c r="M162" s="83" t="s">
        <v>138</v>
      </c>
    </row>
    <row r="163" spans="1:13">
      <c r="A163" s="83">
        <v>162</v>
      </c>
      <c r="B163" s="83" t="s">
        <v>574</v>
      </c>
      <c r="C163" s="83" t="s">
        <v>74</v>
      </c>
      <c r="D163" s="83" t="s">
        <v>123</v>
      </c>
      <c r="E163" s="83" t="s">
        <v>575</v>
      </c>
      <c r="F163" s="83" t="s">
        <v>576</v>
      </c>
      <c r="G163" s="126">
        <v>39.700000000000003</v>
      </c>
      <c r="H163" s="83" t="s">
        <v>125</v>
      </c>
      <c r="I163" s="83" t="s">
        <v>95</v>
      </c>
      <c r="J163" s="126">
        <v>95.28</v>
      </c>
      <c r="K163" s="83" t="s">
        <v>9</v>
      </c>
      <c r="L163" s="83" t="s">
        <v>106</v>
      </c>
      <c r="M163" s="83" t="s">
        <v>14</v>
      </c>
    </row>
    <row r="164" spans="1:13">
      <c r="A164" s="83">
        <v>163</v>
      </c>
      <c r="B164" s="83" t="s">
        <v>577</v>
      </c>
      <c r="C164" s="83" t="s">
        <v>73</v>
      </c>
      <c r="D164" s="83" t="s">
        <v>123</v>
      </c>
      <c r="E164" s="83" t="s">
        <v>578</v>
      </c>
      <c r="F164" s="83" t="s">
        <v>579</v>
      </c>
      <c r="G164" s="126">
        <v>252.68333000000001</v>
      </c>
      <c r="H164" s="83" t="s">
        <v>124</v>
      </c>
      <c r="I164" s="83" t="s">
        <v>95</v>
      </c>
      <c r="J164" s="126">
        <v>325.77999999999997</v>
      </c>
      <c r="K164" s="83" t="s">
        <v>8</v>
      </c>
      <c r="L164" s="83" t="s">
        <v>50</v>
      </c>
      <c r="M164" s="83" t="s">
        <v>8</v>
      </c>
    </row>
    <row r="165" spans="1:13">
      <c r="A165" s="83">
        <v>164</v>
      </c>
      <c r="B165" s="83" t="s">
        <v>170</v>
      </c>
      <c r="C165" s="83" t="s">
        <v>74</v>
      </c>
      <c r="D165" s="83" t="s">
        <v>123</v>
      </c>
      <c r="E165" s="83" t="s">
        <v>580</v>
      </c>
      <c r="F165" s="83" t="s">
        <v>581</v>
      </c>
      <c r="G165" s="126">
        <v>14.85</v>
      </c>
      <c r="H165" s="83" t="s">
        <v>128</v>
      </c>
      <c r="I165" s="83" t="s">
        <v>97</v>
      </c>
      <c r="J165" s="126">
        <v>44.55</v>
      </c>
      <c r="K165" s="83" t="s">
        <v>8</v>
      </c>
      <c r="L165" s="83" t="s">
        <v>104</v>
      </c>
      <c r="M165" s="83" t="s">
        <v>96</v>
      </c>
    </row>
    <row r="166" spans="1:13">
      <c r="A166" s="83">
        <v>165</v>
      </c>
      <c r="B166" s="83" t="s">
        <v>170</v>
      </c>
      <c r="C166" s="83" t="s">
        <v>74</v>
      </c>
      <c r="D166" s="83" t="s">
        <v>123</v>
      </c>
      <c r="E166" s="83" t="s">
        <v>582</v>
      </c>
      <c r="F166" s="83" t="s">
        <v>583</v>
      </c>
      <c r="G166" s="126">
        <v>14.85</v>
      </c>
      <c r="H166" s="83" t="s">
        <v>125</v>
      </c>
      <c r="I166" s="83" t="s">
        <v>97</v>
      </c>
      <c r="J166" s="126">
        <v>44.55</v>
      </c>
      <c r="K166" s="83" t="s">
        <v>8</v>
      </c>
      <c r="L166" s="83" t="s">
        <v>104</v>
      </c>
      <c r="M166" s="83" t="s">
        <v>96</v>
      </c>
    </row>
    <row r="167" spans="1:13">
      <c r="A167" s="83">
        <v>166</v>
      </c>
      <c r="B167" s="83" t="s">
        <v>584</v>
      </c>
      <c r="C167" s="83" t="s">
        <v>73</v>
      </c>
      <c r="D167" s="83" t="s">
        <v>123</v>
      </c>
      <c r="E167" s="83" t="s">
        <v>585</v>
      </c>
      <c r="F167" s="83" t="s">
        <v>586</v>
      </c>
      <c r="G167" s="126">
        <v>40.1</v>
      </c>
      <c r="H167" s="83" t="s">
        <v>125</v>
      </c>
      <c r="I167" s="83" t="s">
        <v>97</v>
      </c>
      <c r="J167" s="126">
        <v>120.3</v>
      </c>
      <c r="K167" s="83" t="s">
        <v>4</v>
      </c>
      <c r="L167" s="83" t="s">
        <v>19</v>
      </c>
      <c r="M167" s="83" t="s">
        <v>149</v>
      </c>
    </row>
    <row r="168" spans="1:13">
      <c r="A168" s="83">
        <v>167</v>
      </c>
      <c r="B168" s="83" t="s">
        <v>587</v>
      </c>
      <c r="C168" s="83" t="s">
        <v>73</v>
      </c>
      <c r="D168" s="83" t="s">
        <v>123</v>
      </c>
      <c r="E168" s="83" t="s">
        <v>588</v>
      </c>
      <c r="F168" s="83" t="s">
        <v>589</v>
      </c>
      <c r="G168" s="126">
        <v>23.08333</v>
      </c>
      <c r="H168" s="83" t="s">
        <v>125</v>
      </c>
      <c r="I168" s="83" t="s">
        <v>97</v>
      </c>
      <c r="J168" s="126">
        <v>69.25</v>
      </c>
      <c r="K168" s="83" t="s">
        <v>132</v>
      </c>
      <c r="L168" s="83" t="s">
        <v>36</v>
      </c>
      <c r="M168" s="83" t="s">
        <v>132</v>
      </c>
    </row>
    <row r="169" spans="1:13">
      <c r="A169" s="83">
        <v>168</v>
      </c>
      <c r="B169" s="83" t="s">
        <v>590</v>
      </c>
      <c r="C169" s="83" t="s">
        <v>74</v>
      </c>
      <c r="D169" s="83" t="s">
        <v>123</v>
      </c>
      <c r="E169" s="83" t="s">
        <v>591</v>
      </c>
      <c r="F169" s="83" t="s">
        <v>592</v>
      </c>
      <c r="G169" s="126">
        <v>15.05</v>
      </c>
      <c r="H169" s="83" t="s">
        <v>128</v>
      </c>
      <c r="I169" s="83" t="s">
        <v>94</v>
      </c>
      <c r="J169" s="126">
        <v>30.1</v>
      </c>
      <c r="K169" s="83" t="s">
        <v>13</v>
      </c>
      <c r="L169" s="83" t="s">
        <v>40</v>
      </c>
      <c r="M169" s="83" t="s">
        <v>137</v>
      </c>
    </row>
    <row r="170" spans="1:13">
      <c r="A170" s="83">
        <v>169</v>
      </c>
      <c r="B170" s="83" t="s">
        <v>593</v>
      </c>
      <c r="C170" s="83" t="s">
        <v>74</v>
      </c>
      <c r="D170" s="83" t="s">
        <v>129</v>
      </c>
      <c r="E170" s="83" t="s">
        <v>594</v>
      </c>
      <c r="F170" s="83" t="s">
        <v>595</v>
      </c>
      <c r="G170" s="126">
        <v>5.0666700000000002</v>
      </c>
      <c r="H170" s="83" t="s">
        <v>125</v>
      </c>
      <c r="I170" s="83" t="s">
        <v>94</v>
      </c>
      <c r="J170" s="126">
        <v>10.130000000000001</v>
      </c>
      <c r="K170" s="83" t="s">
        <v>5</v>
      </c>
      <c r="L170" s="83" t="s">
        <v>31</v>
      </c>
      <c r="M170" s="83" t="s">
        <v>141</v>
      </c>
    </row>
    <row r="171" spans="1:13">
      <c r="A171" s="83">
        <v>170</v>
      </c>
      <c r="B171" s="83" t="s">
        <v>596</v>
      </c>
      <c r="C171" s="83" t="s">
        <v>74</v>
      </c>
      <c r="D171" s="83" t="s">
        <v>123</v>
      </c>
      <c r="E171" s="83" t="s">
        <v>597</v>
      </c>
      <c r="F171" s="83" t="s">
        <v>598</v>
      </c>
      <c r="G171" s="126">
        <v>17.45</v>
      </c>
      <c r="H171" s="83" t="s">
        <v>125</v>
      </c>
      <c r="I171" s="83" t="s">
        <v>94</v>
      </c>
      <c r="J171" s="126">
        <v>34.9</v>
      </c>
      <c r="K171" s="83" t="s">
        <v>13</v>
      </c>
      <c r="L171" s="83" t="s">
        <v>750</v>
      </c>
      <c r="M171" s="83" t="s">
        <v>137</v>
      </c>
    </row>
    <row r="172" spans="1:13">
      <c r="A172" s="83">
        <v>171</v>
      </c>
      <c r="B172" s="83" t="s">
        <v>599</v>
      </c>
      <c r="C172" s="83" t="s">
        <v>74</v>
      </c>
      <c r="D172" s="83" t="s">
        <v>130</v>
      </c>
      <c r="E172" s="83" t="s">
        <v>600</v>
      </c>
      <c r="F172" s="83" t="s">
        <v>601</v>
      </c>
      <c r="G172" s="126">
        <v>10.01667</v>
      </c>
      <c r="H172" s="83" t="s">
        <v>126</v>
      </c>
      <c r="I172" s="83" t="s">
        <v>94</v>
      </c>
      <c r="J172" s="126">
        <v>20.03</v>
      </c>
      <c r="K172" s="83" t="s">
        <v>5</v>
      </c>
      <c r="L172" s="83" t="s">
        <v>29</v>
      </c>
      <c r="M172" s="83" t="s">
        <v>99</v>
      </c>
    </row>
    <row r="173" spans="1:13">
      <c r="A173" s="83">
        <v>172</v>
      </c>
      <c r="B173" s="83" t="s">
        <v>602</v>
      </c>
      <c r="C173" s="83" t="s">
        <v>74</v>
      </c>
      <c r="D173" s="83" t="s">
        <v>123</v>
      </c>
      <c r="E173" s="83" t="s">
        <v>603</v>
      </c>
      <c r="F173" s="83" t="s">
        <v>604</v>
      </c>
      <c r="G173" s="126">
        <v>13.55</v>
      </c>
      <c r="H173" s="83" t="s">
        <v>125</v>
      </c>
      <c r="I173" s="83" t="s">
        <v>94</v>
      </c>
      <c r="J173" s="126">
        <v>27.1</v>
      </c>
      <c r="K173" s="83" t="s">
        <v>8</v>
      </c>
      <c r="L173" s="83" t="s">
        <v>48</v>
      </c>
      <c r="M173" s="83" t="s">
        <v>98</v>
      </c>
    </row>
    <row r="174" spans="1:13">
      <c r="A174" s="83">
        <v>173</v>
      </c>
      <c r="B174" s="83" t="s">
        <v>605</v>
      </c>
      <c r="C174" s="83" t="s">
        <v>73</v>
      </c>
      <c r="D174" s="83" t="s">
        <v>123</v>
      </c>
      <c r="E174" s="83" t="s">
        <v>606</v>
      </c>
      <c r="F174" s="83" t="s">
        <v>607</v>
      </c>
      <c r="G174" s="126">
        <v>38.799999999999997</v>
      </c>
      <c r="H174" s="83" t="s">
        <v>125</v>
      </c>
      <c r="I174" s="83" t="s">
        <v>94</v>
      </c>
      <c r="J174" s="126">
        <v>77.599999999999994</v>
      </c>
      <c r="K174" s="83" t="s">
        <v>14</v>
      </c>
      <c r="L174" s="83" t="s">
        <v>47</v>
      </c>
      <c r="M174" s="83" t="s">
        <v>14</v>
      </c>
    </row>
    <row r="175" spans="1:13">
      <c r="A175" s="83">
        <v>174</v>
      </c>
      <c r="B175" s="83" t="s">
        <v>608</v>
      </c>
      <c r="C175" s="83" t="s">
        <v>74</v>
      </c>
      <c r="D175" s="83" t="s">
        <v>123</v>
      </c>
      <c r="E175" s="83" t="s">
        <v>609</v>
      </c>
      <c r="F175" s="83" t="s">
        <v>610</v>
      </c>
      <c r="G175" s="126">
        <v>26.25</v>
      </c>
      <c r="H175" s="83" t="s">
        <v>125</v>
      </c>
      <c r="I175" s="83" t="s">
        <v>94</v>
      </c>
      <c r="J175" s="126">
        <v>52.5</v>
      </c>
      <c r="K175" s="83" t="s">
        <v>9</v>
      </c>
      <c r="L175" s="83" t="s">
        <v>57</v>
      </c>
      <c r="M175" s="83" t="s">
        <v>138</v>
      </c>
    </row>
    <row r="176" spans="1:13">
      <c r="A176" s="83">
        <v>175</v>
      </c>
      <c r="B176" s="83" t="s">
        <v>611</v>
      </c>
      <c r="C176" s="83" t="s">
        <v>74</v>
      </c>
      <c r="D176" s="83" t="s">
        <v>123</v>
      </c>
      <c r="E176" s="83" t="s">
        <v>612</v>
      </c>
      <c r="F176" s="83" t="s">
        <v>613</v>
      </c>
      <c r="G176" s="126">
        <v>5</v>
      </c>
      <c r="H176" s="83" t="s">
        <v>125</v>
      </c>
      <c r="I176" s="83" t="s">
        <v>94</v>
      </c>
      <c r="J176" s="126">
        <v>10</v>
      </c>
      <c r="K176" s="83" t="s">
        <v>8</v>
      </c>
      <c r="L176" s="83" t="s">
        <v>52</v>
      </c>
      <c r="M176" s="83" t="s">
        <v>98</v>
      </c>
    </row>
    <row r="177" spans="1:13">
      <c r="A177" s="83">
        <v>176</v>
      </c>
      <c r="B177" s="83" t="s">
        <v>614</v>
      </c>
      <c r="C177" s="83" t="s">
        <v>73</v>
      </c>
      <c r="D177" s="83" t="s">
        <v>123</v>
      </c>
      <c r="E177" s="83" t="s">
        <v>615</v>
      </c>
      <c r="F177" s="83" t="s">
        <v>616</v>
      </c>
      <c r="G177" s="126">
        <v>29.65</v>
      </c>
      <c r="H177" s="83" t="s">
        <v>125</v>
      </c>
      <c r="I177" s="83" t="s">
        <v>94</v>
      </c>
      <c r="J177" s="126">
        <v>29.67</v>
      </c>
      <c r="K177" s="83" t="s">
        <v>132</v>
      </c>
      <c r="L177" s="83" t="s">
        <v>37</v>
      </c>
      <c r="M177" s="83" t="s">
        <v>132</v>
      </c>
    </row>
    <row r="178" spans="1:13">
      <c r="A178" s="83">
        <v>177</v>
      </c>
      <c r="B178" s="83" t="s">
        <v>617</v>
      </c>
      <c r="C178" s="83" t="s">
        <v>74</v>
      </c>
      <c r="D178" s="83" t="s">
        <v>123</v>
      </c>
      <c r="E178" s="83" t="s">
        <v>618</v>
      </c>
      <c r="F178" s="83" t="s">
        <v>619</v>
      </c>
      <c r="G178" s="126">
        <v>128.23333</v>
      </c>
      <c r="H178" s="83" t="s">
        <v>124</v>
      </c>
      <c r="I178" s="83" t="s">
        <v>94</v>
      </c>
      <c r="J178" s="126">
        <v>256.47000000000003</v>
      </c>
      <c r="K178" s="83" t="s">
        <v>8</v>
      </c>
      <c r="L178" s="83" t="s">
        <v>51</v>
      </c>
      <c r="M178" s="83" t="s">
        <v>8</v>
      </c>
    </row>
    <row r="179" spans="1:13">
      <c r="A179" s="83">
        <v>178</v>
      </c>
      <c r="B179" s="83" t="s">
        <v>620</v>
      </c>
      <c r="C179" s="83" t="s">
        <v>74</v>
      </c>
      <c r="D179" s="83" t="s">
        <v>123</v>
      </c>
      <c r="E179" s="83" t="s">
        <v>621</v>
      </c>
      <c r="F179" s="83" t="s">
        <v>622</v>
      </c>
      <c r="G179" s="126">
        <v>5.1166700000000001</v>
      </c>
      <c r="H179" s="83" t="s">
        <v>125</v>
      </c>
      <c r="I179" s="83" t="s">
        <v>94</v>
      </c>
      <c r="J179" s="126">
        <v>10.23</v>
      </c>
      <c r="K179" s="83" t="s">
        <v>8</v>
      </c>
      <c r="L179" s="83" t="s">
        <v>104</v>
      </c>
      <c r="M179" s="83" t="s">
        <v>8</v>
      </c>
    </row>
    <row r="180" spans="1:13">
      <c r="A180" s="83">
        <v>179</v>
      </c>
      <c r="B180" s="83" t="s">
        <v>623</v>
      </c>
      <c r="C180" s="83" t="s">
        <v>73</v>
      </c>
      <c r="D180" s="83" t="s">
        <v>123</v>
      </c>
      <c r="E180" s="83" t="s">
        <v>624</v>
      </c>
      <c r="F180" s="83" t="s">
        <v>625</v>
      </c>
      <c r="G180" s="126">
        <v>5.25</v>
      </c>
      <c r="H180" s="83" t="s">
        <v>125</v>
      </c>
      <c r="I180" s="83" t="s">
        <v>94</v>
      </c>
      <c r="J180" s="126">
        <v>10.5</v>
      </c>
      <c r="K180" s="83" t="s">
        <v>8</v>
      </c>
      <c r="L180" s="83" t="s">
        <v>105</v>
      </c>
      <c r="M180" s="83" t="s">
        <v>96</v>
      </c>
    </row>
    <row r="181" spans="1:13">
      <c r="A181" s="83">
        <v>180</v>
      </c>
      <c r="B181" s="83" t="s">
        <v>245</v>
      </c>
      <c r="C181" s="83" t="s">
        <v>73</v>
      </c>
      <c r="D181" s="83" t="s">
        <v>123</v>
      </c>
      <c r="E181" s="83" t="s">
        <v>626</v>
      </c>
      <c r="F181" s="83" t="s">
        <v>627</v>
      </c>
      <c r="G181" s="126">
        <v>8.9333299999999998</v>
      </c>
      <c r="H181" s="83" t="s">
        <v>125</v>
      </c>
      <c r="I181" s="83" t="s">
        <v>94</v>
      </c>
      <c r="J181" s="126">
        <v>17.87</v>
      </c>
      <c r="K181" s="83" t="s">
        <v>8</v>
      </c>
      <c r="L181" s="83" t="s">
        <v>51</v>
      </c>
      <c r="M181" s="83" t="s">
        <v>96</v>
      </c>
    </row>
    <row r="182" spans="1:13">
      <c r="A182" s="83">
        <v>181</v>
      </c>
      <c r="B182" s="83" t="s">
        <v>127</v>
      </c>
      <c r="C182" s="83" t="s">
        <v>74</v>
      </c>
      <c r="D182" s="83" t="s">
        <v>123</v>
      </c>
      <c r="E182" s="83" t="s">
        <v>628</v>
      </c>
      <c r="F182" s="83" t="s">
        <v>629</v>
      </c>
      <c r="G182" s="126">
        <v>6.4</v>
      </c>
      <c r="H182" s="83" t="s">
        <v>125</v>
      </c>
      <c r="I182" s="83" t="s">
        <v>94</v>
      </c>
      <c r="J182" s="126">
        <v>12.8</v>
      </c>
      <c r="K182" s="83" t="s">
        <v>8</v>
      </c>
      <c r="L182" s="83" t="s">
        <v>104</v>
      </c>
      <c r="M182" s="83" t="s">
        <v>96</v>
      </c>
    </row>
    <row r="183" spans="1:13">
      <c r="A183" s="83">
        <v>182</v>
      </c>
      <c r="B183" s="83" t="s">
        <v>623</v>
      </c>
      <c r="C183" s="83" t="s">
        <v>73</v>
      </c>
      <c r="D183" s="83" t="s">
        <v>123</v>
      </c>
      <c r="E183" s="83" t="s">
        <v>630</v>
      </c>
      <c r="F183" s="83" t="s">
        <v>631</v>
      </c>
      <c r="G183" s="126">
        <v>29.633330000000001</v>
      </c>
      <c r="H183" s="83" t="s">
        <v>125</v>
      </c>
      <c r="I183" s="83" t="s">
        <v>94</v>
      </c>
      <c r="J183" s="126">
        <v>59.27</v>
      </c>
      <c r="K183" s="83" t="s">
        <v>8</v>
      </c>
      <c r="L183" s="83" t="s">
        <v>105</v>
      </c>
      <c r="M183" s="83" t="s">
        <v>96</v>
      </c>
    </row>
    <row r="184" spans="1:13">
      <c r="A184" s="83">
        <v>183</v>
      </c>
      <c r="B184" s="83" t="s">
        <v>620</v>
      </c>
      <c r="C184" s="83" t="s">
        <v>74</v>
      </c>
      <c r="D184" s="83" t="s">
        <v>123</v>
      </c>
      <c r="E184" s="83" t="s">
        <v>632</v>
      </c>
      <c r="F184" s="83" t="s">
        <v>633</v>
      </c>
      <c r="G184" s="126">
        <v>6.1833299999999998</v>
      </c>
      <c r="H184" s="83" t="s">
        <v>125</v>
      </c>
      <c r="I184" s="83" t="s">
        <v>94</v>
      </c>
      <c r="J184" s="126">
        <v>12.37</v>
      </c>
      <c r="K184" s="83" t="s">
        <v>8</v>
      </c>
      <c r="L184" s="83" t="s">
        <v>104</v>
      </c>
      <c r="M184" s="83" t="s">
        <v>8</v>
      </c>
    </row>
    <row r="185" spans="1:13">
      <c r="A185" s="83">
        <v>184</v>
      </c>
      <c r="B185" s="83" t="s">
        <v>634</v>
      </c>
      <c r="C185" s="83" t="s">
        <v>74</v>
      </c>
      <c r="D185" s="83" t="s">
        <v>123</v>
      </c>
      <c r="E185" s="83" t="s">
        <v>635</v>
      </c>
      <c r="F185" s="83" t="s">
        <v>636</v>
      </c>
      <c r="G185" s="126">
        <v>17.116669999999999</v>
      </c>
      <c r="H185" s="83" t="s">
        <v>125</v>
      </c>
      <c r="I185" s="83" t="s">
        <v>94</v>
      </c>
      <c r="J185" s="126">
        <v>34.229999999999997</v>
      </c>
      <c r="K185" s="83" t="s">
        <v>8</v>
      </c>
      <c r="L185" s="83" t="s">
        <v>104</v>
      </c>
      <c r="M185" s="83" t="s">
        <v>96</v>
      </c>
    </row>
    <row r="186" spans="1:13">
      <c r="A186" s="83">
        <v>185</v>
      </c>
      <c r="B186" s="83" t="s">
        <v>637</v>
      </c>
      <c r="C186" s="83" t="s">
        <v>74</v>
      </c>
      <c r="D186" s="83" t="s">
        <v>123</v>
      </c>
      <c r="E186" s="83" t="s">
        <v>638</v>
      </c>
      <c r="F186" s="83" t="s">
        <v>639</v>
      </c>
      <c r="G186" s="126">
        <v>66.716669999999993</v>
      </c>
      <c r="H186" s="83" t="s">
        <v>124</v>
      </c>
      <c r="I186" s="83" t="s">
        <v>94</v>
      </c>
      <c r="J186" s="126">
        <v>133.43</v>
      </c>
      <c r="K186" s="83" t="s">
        <v>4</v>
      </c>
      <c r="L186" s="83" t="s">
        <v>27</v>
      </c>
      <c r="M186" s="83" t="s">
        <v>148</v>
      </c>
    </row>
    <row r="187" spans="1:13">
      <c r="A187" s="83">
        <v>186</v>
      </c>
      <c r="B187" s="83" t="s">
        <v>640</v>
      </c>
      <c r="C187" s="83" t="s">
        <v>322</v>
      </c>
      <c r="D187" s="83" t="s">
        <v>130</v>
      </c>
      <c r="E187" s="83" t="s">
        <v>641</v>
      </c>
      <c r="F187" s="83" t="s">
        <v>642</v>
      </c>
      <c r="G187" s="126">
        <v>5.15</v>
      </c>
      <c r="H187" s="83" t="s">
        <v>126</v>
      </c>
      <c r="I187" s="83" t="s">
        <v>94</v>
      </c>
      <c r="J187" s="126">
        <v>5.15</v>
      </c>
      <c r="K187" s="83" t="s">
        <v>8</v>
      </c>
      <c r="L187" s="83" t="s">
        <v>105</v>
      </c>
      <c r="M187" s="83" t="s">
        <v>96</v>
      </c>
    </row>
    <row r="188" spans="1:13">
      <c r="A188" s="83">
        <v>187</v>
      </c>
      <c r="B188" s="83" t="s">
        <v>643</v>
      </c>
      <c r="C188" s="83" t="s">
        <v>74</v>
      </c>
      <c r="D188" s="83" t="s">
        <v>123</v>
      </c>
      <c r="E188" s="83" t="s">
        <v>644</v>
      </c>
      <c r="F188" s="83" t="s">
        <v>645</v>
      </c>
      <c r="G188" s="126">
        <v>5.1166700000000001</v>
      </c>
      <c r="H188" s="83" t="s">
        <v>126</v>
      </c>
      <c r="I188" s="83" t="s">
        <v>94</v>
      </c>
      <c r="J188" s="126">
        <v>10.23</v>
      </c>
      <c r="K188" s="83" t="s">
        <v>9</v>
      </c>
      <c r="L188" s="83" t="s">
        <v>106</v>
      </c>
      <c r="M188" s="83" t="s">
        <v>138</v>
      </c>
    </row>
    <row r="189" spans="1:13">
      <c r="A189" s="83">
        <v>188</v>
      </c>
      <c r="B189" s="83" t="s">
        <v>399</v>
      </c>
      <c r="C189" s="83" t="s">
        <v>74</v>
      </c>
      <c r="D189" s="83" t="s">
        <v>130</v>
      </c>
      <c r="E189" s="83" t="s">
        <v>646</v>
      </c>
      <c r="F189" s="83" t="s">
        <v>647</v>
      </c>
      <c r="G189" s="126">
        <v>51.75</v>
      </c>
      <c r="H189" s="83" t="s">
        <v>124</v>
      </c>
      <c r="I189" s="83" t="s">
        <v>94</v>
      </c>
      <c r="J189" s="126">
        <v>103.5</v>
      </c>
      <c r="K189" s="83" t="s">
        <v>8</v>
      </c>
      <c r="L189" s="83" t="s">
        <v>49</v>
      </c>
      <c r="M189" s="83" t="s">
        <v>8</v>
      </c>
    </row>
    <row r="190" spans="1:13">
      <c r="A190" s="83">
        <v>189</v>
      </c>
      <c r="B190" s="83" t="s">
        <v>648</v>
      </c>
      <c r="C190" s="83" t="s">
        <v>74</v>
      </c>
      <c r="D190" s="83" t="s">
        <v>130</v>
      </c>
      <c r="E190" s="83" t="s">
        <v>649</v>
      </c>
      <c r="F190" s="83" t="s">
        <v>650</v>
      </c>
      <c r="G190" s="126">
        <v>25.033329999999999</v>
      </c>
      <c r="H190" s="83" t="s">
        <v>125</v>
      </c>
      <c r="I190" s="83" t="s">
        <v>94</v>
      </c>
      <c r="J190" s="126">
        <v>50.07</v>
      </c>
      <c r="K190" s="83" t="s">
        <v>13</v>
      </c>
      <c r="L190" s="83" t="s">
        <v>39</v>
      </c>
      <c r="M190" s="83" t="s">
        <v>13</v>
      </c>
    </row>
    <row r="191" spans="1:13">
      <c r="A191" s="83">
        <v>190</v>
      </c>
      <c r="B191" s="83" t="s">
        <v>651</v>
      </c>
      <c r="C191" s="83" t="s">
        <v>73</v>
      </c>
      <c r="D191" s="83" t="s">
        <v>123</v>
      </c>
      <c r="E191" s="83" t="s">
        <v>652</v>
      </c>
      <c r="F191" s="83" t="s">
        <v>653</v>
      </c>
      <c r="G191" s="126">
        <v>60.6</v>
      </c>
      <c r="H191" s="83" t="s">
        <v>125</v>
      </c>
      <c r="I191" s="83" t="s">
        <v>94</v>
      </c>
      <c r="J191" s="126">
        <v>121.2</v>
      </c>
      <c r="K191" s="83" t="s">
        <v>8</v>
      </c>
      <c r="L191" s="83" t="s">
        <v>105</v>
      </c>
      <c r="M191" s="83" t="s">
        <v>96</v>
      </c>
    </row>
    <row r="192" spans="1:13">
      <c r="A192" s="83">
        <v>191</v>
      </c>
      <c r="B192" s="83" t="s">
        <v>651</v>
      </c>
      <c r="C192" s="83" t="s">
        <v>73</v>
      </c>
      <c r="D192" s="83" t="s">
        <v>123</v>
      </c>
      <c r="E192" s="83" t="s">
        <v>654</v>
      </c>
      <c r="F192" s="83" t="s">
        <v>655</v>
      </c>
      <c r="G192" s="126">
        <v>5.2833300000000003</v>
      </c>
      <c r="H192" s="83" t="s">
        <v>125</v>
      </c>
      <c r="I192" s="83" t="s">
        <v>94</v>
      </c>
      <c r="J192" s="126">
        <v>10.57</v>
      </c>
      <c r="K192" s="83" t="s">
        <v>8</v>
      </c>
      <c r="L192" s="83" t="s">
        <v>105</v>
      </c>
      <c r="M192" s="83" t="s">
        <v>96</v>
      </c>
    </row>
    <row r="193" spans="1:13">
      <c r="A193" s="83">
        <v>192</v>
      </c>
      <c r="B193" s="83" t="s">
        <v>656</v>
      </c>
      <c r="C193" s="83" t="s">
        <v>74</v>
      </c>
      <c r="D193" s="83" t="s">
        <v>123</v>
      </c>
      <c r="E193" s="83" t="s">
        <v>657</v>
      </c>
      <c r="F193" s="83" t="s">
        <v>658</v>
      </c>
      <c r="G193" s="126">
        <v>221.96666999999999</v>
      </c>
      <c r="H193" s="83" t="s">
        <v>128</v>
      </c>
      <c r="I193" s="83" t="s">
        <v>94</v>
      </c>
      <c r="J193" s="126">
        <v>443.93</v>
      </c>
      <c r="K193" s="83" t="s">
        <v>4</v>
      </c>
      <c r="L193" s="83" t="s">
        <v>21</v>
      </c>
      <c r="M193" s="83" t="s">
        <v>139</v>
      </c>
    </row>
    <row r="194" spans="1:13">
      <c r="A194" s="83">
        <v>193</v>
      </c>
      <c r="B194" s="83" t="s">
        <v>659</v>
      </c>
      <c r="C194" s="83" t="s">
        <v>74</v>
      </c>
      <c r="D194" s="83" t="s">
        <v>130</v>
      </c>
      <c r="E194" s="83" t="s">
        <v>660</v>
      </c>
      <c r="F194" s="83" t="s">
        <v>661</v>
      </c>
      <c r="G194" s="126">
        <v>72.2</v>
      </c>
      <c r="H194" s="83" t="s">
        <v>125</v>
      </c>
      <c r="I194" s="83" t="s">
        <v>94</v>
      </c>
      <c r="J194" s="126">
        <v>111.68</v>
      </c>
      <c r="K194" s="83" t="s">
        <v>4</v>
      </c>
      <c r="L194" s="83" t="s">
        <v>26</v>
      </c>
      <c r="M194" s="83" t="s">
        <v>120</v>
      </c>
    </row>
    <row r="195" spans="1:13">
      <c r="A195" s="83">
        <v>194</v>
      </c>
      <c r="B195" s="83" t="s">
        <v>531</v>
      </c>
      <c r="C195" s="83" t="s">
        <v>74</v>
      </c>
      <c r="D195" s="83" t="s">
        <v>123</v>
      </c>
      <c r="E195" s="83" t="s">
        <v>662</v>
      </c>
      <c r="F195" s="83" t="s">
        <v>663</v>
      </c>
      <c r="G195" s="126">
        <v>12.33333</v>
      </c>
      <c r="H195" s="83" t="s">
        <v>128</v>
      </c>
      <c r="I195" s="83" t="s">
        <v>95</v>
      </c>
      <c r="J195" s="126">
        <v>29.6</v>
      </c>
      <c r="K195" s="83" t="s">
        <v>8</v>
      </c>
      <c r="L195" s="83" t="s">
        <v>51</v>
      </c>
      <c r="M195" s="83" t="s">
        <v>8</v>
      </c>
    </row>
    <row r="196" spans="1:13">
      <c r="A196" s="83">
        <v>195</v>
      </c>
      <c r="B196" s="83" t="s">
        <v>593</v>
      </c>
      <c r="C196" s="83" t="s">
        <v>74</v>
      </c>
      <c r="D196" s="83" t="s">
        <v>129</v>
      </c>
      <c r="E196" s="83" t="s">
        <v>664</v>
      </c>
      <c r="F196" s="83" t="s">
        <v>665</v>
      </c>
      <c r="G196" s="126">
        <v>5.05</v>
      </c>
      <c r="H196" s="83" t="s">
        <v>125</v>
      </c>
      <c r="I196" s="83" t="s">
        <v>95</v>
      </c>
      <c r="J196" s="126">
        <v>12.12</v>
      </c>
      <c r="K196" s="83" t="s">
        <v>5</v>
      </c>
      <c r="L196" s="83" t="s">
        <v>31</v>
      </c>
      <c r="M196" s="83" t="s">
        <v>141</v>
      </c>
    </row>
    <row r="197" spans="1:13">
      <c r="A197" s="83">
        <v>196</v>
      </c>
      <c r="B197" s="83" t="s">
        <v>666</v>
      </c>
      <c r="C197" s="83" t="s">
        <v>74</v>
      </c>
      <c r="D197" s="83" t="s">
        <v>130</v>
      </c>
      <c r="E197" s="83" t="s">
        <v>667</v>
      </c>
      <c r="F197" s="83" t="s">
        <v>668</v>
      </c>
      <c r="G197" s="126">
        <v>66.783330000000007</v>
      </c>
      <c r="H197" s="83" t="s">
        <v>124</v>
      </c>
      <c r="I197" s="83" t="s">
        <v>95</v>
      </c>
      <c r="J197" s="126">
        <v>160.28</v>
      </c>
      <c r="K197" s="83" t="s">
        <v>5</v>
      </c>
      <c r="L197" s="83" t="s">
        <v>29</v>
      </c>
      <c r="M197" s="83" t="s">
        <v>99</v>
      </c>
    </row>
    <row r="198" spans="1:13">
      <c r="A198" s="83">
        <v>197</v>
      </c>
      <c r="B198" s="83" t="s">
        <v>669</v>
      </c>
      <c r="C198" s="83" t="s">
        <v>74</v>
      </c>
      <c r="D198" s="83" t="s">
        <v>123</v>
      </c>
      <c r="E198" s="83" t="s">
        <v>670</v>
      </c>
      <c r="F198" s="83" t="s">
        <v>671</v>
      </c>
      <c r="G198" s="126">
        <v>92.35</v>
      </c>
      <c r="H198" s="83" t="s">
        <v>124</v>
      </c>
      <c r="I198" s="83" t="s">
        <v>95</v>
      </c>
      <c r="J198" s="126">
        <v>213.66</v>
      </c>
      <c r="K198" s="83" t="s">
        <v>9</v>
      </c>
      <c r="L198" s="83" t="s">
        <v>55</v>
      </c>
      <c r="M198" s="83" t="s">
        <v>133</v>
      </c>
    </row>
    <row r="199" spans="1:13">
      <c r="A199" s="83">
        <v>198</v>
      </c>
      <c r="B199" s="83" t="s">
        <v>672</v>
      </c>
      <c r="C199" s="83" t="s">
        <v>74</v>
      </c>
      <c r="D199" s="83" t="s">
        <v>123</v>
      </c>
      <c r="E199" s="83" t="s">
        <v>673</v>
      </c>
      <c r="F199" s="83" t="s">
        <v>674</v>
      </c>
      <c r="G199" s="126">
        <v>11.73333</v>
      </c>
      <c r="H199" s="83" t="s">
        <v>125</v>
      </c>
      <c r="I199" s="83" t="s">
        <v>95</v>
      </c>
      <c r="J199" s="126">
        <v>28.16</v>
      </c>
      <c r="K199" s="83" t="s">
        <v>8</v>
      </c>
      <c r="L199" s="83" t="s">
        <v>48</v>
      </c>
      <c r="M199" s="83" t="s">
        <v>98</v>
      </c>
    </row>
    <row r="200" spans="1:13">
      <c r="A200" s="83">
        <v>199</v>
      </c>
      <c r="B200" s="83" t="s">
        <v>675</v>
      </c>
      <c r="C200" s="83" t="s">
        <v>74</v>
      </c>
      <c r="D200" s="83" t="s">
        <v>123</v>
      </c>
      <c r="E200" s="83" t="s">
        <v>676</v>
      </c>
      <c r="F200" s="83" t="s">
        <v>677</v>
      </c>
      <c r="G200" s="126">
        <v>11.633330000000001</v>
      </c>
      <c r="H200" s="83" t="s">
        <v>125</v>
      </c>
      <c r="I200" s="83" t="s">
        <v>95</v>
      </c>
      <c r="J200" s="126">
        <v>27.92</v>
      </c>
      <c r="K200" s="83" t="s">
        <v>8</v>
      </c>
      <c r="L200" s="83" t="s">
        <v>48</v>
      </c>
      <c r="M200" s="83" t="s">
        <v>98</v>
      </c>
    </row>
    <row r="201" spans="1:13">
      <c r="A201" s="83">
        <v>200</v>
      </c>
      <c r="B201" s="83" t="s">
        <v>678</v>
      </c>
      <c r="C201" s="83" t="s">
        <v>73</v>
      </c>
      <c r="D201" s="83" t="s">
        <v>123</v>
      </c>
      <c r="E201" s="83" t="s">
        <v>679</v>
      </c>
      <c r="F201" s="83" t="s">
        <v>680</v>
      </c>
      <c r="G201" s="126">
        <v>37.883330000000001</v>
      </c>
      <c r="H201" s="83" t="s">
        <v>125</v>
      </c>
      <c r="I201" s="83" t="s">
        <v>95</v>
      </c>
      <c r="J201" s="126">
        <v>90.92</v>
      </c>
      <c r="K201" s="83" t="s">
        <v>14</v>
      </c>
      <c r="L201" s="83" t="s">
        <v>47</v>
      </c>
      <c r="M201" s="83" t="s">
        <v>14</v>
      </c>
    </row>
    <row r="202" spans="1:13">
      <c r="A202" s="83">
        <v>201</v>
      </c>
      <c r="B202" s="83" t="s">
        <v>681</v>
      </c>
      <c r="C202" s="83" t="s">
        <v>74</v>
      </c>
      <c r="D202" s="83" t="s">
        <v>123</v>
      </c>
      <c r="E202" s="83" t="s">
        <v>682</v>
      </c>
      <c r="F202" s="83" t="s">
        <v>683</v>
      </c>
      <c r="G202" s="126">
        <v>25.383330000000001</v>
      </c>
      <c r="H202" s="83" t="s">
        <v>125</v>
      </c>
      <c r="I202" s="83" t="s">
        <v>95</v>
      </c>
      <c r="J202" s="126">
        <v>60.92</v>
      </c>
      <c r="K202" s="83" t="s">
        <v>9</v>
      </c>
      <c r="L202" s="83" t="s">
        <v>57</v>
      </c>
      <c r="M202" s="83" t="s">
        <v>138</v>
      </c>
    </row>
    <row r="203" spans="1:13">
      <c r="A203" s="83">
        <v>202</v>
      </c>
      <c r="B203" s="83" t="s">
        <v>684</v>
      </c>
      <c r="C203" s="83" t="s">
        <v>74</v>
      </c>
      <c r="D203" s="83" t="s">
        <v>123</v>
      </c>
      <c r="E203" s="83" t="s">
        <v>682</v>
      </c>
      <c r="F203" s="83" t="s">
        <v>685</v>
      </c>
      <c r="G203" s="126">
        <v>25.266670000000001</v>
      </c>
      <c r="H203" s="83" t="s">
        <v>125</v>
      </c>
      <c r="I203" s="83" t="s">
        <v>95</v>
      </c>
      <c r="J203" s="126">
        <v>60.64</v>
      </c>
      <c r="K203" s="83" t="s">
        <v>9</v>
      </c>
      <c r="L203" s="83" t="s">
        <v>57</v>
      </c>
      <c r="M203" s="83" t="s">
        <v>138</v>
      </c>
    </row>
    <row r="204" spans="1:13">
      <c r="A204" s="83">
        <v>203</v>
      </c>
      <c r="B204" s="83" t="s">
        <v>614</v>
      </c>
      <c r="C204" s="83" t="s">
        <v>73</v>
      </c>
      <c r="D204" s="83" t="s">
        <v>123</v>
      </c>
      <c r="E204" s="83" t="s">
        <v>686</v>
      </c>
      <c r="F204" s="83" t="s">
        <v>687</v>
      </c>
      <c r="G204" s="126">
        <v>29.3</v>
      </c>
      <c r="H204" s="83" t="s">
        <v>125</v>
      </c>
      <c r="I204" s="83" t="s">
        <v>95</v>
      </c>
      <c r="J204" s="126">
        <v>36.979999999999997</v>
      </c>
      <c r="K204" s="83" t="s">
        <v>132</v>
      </c>
      <c r="L204" s="83" t="s">
        <v>37</v>
      </c>
      <c r="M204" s="83" t="s">
        <v>132</v>
      </c>
    </row>
    <row r="205" spans="1:13">
      <c r="A205" s="83">
        <v>204</v>
      </c>
      <c r="B205" s="83" t="s">
        <v>688</v>
      </c>
      <c r="C205" s="83" t="s">
        <v>74</v>
      </c>
      <c r="D205" s="83" t="s">
        <v>123</v>
      </c>
      <c r="E205" s="83" t="s">
        <v>689</v>
      </c>
      <c r="F205" s="83" t="s">
        <v>690</v>
      </c>
      <c r="G205" s="126">
        <v>129</v>
      </c>
      <c r="H205" s="83" t="s">
        <v>124</v>
      </c>
      <c r="I205" s="83" t="s">
        <v>95</v>
      </c>
      <c r="J205" s="126">
        <v>309.60000000000002</v>
      </c>
      <c r="K205" s="83" t="s">
        <v>8</v>
      </c>
      <c r="L205" s="83" t="s">
        <v>51</v>
      </c>
      <c r="M205" s="83" t="s">
        <v>8</v>
      </c>
    </row>
    <row r="206" spans="1:13">
      <c r="A206" s="83">
        <v>205</v>
      </c>
      <c r="B206" s="83" t="s">
        <v>691</v>
      </c>
      <c r="C206" s="83" t="s">
        <v>74</v>
      </c>
      <c r="D206" s="83" t="s">
        <v>123</v>
      </c>
      <c r="E206" s="83" t="s">
        <v>689</v>
      </c>
      <c r="F206" s="83" t="s">
        <v>692</v>
      </c>
      <c r="G206" s="126">
        <v>117.23333</v>
      </c>
      <c r="H206" s="83" t="s">
        <v>124</v>
      </c>
      <c r="I206" s="83" t="s">
        <v>95</v>
      </c>
      <c r="J206" s="126">
        <v>281.36</v>
      </c>
      <c r="K206" s="83" t="s">
        <v>8</v>
      </c>
      <c r="L206" s="83" t="s">
        <v>51</v>
      </c>
      <c r="M206" s="83" t="s">
        <v>96</v>
      </c>
    </row>
    <row r="207" spans="1:13">
      <c r="A207" s="83">
        <v>206</v>
      </c>
      <c r="B207" s="83" t="s">
        <v>693</v>
      </c>
      <c r="C207" s="83" t="s">
        <v>74</v>
      </c>
      <c r="D207" s="83" t="s">
        <v>123</v>
      </c>
      <c r="E207" s="83" t="s">
        <v>689</v>
      </c>
      <c r="F207" s="83" t="s">
        <v>694</v>
      </c>
      <c r="G207" s="126">
        <v>136.15</v>
      </c>
      <c r="H207" s="83" t="s">
        <v>124</v>
      </c>
      <c r="I207" s="83" t="s">
        <v>95</v>
      </c>
      <c r="J207" s="126">
        <v>326.76</v>
      </c>
      <c r="K207" s="83" t="s">
        <v>8</v>
      </c>
      <c r="L207" s="83" t="s">
        <v>51</v>
      </c>
      <c r="M207" s="83" t="s">
        <v>8</v>
      </c>
    </row>
    <row r="208" spans="1:13">
      <c r="A208" s="83">
        <v>207</v>
      </c>
      <c r="B208" s="83" t="s">
        <v>695</v>
      </c>
      <c r="C208" s="83" t="s">
        <v>74</v>
      </c>
      <c r="D208" s="83" t="s">
        <v>123</v>
      </c>
      <c r="E208" s="83" t="s">
        <v>689</v>
      </c>
      <c r="F208" s="83" t="s">
        <v>696</v>
      </c>
      <c r="G208" s="126">
        <v>117.48333</v>
      </c>
      <c r="H208" s="83" t="s">
        <v>124</v>
      </c>
      <c r="I208" s="83" t="s">
        <v>95</v>
      </c>
      <c r="J208" s="126">
        <v>281.95999999999998</v>
      </c>
      <c r="K208" s="83" t="s">
        <v>8</v>
      </c>
      <c r="L208" s="83" t="s">
        <v>51</v>
      </c>
      <c r="M208" s="83" t="s">
        <v>8</v>
      </c>
    </row>
    <row r="209" spans="1:13">
      <c r="A209" s="83">
        <v>208</v>
      </c>
      <c r="B209" s="83" t="s">
        <v>697</v>
      </c>
      <c r="C209" s="83" t="s">
        <v>74</v>
      </c>
      <c r="D209" s="83" t="s">
        <v>123</v>
      </c>
      <c r="E209" s="83" t="s">
        <v>698</v>
      </c>
      <c r="F209" s="83" t="s">
        <v>699</v>
      </c>
      <c r="G209" s="126">
        <v>5.45</v>
      </c>
      <c r="H209" s="83" t="s">
        <v>125</v>
      </c>
      <c r="I209" s="83" t="s">
        <v>95</v>
      </c>
      <c r="J209" s="126">
        <v>13.08</v>
      </c>
      <c r="K209" s="83" t="s">
        <v>8</v>
      </c>
      <c r="L209" s="83" t="s">
        <v>104</v>
      </c>
      <c r="M209" s="83" t="s">
        <v>8</v>
      </c>
    </row>
    <row r="210" spans="1:13">
      <c r="A210" s="83">
        <v>209</v>
      </c>
      <c r="B210" s="83" t="s">
        <v>700</v>
      </c>
      <c r="C210" s="83" t="s">
        <v>73</v>
      </c>
      <c r="D210" s="83" t="s">
        <v>123</v>
      </c>
      <c r="E210" s="83" t="s">
        <v>701</v>
      </c>
      <c r="F210" s="83" t="s">
        <v>702</v>
      </c>
      <c r="G210" s="126">
        <v>5.0999999999999996</v>
      </c>
      <c r="H210" s="83" t="s">
        <v>125</v>
      </c>
      <c r="I210" s="83" t="s">
        <v>95</v>
      </c>
      <c r="J210" s="126">
        <v>12.24</v>
      </c>
      <c r="K210" s="83" t="s">
        <v>8</v>
      </c>
      <c r="L210" s="83" t="s">
        <v>105</v>
      </c>
      <c r="M210" s="83" t="s">
        <v>96</v>
      </c>
    </row>
    <row r="211" spans="1:13">
      <c r="A211" s="83">
        <v>210</v>
      </c>
      <c r="B211" s="83" t="s">
        <v>700</v>
      </c>
      <c r="C211" s="83" t="s">
        <v>73</v>
      </c>
      <c r="D211" s="83" t="s">
        <v>123</v>
      </c>
      <c r="E211" s="83" t="s">
        <v>703</v>
      </c>
      <c r="F211" s="83" t="s">
        <v>704</v>
      </c>
      <c r="G211" s="126">
        <v>30.183330000000002</v>
      </c>
      <c r="H211" s="83" t="s">
        <v>125</v>
      </c>
      <c r="I211" s="83" t="s">
        <v>95</v>
      </c>
      <c r="J211" s="126">
        <v>72.44</v>
      </c>
      <c r="K211" s="83" t="s">
        <v>8</v>
      </c>
      <c r="L211" s="83" t="s">
        <v>105</v>
      </c>
      <c r="M211" s="83" t="s">
        <v>96</v>
      </c>
    </row>
    <row r="212" spans="1:13">
      <c r="A212" s="83">
        <v>211</v>
      </c>
      <c r="B212" s="83" t="s">
        <v>697</v>
      </c>
      <c r="C212" s="83" t="s">
        <v>74</v>
      </c>
      <c r="D212" s="83" t="s">
        <v>123</v>
      </c>
      <c r="E212" s="83" t="s">
        <v>705</v>
      </c>
      <c r="F212" s="83" t="s">
        <v>706</v>
      </c>
      <c r="G212" s="126">
        <v>6.5</v>
      </c>
      <c r="H212" s="83" t="s">
        <v>125</v>
      </c>
      <c r="I212" s="83" t="s">
        <v>95</v>
      </c>
      <c r="J212" s="126">
        <v>15.6</v>
      </c>
      <c r="K212" s="83" t="s">
        <v>8</v>
      </c>
      <c r="L212" s="83" t="s">
        <v>104</v>
      </c>
      <c r="M212" s="83" t="s">
        <v>8</v>
      </c>
    </row>
    <row r="213" spans="1:13">
      <c r="A213" s="83">
        <v>212</v>
      </c>
      <c r="B213" s="83" t="s">
        <v>707</v>
      </c>
      <c r="C213" s="83" t="s">
        <v>74</v>
      </c>
      <c r="D213" s="83" t="s">
        <v>123</v>
      </c>
      <c r="E213" s="83" t="s">
        <v>708</v>
      </c>
      <c r="F213" s="83" t="s">
        <v>709</v>
      </c>
      <c r="G213" s="126">
        <v>12.83333</v>
      </c>
      <c r="H213" s="83" t="s">
        <v>125</v>
      </c>
      <c r="I213" s="83" t="s">
        <v>95</v>
      </c>
      <c r="J213" s="126">
        <v>30.8</v>
      </c>
      <c r="K213" s="83" t="s">
        <v>8</v>
      </c>
      <c r="L213" s="83" t="s">
        <v>104</v>
      </c>
      <c r="M213" s="83" t="s">
        <v>96</v>
      </c>
    </row>
    <row r="214" spans="1:13">
      <c r="A214" s="83">
        <v>213</v>
      </c>
      <c r="B214" s="83" t="s">
        <v>710</v>
      </c>
      <c r="C214" s="83" t="s">
        <v>74</v>
      </c>
      <c r="D214" s="83" t="s">
        <v>123</v>
      </c>
      <c r="E214" s="83" t="s">
        <v>711</v>
      </c>
      <c r="F214" s="83" t="s">
        <v>712</v>
      </c>
      <c r="G214" s="126">
        <v>12.18333</v>
      </c>
      <c r="H214" s="83" t="s">
        <v>125</v>
      </c>
      <c r="I214" s="83" t="s">
        <v>95</v>
      </c>
      <c r="J214" s="126">
        <v>29.24</v>
      </c>
      <c r="K214" s="83" t="s">
        <v>8</v>
      </c>
      <c r="L214" s="83" t="s">
        <v>104</v>
      </c>
      <c r="M214" s="83" t="s">
        <v>96</v>
      </c>
    </row>
    <row r="215" spans="1:13">
      <c r="A215" s="83">
        <v>214</v>
      </c>
      <c r="B215" s="83" t="s">
        <v>637</v>
      </c>
      <c r="C215" s="83" t="s">
        <v>74</v>
      </c>
      <c r="D215" s="83" t="s">
        <v>123</v>
      </c>
      <c r="E215" s="83" t="s">
        <v>713</v>
      </c>
      <c r="F215" s="83" t="s">
        <v>714</v>
      </c>
      <c r="G215" s="126">
        <v>67.383330000000001</v>
      </c>
      <c r="H215" s="83" t="s">
        <v>124</v>
      </c>
      <c r="I215" s="83" t="s">
        <v>95</v>
      </c>
      <c r="J215" s="126">
        <v>161.72</v>
      </c>
      <c r="K215" s="83" t="s">
        <v>4</v>
      </c>
      <c r="L215" s="83" t="s">
        <v>27</v>
      </c>
      <c r="M215" s="83" t="s">
        <v>148</v>
      </c>
    </row>
    <row r="216" spans="1:13">
      <c r="A216" s="83">
        <v>215</v>
      </c>
      <c r="B216" s="83" t="s">
        <v>707</v>
      </c>
      <c r="C216" s="83" t="s">
        <v>74</v>
      </c>
      <c r="D216" s="83" t="s">
        <v>123</v>
      </c>
      <c r="E216" s="83" t="s">
        <v>715</v>
      </c>
      <c r="F216" s="83" t="s">
        <v>716</v>
      </c>
      <c r="G216" s="126">
        <v>6.1833299999999998</v>
      </c>
      <c r="H216" s="83" t="s">
        <v>126</v>
      </c>
      <c r="I216" s="83" t="s">
        <v>95</v>
      </c>
      <c r="J216" s="126">
        <v>14.84</v>
      </c>
      <c r="K216" s="83" t="s">
        <v>8</v>
      </c>
      <c r="L216" s="83" t="s">
        <v>104</v>
      </c>
      <c r="M216" s="83" t="s">
        <v>96</v>
      </c>
    </row>
    <row r="217" spans="1:13">
      <c r="A217" s="83">
        <v>216</v>
      </c>
      <c r="B217" s="83" t="s">
        <v>637</v>
      </c>
      <c r="C217" s="83" t="s">
        <v>74</v>
      </c>
      <c r="D217" s="83" t="s">
        <v>123</v>
      </c>
      <c r="E217" s="83" t="s">
        <v>717</v>
      </c>
      <c r="F217" s="83" t="s">
        <v>718</v>
      </c>
      <c r="G217" s="126">
        <v>7.6166700000000001</v>
      </c>
      <c r="H217" s="83" t="s">
        <v>124</v>
      </c>
      <c r="I217" s="83" t="s">
        <v>95</v>
      </c>
      <c r="J217" s="126">
        <v>9.14</v>
      </c>
      <c r="K217" s="83" t="s">
        <v>4</v>
      </c>
      <c r="L217" s="83" t="s">
        <v>27</v>
      </c>
      <c r="M217" s="83" t="s">
        <v>148</v>
      </c>
    </row>
    <row r="218" spans="1:13">
      <c r="A218" s="83">
        <v>217</v>
      </c>
      <c r="B218" s="83" t="s">
        <v>719</v>
      </c>
      <c r="C218" s="83" t="s">
        <v>74</v>
      </c>
      <c r="D218" s="83" t="s">
        <v>123</v>
      </c>
      <c r="E218" s="83" t="s">
        <v>720</v>
      </c>
      <c r="F218" s="83" t="s">
        <v>721</v>
      </c>
      <c r="G218" s="126">
        <v>5.1166700000000001</v>
      </c>
      <c r="H218" s="83" t="s">
        <v>125</v>
      </c>
      <c r="I218" s="83" t="s">
        <v>95</v>
      </c>
      <c r="J218" s="126">
        <v>12.28</v>
      </c>
      <c r="K218" s="83" t="s">
        <v>8</v>
      </c>
      <c r="L218" s="83" t="s">
        <v>52</v>
      </c>
      <c r="M218" s="83" t="s">
        <v>98</v>
      </c>
    </row>
    <row r="219" spans="1:13">
      <c r="A219" s="83">
        <v>218</v>
      </c>
      <c r="B219" s="83" t="s">
        <v>468</v>
      </c>
      <c r="C219" s="83" t="s">
        <v>74</v>
      </c>
      <c r="D219" s="83" t="s">
        <v>130</v>
      </c>
      <c r="E219" s="83" t="s">
        <v>722</v>
      </c>
      <c r="F219" s="83" t="s">
        <v>723</v>
      </c>
      <c r="G219" s="126">
        <v>50.983330000000002</v>
      </c>
      <c r="H219" s="83" t="s">
        <v>124</v>
      </c>
      <c r="I219" s="83" t="s">
        <v>95</v>
      </c>
      <c r="J219" s="126">
        <v>122.36</v>
      </c>
      <c r="K219" s="83" t="s">
        <v>8</v>
      </c>
      <c r="L219" s="83" t="s">
        <v>49</v>
      </c>
      <c r="M219" s="83" t="s">
        <v>8</v>
      </c>
    </row>
    <row r="220" spans="1:13">
      <c r="A220" s="83">
        <v>219</v>
      </c>
      <c r="B220" s="83" t="s">
        <v>724</v>
      </c>
      <c r="C220" s="83" t="s">
        <v>74</v>
      </c>
      <c r="D220" s="83" t="s">
        <v>130</v>
      </c>
      <c r="E220" s="83" t="s">
        <v>725</v>
      </c>
      <c r="F220" s="83" t="s">
        <v>726</v>
      </c>
      <c r="G220" s="126">
        <v>24.83333</v>
      </c>
      <c r="H220" s="83" t="s">
        <v>125</v>
      </c>
      <c r="I220" s="83" t="s">
        <v>95</v>
      </c>
      <c r="J220" s="126">
        <v>59.6</v>
      </c>
      <c r="K220" s="83" t="s">
        <v>13</v>
      </c>
      <c r="L220" s="83" t="s">
        <v>39</v>
      </c>
      <c r="M220" s="83" t="s">
        <v>13</v>
      </c>
    </row>
    <row r="221" spans="1:13">
      <c r="A221" s="83">
        <v>220</v>
      </c>
      <c r="B221" s="83" t="s">
        <v>727</v>
      </c>
      <c r="C221" s="83" t="s">
        <v>73</v>
      </c>
      <c r="D221" s="83" t="s">
        <v>123</v>
      </c>
      <c r="E221" s="83" t="s">
        <v>728</v>
      </c>
      <c r="F221" s="83" t="s">
        <v>729</v>
      </c>
      <c r="G221" s="126">
        <v>58.633330000000001</v>
      </c>
      <c r="H221" s="83" t="s">
        <v>125</v>
      </c>
      <c r="I221" s="83" t="s">
        <v>95</v>
      </c>
      <c r="J221" s="126">
        <v>140.72</v>
      </c>
      <c r="K221" s="83" t="s">
        <v>8</v>
      </c>
      <c r="L221" s="83" t="s">
        <v>105</v>
      </c>
      <c r="M221" s="83" t="s">
        <v>96</v>
      </c>
    </row>
    <row r="222" spans="1:13">
      <c r="A222" s="83">
        <v>221</v>
      </c>
      <c r="B222" s="83" t="s">
        <v>730</v>
      </c>
      <c r="C222" s="83" t="s">
        <v>73</v>
      </c>
      <c r="D222" s="83" t="s">
        <v>123</v>
      </c>
      <c r="E222" s="83" t="s">
        <v>731</v>
      </c>
      <c r="F222" s="83" t="s">
        <v>732</v>
      </c>
      <c r="G222" s="126">
        <v>65.900000000000006</v>
      </c>
      <c r="H222" s="83" t="s">
        <v>125</v>
      </c>
      <c r="I222" s="83" t="s">
        <v>95</v>
      </c>
      <c r="J222" s="126">
        <v>158.16</v>
      </c>
      <c r="K222" s="83" t="s">
        <v>8</v>
      </c>
      <c r="L222" s="83" t="s">
        <v>105</v>
      </c>
      <c r="M222" s="83" t="s">
        <v>96</v>
      </c>
    </row>
    <row r="223" spans="1:13">
      <c r="A223" s="83">
        <v>222</v>
      </c>
      <c r="B223" s="83" t="s">
        <v>733</v>
      </c>
      <c r="C223" s="83" t="s">
        <v>74</v>
      </c>
      <c r="D223" s="83" t="s">
        <v>123</v>
      </c>
      <c r="E223" s="83" t="s">
        <v>734</v>
      </c>
      <c r="F223" s="83" t="s">
        <v>735</v>
      </c>
      <c r="G223" s="126">
        <v>60.016669999999998</v>
      </c>
      <c r="H223" s="83" t="s">
        <v>124</v>
      </c>
      <c r="I223" s="83" t="s">
        <v>95</v>
      </c>
      <c r="J223" s="126">
        <v>144.04</v>
      </c>
      <c r="K223" s="83" t="s">
        <v>13</v>
      </c>
      <c r="L223" s="83" t="s">
        <v>41</v>
      </c>
      <c r="M223" s="83" t="s">
        <v>137</v>
      </c>
    </row>
    <row r="224" spans="1:13">
      <c r="A224" s="83">
        <v>223</v>
      </c>
      <c r="B224" s="83" t="s">
        <v>656</v>
      </c>
      <c r="C224" s="83" t="s">
        <v>74</v>
      </c>
      <c r="D224" s="83" t="s">
        <v>123</v>
      </c>
      <c r="E224" s="83" t="s">
        <v>736</v>
      </c>
      <c r="F224" s="83" t="s">
        <v>737</v>
      </c>
      <c r="G224" s="126">
        <v>219.96666999999999</v>
      </c>
      <c r="H224" s="83" t="s">
        <v>128</v>
      </c>
      <c r="I224" s="83" t="s">
        <v>95</v>
      </c>
      <c r="J224" s="126">
        <v>527.91999999999996</v>
      </c>
      <c r="K224" s="83" t="s">
        <v>4</v>
      </c>
      <c r="L224" s="83" t="s">
        <v>21</v>
      </c>
      <c r="M224" s="83" t="s">
        <v>139</v>
      </c>
    </row>
    <row r="225" spans="1:13">
      <c r="A225" s="83">
        <v>224</v>
      </c>
      <c r="B225" s="83" t="s">
        <v>659</v>
      </c>
      <c r="C225" s="83" t="s">
        <v>74</v>
      </c>
      <c r="D225" s="83" t="s">
        <v>130</v>
      </c>
      <c r="E225" s="83" t="s">
        <v>738</v>
      </c>
      <c r="F225" s="83" t="s">
        <v>739</v>
      </c>
      <c r="G225" s="126">
        <v>80.083330000000004</v>
      </c>
      <c r="H225" s="83" t="s">
        <v>125</v>
      </c>
      <c r="I225" s="83" t="s">
        <v>95</v>
      </c>
      <c r="J225" s="126">
        <v>152.66</v>
      </c>
      <c r="K225" s="83" t="s">
        <v>4</v>
      </c>
      <c r="L225" s="83" t="s">
        <v>26</v>
      </c>
      <c r="M225" s="83" t="s">
        <v>120</v>
      </c>
    </row>
    <row r="226" spans="1:13">
      <c r="A226" s="83">
        <v>225</v>
      </c>
      <c r="B226" s="83" t="s">
        <v>740</v>
      </c>
      <c r="C226" s="83" t="s">
        <v>73</v>
      </c>
      <c r="D226" s="83" t="s">
        <v>123</v>
      </c>
      <c r="E226" s="83" t="s">
        <v>741</v>
      </c>
      <c r="F226" s="83" t="s">
        <v>742</v>
      </c>
      <c r="G226" s="126">
        <v>29.83333</v>
      </c>
      <c r="H226" s="83" t="s">
        <v>125</v>
      </c>
      <c r="I226" s="83" t="s">
        <v>97</v>
      </c>
      <c r="J226" s="126">
        <v>89.5</v>
      </c>
      <c r="K226" s="83" t="s">
        <v>14</v>
      </c>
      <c r="L226" s="83" t="s">
        <v>47</v>
      </c>
      <c r="M226" s="83" t="s">
        <v>14</v>
      </c>
    </row>
    <row r="227" spans="1:13">
      <c r="A227" s="83">
        <v>226</v>
      </c>
      <c r="B227" s="83" t="s">
        <v>743</v>
      </c>
      <c r="C227" s="83" t="s">
        <v>73</v>
      </c>
      <c r="D227" s="83" t="s">
        <v>123</v>
      </c>
      <c r="E227" s="83" t="s">
        <v>744</v>
      </c>
      <c r="F227" s="83" t="s">
        <v>745</v>
      </c>
      <c r="G227" s="126">
        <v>24.15</v>
      </c>
      <c r="H227" s="83" t="s">
        <v>125</v>
      </c>
      <c r="I227" s="83" t="s">
        <v>97</v>
      </c>
      <c r="J227" s="126">
        <v>36.22</v>
      </c>
      <c r="K227" s="83" t="s">
        <v>132</v>
      </c>
      <c r="L227" s="83" t="s">
        <v>37</v>
      </c>
      <c r="M227" s="83" t="s">
        <v>132</v>
      </c>
    </row>
    <row r="228" spans="1:13">
      <c r="A228" s="83">
        <v>227</v>
      </c>
      <c r="B228" s="83" t="s">
        <v>746</v>
      </c>
      <c r="C228" s="83" t="s">
        <v>74</v>
      </c>
      <c r="D228" s="83" t="s">
        <v>123</v>
      </c>
      <c r="E228" s="83" t="s">
        <v>747</v>
      </c>
      <c r="F228" s="83" t="s">
        <v>748</v>
      </c>
      <c r="G228" s="126">
        <v>59.933329999999998</v>
      </c>
      <c r="H228" s="83" t="s">
        <v>124</v>
      </c>
      <c r="I228" s="83" t="s">
        <v>97</v>
      </c>
      <c r="J228" s="126">
        <v>179.8</v>
      </c>
      <c r="K228" s="83" t="s">
        <v>9</v>
      </c>
      <c r="L228" s="83" t="s">
        <v>24</v>
      </c>
      <c r="M228" s="83" t="s">
        <v>9</v>
      </c>
    </row>
  </sheetData>
  <autoFilter ref="A1:M69" xr:uid="{6FD898E8-7050-42E5-8F5E-E0EE81F0792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338F-2C1B-42E2-A351-DD7EB8ECCFB4}">
  <dimension ref="A1:I37"/>
  <sheetViews>
    <sheetView tabSelected="1" zoomScale="68" workbookViewId="0">
      <selection activeCell="L15" sqref="L15"/>
    </sheetView>
  </sheetViews>
  <sheetFormatPr defaultColWidth="9.21875" defaultRowHeight="14.4"/>
  <cols>
    <col min="1" max="1" width="9.21875" style="85"/>
    <col min="2" max="2" width="16.109375" style="85" customWidth="1"/>
    <col min="3" max="3" width="23.21875" style="85" customWidth="1"/>
    <col min="4" max="4" width="21.33203125" style="85" customWidth="1"/>
    <col min="5" max="5" width="19.77734375" style="85" customWidth="1"/>
    <col min="6" max="6" width="15.44140625" style="85" customWidth="1"/>
    <col min="7" max="7" width="15.6640625" style="85" customWidth="1"/>
    <col min="8" max="8" width="24.77734375" style="85" customWidth="1"/>
    <col min="9" max="16384" width="9.21875" style="85"/>
  </cols>
  <sheetData>
    <row r="1" spans="1:9" ht="25.35" customHeight="1">
      <c r="A1" s="168" t="s">
        <v>335</v>
      </c>
      <c r="B1" s="168"/>
      <c r="C1" s="168"/>
      <c r="D1" s="168"/>
      <c r="E1" s="168"/>
      <c r="F1" s="168"/>
      <c r="G1" s="168"/>
      <c r="H1" s="169"/>
      <c r="I1" s="85" t="s">
        <v>753</v>
      </c>
    </row>
    <row r="2" spans="1:9" ht="33.6">
      <c r="A2" s="86" t="s">
        <v>0</v>
      </c>
      <c r="B2" s="86" t="s">
        <v>142</v>
      </c>
      <c r="C2" s="86" t="s">
        <v>84</v>
      </c>
      <c r="D2" s="86" t="s">
        <v>143</v>
      </c>
      <c r="E2" s="84" t="s">
        <v>144</v>
      </c>
      <c r="F2" s="84" t="s">
        <v>145</v>
      </c>
      <c r="G2" s="84" t="s">
        <v>146</v>
      </c>
      <c r="H2" s="84" t="s">
        <v>147</v>
      </c>
    </row>
    <row r="3" spans="1:9" ht="16.8">
      <c r="A3" s="87" t="s">
        <v>90</v>
      </c>
      <c r="B3" s="88" t="s">
        <v>10</v>
      </c>
      <c r="C3" s="88">
        <f>SUM(C5:C11)</f>
        <v>3623</v>
      </c>
      <c r="D3" s="88">
        <f>SUM(D5:D11)</f>
        <v>17</v>
      </c>
      <c r="E3" s="88">
        <f>SUM(E5:E11)</f>
        <v>228</v>
      </c>
      <c r="F3" s="89">
        <f t="shared" ref="F3:F4" si="0">1-D3/E3</f>
        <v>0.92543859649122806</v>
      </c>
      <c r="G3" s="90">
        <v>0.98</v>
      </c>
      <c r="H3" s="129" t="str">
        <f>IF(F3&gt;=G3,"Đạt","Không đạt")</f>
        <v>Không đạt</v>
      </c>
    </row>
    <row r="4" spans="1:9" ht="16.8" hidden="1">
      <c r="A4" s="91"/>
      <c r="B4" s="21"/>
      <c r="C4" s="88" t="e">
        <f>_xlfn.XLOOKUP(B4,'[1]Lũy kế MLL'!$B$5:$B$12,'[1]Lũy kế MLL'!$C$5:$C$12)</f>
        <v>#N/A</v>
      </c>
      <c r="D4" s="21"/>
      <c r="E4" s="21"/>
      <c r="F4" s="92" t="e">
        <f t="shared" si="0"/>
        <v>#DIV/0!</v>
      </c>
      <c r="G4" s="93"/>
      <c r="H4" s="129" t="e">
        <f t="shared" ref="H4:H11" si="1">IF(F4&gt;=G4,"Đạt","Không đạt")</f>
        <v>#DIV/0!</v>
      </c>
    </row>
    <row r="5" spans="1:9" ht="16.8">
      <c r="A5" s="91">
        <v>1</v>
      </c>
      <c r="B5" s="21" t="s">
        <v>5</v>
      </c>
      <c r="C5" s="21">
        <v>514</v>
      </c>
      <c r="D5" s="21">
        <v>1</v>
      </c>
      <c r="E5" s="21">
        <v>25</v>
      </c>
      <c r="F5" s="92">
        <f>1-D5/E5</f>
        <v>0.96</v>
      </c>
      <c r="G5" s="93">
        <v>0.98</v>
      </c>
      <c r="H5" s="94" t="str">
        <f t="shared" si="1"/>
        <v>Không đạt</v>
      </c>
    </row>
    <row r="6" spans="1:9" ht="16.8">
      <c r="A6" s="91">
        <v>2</v>
      </c>
      <c r="B6" s="21" t="s">
        <v>12</v>
      </c>
      <c r="C6" s="21">
        <v>477</v>
      </c>
      <c r="D6" s="21">
        <v>2</v>
      </c>
      <c r="E6" s="21">
        <v>21</v>
      </c>
      <c r="F6" s="92">
        <f t="shared" ref="F6:F11" si="2">1-D6/E6</f>
        <v>0.90476190476190477</v>
      </c>
      <c r="G6" s="93">
        <v>0.98</v>
      </c>
      <c r="H6" s="94" t="str">
        <f t="shared" si="1"/>
        <v>Không đạt</v>
      </c>
    </row>
    <row r="7" spans="1:9" ht="16.8">
      <c r="A7" s="91">
        <v>3</v>
      </c>
      <c r="B7" s="21" t="s">
        <v>8</v>
      </c>
      <c r="C7" s="21">
        <v>652</v>
      </c>
      <c r="D7" s="21">
        <v>8</v>
      </c>
      <c r="E7" s="21">
        <v>83</v>
      </c>
      <c r="F7" s="92">
        <f t="shared" si="2"/>
        <v>0.90361445783132532</v>
      </c>
      <c r="G7" s="93">
        <v>0.98</v>
      </c>
      <c r="H7" s="94" t="str">
        <f t="shared" si="1"/>
        <v>Không đạt</v>
      </c>
    </row>
    <row r="8" spans="1:9" ht="16.8">
      <c r="A8" s="91">
        <v>4</v>
      </c>
      <c r="B8" s="21" t="s">
        <v>13</v>
      </c>
      <c r="C8" s="21">
        <v>487</v>
      </c>
      <c r="D8" s="21">
        <v>0</v>
      </c>
      <c r="E8" s="21">
        <v>23</v>
      </c>
      <c r="F8" s="92">
        <f t="shared" si="2"/>
        <v>1</v>
      </c>
      <c r="G8" s="93">
        <v>0.98</v>
      </c>
      <c r="H8" s="95" t="str">
        <f t="shared" si="1"/>
        <v>Đạt</v>
      </c>
    </row>
    <row r="9" spans="1:9" ht="16.8">
      <c r="A9" s="91">
        <v>5</v>
      </c>
      <c r="B9" s="21" t="s">
        <v>4</v>
      </c>
      <c r="C9" s="21">
        <v>501</v>
      </c>
      <c r="D9" s="21">
        <v>4</v>
      </c>
      <c r="E9" s="21">
        <v>25</v>
      </c>
      <c r="F9" s="92">
        <f t="shared" si="2"/>
        <v>0.84</v>
      </c>
      <c r="G9" s="93">
        <v>0.98</v>
      </c>
      <c r="H9" s="94" t="str">
        <f t="shared" si="1"/>
        <v>Không đạt</v>
      </c>
    </row>
    <row r="10" spans="1:9" ht="16.8">
      <c r="A10" s="91">
        <v>6</v>
      </c>
      <c r="B10" s="21" t="s">
        <v>9</v>
      </c>
      <c r="C10" s="21">
        <v>450</v>
      </c>
      <c r="D10" s="21">
        <v>2</v>
      </c>
      <c r="E10" s="21">
        <v>28</v>
      </c>
      <c r="F10" s="92">
        <f t="shared" si="2"/>
        <v>0.9285714285714286</v>
      </c>
      <c r="G10" s="93">
        <v>0.98</v>
      </c>
      <c r="H10" s="94" t="str">
        <f t="shared" si="1"/>
        <v>Không đạt</v>
      </c>
    </row>
    <row r="11" spans="1:9" ht="16.8">
      <c r="A11" s="91">
        <v>7</v>
      </c>
      <c r="B11" s="21" t="s">
        <v>14</v>
      </c>
      <c r="C11" s="21">
        <v>542</v>
      </c>
      <c r="D11" s="21">
        <v>0</v>
      </c>
      <c r="E11" s="21">
        <v>23</v>
      </c>
      <c r="F11" s="92">
        <f t="shared" si="2"/>
        <v>1</v>
      </c>
      <c r="G11" s="93">
        <v>0.98</v>
      </c>
      <c r="H11" s="95" t="str">
        <f t="shared" si="1"/>
        <v>Đạt</v>
      </c>
    </row>
    <row r="12" spans="1:9">
      <c r="A12" s="96"/>
      <c r="B12" s="96"/>
      <c r="C12" s="96"/>
      <c r="D12" s="96"/>
      <c r="E12" s="96"/>
      <c r="F12" s="96"/>
      <c r="G12" s="96"/>
      <c r="H12" s="96"/>
    </row>
    <row r="13" spans="1:9" ht="25.8" customHeight="1">
      <c r="A13" s="170" t="s">
        <v>336</v>
      </c>
      <c r="B13" s="170"/>
      <c r="C13" s="170"/>
      <c r="D13" s="170"/>
      <c r="E13" s="170"/>
      <c r="F13" s="170"/>
      <c r="G13" s="170"/>
      <c r="H13" s="130" t="s">
        <v>755</v>
      </c>
    </row>
    <row r="14" spans="1:9" ht="50.4">
      <c r="A14" s="88" t="s">
        <v>0</v>
      </c>
      <c r="B14" s="86" t="s">
        <v>142</v>
      </c>
      <c r="C14" s="86" t="s">
        <v>119</v>
      </c>
      <c r="D14" s="86" t="s">
        <v>84</v>
      </c>
      <c r="E14" s="86" t="s">
        <v>143</v>
      </c>
      <c r="F14" s="84" t="s">
        <v>144</v>
      </c>
      <c r="G14" s="84" t="s">
        <v>145</v>
      </c>
    </row>
    <row r="15" spans="1:9" ht="16.8">
      <c r="A15" s="88" t="s">
        <v>90</v>
      </c>
      <c r="B15" s="88" t="s">
        <v>10</v>
      </c>
      <c r="C15" s="88" t="s">
        <v>10</v>
      </c>
      <c r="D15" s="1">
        <f>SUM(D16:D37)</f>
        <v>3623</v>
      </c>
      <c r="E15" s="1">
        <f t="shared" ref="E15:F15" si="3">SUM(E16:E37)</f>
        <v>17</v>
      </c>
      <c r="F15" s="1">
        <f t="shared" si="3"/>
        <v>228</v>
      </c>
      <c r="G15" s="89">
        <f>1-E15/F15</f>
        <v>0.92543859649122806</v>
      </c>
    </row>
    <row r="16" spans="1:9" ht="16.8">
      <c r="A16" s="21">
        <v>1</v>
      </c>
      <c r="B16" s="21" t="s">
        <v>5</v>
      </c>
      <c r="C16" s="21" t="s">
        <v>5</v>
      </c>
      <c r="D16" s="5">
        <v>231</v>
      </c>
      <c r="E16" s="21">
        <v>0</v>
      </c>
      <c r="F16" s="21">
        <v>8</v>
      </c>
      <c r="G16" s="92">
        <f t="shared" ref="G16:G28" si="4">IFERROR(1-E16/F16,1)</f>
        <v>1</v>
      </c>
    </row>
    <row r="17" spans="1:7" ht="16.8">
      <c r="A17" s="21">
        <v>2</v>
      </c>
      <c r="B17" s="21" t="s">
        <v>5</v>
      </c>
      <c r="C17" s="21" t="s">
        <v>99</v>
      </c>
      <c r="D17" s="5">
        <v>136</v>
      </c>
      <c r="E17" s="21">
        <v>1</v>
      </c>
      <c r="F17" s="21">
        <v>15</v>
      </c>
      <c r="G17" s="92">
        <f t="shared" si="4"/>
        <v>0.93333333333333335</v>
      </c>
    </row>
    <row r="18" spans="1:7" ht="16.8">
      <c r="A18" s="21">
        <v>3</v>
      </c>
      <c r="B18" s="21" t="s">
        <v>5</v>
      </c>
      <c r="C18" s="21" t="s">
        <v>141</v>
      </c>
      <c r="D18" s="5">
        <v>147</v>
      </c>
      <c r="E18" s="21">
        <v>0</v>
      </c>
      <c r="F18" s="21">
        <v>2</v>
      </c>
      <c r="G18" s="92">
        <f t="shared" si="4"/>
        <v>1</v>
      </c>
    </row>
    <row r="19" spans="1:7" ht="16.8">
      <c r="A19" s="21">
        <v>4</v>
      </c>
      <c r="B19" s="21" t="s">
        <v>132</v>
      </c>
      <c r="C19" s="21" t="s">
        <v>132</v>
      </c>
      <c r="D19" s="5">
        <v>325</v>
      </c>
      <c r="E19" s="21">
        <v>2</v>
      </c>
      <c r="F19" s="21">
        <v>19</v>
      </c>
      <c r="G19" s="92">
        <f t="shared" si="4"/>
        <v>0.89473684210526316</v>
      </c>
    </row>
    <row r="20" spans="1:7" ht="16.8">
      <c r="A20" s="21">
        <v>5</v>
      </c>
      <c r="B20" s="21" t="s">
        <v>132</v>
      </c>
      <c r="C20" s="21" t="s">
        <v>140</v>
      </c>
      <c r="D20" s="5">
        <v>152</v>
      </c>
      <c r="E20" s="21">
        <v>0</v>
      </c>
      <c r="F20" s="21">
        <v>2</v>
      </c>
      <c r="G20" s="92">
        <f t="shared" si="4"/>
        <v>1</v>
      </c>
    </row>
    <row r="21" spans="1:7" ht="16.8">
      <c r="A21" s="21">
        <v>6</v>
      </c>
      <c r="B21" s="21" t="s">
        <v>8</v>
      </c>
      <c r="C21" s="21" t="s">
        <v>98</v>
      </c>
      <c r="D21" s="5">
        <v>144</v>
      </c>
      <c r="E21" s="21">
        <v>0</v>
      </c>
      <c r="F21" s="21">
        <v>5</v>
      </c>
      <c r="G21" s="92">
        <f t="shared" si="4"/>
        <v>1</v>
      </c>
    </row>
    <row r="22" spans="1:7" ht="16.8">
      <c r="A22" s="21">
        <v>7</v>
      </c>
      <c r="B22" s="21" t="s">
        <v>8</v>
      </c>
      <c r="C22" s="21" t="s">
        <v>96</v>
      </c>
      <c r="D22" s="5">
        <v>275</v>
      </c>
      <c r="E22" s="21">
        <v>2</v>
      </c>
      <c r="F22" s="21">
        <v>35</v>
      </c>
      <c r="G22" s="92">
        <f t="shared" si="4"/>
        <v>0.94285714285714284</v>
      </c>
    </row>
    <row r="23" spans="1:7" ht="16.8">
      <c r="A23" s="21">
        <v>8</v>
      </c>
      <c r="B23" s="21" t="s">
        <v>8</v>
      </c>
      <c r="C23" s="21" t="s">
        <v>8</v>
      </c>
      <c r="D23" s="5">
        <v>233</v>
      </c>
      <c r="E23" s="21">
        <v>6</v>
      </c>
      <c r="F23" s="21">
        <v>35</v>
      </c>
      <c r="G23" s="92">
        <f t="shared" si="4"/>
        <v>0.82857142857142851</v>
      </c>
    </row>
    <row r="24" spans="1:7" ht="16.8">
      <c r="A24" s="21">
        <v>9</v>
      </c>
      <c r="B24" s="21" t="s">
        <v>13</v>
      </c>
      <c r="C24" s="21" t="s">
        <v>13</v>
      </c>
      <c r="D24" s="5">
        <v>156</v>
      </c>
      <c r="E24" s="21">
        <v>0</v>
      </c>
      <c r="F24" s="21">
        <v>4</v>
      </c>
      <c r="G24" s="92">
        <f t="shared" si="4"/>
        <v>1</v>
      </c>
    </row>
    <row r="25" spans="1:7" ht="16.8">
      <c r="A25" s="21">
        <v>10</v>
      </c>
      <c r="B25" s="21" t="s">
        <v>13</v>
      </c>
      <c r="C25" s="21" t="s">
        <v>131</v>
      </c>
      <c r="D25" s="5">
        <v>126</v>
      </c>
      <c r="E25" s="21">
        <v>0</v>
      </c>
      <c r="F25" s="21">
        <v>0</v>
      </c>
      <c r="G25" s="92">
        <f t="shared" si="4"/>
        <v>1</v>
      </c>
    </row>
    <row r="26" spans="1:7" ht="16.8">
      <c r="A26" s="21">
        <v>11</v>
      </c>
      <c r="B26" s="21" t="s">
        <v>13</v>
      </c>
      <c r="C26" s="21" t="s">
        <v>137</v>
      </c>
      <c r="D26" s="5">
        <v>76</v>
      </c>
      <c r="E26" s="21">
        <v>0</v>
      </c>
      <c r="F26" s="21">
        <v>8</v>
      </c>
      <c r="G26" s="92">
        <f t="shared" si="4"/>
        <v>1</v>
      </c>
    </row>
    <row r="27" spans="1:7" ht="16.8">
      <c r="A27" s="21">
        <v>12</v>
      </c>
      <c r="B27" s="21" t="s">
        <v>13</v>
      </c>
      <c r="C27" s="21" t="s">
        <v>136</v>
      </c>
      <c r="D27" s="5">
        <v>129</v>
      </c>
      <c r="E27" s="21">
        <v>0</v>
      </c>
      <c r="F27" s="21">
        <v>11</v>
      </c>
      <c r="G27" s="92">
        <f t="shared" si="4"/>
        <v>1</v>
      </c>
    </row>
    <row r="28" spans="1:7" ht="16.8">
      <c r="A28" s="21">
        <v>13</v>
      </c>
      <c r="B28" s="21" t="s">
        <v>4</v>
      </c>
      <c r="C28" s="21" t="s">
        <v>120</v>
      </c>
      <c r="D28" s="5">
        <v>242</v>
      </c>
      <c r="E28" s="21">
        <v>1</v>
      </c>
      <c r="F28" s="21">
        <v>11</v>
      </c>
      <c r="G28" s="92">
        <f t="shared" si="4"/>
        <v>0.90909090909090906</v>
      </c>
    </row>
    <row r="29" spans="1:7" ht="16.8">
      <c r="A29" s="21">
        <v>14</v>
      </c>
      <c r="B29" s="21" t="s">
        <v>4</v>
      </c>
      <c r="C29" s="21" t="s">
        <v>148</v>
      </c>
      <c r="D29" s="5">
        <v>53</v>
      </c>
      <c r="E29" s="21">
        <v>0</v>
      </c>
      <c r="F29" s="21">
        <v>3</v>
      </c>
      <c r="G29" s="92">
        <f>IFERROR(1-E29/F29,1)</f>
        <v>1</v>
      </c>
    </row>
    <row r="30" spans="1:7" ht="16.8">
      <c r="A30" s="21">
        <v>15</v>
      </c>
      <c r="B30" s="21" t="s">
        <v>4</v>
      </c>
      <c r="C30" s="21" t="s">
        <v>149</v>
      </c>
      <c r="D30" s="5">
        <v>73</v>
      </c>
      <c r="E30" s="21">
        <v>1</v>
      </c>
      <c r="F30" s="21">
        <v>9</v>
      </c>
      <c r="G30" s="92">
        <f>IFERROR(1-E30/F30,1)</f>
        <v>0.88888888888888884</v>
      </c>
    </row>
    <row r="31" spans="1:7" ht="16.8">
      <c r="A31" s="21">
        <v>16</v>
      </c>
      <c r="B31" s="21" t="s">
        <v>4</v>
      </c>
      <c r="C31" s="21" t="s">
        <v>139</v>
      </c>
      <c r="D31" s="5">
        <v>133</v>
      </c>
      <c r="E31" s="21">
        <v>2</v>
      </c>
      <c r="F31" s="21">
        <v>2</v>
      </c>
      <c r="G31" s="92">
        <f t="shared" ref="G31:G37" si="5">IFERROR(1-E31/F31,1)</f>
        <v>0</v>
      </c>
    </row>
    <row r="32" spans="1:7" ht="16.8">
      <c r="A32" s="21">
        <v>17</v>
      </c>
      <c r="B32" s="21" t="s">
        <v>9</v>
      </c>
      <c r="C32" s="21" t="s">
        <v>9</v>
      </c>
      <c r="D32" s="5">
        <v>139</v>
      </c>
      <c r="E32" s="21">
        <v>0</v>
      </c>
      <c r="F32" s="21">
        <v>1</v>
      </c>
      <c r="G32" s="92">
        <f t="shared" si="5"/>
        <v>1</v>
      </c>
    </row>
    <row r="33" spans="1:7" ht="16.8">
      <c r="A33" s="21">
        <v>18</v>
      </c>
      <c r="B33" s="21" t="s">
        <v>9</v>
      </c>
      <c r="C33" s="21" t="s">
        <v>138</v>
      </c>
      <c r="D33" s="5">
        <v>128</v>
      </c>
      <c r="E33" s="21">
        <v>2</v>
      </c>
      <c r="F33" s="21">
        <v>7</v>
      </c>
      <c r="G33" s="92">
        <f t="shared" si="5"/>
        <v>0.7142857142857143</v>
      </c>
    </row>
    <row r="34" spans="1:7" ht="16.8">
      <c r="A34" s="21">
        <v>19</v>
      </c>
      <c r="B34" s="21" t="s">
        <v>9</v>
      </c>
      <c r="C34" s="21" t="s">
        <v>133</v>
      </c>
      <c r="D34" s="5">
        <v>183</v>
      </c>
      <c r="E34" s="21">
        <v>0</v>
      </c>
      <c r="F34" s="21">
        <v>18</v>
      </c>
      <c r="G34" s="92">
        <f t="shared" si="5"/>
        <v>1</v>
      </c>
    </row>
    <row r="35" spans="1:7" ht="16.8">
      <c r="A35" s="21">
        <v>20</v>
      </c>
      <c r="B35" s="21" t="s">
        <v>14</v>
      </c>
      <c r="C35" s="21" t="s">
        <v>14</v>
      </c>
      <c r="D35" s="5">
        <v>272</v>
      </c>
      <c r="E35" s="21">
        <v>0</v>
      </c>
      <c r="F35" s="21">
        <v>21</v>
      </c>
      <c r="G35" s="92">
        <f t="shared" si="5"/>
        <v>1</v>
      </c>
    </row>
    <row r="36" spans="1:7" ht="16.8">
      <c r="A36" s="21">
        <v>21</v>
      </c>
      <c r="B36" s="21" t="s">
        <v>14</v>
      </c>
      <c r="C36" s="21" t="s">
        <v>134</v>
      </c>
      <c r="D36" s="5">
        <v>95</v>
      </c>
      <c r="E36" s="21">
        <v>0</v>
      </c>
      <c r="F36" s="21">
        <v>1</v>
      </c>
      <c r="G36" s="92">
        <f t="shared" si="5"/>
        <v>1</v>
      </c>
    </row>
    <row r="37" spans="1:7" ht="16.8">
      <c r="A37" s="21">
        <v>22</v>
      </c>
      <c r="B37" s="21" t="s">
        <v>14</v>
      </c>
      <c r="C37" s="21" t="s">
        <v>135</v>
      </c>
      <c r="D37" s="5">
        <v>175</v>
      </c>
      <c r="E37" s="21">
        <v>0</v>
      </c>
      <c r="F37" s="21">
        <v>11</v>
      </c>
      <c r="G37" s="92">
        <f t="shared" si="5"/>
        <v>1</v>
      </c>
    </row>
  </sheetData>
  <mergeCells count="2">
    <mergeCell ref="A1:H1"/>
    <mergeCell ref="A13:G13"/>
  </mergeCells>
  <conditionalFormatting sqref="F5:F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DC78-55E9-460C-92FA-DE6FF1158C5E}">
  <dimension ref="A1:E13"/>
  <sheetViews>
    <sheetView zoomScaleNormal="100" workbookViewId="0">
      <selection activeCell="D15" sqref="D15"/>
    </sheetView>
  </sheetViews>
  <sheetFormatPr defaultColWidth="9.21875" defaultRowHeight="18"/>
  <cols>
    <col min="1" max="16384" width="9.21875" style="25"/>
  </cols>
  <sheetData>
    <row r="1" spans="1:5">
      <c r="A1" s="24" t="s">
        <v>67</v>
      </c>
    </row>
    <row r="2" spans="1:5">
      <c r="A2" s="26" t="s">
        <v>59</v>
      </c>
    </row>
    <row r="3" spans="1:5" ht="23.1" customHeight="1">
      <c r="A3" s="27" t="s">
        <v>68</v>
      </c>
    </row>
    <row r="4" spans="1:5">
      <c r="A4" s="28" t="s">
        <v>60</v>
      </c>
    </row>
    <row r="5" spans="1:5">
      <c r="A5" s="26" t="s">
        <v>61</v>
      </c>
    </row>
    <row r="6" spans="1:5">
      <c r="A6" s="28" t="s">
        <v>62</v>
      </c>
    </row>
    <row r="7" spans="1:5">
      <c r="A7" s="26" t="s">
        <v>63</v>
      </c>
    </row>
    <row r="8" spans="1:5">
      <c r="A8" s="26" t="s">
        <v>64</v>
      </c>
    </row>
    <row r="9" spans="1:5">
      <c r="A9" s="28" t="s">
        <v>65</v>
      </c>
    </row>
    <row r="10" spans="1:5">
      <c r="A10" s="26" t="s">
        <v>151</v>
      </c>
      <c r="C10" s="26" t="s">
        <v>150</v>
      </c>
      <c r="E10" s="26" t="s">
        <v>66</v>
      </c>
    </row>
    <row r="12" spans="1:5">
      <c r="A12" s="24" t="s">
        <v>165</v>
      </c>
      <c r="B12" s="128"/>
    </row>
    <row r="13" spans="1:5">
      <c r="A13" s="25" t="s">
        <v>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BC MLL tuần</vt:lpstr>
      <vt:lpstr>TH</vt:lpstr>
      <vt:lpstr>Lũy kế MLL</vt:lpstr>
      <vt:lpstr>Trạm theo NV</vt:lpstr>
      <vt:lpstr>XLSC Đúng hạn</vt:lpstr>
      <vt:lpstr>Cách tính MLL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Nguyen Thanh</dc:creator>
  <cp:lastModifiedBy>NGUYEN MINH QUY nguyen minh</cp:lastModifiedBy>
  <dcterms:created xsi:type="dcterms:W3CDTF">2023-07-02T09:27:00Z</dcterms:created>
  <dcterms:modified xsi:type="dcterms:W3CDTF">2026-07-30T00:08:11Z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E44ADC6B9671414A9F11F4E22DDDBE61</vt:lpwstr>
  </property>
  <property fmtid="{D5CDD505-2E9C-101B-9397-08002B2CF9AE}" pid="3" name="KSOProductBuildVer">
    <vt:lpwstr>1033-12.2.0.18607</vt:lpwstr>
  </property>
</Properties>
</file>