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 sheetId="1" r:id="rId5"/>
    <sheet state="visible" name="Tổng hợp BSC các tháng" sheetId="2" r:id="rId6"/>
    <sheet state="visible" name="Tài" sheetId="3" r:id="rId7"/>
    <sheet state="visible" name="Lộc" sheetId="4" r:id="rId8"/>
    <sheet state="visible" name="ThongKe_T1" sheetId="5" r:id="rId9"/>
    <sheet state="visible" name="ThongKe_T2" sheetId="6" r:id="rId10"/>
    <sheet state="visible" name="ThongKe_T3" sheetId="7" r:id="rId11"/>
    <sheet state="visible" name="ThongKe_T4" sheetId="8" r:id="rId12"/>
    <sheet state="visible" name="Trang tính23" sheetId="9" r:id="rId13"/>
    <sheet state="visible" name="ThongKe_T5" sheetId="10" r:id="rId14"/>
    <sheet state="visible" name="ThongKe_T6" sheetId="11" r:id="rId15"/>
    <sheet state="visible" name="ThongKe_T7" sheetId="12" r:id="rId16"/>
    <sheet state="visible" name="ChiTieuTongHop" sheetId="13" r:id="rId17"/>
    <sheet state="visible" name="6. Đảm bảo năng lực hạ tầng mạn" sheetId="14" r:id="rId18"/>
    <sheet state="visible" name="13. TL CC và cấu hình DVTĐ BRCĐ" sheetId="15" r:id="rId19"/>
    <sheet state="visible" name="11. CLHT VT-CNTT (QoSQoE)" sheetId="16" r:id="rId20"/>
    <sheet state="visible" name="12. TG MLL TBDĐ" sheetId="17" r:id="rId21"/>
    <sheet state="visible" name="9. TLTB BRCĐ bị gián đoạn DV" sheetId="18" r:id="rId22"/>
    <sheet state="visible" name="7.  TLTB BRCĐMyTVTSLC" sheetId="19" r:id="rId23"/>
    <sheet state="visible" name="2. SD Điện tiết kiệm" sheetId="20" r:id="rId24"/>
    <sheet state="visible" name="2. Doanh thu cho thuê HT" sheetId="21" r:id="rId25"/>
    <sheet state="visible" name="1. Tổng doanh thu" sheetId="22" r:id="rId26"/>
    <sheet state="visible" name="6. Tổng DT di động" sheetId="23" r:id="rId27"/>
    <sheet state="visible" name="5. TL phiếu thực hiện XLSC đúng" sheetId="24" r:id="rId28"/>
    <sheet state="visible" name="10. TL XLSC VT-CNTT đúng hạn" sheetId="25" r:id="rId29"/>
    <sheet state="visible" name="5. Tỷ lệ PAKH về CL MDĐ" sheetId="26" r:id="rId30"/>
    <sheet state="visible" name="8. SLTB hủy" sheetId="27" r:id="rId31"/>
  </sheets>
  <definedNames/>
  <calcPr/>
</workbook>
</file>

<file path=xl/sharedStrings.xml><?xml version="1.0" encoding="utf-8"?>
<sst xmlns="http://schemas.openxmlformats.org/spreadsheetml/2006/main" count="5157" uniqueCount="684">
  <si>
    <t>BSC - Đã nhân tỷ trọng - Tháng 7</t>
  </si>
  <si>
    <t>TỶ LỆ HOÀN THÀNH KPIs</t>
  </si>
  <si>
    <t>Tên KPIs</t>
  </si>
  <si>
    <t>1. Tổng doanh thu VT-CNTT</t>
  </si>
  <si>
    <t xml:space="preserve">2. Doanh thu cho thuê hạ tầng </t>
  </si>
  <si>
    <t>3. Sử dụng tiết kiệm điện so với cùng kỳ</t>
  </si>
  <si>
    <t>4. Hệ số hàng tồn kho</t>
  </si>
  <si>
    <t>5. T.Lệ phiếu thực hiện xử lý SC đúng hạn theo CĐ 5</t>
  </si>
  <si>
    <t>6. Đảm bảo năng lực hạ tầng mạng lưới BRCĐ</t>
  </si>
  <si>
    <t>7. Tỷ lệ thuê bao BRCĐ/MyTV/TSLCDo có chất lượng đường dây GPON kém</t>
  </si>
  <si>
    <t>8. Tỷ lệ hài lòng khách hàng sau xử lý PAKH về chất lượng mạng di động</t>
  </si>
  <si>
    <t>9. Số lượng thuê bao hủy theo mục tiêu</t>
  </si>
  <si>
    <t>10. Tỷ lệ thuê bao BRCĐ bị gián đoạn dịch vụ</t>
  </si>
  <si>
    <t>11. Chất lượng hạ tầng VT-CNTT (QoS/QoE)</t>
  </si>
  <si>
    <t>12. Thời gian MLL các thiết bị di động (3G/4G/5G)</t>
  </si>
  <si>
    <t>13. Tỷ lệ cung cấp và cấu hình dịch vụ tự động BRCĐ</t>
  </si>
  <si>
    <t>14. Hoàn thành công việc được giao</t>
  </si>
  <si>
    <t>15. Tỷ lệ nhân sự hoàn thành và đạt các khóa đào tạo theo lĩnh vực chuyên
môn</t>
  </si>
  <si>
    <t>Tổng</t>
  </si>
  <si>
    <t>16. Mức độ tuân thủ quy trình, quy định</t>
  </si>
  <si>
    <t>Tỷ trọng</t>
  </si>
  <si>
    <t>KPIs - THÁNG 6</t>
  </si>
  <si>
    <t>Đơn vị</t>
  </si>
  <si>
    <t>Triệu đồng</t>
  </si>
  <si>
    <t>Công thức tính</t>
  </si>
  <si>
    <t>TLHT = Doanh thu thực hiện/Doanh thu kế hoạch × 100%</t>
  </si>
  <si>
    <t>Tỷ lệ thực hiện = (Kết quả điện năng tiêu thụ bình quân ngày tháng n)/(Bình quân ngày cùng kỳ năm 2025)</t>
  </si>
  <si>
    <t>HTK = VHTK/CBQ</t>
  </si>
  <si>
    <t>STT</t>
  </si>
  <si>
    <t>Số phiếu sự cố xử lý đúng hạn/Tổng số phiếu sự cố đã xử lý ×100%</t>
  </si>
  <si>
    <t>Mục tiêu giao</t>
  </si>
  <si>
    <t>Số phiếu thoái trả do thiếu hạ tầng/Tổng số hợp đồng giao thi công ×100%</t>
  </si>
  <si>
    <t>Tỷ lệ GPON kém = Số đường dây GPON suy hao kém có thuê bao hoạt động/Tổng số đường dây GPON có thuê bao hoạt động.</t>
  </si>
  <si>
    <t>Số khách hàng đồng ý đóng khiếu nại/Số PAKH chất lượng mạng được khảo sát ×100%</t>
  </si>
  <si>
    <t>Tổng thuê bao BRCĐ + MyTV thanh lý/Tổng ngưỡng thanh lý được giao ×100%</t>
  </si>
  <si>
    <t>Tổng số đường dây BRCĐ bị gián đoạn do MLL OLT/Tổng số đường dây đang hoạt động ×100%</t>
  </si>
  <si>
    <t>Đánh giá theo kết quả đo kiểm và báo cáo QoS/QoE định kỳ của VNPT Net và VNPT tỉnh.</t>
  </si>
  <si>
    <t>Tổng số phút mất liên lạc (MLL)/Tổng số thiết bị do đơn vị quản lý (phút)</t>
  </si>
  <si>
    <t>Số thiết bị ONT được cấu hình tự động/Tổng số thuê bao PTM trong kỳ ×100%</t>
  </si>
  <si>
    <t>Căn cứ các công việc trọng tâm VTT, chỉ đạo của Giám đốc TT, kết luận họp, công việc trên EOffice và các nhiệm vụ phát sinh.</t>
  </si>
  <si>
    <t>15. Mức độ tuân thủ quy trình, quy định</t>
  </si>
  <si>
    <t>2280 TB</t>
  </si>
  <si>
    <t>Bến Lức</t>
  </si>
  <si>
    <t>Đức Hòa</t>
  </si>
  <si>
    <t>Gò Dầu</t>
  </si>
  <si>
    <t>Kiến Tường</t>
  </si>
  <si>
    <t>Điểm cộng/trừ trực tiếp</t>
  </si>
  <si>
    <t>Tân An</t>
  </si>
  <si>
    <t>Tân Châu</t>
  </si>
  <si>
    <t>Tân Ninh</t>
  </si>
  <si>
    <t>TỔNG</t>
  </si>
  <si>
    <t>BSC - Đã nhân tỷ trọng - Tháng 6</t>
  </si>
  <si>
    <t>Quý</t>
  </si>
  <si>
    <t xml:space="preserve">Ghi chưa có dữ liệu </t>
  </si>
  <si>
    <t>Nhi</t>
  </si>
  <si>
    <t>Bão</t>
  </si>
  <si>
    <t>P. Hưng</t>
  </si>
  <si>
    <t>Quốc</t>
  </si>
  <si>
    <t>Khanh - Quý đã gửi</t>
  </si>
  <si>
    <t>Tân</t>
  </si>
  <si>
    <t>Lấy 100%</t>
  </si>
  <si>
    <t>Lấy 100% hết</t>
  </si>
  <si>
    <t>BSC - Đã nhân tỷ trọng</t>
  </si>
  <si>
    <t>BSC Tỉnh</t>
  </si>
  <si>
    <t>Chênh lệch</t>
  </si>
  <si>
    <t>BSC - Đã nhân tỷ trọng -Tháng 5</t>
  </si>
  <si>
    <t>2. Sử dụng tiết kiệm điện so với cùng kỳ</t>
  </si>
  <si>
    <t>3. Hệ số hàng tồn kho</t>
  </si>
  <si>
    <t>4. Tỷ lệ xử lý sự cố mạng di động đúng hạn</t>
  </si>
  <si>
    <t>5. Tỷ lệ PAKH về chất lượng mạng di động được xử lý đúng hạn</t>
  </si>
  <si>
    <t>8. Số lượng thuê bao hủy theo mục tiêu</t>
  </si>
  <si>
    <t>9. Tỷ lệ thuê bao BRCĐ bị gián đoạn dịch vụ</t>
  </si>
  <si>
    <t>10. Tỷ lệ xử lý sự cố hệ thống VT-CNTT đúng hạn</t>
  </si>
  <si>
    <t>13. Hoàn thành công việc được giao</t>
  </si>
  <si>
    <t>14. Mức độ tuân thủ quy trình, quy định</t>
  </si>
  <si>
    <t>2,280</t>
  </si>
  <si>
    <t>Tổng số phút mất liên lạc (MLL)/Tổng số thiết bị do đơn vị quản lý</t>
  </si>
  <si>
    <t>BSC - Đã nhân tỷ trọng - Tháng 4</t>
  </si>
  <si>
    <t>Tỉnh</t>
  </si>
  <si>
    <t>2.299</t>
  </si>
  <si>
    <t>Tổ Tổng hợp</t>
  </si>
  <si>
    <t>Tổ Khai thác</t>
  </si>
  <si>
    <t>TỶ LỆ HOÀN THÀNH KPIs - THÁNG 6</t>
  </si>
  <si>
    <t>BSC - Đã nhân tỷ trọng - Tháng 3</t>
  </si>
  <si>
    <t>2,165</t>
  </si>
  <si>
    <t>BSC - Đã nhân tỷ trọng - Tháng 2</t>
  </si>
  <si>
    <t>5. Xử lý phản ánh khách hàng chất lượng dịch vụ Di động</t>
  </si>
  <si>
    <t>6. Tổng doanh thu di động</t>
  </si>
  <si>
    <t>7. Độ hài lòng của KH trong xử lý, lắp đặt TB</t>
  </si>
  <si>
    <t>11. Tỷ lệ lắp đặt dịch vụ có dây đúng hạn</t>
  </si>
  <si>
    <t>13. Tỷ lệ xử lý dịch vụ có dây đúng hạn</t>
  </si>
  <si>
    <t>14. Tỷ lệ khách hàng báo hỏng lặp lại (BRCĐ, MyTV)</t>
  </si>
  <si>
    <t>15. Tỷ lệ phối hợp xử lý phiếu yêu cầu (SO/SR) đúng hạn của dịch vụ CNTT</t>
  </si>
  <si>
    <t>16. Tỷ lệ xử lý chủ động BRCĐ, MyTV đúng hạn</t>
  </si>
  <si>
    <t>17. Điểm PTTB dịch vụ Băng rộng &amp; MyTV</t>
  </si>
  <si>
    <t>18. Điểm PTTB dịch vụ Số cá nhân</t>
  </si>
  <si>
    <t>19. Mức độ hoàn thành các công việc thường xuyên</t>
  </si>
  <si>
    <t>20. Mức độ hoàn thành các công việc chiến lược</t>
  </si>
  <si>
    <t>1.366</t>
  </si>
  <si>
    <t>KPIs</t>
  </si>
  <si>
    <t>TT</t>
  </si>
  <si>
    <t>Đvt</t>
  </si>
  <si>
    <t>Cách đánh giá</t>
  </si>
  <si>
    <t>Thang điểm</t>
  </si>
  <si>
    <t>F1.1 Tổng doanh thu VT-CNTT</t>
  </si>
  <si>
    <t>Doanh thu các dịch vụ VT-CNTT thực hiện trong tháng, bao gồm doanh thu viễn thông và CNTT địa bàn.
 Công thức: TLHT = Doanh thu thực hiện/Doanh thu kế hoạch × 100%</t>
  </si>
  <si>
    <t>TLHT &lt;95%: -1 điểm/1% không đạt; 95%-&lt;100%: -0,5 điểm/1% không đạt; ≥100%: +2 điểm/1% vượt. Điểm cộng/trừ tối đa (đã nhân trọng số) 5 điểm.</t>
  </si>
  <si>
    <t>Doanh thu cho thuê hạ tầng</t>
  </si>
  <si>
    <t>Doanh thu ghi nhận từ cho thuê mặt bằng, cột anten, nhà trạm, cống bể, hạ tầng kỹ thuật và các tài sản hạ tầng khác do TTHT quản lý.
 Công thức: TLHT = Doanh thu thực hiện/Doanh thu kế hoạch × 100%</t>
  </si>
  <si>
    <t>F4.1 Sử dụng tiết kiệm điện so với cùng kỳ</t>
  </si>
  <si>
    <t>Tỷ lệ thực hiện = (Kết quả điện năng tiêu thụ bình quân ngày tháng n)/(Bình quân ngày cùng kỳ năm 2025). Các trạm tăng mới được loại trừ theo xác nhận TTHT.</t>
  </si>
  <si>
    <t>±1 điểm/1% vượt hoặc không đạt kế hoạch.</t>
  </si>
  <si>
    <t>F6 Hệ số hàng tồn kho</t>
  </si>
  <si>
    <t>HTK = VHTK/CBQ, trong đó VHTK gồm tồn kho SXKD, KDTM và tồn kho XDCB vượt hạn mức; CBQ là giá trị xuất dùng bình quân tháng.</t>
  </si>
  <si>
    <t>±0,1 điểm/1% vượt hoặc không đạt kế hoạch. Thưởng tối đa 3 điểm, trừ tối đa 5 điểm.</t>
  </si>
  <si>
    <t>Tỷ lệ phiếu xử lý sự cố đúng hạn theo Chuyên đề 5</t>
  </si>
  <si>
    <t>Số phiếu sự cố xử lý đúng hạn/Tổng số phiếu sự cố đã xử lý ×100%. 
 Sự cố: bao gồm sự cố vô tuyến, ManE, Access, ngoại vi và các sự cố khác theo quy định.</t>
  </si>
  <si>
    <t>±1 điểm/0,1% vượt hoặc không đạt kế hoạch, trừ tối đa 5 điểm (đã nhân với trọng số)</t>
  </si>
  <si>
    <t>Đảm bảo năng lực hạ tầng mạng lưới BRCĐ</t>
  </si>
  <si>
    <t>Số phiếu thoái trả do thiếu hạ tầng/Tổng số hợp đồng giao thi công ×100%.
 Trong đó:
 1. Số phiếu thoái trả do thiếu hạ tầng: là các phiếu thoái trả thành công trong tháng của dịch vụ Fiber với các lý do trả liên quan đến hạ tầng:
 Dây xa
 Hết cáp gốc
 Hết cáp ngọn
 Hết port
 Không có trụ cột
 Không có trụ, cột, cống, bể, hạ tầng để kéo cáp
 Khu vực không có cáp VNPT
 Khu vực thuộc cáp của FPT
 Khu vực thuộc cáp của Viettel
 Thiếu cáp gốc
 Thiếu cáp ngọn
 Thiếu cổng
 2. Tổng số hợp đồng giao thi công: số lượng hợp đồng Fiber giao thi công trong tháng.</t>
  </si>
  <si>
    <t>±1 điểm/0,1% giảm hoặc tăng so với kế hoạch, trừ tối đa 2,5 điểm (đã nhân với trọng số)</t>
  </si>
  <si>
    <t>Tỷ lệ thuê bao BRCĐ/MyTV/TSLCD có chất lượng đường dây GPON kém</t>
  </si>
  <si>
    <t>Tỷ lệ GPON kém = Số đường dây GPON suy hao kém có thuê bao hoạt động/Tổng số đường dây GPON có thuê bao hoạt động. Kết quả tháng là trung bình cộng các ngày trong tháng.</t>
  </si>
  <si>
    <t>±0,65 điểm/0,001% giảm hoặc tăng so với kế hoạch, trừ tối đa 2,5 điểm (đã nhân với trọng số)</t>
  </si>
  <si>
    <t>Tỷ lệ hài lòng khách hàng sau xử lý PAKH về chất lượng mạng di động</t>
  </si>
  <si>
    <t>Số khách hàng đồng ý đóng khiếu nại/Số PAKH chất lượng mạng được khảo sát ×100%.</t>
  </si>
  <si>
    <t>±1 điểm/0,01% tăng hoặc giảm so với kế hoạch. Điểm trừ tối đa 2,5 điểm (đã nhân với trọng số)</t>
  </si>
  <si>
    <t>C3.1 Số lượng thuê bao hủy theo mục tiêu</t>
  </si>
  <si>
    <t>Tổng thuê bao BRCĐ + MyTV thanh lý/Tổng ngưỡng thanh lý được giao ×100%.</t>
  </si>
  <si>
    <t>±0,5 điểm/3% vượt hoặc không đạt kế hoạch.</t>
  </si>
  <si>
    <t>Tỷ lệ thuê bao BRCĐ bị gián đoạn dịch vụ</t>
  </si>
  <si>
    <t>Tổng số đường dây BRCĐ bị gián đoạn do MLL OLT/Tổng số đường dây đang hoạt động ×100%.</t>
  </si>
  <si>
    <t>±6 điểm/0,1% giảm hoặc tăng so với kế hoạch, trừ tối đa 2,5 điểm (đã nhân với trọng số)</t>
  </si>
  <si>
    <t>Chất lượng hạ tầng VT-CNTT (QoS/QoE)</t>
  </si>
  <si>
    <t>±2 điểm/0,1% vượt hoặc không đạt kế hoạch, điểm trừ tối đa 5 điểm (đã nhân với trọng số)</t>
  </si>
  <si>
    <t>Thời gian MLL các thiết bị di động (3G/4G/5G)</t>
  </si>
  <si>
    <t>Tổng số phút mất liên lạc (MLL)/Tổng số thiết bị do đơn vị quản lý.</t>
  </si>
  <si>
    <t>±0,5 điểm/0,1 phút giảm hoặc tăng so với kế hoạch. Điểm trừ tối đa 2,5 điểm (đã nhân với trọng số)</t>
  </si>
  <si>
    <t>Tỷ lệ cung cấp và cấu hình dịch vụ tự động BRCĐ</t>
  </si>
  <si>
    <t>Số thiết bị ONT được cấu hình tự động/Tổng số thuê bao PTM trong kỳ ×100%.</t>
  </si>
  <si>
    <t>±2 điểm/1% vượt hoặc không đạt kế hoạch. Điểm trừ tối đa 2,5 điểm (đã nhân trọng số)</t>
  </si>
  <si>
    <t>I3.1 Hoàn thành công việc được giao</t>
  </si>
  <si>
    <t>-1 điểm/2% không đạt tỷ lệ hoàn thành kế hoạch.</t>
  </si>
  <si>
    <t>KPIs - THÁNG 1</t>
  </si>
  <si>
    <t>6. Doanh thu di động BTS</t>
  </si>
  <si>
    <t>17. Mức độ hoàn thành các công việc thường xuyên</t>
  </si>
  <si>
    <t>18. Mức độ hoàn thành các công việc chiến lược</t>
  </si>
  <si>
    <t>DL Tỉnh</t>
  </si>
  <si>
    <t>Doanh thu các dịch vụ VT-CNTT gồm doanh thu CNTT địa bàn (Doanh thu tháng)</t>
  </si>
  <si>
    <t xml:space="preserve">Tỷ lệ thực hiện= ((KQ tháng n/số ngày tháng n)/Bình quân ngày tháng n của năm 2025.
</t>
  </si>
  <si>
    <t>HTK (n) = V_HTK (n) / CBQ (n)</t>
  </si>
  <si>
    <t>Số lượng phiếu sự cố mạng di động xử lý trong thời gian cho phép trong kỳ báo cáo/Số lượng phiếu sự cố mạng di động xử lý trong kỳ báo cáo</t>
  </si>
  <si>
    <t>Tỷ lệ xử lý phản ánh khách hàng chất lượng dịch vụ di động đúng hạn</t>
  </si>
  <si>
    <t>Doanh thu duy trì (DT TKC 5917 từ tập TB trả trước hiện hữu 2024 + trả sau + DD trong gói Home)</t>
  </si>
  <si>
    <t>Số khách hàng hài lòng về dịch vụ/Tổng số khách hàng OB thành công</t>
  </si>
  <si>
    <t>Tổng TB BRCĐ + MyTV thanh lý trong tháng/ Tổng ngưỡng thanh lý BRCĐ + MyTV được giao
* Tính TB đã hoàn thành</t>
  </si>
  <si>
    <t>Tổng số đường dây có thuê bao BRCĐ bị gián đoạn dịch vụ do MLL OLT/Tổng số đường dây đang hoạt động</t>
  </si>
  <si>
    <t>Tổng số sự cố xử lý đúng hạn/Tổng số sự cố xuất hiện trong kỳ</t>
  </si>
  <si>
    <t>Tổng số phiếu lắp đặt dịch vụ có dây đúng thời gian quy định trong tháng/Tổng số phiếu yêu cầu lắp đặt dịch vụ có dây trong tháng</t>
  </si>
  <si>
    <t>Tổng số phút MLL thiết bị/ Tổng số thiết bị do đơn vị quản lý</t>
  </si>
  <si>
    <t>Tổng số phiếu xử lý dịch vụ có dây đúng thời gian quy định/ Tổng số phiếu yêu cầu xử lý dịch vụ có dây trong tháng</t>
  </si>
  <si>
    <t>Tổng số báo hỏng lặp lại trong kỳ báo cáo/Tổng số báo hỏng trong kỳ báo cáo. Số báo hỏng lặp lại là số lượng thuê bao phát sinh báo hỏng trong kỳ báo cáo và báo hỏng lại sau khi nghiệm thu trong vòng 07 ngày.</t>
  </si>
  <si>
    <t>Tổng số phiếu xử lý đúng SLA trong kỳ đánh giá /Tổng số phiếu đơn vị gửi yêu cầu trong kỳ đánh giá</t>
  </si>
  <si>
    <t>Tổng số phiếu hoàn công đúng hạn/tổng số phiếu giao trong kỳ
Số phiếu giao từ nguồn Tập đoàn và nguồn AI của VTT</t>
  </si>
  <si>
    <t>Công việc được giao theo kết luận các cuộc họp, công việc được giao trên Eoffice</t>
  </si>
  <si>
    <t>Tỷ lệ hoàn thành công việc. Riêng TT CNTT bổ sung thêm hoạt động xúc tiến các dự án CNTT</t>
  </si>
  <si>
    <t>%</t>
  </si>
  <si>
    <t>TB</t>
  </si>
  <si>
    <t>Phút/thiết bị/tháng</t>
  </si>
  <si>
    <t>2.165</t>
  </si>
  <si>
    <t>Công thức mới</t>
  </si>
  <si>
    <t>Chưa có</t>
  </si>
  <si>
    <t>KPO</t>
  </si>
  <si>
    <t>Phòng quản trị</t>
  </si>
  <si>
    <t>Stt</t>
  </si>
  <si>
    <t>Tên KPO</t>
  </si>
  <si>
    <t>Tổng tỷ trọng KPO</t>
  </si>
  <si>
    <t>Lãnh đạo</t>
  </si>
  <si>
    <t>Chuyên viên</t>
  </si>
  <si>
    <t>I</t>
  </si>
  <si>
    <t>VIỄN CẢNH TÀI CHÍNH</t>
  </si>
  <si>
    <t>*Ghi chú: dữ liệu tổng hợp từ các báo cáo tháng trước</t>
  </si>
  <si>
    <t>TỶ LỆ HOÀN THÀNH KPIs - THÁNG 1</t>
  </si>
  <si>
    <t>Tổng Doanh thu</t>
  </si>
  <si>
    <t>F1.1. Tổng doanh thu VT-CNTT</t>
  </si>
  <si>
    <t>Tr.đồng</t>
  </si>
  <si>
    <t>TLHT &lt; 95%, -1 điểm/0.5% không đạt, điểm trừ tối đa (đã nhân trọng số) 10 điểm.
 95% ≤ TLHT &lt; 100%, -0.5 điểm/0.5% không đạt.
  TLHT ≥ 100%, + 1 điểm/0.5% vượt, điểm cộng tối đa (đã nhân trọng số) 10 điểm.</t>
  </si>
  <si>
    <t>P. KTKH</t>
  </si>
  <si>
    <t>Trần Văn Hiền-PTP
 ĐT: 0918895152</t>
  </si>
  <si>
    <t>Lê Huỳnh Bảo Trân
 ĐT: 0944020727</t>
  </si>
  <si>
    <t>Doanh thu hạ tầng</t>
  </si>
  <si>
    <t>Doanh thu dịch vụ cho thuê hạ tầng: là doanh thu được ghi nhận từ hoạt động cho Thuê sử dụng cơ sở hạ tầng, thuê mặt bằng đặt trạm, cho thuê cột, cho thuê trạm, cho thuê cống bễ … mà VNPT Tây Ninh giao cho TTHT ký hợp đồng, quản lý khách hàng, nghiệm thu và xuất hóa đơn ghi nhận hàng tháng trên chương trình kế toán.
 Nguồn thống kê trên biểu B205 do kế toán TTHT hạch toán.</t>
  </si>
  <si>
    <t>P. ĐHKD</t>
  </si>
  <si>
    <t>Trần Ngọc Linh-PTP
 ĐT: 0941281989</t>
  </si>
  <si>
    <t>Nguyễn Tín
 ĐT: 0948239778</t>
  </si>
  <si>
    <t>Chi phí</t>
  </si>
  <si>
    <t>F4. Tối ưu chi phí OPEX</t>
  </si>
  <si>
    <t>KPIs - THÁNG 2</t>
  </si>
  <si>
    <t>F4.1. Sử dụng tiết kiệm điện so với cùng kỳ</t>
  </si>
  <si>
    <t>Tỷ lệ thực hiện= ((KQ tháng n/số ngày tháng n)/Bình quân ngày tháng n của năm 2025.
  Đối với các trạm và thiết bị tăng mới, TTHT xác nhận loại trừ cho đơn vị. (Số liệu thẩm định: RIMS)</t>
  </si>
  <si>
    <t>-/+1 điểm/1% vượt/không đạt so với KH</t>
  </si>
  <si>
    <t>Phan Thị Xuân Diệu
 ĐT: 0944877233</t>
  </si>
  <si>
    <t>F6. Hệ số hàng tồn kho</t>
  </si>
  <si>
    <t>HTK (n) = V_HTK (n) / CBQ (n); 
 VXDCB_V=VXDCB_CK - V_XDCB_N - V_XDCB _DP (&gt;=0)
  HTK (n): hệ số hàng tồn kho
  V_HTK (n) = V_SXKD + V_KDTM + V_XDCB_V: giá trị hàng tồn kho tại thời điểm cuối tháng
  V_SXKD: Tồn kho phục vụ sản xuất kinh doanh cuối tháng.
  V_KDTM: Tồn kho hàng hóa kinh doanh thương mại cuối tháng.
  V_XDCB_V: Giá trị tồn kho vượt hạn mức cho Xây dựng cơ bản (XDCB)
  V_XDCB_CK: giá trị HTK dùng cho XDCB và sửa chữa lớn cuối tháng đánh giá
  V_XDCB_N: giá trị hàng mới nhập trong tháng báo cáo.
  V_XDCB_DP: giá trị dùng cho dự phòng được duyệt
  CBQ: Giá trị xuất dùng bình quân
  Tháng 1: Lấy bằng mức bình quân tháng của năm trước liền kề (để có con số tham chiếu ngay lập tức)
  Từ tháng 2 đến tháng 12: Tính theo Lũy kế bình quân tháng</t>
  </si>
  <si>
    <t>II</t>
  </si>
  <si>
    <t>VIỄN CẢNH KHÁCH HÀNG</t>
  </si>
  <si>
    <t>Doanh thu duy trì từ tập hiện hữu
Doanh thu PTM phân kỳ
Doanh thu hòa mạng</t>
  </si>
  <si>
    <t>Trải nghiệm khách hàng</t>
  </si>
  <si>
    <t>C1. Tăng trải nghiệm khách hàng</t>
  </si>
  <si>
    <t>Tổng số báo hỏng lặp lại trong kỳ báo cáo/Tổng số báo hỏng trong kỳ báo cáo.</t>
  </si>
  <si>
    <t xml:space="preserve">Tổng số phiếu hoàn công đúng hạn/tổng số phiếu giao trong kỳ
</t>
  </si>
  <si>
    <t xml:space="preserve">Tổng điểm PTM BRCĐ + MyTV thực hiện trong tháng/ Tổng điểm PTM BRCĐ + MyTV được giao
</t>
  </si>
  <si>
    <t xml:space="preserve">Tổng điểm PTM Mesh + Camera thực hiện trong tháng/ Tổng điểm PTM Mesh + Cam được giao
</t>
  </si>
  <si>
    <t>Tỷ lệ phiếu thực hiện xử lý sự cố đúng hạn theo chuyên đề 5</t>
  </si>
  <si>
    <t>1. Công thức tính: 
 Tỷ lệ xử lý phiếu sự cố đúng hạn theo chuyên đề 5 = Số lượng phiếu sự cố xử lý đúng hạn trong kỳ báo cáo/Số lượng phiếu sự cố đã xử lý trong kỳ báo cáo
 Trong đó:
 Phiếu sự cố: phiếu hệ thống, phiếu hiện trường.
 Loại sự cố: Sự cố vô tuyến, sự cố ManE, sự cố Access, sự cố mạng ngoại vi (và các sự cố khác khi có bổ sung từ VNPT Net).
 SLA: theo quy định của VNPT Net
 2. Nguồn số liệu
 Hệ thống RIMS, TTS, OneBSS, dieuhanh.vnpt.vn</t>
  </si>
  <si>
    <t>P. KTĐT</t>
  </si>
  <si>
    <t>Lương Thế Phú-TP
 ĐT: 0919820826</t>
  </si>
  <si>
    <t>Thạch Quốc Tuấn
 ĐT: 0919883747</t>
  </si>
  <si>
    <t>Số phiếu thoái trả do thiếu hạ tầng trong kỳ báo cáo/Tổng số hợp đồng giao thi công trong kỳ báo cáo</t>
  </si>
  <si>
    <t>Bùi Thị Bích Ngọc
 ĐT: 0916616499</t>
  </si>
  <si>
    <t>Tỷ lệ thuê bao BRCĐ/MyTV/TSLCD đang hoạt động trên mạng GPON có chất lượng đường dây kém</t>
  </si>
  <si>
    <t>Tỷ lệ thuê bao GPON kém trong ngày = Số lượng đường dây GPON có thuê bao đang hoạt động có suy hao kém/Tổng đường dây thuê bao GPON có thuê bao đang hoạt động;
 - Tỷ lệ thuê bao GPON kém trong tháng = Trung bình cộng Tỷ lệ thuê bao GPON kém các ngày trong tháng.</t>
  </si>
  <si>
    <t>Huỳnh Vũ Trường Giang
 ĐT: 0942908269</t>
  </si>
  <si>
    <t>Tỷ lệ hài lòng của khách hàng sau xử lý PAKH về chất lượng mạng di động</t>
  </si>
  <si>
    <t>99.8%</t>
  </si>
  <si>
    <t>1. Công thức tính: 
 Tỷ lệ hài lòng của khách hàng sau xử lý PAKH về chất lượng mạng di động = Số lượng khách hàng đồng ý đóng khiếu nại/ Số PAKH về CLM đóng trong kỳ báo cáo được khảo sát
 2. Nguồn số liệu:
 Hệ thống CCOS, Module Giải quyết khiếu nại, mục Truy vấn nâng cao</t>
  </si>
  <si>
    <t>Tăng Hồng Khiêm
 ĐT: 0918700336</t>
  </si>
  <si>
    <t>Phát triển SPDV</t>
  </si>
  <si>
    <t>C2. Phát triển thuê bao các dịch vụ Viễn thông</t>
  </si>
  <si>
    <t>C2.1. Dịch vụ Băng rộng, MyTV</t>
  </si>
  <si>
    <t>Số lượng thuê bao hủy theo mục tiêu</t>
  </si>
  <si>
    <t>Tổng TB BRCĐ + MyTV thanh lý trong tháng/ Tổng ngưỡng thanh lý BRCĐ + MyTV được giao
 * Tính TB đã hoàn thành</t>
  </si>
  <si>
    <t>Dương Hoàng Thân-TP
 ĐT: 0944906080</t>
  </si>
  <si>
    <t>Nguyễn Quang Minh
 ĐT: 0886393037</t>
  </si>
  <si>
    <t>III</t>
  </si>
  <si>
    <t>VIỄN CẢNH QUY TRÌNH NỘI BỘ</t>
  </si>
  <si>
    <t>Chất lượng dịch vụ</t>
  </si>
  <si>
    <t>0.5%</t>
  </si>
  <si>
    <t>-/+6 điểm/0.1% giảm/tăng so với KH</t>
  </si>
  <si>
    <t>Tỷ lệ cung cấp &amp; cấu hình dịch vụ tự động – dịch vụ BRCĐ</t>
  </si>
  <si>
    <t>1. Công thức tính: 
 Tỷ lệ cung cấp &amp; cấu hình dịch vụ tự động = Số thiết bị đầu cuối (ONT) được cấu hình tự động trong kỳ/tổng số thuê bao PTM trong kỳ * 100%
 2. Nguồn số liệu thẩm định kết quả:
 Sử dụng các hệ thống quản lý thiết bị đầu cuối CPE: cpe.vnpt.vn
 Các báo cáo hỗ trợ trên OneBSS</t>
  </si>
  <si>
    <t>+/-3 điểm/1% vượt/không đạt so với KH
 Điểm trừ tối đa 3 điểm (đã nhân với trọng số KPI)</t>
  </si>
  <si>
    <t>Công việc</t>
  </si>
  <si>
    <t>I3.1. Hoàn thành công việc được giao</t>
  </si>
  <si>
    <t>Tất cả các công việc được giao, cụ thể: Công việc trọng tâm VTT, GĐ TT giao, công việc được giao theo kết luận các cuộc họp, công việc được giao trên Eoffice...</t>
  </si>
  <si>
    <t>-1 điểm/2% không đạt tỷ lệ hoàn thành KH</t>
  </si>
  <si>
    <t>P. NSTH</t>
  </si>
  <si>
    <t>Lê Trần Nhất Tâm-TP
 ĐT: 0916650656</t>
  </si>
  <si>
    <t>Hà Dương Kim Định
 ĐT: 0842091039</t>
  </si>
  <si>
    <t>Tuân thủ</t>
  </si>
  <si>
    <t>Chỉ tiêu tuân thủ</t>
  </si>
  <si>
    <t>I3.3. Mức độ tuân thủ quy trình, quy định</t>
  </si>
  <si>
    <t>Điểm cộng/ trừ trực tiếp tối đa 30 điểm</t>
  </si>
  <si>
    <t>Tổng tỷ trọng</t>
  </si>
  <si>
    <t>Tổng KPO/KPI được giao</t>
  </si>
  <si>
    <t xml:space="preserve">          </t>
  </si>
  <si>
    <t>TỶ LỆ HOÀN THÀNH KPIs - THÁNG 2</t>
  </si>
  <si>
    <t xml:space="preserve">TLHT &lt; 95%, -1 điểm/0.5% không đạt, điểm trừ tối đa (đã nhân trọng số) 10 điểm.
95% ≤ TLHT &lt; 100%, -0.5 điểm/0.5% không đạt.
 TLHT ≥ 100%, + 1 điểm/0.5% vượt, điểm cộng tối đa (đã nhân trọng số) 10 điểm.
</t>
  </si>
  <si>
    <t>Trần Văn Hiền-PTP
ĐT: 0918895152</t>
  </si>
  <si>
    <t>Lê Huỳnh Bảo Trân
ĐT: 0944020727</t>
  </si>
  <si>
    <t>Tỷ lệ thực hiện= ((KQ tháng n/số ngày tháng n)/Bình quân ngày tháng n của năm 2025.
 Đối với các trạm và thiết bị tăng mới, TTHT xác nhận loại trừ cho đơn vị. (Số liệu thẩm định: RIMS)</t>
  </si>
  <si>
    <t>Phan Thị Xuân Diệu
ĐT: 0944877233</t>
  </si>
  <si>
    <t>Doanh thu duy trì từ tập hiện hữu
Doanh thu PTM phân kỳ
Doanh thu hòa mạng</t>
  </si>
  <si>
    <t>HTK (n) = V_HTK (n) / CBQ (n); 
VXDCB_V=VXDCB_CK - V_XDCB_N - V_XDCB _DP (&gt;=0)
 HTK (n): hệ số hàng tồn kho
 V_HTK (n) = V_SXKD + V_KDTM + V_XDCB_V: giá trị hàng tồn kho tại thời điểm cuối tháng
 V_SXKD: Tồn kho phục vụ sản xuất kinh doanh cuối tháng.
 V_KDTM: Tồn kho hàng hóa kinh doanh thương mại cuối tháng.
 V_XDCB_V: Giá trị tồn kho vượt hạn mức cho Xây dựng cơ bản (XDCB)
 V_XDCB_CK: giá trị HTK dùng cho XDCB và sửa chữa lớn cuối tháng đánh giá
 V_XDCB_N: giá trị hàng mới nhập trong tháng báo cáo.
 V_XDCB_DP: giá trị dùng cho dự phòng được duyệt
 CBQ: Giá trị xuất dùng bình quân
 Tháng 1: Lấy bằng mức bình quân tháng của năm trước liền kề (để có con số tham chiếu ngay lập tức)
 Từ tháng 2 đến tháng 12: Tính theo Lũy kế bình quân tháng</t>
  </si>
  <si>
    <t>+/-0,1 điểm/1% vượt/không đạt tỷ lệ hoàn thành KH. Thưởng tối đa 3 điểm, trừ tối đa 5 điểm.</t>
  </si>
  <si>
    <t>Tỷ lệ xử lý phiếu sự cố mạng di động đúng hạn</t>
  </si>
  <si>
    <t>Điểm</t>
  </si>
  <si>
    <t>+/-1.5 điểm/0.1% vượt/không đạt so với KH</t>
  </si>
  <si>
    <t>Lương Thế Phú-TP
ĐT: 0919820826</t>
  </si>
  <si>
    <t>Tăng Hồng Khiêm
ĐT: 0918700336</t>
  </si>
  <si>
    <t>Tỷ lệ PAKH về chất lượng mạng di động được xử lý đúng hạn</t>
  </si>
  <si>
    <t>Số lượng PAKH xử lý chất lượng mạng trong thời gian cho phép trong kỳ báo cáo/Số lượng PAKH xử lý chất lượng mạng trong kỳ báo cáo</t>
  </si>
  <si>
    <t>+/-3 điểm/0.1% tăng/giảm so KH</t>
  </si>
  <si>
    <t>+/-1.5 điểm/0.1% giảm/tăng so với KH</t>
  </si>
  <si>
    <t>Bùi Thị Bích Ngọc
ĐT: 0916616499</t>
  </si>
  <si>
    <t>Tỷ lệ thuê bao GPON kém trong ngày = Số lượng đường dây GPON có thuê bao đang hoạt động có suy hao kém/Tổng đường dây thuê bao GPON có thuê bao đang hoạt động;
- Tỷ lệ thuê bao GPON kém trong tháng = Trung bình cộng Tỷ lệ thuê bao GPON kém các ngày trong tháng.</t>
  </si>
  <si>
    <t>+/-0.545 điểm/0.001% giảm/tăng so với KH</t>
  </si>
  <si>
    <t>Nguyễn Tấn Tài
ĐT: 0944122664</t>
  </si>
  <si>
    <t>Tổng TB BRCĐ + MyTV thanh lý trong tháng/ Tổng ngưỡng thanh lý BRCĐ + MyTV được giao
* Tính TB đã hoàn thành</t>
  </si>
  <si>
    <t>+/-0.5 điểm/3% vượt/không đạt KH</t>
  </si>
  <si>
    <t>Dương Hoàng Thân-TP
ĐT: 0944906080</t>
  </si>
  <si>
    <t>Nguyễn Quang Minh
ĐT: 0886393037</t>
  </si>
  <si>
    <t>Tỷ lệ xử lý sự cố hệ thống VT-CNTT đúng hạn</t>
  </si>
  <si>
    <t>98.0%</t>
  </si>
  <si>
    <t>+/-3 điểm/0.1% vượt/không đạt so với KH</t>
  </si>
  <si>
    <t>+/-1 điểm/0.1 phút giảm/tăng so KH</t>
  </si>
  <si>
    <t>Lê Trần Nhất Tâm-TP
ĐT: 0916650656</t>
  </si>
  <si>
    <t>Hà Dương Kim Định
ĐT: 0842091039</t>
  </si>
  <si>
    <t xml:space="preserve">Điểm cộng/ trừ trực tiếp tối đa 30 điểm                </t>
  </si>
  <si>
    <t>KPIs - THÁNG 3</t>
  </si>
  <si>
    <t>KPIs - THÁNG 4</t>
  </si>
  <si>
    <t>Tỷ lệ thuê bao GPON kém trong ngày = Số lượng đường dây GPON có thuê bao đang hoạt động có suy hao kém/Tổng đường dây thuê bao GPON có thuê bao đang hoạt động;
- Tỷ lệ thuê bao GPON kém trong tháng = Trung bình cộng Tỷ lệ thuê bao GPON kém các ngày trong tháng.</t>
  </si>
  <si>
    <t xml:space="preserve">0.5%
</t>
  </si>
  <si>
    <t xml:space="preserve">Tỷ lệ thực hiện= ((KQ tháng n/số ngày tháng n)/Bình quân ngày tháng n của năm 2025.
 </t>
  </si>
  <si>
    <t>KPIs - THÁNG 5</t>
  </si>
  <si>
    <t>2280</t>
  </si>
  <si>
    <t>Tổ Tổng Hợp</t>
  </si>
  <si>
    <t>TỶ LỆ HOÀN THÀNH KPIs - THÁNG 3</t>
  </si>
  <si>
    <t>Mất ll trên 120p</t>
  </si>
  <si>
    <t>Tổ tổng hợp</t>
  </si>
  <si>
    <t>Tổ khai thác</t>
  </si>
  <si>
    <t>TỶ LỆ HOÀN THÀNH KPIs - THÁNG 5</t>
  </si>
  <si>
    <t>TỶ LỆ HOÀN THÀNH KPIs - THÁNG 4</t>
  </si>
  <si>
    <t>187.48%</t>
  </si>
  <si>
    <t>Hạn mức +/- điểm KPI tối đa (đã nhân trọng số)</t>
  </si>
  <si>
    <t>Doanh thu các dịch vụ VT-CNTT gồm doanh thu CNTT địa bàn</t>
  </si>
  <si>
    <t>+/-1 điểm/0.2% vượt/không đạt tỷ lệ hoàn thành KH</t>
  </si>
  <si>
    <t>Tỷ lệ thực hiện= ((KQ tháng n/số ngày tháng n)/Bình quân ngày tháng n của năm 2024.
  Đối với các trạm và thiết bị tăng mới, TTHT xác nhận loại trừ cho đơn vị. (Số liệu thẩm định: RIMS)</t>
  </si>
  <si>
    <t>Theo công thức Tập đoàn giao</t>
  </si>
  <si>
    <t>+/-1 điểm/0.5% vượt/không đạt so với KH</t>
  </si>
  <si>
    <t>+/-0,5 điểm/1% tăng/giảm so KH</t>
  </si>
  <si>
    <t>(Số phiếu thoái trả do thiếu hạ tầng)/(Tổng số hợp đồng dã nhập trong chu kỳ)</t>
  </si>
  <si>
    <t>+/-0.1 điểm/0.5% giảm/tăng so KH</t>
  </si>
  <si>
    <t>- Tỷ lệ thuê bao GPON kém trong ngày = Số lượng đường dây GPON có thuê bao đang hoạt động có suy hao kém/Tổng đường dây thuê bao GPON có thuê bao đang hoạt động;
 - Tỷ lệ thuê bao GPON kém trong tháng = Trung bình cộng Tỷ lệ thuê bao GPON kém các ngày trong tháng.</t>
  </si>
  <si>
    <t>+/-0.5 điểm/0.01% vượt so với KH</t>
  </si>
  <si>
    <t>-/+0,5 điểm/0.1% giảm/tăng so với KH</t>
  </si>
  <si>
    <t>+/-1 điểm/1% vượt/không đạt so KH</t>
  </si>
  <si>
    <t>KPIs - THÁNG 7</t>
  </si>
  <si>
    <t>(Số phiếu thoái trả do thiếu hạ tầng trong kỳ báo cáo)/(Tổng số hợp đồng giao thi công trong kỳ báo cáo)</t>
  </si>
  <si>
    <t>+/-1 điểm/0,5% vượt/không đạt tỷ lệ xử lý đúng hạn được giao</t>
  </si>
  <si>
    <t>+/-0,1 điểm/0,1 phút giảm/tăng so KH</t>
  </si>
  <si>
    <t>+/-2.3 điểm/0.005% giảm/tăng so với KH</t>
  </si>
  <si>
    <t>Nguyễn Tấn Tài
 ĐT: 0944122664</t>
  </si>
  <si>
    <t>Tỷ lệ hoàn thành chỉ tiêu = Số lượng nhân sự hoàn thành các khóa đào tạo
về chuyên môn / (chia) Tổng số nhân sự thuộc đối tượng tại thời điểm giao KH</t>
  </si>
  <si>
    <t>*Chưa có dữ liệu</t>
  </si>
  <si>
    <t>TỶ LỆ HOÀN THÀNH KPIs - THÁNG 7</t>
  </si>
  <si>
    <t>KPI TTHT</t>
  </si>
  <si>
    <t>Cách đánh giá T6</t>
  </si>
  <si>
    <t>Thang điểm T6</t>
  </si>
  <si>
    <t>ĐVT</t>
  </si>
  <si>
    <t>Tháng 1</t>
  </si>
  <si>
    <t>Tháng 2</t>
  </si>
  <si>
    <t>Tháng 3</t>
  </si>
  <si>
    <t>Tháng 4</t>
  </si>
  <si>
    <t>Tháng 5</t>
  </si>
  <si>
    <t>Tháng 6</t>
  </si>
  <si>
    <t>Tháng 7</t>
  </si>
  <si>
    <t>Mục tiêu</t>
  </si>
  <si>
    <t>Thực hiện</t>
  </si>
  <si>
    <t>F2. Tăng trường doanh thu dịch vụ chiến lược</t>
  </si>
  <si>
    <t>ĐẢM BẢO NĂNG LỰC HẠ TẦNG MẠNG LƯỚI BRCĐ</t>
  </si>
  <si>
    <t>F2.1. Dịch vụ di động</t>
  </si>
  <si>
    <t>Công thức: Số phiếu thoái trả do thiếu hạ tầng/Tổng số hợp đồng giao thi công ×100%</t>
  </si>
  <si>
    <t>Nguồn:</t>
  </si>
  <si>
    <t>https://dieuhanh.vienthongtayninh.vn/HopDongThoaiTra</t>
  </si>
  <si>
    <t>F2.1.1 Doanh thu di động BTS</t>
  </si>
  <si>
    <t>https://onebss.vnpt.vn/#/report/bi?path=TINH%2FLONGAN%2FVTLA%2FPTTB%2FRPT_TLDV_BANGIAO_TH&amp;name=2.%20KT.B%C3%A0n%20giao%20d%E1%BB%8Bch%20v%E1%BB%A5%20-%20T%E1%BB%95ng%20h%E1%BB%A3p</t>
  </si>
  <si>
    <t>THÁNG</t>
  </si>
  <si>
    <t>Tháng 8</t>
  </si>
  <si>
    <t>Tháng 9</t>
  </si>
  <si>
    <t>Tháng 10</t>
  </si>
  <si>
    <t>Tháng 11</t>
  </si>
  <si>
    <t>Tháng 12</t>
  </si>
  <si>
    <t>F4.1. Sử dụng chi phí tiền điện so với cùng kỳ</t>
  </si>
  <si>
    <t>1.00</t>
  </si>
  <si>
    <t>+/-0.65 điểm/0.001% giảm/tăng so với KH</t>
  </si>
  <si>
    <t>0,055,%</t>
  </si>
  <si>
    <t>+/- 1.5 điểm/0.01% tăng so với kế hoạch
 Điểm trừ tối đa 2 điểm (đã nhân với trọng số KPI)</t>
  </si>
  <si>
    <t>TỔ HẠ TẦNG</t>
  </si>
  <si>
    <t>THOÁI TRẢ</t>
  </si>
  <si>
    <t>SỐ HỢP ĐỒNG</t>
  </si>
  <si>
    <t>NĂNG LỰC HT ML BRCĐ</t>
  </si>
  <si>
    <t>GIAO KẾ HOẠCH BSC THÁNG 7 NĂM 2026</t>
  </si>
  <si>
    <t>C1.1. Độ hài lòng của KH trong xử lý, lắp đặt TB</t>
  </si>
  <si>
    <t>TRUNG TÂM HẠ TẦNG</t>
  </si>
  <si>
    <t>(Đính kèm quyết định số 1315/QĐ-VNPT-TNH ngày 10/7/2026)</t>
  </si>
  <si>
    <t>C1.2. Tỷ lệ lắp đặt dịch vụ có dây đúng hạn</t>
  </si>
  <si>
    <t>C1.3. Tỷ lệ xử lý dịch vụ có dây đúng hạn</t>
  </si>
  <si>
    <t>C1.5. Tỷ lệ PAKH về chất lượng mạng di động được xử lý đúng hạn</t>
  </si>
  <si>
    <t>C1.6. Tỷ lệ xử lý sự cố mạng di động đúng hạn</t>
  </si>
  <si>
    <t>Hệ số</t>
  </si>
  <si>
    <t>HTK (n) = V_HTK (n) / CBQ (n); 
 VXDCB_V=VXDCB_CK - V_XDCB_N - V_XDCB _DP (&gt;=0)
 HTK (n): hệ số hàng tồn kho
 V_HTK (n) = V_SXKD + V_KDTM + V_XDCB_V: giá trị hàng tồn kho tại thời điểm cuối tháng
 V_SXKD: Tồn kho phục vụ sản xuất kinh doanh cuối tháng.
 V_KDTM: Tồn kho hàng hóa kinh doanh thương mại cuối tháng.
 V_XDCB_V: Giá trị tồn kho vượt hạn mức cho Xây dựng cơ bản (XDCB)
 V_XDCB_CK: giá trị HTK dùng cho XDCB và sửa chữa lớn cuối tháng đánh giá
 V_XDCB_N: giá trị hàng mới nhập trong tháng báo cáo.
 V_XDCB_DP: giá trị dùng cho dự phòng được duyệt
 CBQ: Giá trị xuất dùng bình quân
 Tháng 1: Lấy bằng mức bình quân tháng của năm trước liền kề (để có con số tham chiếu ngay lập tức)
 Từ tháng 2 đến tháng 12: Tính theo Lũy kế bình quân tháng</t>
  </si>
  <si>
    <t>C1.8. Tỷ lệ khách hàng báo hỏng lặp lại (BRCĐ, MyTV)</t>
  </si>
  <si>
    <t>Điểm PTTB dịch vụ Băng rộng &amp; MyTV</t>
  </si>
  <si>
    <t>Điểm PTTB dịch vụ Số cá nhân</t>
  </si>
  <si>
    <t>Lê Thị Mộng Linh
 ĐT: 0919333427</t>
  </si>
  <si>
    <t>Phát triển kiến thức, kỹ năng, tăng NSLĐ</t>
  </si>
  <si>
    <t>OT.2 Tỷ lệ nhân sự hoàn thành và đạt các khóa đào tạo theo lĩnh vực chuyên môn</t>
  </si>
  <si>
    <t>Tỷ lệ hoàn thành chỉ tiêu = Số lượng nhân sự hoàn thành các khóa đào tạo về chuyên môn / (chia) Tổng số nhân sự thuộc đối tượng tại thời điểm giao KH
 Trong đó:
 ­+ Chỉ tính các khóa đào tạo trên VNPT eLearning đã hoàn thành khi có xác nhận trên hệ thống VNPT eLearning hoặc báo cáo khóa học của Trung tâm PTNNL/đơn vị.
 + Không tính các khóa tự học không nằm trong kế hoạch đào tạo của Tập đoàn/đơn vị.
 + Đối tượng đào tạo phải bám theo danh sách nhân sự tại VB 2663/VNPT-TNH-NSTH ngày 24/6/2026</t>
  </si>
  <si>
    <t>Huỳnh Thị Cẫm Hằng
 ĐT: 0918462939</t>
  </si>
  <si>
    <t>Bổ sung từ tháng 7 theo KPI Tập đoàn giao</t>
  </si>
  <si>
    <t>I1. Chất lượng và hạ tầng mạng – dịch vụ VT và CNTT</t>
  </si>
  <si>
    <t>I1.1. Tỷ lệ thuê bao BRCĐ bị gián đoạn dịch vụ</t>
  </si>
  <si>
    <t>0.50%</t>
  </si>
  <si>
    <t>I1.2. Tỷ lệ xử lý sự cố hệ thống VT-CNTT đúng hạn</t>
  </si>
  <si>
    <t>98.00%</t>
  </si>
  <si>
    <t>I1.3. Tỷ lệ phối hợp xử lý phiếu yêu cầu (SO/SR) đúng hạn của dịch vụ CNTT</t>
  </si>
  <si>
    <t>99.00%</t>
  </si>
  <si>
    <t>I1.4. Tỷ lệ xử lý chủ động BRCĐ, MyTV đúng hạn</t>
  </si>
  <si>
    <t>THÁNG 5</t>
  </si>
  <si>
    <t>THÁNG 6</t>
  </si>
  <si>
    <t>THÁNG 7</t>
  </si>
  <si>
    <t>THÁNG 8</t>
  </si>
  <si>
    <t>THÁNG 9</t>
  </si>
  <si>
    <t>THÁNG 10</t>
  </si>
  <si>
    <t>THÁNG 11</t>
  </si>
  <si>
    <t>THÁNG 12</t>
  </si>
  <si>
    <t>TOHT</t>
  </si>
  <si>
    <t>THOAITRA</t>
  </si>
  <si>
    <t>SO_HOPDONG</t>
  </si>
  <si>
    <t>Đảm bảo năng lực hạ tầng mạng lưới BRCĐ (%)</t>
  </si>
  <si>
    <t>Công thức: Số thiết bị ONT được cấu hình tự động/Tổng số thuê bao PTM trong kỳ ×100%</t>
  </si>
  <si>
    <t>https://onebss.vnpt.vn/#/report/bi?report_id=52442</t>
  </si>
  <si>
    <t>Tổ Hạ Tầng</t>
  </si>
  <si>
    <t>Số lượng thuê bao cấu hình ONT tự động thành công</t>
  </si>
  <si>
    <t>Tổng thuê bao PTM</t>
  </si>
  <si>
    <t>*</t>
  </si>
  <si>
    <t>Tây Ninh</t>
  </si>
  <si>
    <t>Công thức: Đánh giá theo kết quả đo kiểm và báo cáo QoS/QoE định kỳ của VNPT Net và VNPT tỉnh.</t>
  </si>
  <si>
    <t>https://cts.vnpt.vn/Report/QoSMyTvV2</t>
  </si>
  <si>
    <t>https://cts.vnpt.vn/Report/QoSEs/DVHCMbbQoS</t>
  </si>
  <si>
    <t>https://cts.vnpt.vn/Report/MBBQoEReport/DVHCMbbQoE</t>
  </si>
  <si>
    <t>Tháng</t>
  </si>
  <si>
    <t>THÁNG 3</t>
  </si>
  <si>
    <t>THÁNG 4</t>
  </si>
  <si>
    <t>THT</t>
  </si>
  <si>
    <t>MBB</t>
  </si>
  <si>
    <t>FBB</t>
  </si>
  <si>
    <t>MyTV</t>
  </si>
  <si>
    <t>QoS</t>
  </si>
  <si>
    <t>QoE</t>
  </si>
  <si>
    <t>HTVT</t>
  </si>
  <si>
    <t>99.42</t>
  </si>
  <si>
    <t>99.33</t>
  </si>
  <si>
    <t>99.34</t>
  </si>
  <si>
    <t>BẢNG QOS/QOE</t>
  </si>
  <si>
    <t>MBB (%)</t>
  </si>
  <si>
    <t>FBB (%)</t>
  </si>
  <si>
    <t>MyTV(%)</t>
  </si>
  <si>
    <t>QoS/QoE</t>
  </si>
  <si>
    <t>Tỷ lệ</t>
  </si>
  <si>
    <t>Công thức: Tổng số phút mất liên lạc (MLL)/Tổng số thiết bị do đơn vị quản lý (phút)</t>
  </si>
  <si>
    <t>Tổng thời gian MLL</t>
  </si>
  <si>
    <t>MLL trung bình/1BTS</t>
  </si>
  <si>
    <t>T1</t>
  </si>
  <si>
    <t>T2</t>
  </si>
  <si>
    <t>T3</t>
  </si>
  <si>
    <t>T4</t>
  </si>
  <si>
    <t>T5</t>
  </si>
  <si>
    <t>T6</t>
  </si>
  <si>
    <t>T7</t>
  </si>
  <si>
    <t>T8</t>
  </si>
  <si>
    <t>T9</t>
  </si>
  <si>
    <t>T10</t>
  </si>
  <si>
    <t>T11</t>
  </si>
  <si>
    <t>T12</t>
  </si>
  <si>
    <t>Đánh giá theo THT</t>
  </si>
  <si>
    <t>Chưa đạt</t>
  </si>
  <si>
    <t>Không đạt</t>
  </si>
  <si>
    <t>Đạt</t>
  </si>
  <si>
    <t>Công thức: Tổng số đường dây BRCĐ bị gián đoạn do MLL OLT/Tổng số đường dây đang hoạt động ×100%</t>
  </si>
  <si>
    <t>https://docs.google.com/spreadsheets/d/1zSkXMF_841bdwNjGmwBgzvtQASNwoug28SXi1coSQLs/edit?gid=17169895#gid=17169895</t>
  </si>
  <si>
    <t>https://fmbb.vnpt.vn/FMSBB/ReportBB</t>
  </si>
  <si>
    <t>TTHT</t>
  </si>
  <si>
    <t>BSC theo Tổ HT</t>
  </si>
  <si>
    <t>Công thức: Tỷ lệ GPON kém = Số đường dây GPON suy hao kém có thuê bao hoạt động/Tổng số đường dây GPON có thuê bao hoạt động.</t>
  </si>
  <si>
    <t>https://cts.vnpt.vn/Report/FBBQoSV2</t>
  </si>
  <si>
    <t>SỬ DỤNG TIẾT KIỆM ĐIỆN SO VỚI CÙNG KỲ</t>
  </si>
  <si>
    <t>Công thức: Tỷ lệ thực hiện = (Kết quả điện năng tiêu thụ bình quân ngày tháng n)/(Bình quân ngày cùng kỳ năm 2025). Các trạm tăng mới được loại trừ theo xác nhận TTHT</t>
  </si>
  <si>
    <t xml:space="preserve">Nguồn: </t>
  </si>
  <si>
    <t>https://oss.vnpt.vn:82/EvnReport/StatGroupData</t>
  </si>
  <si>
    <t>TỔNG HỢP KWH THEO TỔ HẠ TẦNG - SO SÁNH NĂM 2026 VỚI 2025</t>
  </si>
  <si>
    <t>TT Hạ Tầng</t>
  </si>
  <si>
    <t>THÁNG 1</t>
  </si>
  <si>
    <t>Suy hao</t>
  </si>
  <si>
    <t>TTVT</t>
  </si>
  <si>
    <t>BSC theo TTVT</t>
  </si>
  <si>
    <t>Tỉ lệ suy hao (%)</t>
  </si>
  <si>
    <t>THÁNG 2</t>
  </si>
  <si>
    <t>Chưa có SL_BC Tháng 8</t>
  </si>
  <si>
    <t>Chưa có SL_BC Tháng 9</t>
  </si>
  <si>
    <t>Chưa có SL_BC Tháng 10</t>
  </si>
  <si>
    <t>Chưa có SL_BC Tháng 11</t>
  </si>
  <si>
    <t>Chưa có SL_BC Tháng 12</t>
  </si>
  <si>
    <t>Cần Đước</t>
  </si>
  <si>
    <t>KWH 2025</t>
  </si>
  <si>
    <t>KWH 2026</t>
  </si>
  <si>
    <t>CHÊNH LỆCH</t>
  </si>
  <si>
    <t>TỶ LỆ</t>
  </si>
  <si>
    <t>Cần Giuộc</t>
  </si>
  <si>
    <t>Đức Huệ</t>
  </si>
  <si>
    <t>Tổ Hạ tầng Bến Lức</t>
  </si>
  <si>
    <t>Bến Cầu</t>
  </si>
  <si>
    <t>0.0%</t>
  </si>
  <si>
    <t>Trảng Bàng</t>
  </si>
  <si>
    <t>Tổ Hạ tầng Gò Dầu</t>
  </si>
  <si>
    <t>Tân Thạnh</t>
  </si>
  <si>
    <t>Thạnh Hóa</t>
  </si>
  <si>
    <t>Tổ Hạ tầng Kiến Tường</t>
  </si>
  <si>
    <t>Vĩnh Hưng</t>
  </si>
  <si>
    <t>Long An</t>
  </si>
  <si>
    <t>Tầm Vu</t>
  </si>
  <si>
    <t>Tổ Hạ tầng Tân An</t>
  </si>
  <si>
    <t>Tân Trụ</t>
  </si>
  <si>
    <t>Thủ Thừa</t>
  </si>
  <si>
    <t>Dương Minh Châu</t>
  </si>
  <si>
    <t>Tổ Hạ tầng Tân Châu</t>
  </si>
  <si>
    <t>Tân Biên</t>
  </si>
  <si>
    <t>Châu Thành</t>
  </si>
  <si>
    <t>Tổ Hạ tầng Tân Ninh</t>
  </si>
  <si>
    <t>Hòa Thành</t>
  </si>
  <si>
    <t>Tổ Hạ tầng Đức Hòa</t>
  </si>
  <si>
    <t>Lỹ kế tháng</t>
  </si>
  <si>
    <t>Tỉ lệ</t>
  </si>
  <si>
    <t>Viễn thông Tây Ninh</t>
  </si>
  <si>
    <t>2,859,551</t>
  </si>
  <si>
    <t>2,727,654</t>
  </si>
  <si>
    <t>3,146,270</t>
  </si>
  <si>
    <t>2,463,659</t>
  </si>
  <si>
    <t>3,205,774</t>
  </si>
  <si>
    <t>2,613,315</t>
  </si>
  <si>
    <t>2,581,674</t>
  </si>
  <si>
    <t>2,903,396</t>
  </si>
  <si>
    <t>3,214,494</t>
  </si>
  <si>
    <t>2,637,346</t>
  </si>
  <si>
    <t>2,763,583</t>
  </si>
  <si>
    <t>(2,763,583)</t>
  </si>
  <si>
    <t>3,250,413</t>
  </si>
  <si>
    <t>(3,250,413)</t>
  </si>
  <si>
    <t>1,997,188</t>
  </si>
  <si>
    <t>(1,997,188)</t>
  </si>
  <si>
    <t>DOANH THU CHO THUÊ CSHT</t>
  </si>
  <si>
    <t>Công thức: TLHT = Doanh thu thực hiện/Doanh thu kế hoạch × 100%</t>
  </si>
  <si>
    <t>File anh Luân gửi</t>
  </si>
  <si>
    <t>2,708,586</t>
  </si>
  <si>
    <t>(2,708,586)</t>
  </si>
  <si>
    <t>2,466,326</t>
  </si>
  <si>
    <t>(2,466,326)</t>
  </si>
  <si>
    <t>TỔNG CỘNG</t>
  </si>
  <si>
    <t>BTS</t>
  </si>
  <si>
    <t>Cộng</t>
  </si>
  <si>
    <t>Tổ Hạ Tầng Đức Hòa</t>
  </si>
  <si>
    <t>Tổ Hạ Tầng Bến Lức</t>
  </si>
  <si>
    <t>TỔNG SỐ ĐIỆN NĂNG LOẠI TRỪ</t>
  </si>
  <si>
    <t>Tổ Hạ Tầng Kiến Tường</t>
  </si>
  <si>
    <t>Tổ Hạ Tầng Tân An</t>
  </si>
  <si>
    <t>Tổ Hạ Tầng Tân Ninh</t>
  </si>
  <si>
    <t>Tổ Hạ Tầng Tân Châu</t>
  </si>
  <si>
    <t>Tổ Hạ Tầng Gò Dầu</t>
  </si>
  <si>
    <t>TỔNG SỐ ĐIỆN NĂNG TRÊN RIMS</t>
  </si>
  <si>
    <t>2,754,073</t>
  </si>
  <si>
    <t>2,499,111</t>
  </si>
  <si>
    <t>Cống Bể</t>
  </si>
  <si>
    <t>2,680,453</t>
  </si>
  <si>
    <t>2,983,841</t>
  </si>
  <si>
    <t>115.58%</t>
  </si>
  <si>
    <t>2,719,837</t>
  </si>
  <si>
    <t>0.00%</t>
  </si>
  <si>
    <t>TỔNG SỐ ĐIỆN NĂNG TRÊN dieuhanh.vnpt.vn</t>
  </si>
  <si>
    <t>2,872,293</t>
  </si>
  <si>
    <t>2,750,136</t>
  </si>
  <si>
    <t>3,238,652</t>
  </si>
  <si>
    <t>2,493,519</t>
  </si>
  <si>
    <t>3,355,443</t>
  </si>
  <si>
    <t>2,738,887</t>
  </si>
  <si>
    <t>3,312,286</t>
  </si>
  <si>
    <t>2,675,321</t>
  </si>
  <si>
    <t>2,698,289</t>
  </si>
  <si>
    <t>110.58%</t>
  </si>
  <si>
    <t>3,401,265</t>
  </si>
  <si>
    <t>2,706,142</t>
  </si>
  <si>
    <t>Cột</t>
  </si>
  <si>
    <t>TRA CỨU SỐ LIỆU THEO THÁNG</t>
  </si>
  <si>
    <t>Cáp Quang</t>
  </si>
  <si>
    <t>CHỌN THÁNG:</t>
  </si>
  <si>
    <t>Ngưỡng tỷ lệ:</t>
  </si>
  <si>
    <t>NGUỒN DỮ LIỆU</t>
  </si>
  <si>
    <r>
      <rPr>
        <rFont val="Calibri, sans-serif"/>
        <b/>
        <color rgb="FF1155CC"/>
        <sz val="13.0"/>
        <u/>
      </rPr>
      <t>https://oss.vnpt.vn/</t>
    </r>
  </si>
  <si>
    <t>ĐƯỜNG DẪN</t>
  </si>
  <si>
    <t>Cơ sở hạ tầng/Chi phí điện/Báo cáo tổng hợp/Báo cáo tổng hợp chi phí điện theo năm</t>
  </si>
  <si>
    <t>TỔNG CHI PHÍ</t>
  </si>
  <si>
    <t>NGÀY LẤY SỐ LIỆU</t>
  </si>
  <si>
    <t>94.2%</t>
  </si>
  <si>
    <t>90.3%</t>
  </si>
  <si>
    <t>Loại trừ các mã CSHT phát sinh năm 2026</t>
  </si>
  <si>
    <t>68.9%</t>
  </si>
  <si>
    <t>93.4%</t>
  </si>
  <si>
    <t>85.3%</t>
  </si>
  <si>
    <t>58.7%</t>
  </si>
  <si>
    <t>96.7%</t>
  </si>
  <si>
    <t>82.0%</t>
  </si>
  <si>
    <t>TỔNG DOANH THU VT-CNTT</t>
  </si>
  <si>
    <t>https://dieuhanh.vienthongtayninh.vn/DuLieuKeToan/KqsxkdDv/Index</t>
  </si>
  <si>
    <t>TRA CỨU SỐ LIỆU THEO QUÝ</t>
  </si>
  <si>
    <t>CHỌN QUÝ:</t>
  </si>
  <si>
    <t>QUÝ 2</t>
  </si>
  <si>
    <t>Tổ Hạ tầng</t>
  </si>
  <si>
    <t>Kế hoạch</t>
  </si>
  <si>
    <t>1,152,345</t>
  </si>
  <si>
    <t>1,231,399</t>
  </si>
  <si>
    <t>106.9%</t>
  </si>
  <si>
    <t>1,256,458</t>
  </si>
  <si>
    <t>1,402,419</t>
  </si>
  <si>
    <t>111.6%</t>
  </si>
  <si>
    <t>1,175,485</t>
  </si>
  <si>
    <t>75.5%</t>
  </si>
  <si>
    <t>1,543,195</t>
  </si>
  <si>
    <t>1,367,378</t>
  </si>
  <si>
    <t>88.6%</t>
  </si>
  <si>
    <t>1,028,441</t>
  </si>
  <si>
    <t>83.1%</t>
  </si>
  <si>
    <t>1,684,602</t>
  </si>
  <si>
    <t>1,397,249</t>
  </si>
  <si>
    <t>82.9%</t>
  </si>
  <si>
    <t>1,161,416</t>
  </si>
  <si>
    <t>1,013,994</t>
  </si>
  <si>
    <t>87.3%</t>
  </si>
  <si>
    <t>9,001,942</t>
  </si>
  <si>
    <t>8,154,057</t>
  </si>
  <si>
    <t>90.6%</t>
  </si>
  <si>
    <t>Tổng doanh thu di động</t>
  </si>
  <si>
    <t>Công thức: Doanh thu duy trì từ tập hiện hữu, Doanh thu PTM phân kỳ, Doanh thu hòa mạng</t>
  </si>
  <si>
    <t>Chỉ tiêu</t>
  </si>
  <si>
    <t>KH năm
2026</t>
  </si>
  <si>
    <t>Kế hoạch tạm phân kỳ 2026</t>
  </si>
  <si>
    <t>Kết quả thực hiện 2026</t>
  </si>
  <si>
    <t>So kế hoạch</t>
  </si>
  <si>
    <t>So cùng kỳ</t>
  </si>
  <si>
    <t>Kết quả thực hiện 2025</t>
  </si>
  <si>
    <t>Lũy kế
đến T6</t>
  </si>
  <si>
    <t>% KH
lũy kế</t>
  </si>
  <si>
    <t>% KH
năm</t>
  </si>
  <si>
    <t>XH</t>
  </si>
  <si>
    <t>Lũy kế
cùng kỳ</t>
  </si>
  <si>
    <t>Cả năm
2025</t>
  </si>
  <si>
    <t>DOANH THU</t>
  </si>
  <si>
    <t>A</t>
  </si>
  <si>
    <t>DT BH&amp;CCDV KHÁCH HÀNG THEO 5917</t>
  </si>
  <si>
    <t>−Doanh thu di động theo 5917</t>
  </si>
  <si>
    <t>Văn phòng</t>
  </si>
  <si>
    <t xml:space="preserve"> T.Lệ phiếu thực hiện xử lý SC đúng hạn theo CĐ 5</t>
  </si>
  <si>
    <t>Công thức: Số phiếu sự cố xử lý đúng hạn/Tổng số phiếu sự cố đã xử lý ×100%</t>
  </si>
  <si>
    <t>https://onebss.vnpt.vn/#/qlsc/tientrinh-xuly-suco</t>
  </si>
  <si>
    <t>https://tts.vnpt.vn/#/thong-ke/baocao-tonghop-xlsc-brcd-toantrinh-cd5</t>
  </si>
  <si>
    <t>Tổng phiếu xử lý đúng hạn</t>
  </si>
  <si>
    <t>Tổng phiếu</t>
  </si>
  <si>
    <t>XLSC MANE (01-07-2026 - 22-07-2026)</t>
  </si>
  <si>
    <t>XLSC ACCESS (01-07-2026 - 22-07-2026)</t>
  </si>
  <si>
    <t>XLSC VÔ TUYẾN (01-07-2026 - 22-07-2026)</t>
  </si>
  <si>
    <t>XLSC MNV (01-07-2026 - 22-07-2026)</t>
  </si>
  <si>
    <t>Tổng
 giao</t>
  </si>
  <si>
    <t>Hoàn
 thành</t>
  </si>
  <si>
    <t>HT đúng
 hạn</t>
  </si>
  <si>
    <t>HT quá
 hạn</t>
  </si>
  <si>
    <t>TL HT
 đúng hạn</t>
  </si>
  <si>
    <t>Tổng
 tồn</t>
  </si>
  <si>
    <t>Tồn
 trong hạn</t>
  </si>
  <si>
    <t>Tồn
 quá hạn</t>
  </si>
  <si>
    <t>TL tồn
 QH</t>
  </si>
  <si>
    <t>XLSC MANE THÁNG 6</t>
  </si>
  <si>
    <t>XLSC MANE THÁNG 7</t>
  </si>
  <si>
    <t>Tỷ lệ xử lý sự cố hệ thống di động đúng hạn 120 phút theo THT</t>
  </si>
  <si>
    <t>TLHT- Tháng 1</t>
  </si>
  <si>
    <t>TLHT- Tháng 2</t>
  </si>
  <si>
    <t>TLHT- Tháng 3</t>
  </si>
  <si>
    <t>TLHT- Tháng 4</t>
  </si>
  <si>
    <t>TLHT- Tháng 5</t>
  </si>
  <si>
    <t>TLHT- Tháng 6</t>
  </si>
  <si>
    <t>TLHT- Tháng 7</t>
  </si>
  <si>
    <t>92.65%</t>
  </si>
  <si>
    <t>100.00%</t>
  </si>
  <si>
    <t>80.00%</t>
  </si>
  <si>
    <t>92.86%</t>
  </si>
  <si>
    <t>66.67%</t>
  </si>
  <si>
    <t>XLSC ACCESS THÁNG 6</t>
  </si>
  <si>
    <t>XLSC ACCESS THÁNG 7</t>
  </si>
  <si>
    <t>Số phiếu xử lý</t>
  </si>
  <si>
    <t>Tỷ lệ hài lòng của khách hàng</t>
  </si>
  <si>
    <t>Công thức: Tổng thuê bao BRCĐ + MyTV thanh lý/Tổng ngưỡng thanh lý được giao ×100%</t>
  </si>
  <si>
    <t>https://dieuhanh.vienthongtayninh.vn/BaoCaoPTTB/BaoCaoDiemTinNgay</t>
  </si>
  <si>
    <t>Fiber thực hiện</t>
  </si>
  <si>
    <t>MyTV thực hiện</t>
  </si>
  <si>
    <t xml:space="preserve">Tỷ lệ </t>
  </si>
  <si>
    <t>Tổ HT Bến Lức</t>
  </si>
  <si>
    <t>Tổ HT Đức Hòa</t>
  </si>
  <si>
    <t>Tổ HT Gò Dầu</t>
  </si>
  <si>
    <t>Tổ HT Kiến Tường</t>
  </si>
  <si>
    <t>Tổ HT Tân An</t>
  </si>
  <si>
    <t>Tổ HT Tân Châu</t>
  </si>
  <si>
    <t>XLSC VÔ TUYẾN THÁNG 6</t>
  </si>
  <si>
    <t>Tổ HT Tân Ninh</t>
  </si>
  <si>
    <t>XLSC VÔ TUYẾN THÁNG 7</t>
  </si>
  <si>
    <t>XLSC MNV THÁNG 6</t>
  </si>
  <si>
    <t>XLSC MNV THÁNG 7</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</si>
</sst>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00%"/>
    <numFmt numFmtId="165" formatCode="0.000"/>
    <numFmt numFmtId="166" formatCode="#,##0.000"/>
    <numFmt numFmtId="167" formatCode="#,##0.0000"/>
    <numFmt numFmtId="168" formatCode="#,##0.00000"/>
    <numFmt numFmtId="169" formatCode="0.0000"/>
    <numFmt numFmtId="170" formatCode="d.m"/>
    <numFmt numFmtId="171" formatCode="dd/mm/yyyy"/>
  </numFmts>
  <fonts count="98">
    <font>
      <sz val="10.0"/>
      <color rgb="FF000000"/>
      <name val="Arial"/>
      <scheme val="minor"/>
    </font>
    <font>
      <b/>
      <sz val="14.0"/>
      <color rgb="FFFF0000"/>
      <name val="Times New Roman"/>
    </font>
    <font>
      <b/>
      <sz val="14.0"/>
      <color theme="1"/>
      <name val="Times New Roman"/>
    </font>
    <font>
      <color theme="1"/>
      <name val="Arial"/>
    </font>
    <font/>
    <font>
      <b/>
      <sz val="11.0"/>
      <color theme="1"/>
      <name val="Times New Roman"/>
    </font>
    <font>
      <b/>
      <color theme="1"/>
      <name val="Times New Roman"/>
    </font>
    <font>
      <b/>
      <sz val="11.0"/>
      <color rgb="FF000000"/>
      <name val="Arial"/>
    </font>
    <font>
      <sz val="11.0"/>
      <color theme="1"/>
      <name val="Times New Roman"/>
    </font>
    <font>
      <color theme="1"/>
      <name val="Times New Roman"/>
    </font>
    <font>
      <b/>
      <color theme="1"/>
      <name val="Arial"/>
    </font>
    <font>
      <b/>
      <sz val="10.0"/>
      <color rgb="FF000000"/>
      <name val="Times New Roman"/>
    </font>
    <font>
      <b/>
      <sz val="10.0"/>
      <color theme="1"/>
      <name val="Times New Roman"/>
    </font>
    <font>
      <sz val="10.0"/>
      <color theme="1"/>
      <name val="Times New Roman"/>
    </font>
    <font>
      <sz val="11.0"/>
      <color rgb="FF000000"/>
      <name val="Calibri"/>
    </font>
    <font>
      <color theme="1"/>
      <name val="Arial"/>
      <scheme val="minor"/>
    </font>
    <font>
      <b/>
      <color theme="1"/>
      <name val="Arial"/>
      <scheme val="minor"/>
    </font>
    <font>
      <sz val="10.0"/>
      <color rgb="FF000000"/>
      <name val="Times New Roman"/>
    </font>
    <font>
      <b/>
      <sz val="10.0"/>
      <color theme="1"/>
      <name val="&quot;Times New Roman&quot;"/>
    </font>
    <font>
      <b/>
      <sz val="10.0"/>
      <color rgb="FF000000"/>
      <name val="&quot;Times New Roman&quot;"/>
    </font>
    <font>
      <sz val="11.0"/>
      <color rgb="FF000000"/>
      <name val="&quot;Times New Roman&quot;"/>
    </font>
    <font>
      <b/>
      <sz val="12.0"/>
      <color rgb="FF000000"/>
      <name val="&quot;Times New Roman&quot;"/>
    </font>
    <font>
      <b/>
      <sz val="12.0"/>
      <color rgb="FF0000FF"/>
      <name val="&quot;Times New Roman&quot;"/>
    </font>
    <font>
      <sz val="12.0"/>
      <color rgb="FF000000"/>
      <name val="&quot;Times New Roman&quot;"/>
    </font>
    <font>
      <i/>
      <sz val="12.0"/>
      <color rgb="FF000000"/>
      <name val="&quot;Times New Roman&quot;"/>
    </font>
    <font>
      <sz val="12.0"/>
      <color rgb="FF0000FF"/>
      <name val="&quot;Times New Roman&quot;"/>
    </font>
    <font>
      <sz val="11.0"/>
      <color rgb="FF000000"/>
      <name val="Times New Roman"/>
    </font>
    <font>
      <b/>
      <sz val="12.0"/>
      <color theme="1"/>
      <name val="&quot;Times New Roman&quot;"/>
    </font>
    <font>
      <sz val="12.0"/>
      <color theme="1"/>
      <name val="&quot;Times New Roman&quot;"/>
    </font>
    <font>
      <b/>
      <sz val="11.0"/>
      <color rgb="FF000000"/>
      <name val="Calibri"/>
    </font>
    <font>
      <b/>
      <sz val="10.0"/>
      <color rgb="FFFF0000"/>
      <name val="Times New Roman"/>
    </font>
    <font>
      <b/>
      <sz val="13.0"/>
      <color theme="1"/>
      <name val="&quot;Times New Roman&quot;"/>
    </font>
    <font>
      <i/>
      <sz val="13.0"/>
      <color theme="1"/>
      <name val="&quot;Times New Roman&quot;"/>
    </font>
    <font>
      <b/>
      <sz val="11.0"/>
      <color rgb="FF000000"/>
      <name val="&quot;Aptos Narrow&quot;"/>
    </font>
    <font>
      <sz val="13.0"/>
      <color theme="1"/>
      <name val="&quot;Times New Roman&quot;"/>
    </font>
    <font>
      <sz val="10.0"/>
      <color theme="1"/>
      <name val="Arial"/>
    </font>
    <font>
      <sz val="10.0"/>
      <color theme="1"/>
      <name val="Arial"/>
      <scheme val="minor"/>
    </font>
    <font>
      <u/>
      <sz val="12.0"/>
      <color rgb="FF0000FF"/>
      <name val="Arial"/>
    </font>
    <font>
      <u/>
      <color rgb="FF0000FF"/>
      <name val="Arial"/>
    </font>
    <font>
      <b/>
      <sz val="11.0"/>
      <color rgb="FF000000"/>
      <name val="Times New Roman"/>
    </font>
    <font>
      <b/>
      <i/>
      <sz val="13.0"/>
      <color theme="1"/>
      <name val="&quot;Times New Roman&quot;"/>
    </font>
    <font>
      <b/>
      <sz val="16.0"/>
      <color rgb="FF000000"/>
      <name val="&quot;Times New Roman&quot;"/>
    </font>
    <font>
      <sz val="13.0"/>
      <color rgb="FF000000"/>
      <name val="&quot;Times New Roman&quot;"/>
    </font>
    <font>
      <sz val="11.0"/>
      <color rgb="FF000000"/>
      <name val="&quot;Aptos Narrow&quot;"/>
    </font>
    <font>
      <b/>
      <sz val="12.0"/>
      <color rgb="FFFF0000"/>
      <name val="&quot;Times New Roman&quot;"/>
    </font>
    <font>
      <sz val="12.0"/>
      <color rgb="FFFF0000"/>
      <name val="&quot;Times New Roman&quot;"/>
    </font>
    <font>
      <sz val="12.0"/>
      <color rgb="FFFF0000"/>
      <name val="Calibri"/>
    </font>
    <font>
      <sz val="11.0"/>
      <color rgb="FF000000"/>
      <name val="Arial"/>
    </font>
    <font>
      <u/>
      <color rgb="FF0000FF"/>
      <name val="Times New Roman"/>
    </font>
    <font>
      <u/>
      <color rgb="FF1155CC"/>
    </font>
    <font>
      <u/>
      <color rgb="FF0000FF"/>
    </font>
    <font>
      <b/>
      <sz val="12.0"/>
      <color theme="1"/>
      <name val="Times New Roman"/>
    </font>
    <font>
      <sz val="12.0"/>
      <color theme="1"/>
      <name val="Times New Roman"/>
    </font>
    <font>
      <b/>
      <color rgb="FF000000"/>
      <name val="&quot;Times New Roman&quot;"/>
    </font>
    <font>
      <color rgb="FF000000"/>
      <name val="&quot;Times New Roman&quot;"/>
    </font>
    <font>
      <b/>
      <color rgb="FF000000"/>
      <name val="Times New Roman"/>
    </font>
    <font>
      <color rgb="FF000000"/>
      <name val="Times New Roman"/>
    </font>
    <font>
      <b/>
      <sz val="11.0"/>
      <color rgb="FF000000"/>
      <name val="&quot;Times New Roman&quot;"/>
    </font>
    <font>
      <b/>
      <sz val="11.0"/>
      <color rgb="FFFF0000"/>
      <name val="&quot;Times New Roman&quot;"/>
    </font>
    <font>
      <b/>
      <sz val="11.0"/>
      <color rgb="FFEE0000"/>
      <name val="&quot;Times New Roman&quot;"/>
    </font>
    <font>
      <sz val="11.0"/>
      <color rgb="FFFF0000"/>
      <name val="&quot;Times New Roman&quot;"/>
    </font>
    <font>
      <sz val="11.0"/>
      <color rgb="FF00B050"/>
      <name val="&quot;Times New Roman&quot;"/>
    </font>
    <font>
      <sz val="11.0"/>
      <color rgb="FFEE0000"/>
      <name val="&quot;Times New Roman&quot;"/>
    </font>
    <font>
      <u/>
      <color rgb="FF0000FF"/>
      <name val="Arial"/>
    </font>
    <font>
      <u/>
      <color rgb="FF0000FF"/>
    </font>
    <font>
      <color rgb="FF000000"/>
      <name val="Arial"/>
    </font>
    <font>
      <b/>
      <sz val="13.0"/>
      <color theme="1"/>
      <name val="Times New Roman"/>
    </font>
    <font>
      <b/>
      <sz val="13.0"/>
      <color rgb="FFFFFFFF"/>
      <name val="&quot;Times New Roman&quot;"/>
    </font>
    <font>
      <b/>
      <i/>
      <sz val="13.0"/>
      <color theme="1"/>
      <name val="Times New Roman"/>
    </font>
    <font>
      <sz val="13.0"/>
      <color theme="1"/>
      <name val="Times New Roman"/>
    </font>
    <font>
      <b/>
      <sz val="13.0"/>
      <color rgb="FF000000"/>
      <name val="&quot;Times New Roman&quot;"/>
    </font>
    <font>
      <sz val="11.0"/>
      <color theme="1"/>
      <name val="Aptos Narrow"/>
    </font>
    <font>
      <b/>
      <sz val="13.0"/>
      <color rgb="FF008000"/>
      <name val="&quot;Times New Roman&quot;"/>
    </font>
    <font>
      <b/>
      <sz val="13.0"/>
      <color rgb="FFC00000"/>
      <name val="&quot;Times New Roman&quot;"/>
    </font>
    <font>
      <b/>
      <sz val="11.0"/>
      <color theme="1"/>
      <name val="Aptos Narrow"/>
    </font>
    <font>
      <sz val="11.0"/>
      <color rgb="FF00B0F0"/>
      <name val="&quot;Times New Roman&quot;"/>
    </font>
    <font>
      <sz val="13.0"/>
      <color rgb="FF000000"/>
      <name val="Calibri"/>
    </font>
    <font>
      <b/>
      <sz val="13.0"/>
      <color rgb="FF0070C0"/>
      <name val="&quot;Times New Roman&quot;"/>
    </font>
    <font>
      <b/>
      <u/>
      <sz val="13.0"/>
      <color rgb="FF0000FF"/>
      <name val="Calibri"/>
    </font>
    <font>
      <color rgb="FFFF0000"/>
      <name val="Arial"/>
      <scheme val="minor"/>
    </font>
    <font>
      <b/>
      <sz val="10.0"/>
      <color rgb="FFFFFFFF"/>
      <name val="Times New Roman"/>
    </font>
    <font>
      <b/>
      <sz val="10.0"/>
      <color rgb="FF333333"/>
      <name val="Times New Roman"/>
    </font>
    <font>
      <b/>
      <sz val="10.0"/>
      <color rgb="FF1A7A2E"/>
      <name val="Times New Roman"/>
    </font>
    <font>
      <sz val="10.0"/>
      <color rgb="FF333333"/>
      <name val="Times New Roman"/>
    </font>
    <font>
      <sz val="10.0"/>
      <color rgb="FF2C3E50"/>
      <name val="Times New Roman"/>
    </font>
    <font>
      <b/>
      <sz val="10.0"/>
      <color rgb="FFC77700"/>
      <name val="Times New Roman"/>
    </font>
    <font>
      <b/>
      <sz val="10.0"/>
      <color rgb="FF31708F"/>
      <name val="Times New Roman"/>
    </font>
    <font>
      <b/>
      <sz val="9.0"/>
      <color rgb="FF333333"/>
      <name val="Quicksand"/>
    </font>
    <font>
      <b/>
      <sz val="8.0"/>
      <color rgb="FFFFFFFF"/>
      <name val="Quicksand"/>
    </font>
    <font>
      <b/>
      <sz val="9.0"/>
      <color rgb="FF1A7A2E"/>
      <name val="Quicksand"/>
    </font>
    <font>
      <sz val="9.0"/>
      <color rgb="FF333333"/>
      <name val="Quicksand"/>
    </font>
    <font>
      <sz val="9.0"/>
      <color rgb="FF2C3E50"/>
      <name val="Quicksand"/>
    </font>
    <font>
      <b/>
      <sz val="8.0"/>
      <color rgb="FF31708F"/>
      <name val="Quicksand"/>
    </font>
    <font>
      <b/>
      <sz val="9.0"/>
      <color rgb="FFC77700"/>
      <name val="Quicksand"/>
    </font>
    <font>
      <u/>
      <sz val="13.0"/>
      <color rgb="FF000000"/>
      <name val="&quot;Times New Roman&quot;"/>
    </font>
    <font>
      <b/>
      <sz val="13.0"/>
      <color rgb="FF000000"/>
      <name val="Times New Roman"/>
    </font>
    <font>
      <b/>
      <sz val="9.0"/>
      <color rgb="FF000000"/>
      <name val="Times New Roman"/>
    </font>
    <font>
      <b/>
      <sz val="9.0"/>
      <color rgb="FFC9302C"/>
      <name val="Quicksand"/>
    </font>
  </fonts>
  <fills count="82">
    <fill>
      <patternFill patternType="none"/>
    </fill>
    <fill>
      <patternFill patternType="lightGray"/>
    </fill>
    <fill>
      <patternFill patternType="solid">
        <fgColor theme="0"/>
        <bgColor theme="0"/>
      </patternFill>
    </fill>
    <fill>
      <patternFill patternType="solid">
        <fgColor rgb="FFFFFFFF"/>
        <bgColor rgb="FFFFFFFF"/>
      </patternFill>
    </fill>
    <fill>
      <patternFill patternType="solid">
        <fgColor rgb="FFFFF2CC"/>
        <bgColor rgb="FFFFF2CC"/>
      </patternFill>
    </fill>
    <fill>
      <patternFill patternType="solid">
        <fgColor rgb="FFA6C9EC"/>
        <bgColor rgb="FFA6C9EC"/>
      </patternFill>
    </fill>
    <fill>
      <patternFill patternType="solid">
        <fgColor rgb="FFFF0000"/>
        <bgColor rgb="FFFF0000"/>
      </patternFill>
    </fill>
    <fill>
      <patternFill patternType="solid">
        <fgColor rgb="FFFFFF00"/>
        <bgColor rgb="FFFFFF00"/>
      </patternFill>
    </fill>
    <fill>
      <patternFill patternType="solid">
        <fgColor rgb="FFF4CCCC"/>
        <bgColor rgb="FFF4CCCC"/>
      </patternFill>
    </fill>
    <fill>
      <patternFill patternType="solid">
        <fgColor rgb="FF00FF00"/>
        <bgColor rgb="FF00FF00"/>
      </patternFill>
    </fill>
    <fill>
      <patternFill patternType="solid">
        <fgColor rgb="FFFEF2CB"/>
        <bgColor rgb="FFFEF2CB"/>
      </patternFill>
    </fill>
    <fill>
      <patternFill patternType="solid">
        <fgColor rgb="FFEA9999"/>
        <bgColor rgb="FFEA9999"/>
      </patternFill>
    </fill>
    <fill>
      <patternFill patternType="solid">
        <fgColor rgb="FFCFE2F3"/>
        <bgColor rgb="FFCFE2F3"/>
      </patternFill>
    </fill>
    <fill>
      <patternFill patternType="solid">
        <fgColor rgb="FFFF9900"/>
        <bgColor rgb="FFFF9900"/>
      </patternFill>
    </fill>
    <fill>
      <patternFill patternType="solid">
        <fgColor rgb="FFEAD1DC"/>
        <bgColor rgb="FFEAD1DC"/>
      </patternFill>
    </fill>
    <fill>
      <patternFill patternType="solid">
        <fgColor rgb="FFFBE4D5"/>
        <bgColor rgb="FFFBE4D5"/>
      </patternFill>
    </fill>
    <fill>
      <patternFill patternType="solid">
        <fgColor rgb="FFDEEAF6"/>
        <bgColor rgb="FFDEEAF6"/>
      </patternFill>
    </fill>
    <fill>
      <patternFill patternType="solid">
        <fgColor rgb="FFFBE2D5"/>
        <bgColor rgb="FFFBE2D5"/>
      </patternFill>
    </fill>
    <fill>
      <patternFill patternType="solid">
        <fgColor rgb="FFCAEDFB"/>
        <bgColor rgb="FFCAEDFB"/>
      </patternFill>
    </fill>
    <fill>
      <patternFill patternType="solid">
        <fgColor rgb="FFF2CEEF"/>
        <bgColor rgb="FFF2CEEF"/>
      </patternFill>
    </fill>
    <fill>
      <patternFill patternType="solid">
        <fgColor rgb="FFC0E6F5"/>
        <bgColor rgb="FFC0E6F5"/>
      </patternFill>
    </fill>
    <fill>
      <patternFill patternType="solid">
        <fgColor rgb="FFB4C6E7"/>
        <bgColor rgb="FFB4C6E7"/>
      </patternFill>
    </fill>
    <fill>
      <patternFill patternType="solid">
        <fgColor rgb="FFF3F3F3"/>
        <bgColor rgb="FFF3F3F3"/>
      </patternFill>
    </fill>
    <fill>
      <patternFill patternType="solid">
        <fgColor rgb="FFC9DAF8"/>
        <bgColor rgb="FFC9DAF8"/>
      </patternFill>
    </fill>
    <fill>
      <patternFill patternType="solid">
        <fgColor rgb="FFFFC000"/>
        <bgColor rgb="FFFFC000"/>
      </patternFill>
    </fill>
    <fill>
      <patternFill patternType="solid">
        <fgColor rgb="FF8ED973"/>
        <bgColor rgb="FF8ED973"/>
      </patternFill>
    </fill>
    <fill>
      <patternFill patternType="solid">
        <fgColor rgb="FFB3CEFB"/>
        <bgColor rgb="FFB3CEFB"/>
      </patternFill>
    </fill>
    <fill>
      <patternFill patternType="solid">
        <fgColor rgb="FFFBBC04"/>
        <bgColor rgb="FFFBBC04"/>
      </patternFill>
    </fill>
    <fill>
      <patternFill patternType="solid">
        <fgColor theme="6"/>
        <bgColor theme="6"/>
      </patternFill>
    </fill>
    <fill>
      <patternFill patternType="solid">
        <fgColor rgb="FFFF5050"/>
        <bgColor rgb="FFFF5050"/>
      </patternFill>
    </fill>
    <fill>
      <patternFill patternType="solid">
        <fgColor rgb="FFFDCF67"/>
        <bgColor rgb="FFFDCF67"/>
      </patternFill>
    </fill>
    <fill>
      <patternFill patternType="solid">
        <fgColor rgb="FF57BB8A"/>
        <bgColor rgb="FF57BB8A"/>
      </patternFill>
    </fill>
    <fill>
      <patternFill patternType="solid">
        <fgColor rgb="FFE67C73"/>
        <bgColor rgb="FFE67C73"/>
      </patternFill>
    </fill>
    <fill>
      <patternFill patternType="solid">
        <fgColor rgb="FFFBD567"/>
        <bgColor rgb="FFFBD567"/>
      </patternFill>
    </fill>
    <fill>
      <patternFill patternType="solid">
        <fgColor rgb="FFFCCA67"/>
        <bgColor rgb="FFFCCA67"/>
      </patternFill>
    </fill>
    <fill>
      <patternFill patternType="solid">
        <fgColor rgb="FFFFD666"/>
        <bgColor rgb="FFFFD666"/>
      </patternFill>
    </fill>
    <fill>
      <patternFill patternType="solid">
        <fgColor rgb="FFFFD566"/>
        <bgColor rgb="FFFFD566"/>
      </patternFill>
    </fill>
    <fill>
      <patternFill patternType="solid">
        <fgColor rgb="FFEC926F"/>
        <bgColor rgb="FFEC926F"/>
      </patternFill>
    </fill>
    <fill>
      <patternFill patternType="solid">
        <fgColor rgb="FFF09E6E"/>
        <bgColor rgb="FFF09E6E"/>
      </patternFill>
    </fill>
    <fill>
      <patternFill patternType="solid">
        <fgColor rgb="FFF5B16B"/>
        <bgColor rgb="FFF5B16B"/>
      </patternFill>
    </fill>
    <fill>
      <patternFill patternType="solid">
        <fgColor rgb="FFFCCB67"/>
        <bgColor rgb="FFFCCB67"/>
      </patternFill>
    </fill>
    <fill>
      <patternFill patternType="solid">
        <fgColor rgb="FFF7B66A"/>
        <bgColor rgb="FFF7B66A"/>
      </patternFill>
    </fill>
    <fill>
      <patternFill patternType="solid">
        <fgColor rgb="FFFAC268"/>
        <bgColor rgb="FFFAC268"/>
      </patternFill>
    </fill>
    <fill>
      <patternFill patternType="solid">
        <fgColor rgb="FFFCB77A"/>
        <bgColor rgb="FFFCB77A"/>
      </patternFill>
    </fill>
    <fill>
      <patternFill patternType="solid">
        <fgColor rgb="FFFCCC67"/>
        <bgColor rgb="FFFCCC67"/>
      </patternFill>
    </fill>
    <fill>
      <patternFill patternType="solid">
        <fgColor rgb="FFE0D16D"/>
        <bgColor rgb="FFE0D16D"/>
      </patternFill>
    </fill>
    <fill>
      <patternFill patternType="solid">
        <fgColor rgb="FF1F4E78"/>
        <bgColor rgb="FF1F4E78"/>
      </patternFill>
    </fill>
    <fill>
      <patternFill patternType="solid">
        <fgColor rgb="FF4472C4"/>
        <bgColor rgb="FF4472C4"/>
      </patternFill>
    </fill>
    <fill>
      <patternFill patternType="solid">
        <fgColor rgb="FFD9EAF7"/>
        <bgColor rgb="FFD9EAF7"/>
      </patternFill>
    </fill>
    <fill>
      <patternFill patternType="solid">
        <fgColor rgb="FFF8BC69"/>
        <bgColor rgb="FFF8BC69"/>
      </patternFill>
    </fill>
    <fill>
      <patternFill patternType="solid">
        <fgColor rgb="FFFED066"/>
        <bgColor rgb="FFFED066"/>
      </patternFill>
    </fill>
    <fill>
      <patternFill patternType="solid">
        <fgColor rgb="FFF6B46A"/>
        <bgColor rgb="FFF6B46A"/>
      </patternFill>
    </fill>
    <fill>
      <patternFill patternType="solid">
        <fgColor rgb="FFE98771"/>
        <bgColor rgb="FFE98771"/>
      </patternFill>
    </fill>
    <fill>
      <patternFill patternType="solid">
        <fgColor rgb="FF4EA72E"/>
        <bgColor rgb="FF4EA72E"/>
      </patternFill>
    </fill>
    <fill>
      <patternFill patternType="solid">
        <fgColor rgb="FFF8BA6A"/>
        <bgColor rgb="FFF8BA6A"/>
      </patternFill>
    </fill>
    <fill>
      <patternFill patternType="solid">
        <fgColor rgb="FFFECF67"/>
        <bgColor rgb="FFFECF67"/>
      </patternFill>
    </fill>
    <fill>
      <patternFill patternType="solid">
        <fgColor rgb="FFF6B56A"/>
        <bgColor rgb="FFF6B56A"/>
      </patternFill>
    </fill>
    <fill>
      <patternFill patternType="solid">
        <fgColor rgb="FFF1A36D"/>
        <bgColor rgb="FFF1A36D"/>
      </patternFill>
    </fill>
    <fill>
      <patternFill patternType="solid">
        <fgColor rgb="FFFFE599"/>
        <bgColor rgb="FFFFE599"/>
      </patternFill>
    </fill>
    <fill>
      <patternFill patternType="solid">
        <fgColor rgb="FFF0A06D"/>
        <bgColor rgb="FFF0A06D"/>
      </patternFill>
    </fill>
    <fill>
      <patternFill patternType="solid">
        <fgColor rgb="FFF2A66C"/>
        <bgColor rgb="FFF2A66C"/>
      </patternFill>
    </fill>
    <fill>
      <patternFill patternType="solid">
        <fgColor rgb="FFF2A66D"/>
        <bgColor rgb="FFF2A66D"/>
      </patternFill>
    </fill>
    <fill>
      <patternFill patternType="solid">
        <fgColor rgb="FFF3A96C"/>
        <bgColor rgb="FFF3A96C"/>
      </patternFill>
    </fill>
    <fill>
      <patternFill patternType="solid">
        <fgColor rgb="FFFED166"/>
        <bgColor rgb="FFFED166"/>
      </patternFill>
    </fill>
    <fill>
      <patternFill patternType="solid">
        <fgColor rgb="FFEE976F"/>
        <bgColor rgb="FFEE976F"/>
      </patternFill>
    </fill>
    <fill>
      <patternFill patternType="solid">
        <fgColor rgb="FFF5B06B"/>
        <bgColor rgb="FFF5B06B"/>
      </patternFill>
    </fill>
    <fill>
      <patternFill patternType="solid">
        <fgColor rgb="FFF9BE69"/>
        <bgColor rgb="FFF9BE69"/>
      </patternFill>
    </fill>
    <fill>
      <patternFill patternType="solid">
        <fgColor rgb="FFFDCD67"/>
        <bgColor rgb="FFFDCD67"/>
      </patternFill>
    </fill>
    <fill>
      <patternFill patternType="solid">
        <fgColor rgb="FFF6B66A"/>
        <bgColor rgb="FFF6B66A"/>
      </patternFill>
    </fill>
    <fill>
      <patternFill patternType="solid">
        <fgColor rgb="FFED946F"/>
        <bgColor rgb="FFED946F"/>
      </patternFill>
    </fill>
    <fill>
      <patternFill patternType="solid">
        <fgColor rgb="FFF2A56D"/>
        <bgColor rgb="FFF2A56D"/>
      </patternFill>
    </fill>
    <fill>
      <patternFill patternType="solid">
        <fgColor rgb="FFFED366"/>
        <bgColor rgb="FFFED366"/>
      </patternFill>
    </fill>
    <fill>
      <patternFill patternType="solid">
        <fgColor rgb="FFF7FAFC"/>
        <bgColor rgb="FFF7FAFC"/>
      </patternFill>
    </fill>
    <fill>
      <patternFill patternType="solid">
        <fgColor rgb="FF2C6AA0"/>
        <bgColor rgb="FF2C6AA0"/>
      </patternFill>
    </fill>
    <fill>
      <patternFill patternType="solid">
        <fgColor rgb="FFEEF4FB"/>
        <bgColor rgb="FFEEF4FB"/>
      </patternFill>
    </fill>
    <fill>
      <patternFill patternType="solid">
        <fgColor rgb="FF3C8DBC"/>
        <bgColor rgb="FF3C8DBC"/>
      </patternFill>
    </fill>
    <fill>
      <patternFill patternType="solid">
        <fgColor rgb="FFFCFCFC"/>
        <bgColor rgb="FFFCFCFC"/>
      </patternFill>
    </fill>
    <fill>
      <patternFill patternType="solid">
        <fgColor rgb="FFE8EEF4"/>
        <bgColor rgb="FFE8EEF4"/>
      </patternFill>
    </fill>
    <fill>
      <patternFill patternType="solid">
        <fgColor rgb="FF1A7A2E"/>
        <bgColor rgb="FF1A7A2E"/>
      </patternFill>
    </fill>
    <fill>
      <patternFill patternType="solid">
        <fgColor rgb="FFC9302C"/>
        <bgColor rgb="FFC9302C"/>
      </patternFill>
    </fill>
    <fill>
      <patternFill patternType="solid">
        <fgColor rgb="FFAAAAAA"/>
        <bgColor rgb="FFAAAAAA"/>
      </patternFill>
    </fill>
    <fill>
      <patternFill patternType="solid">
        <fgColor rgb="FFF8696B"/>
        <bgColor rgb="FFF8696B"/>
      </patternFill>
    </fill>
  </fills>
  <borders count="84">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right style="thin">
        <color rgb="FF000000"/>
      </right>
    </border>
    <border>
      <left style="medium">
        <color rgb="FF000000"/>
      </left>
      <right style="medium">
        <color rgb="FF000000"/>
      </right>
      <top style="medium">
        <color rgb="FF000000"/>
      </top>
    </border>
    <border>
      <left style="medium">
        <color rgb="FF000000"/>
      </left>
      <right style="thin">
        <color rgb="FF000000"/>
      </right>
    </border>
    <border>
      <right style="thin">
        <color rgb="FF000000"/>
      </right>
      <top style="medium">
        <color rgb="FF000000"/>
      </top>
    </border>
    <border>
      <left style="thin">
        <color rgb="FF000000"/>
      </left>
      <right style="thin">
        <color rgb="FF000000"/>
      </right>
      <top style="medium">
        <color rgb="FF000000"/>
      </top>
    </border>
    <border>
      <left style="medium">
        <color rgb="FF000000"/>
      </left>
      <bottom style="thin">
        <color rgb="FF000000"/>
      </bottom>
    </border>
    <border>
      <left style="medium">
        <color rgb="FF000000"/>
      </left>
      <top style="thin">
        <color rgb="FF000000"/>
      </top>
      <bottom style="thin">
        <color rgb="FF000000"/>
      </bottom>
    </border>
    <border>
      <left style="medium">
        <color rgb="FF000000"/>
      </left>
      <top style="thin">
        <color rgb="FF000000"/>
      </top>
      <bottom style="medium">
        <color rgb="FF000000"/>
      </bottom>
    </border>
    <border>
      <left style="thin">
        <color rgb="FF000000"/>
      </left>
      <bottom style="thin">
        <color rgb="FF000000"/>
      </bottom>
    </border>
    <border>
      <left style="thin">
        <color rgb="FF000000"/>
      </left>
      <right style="thin">
        <color rgb="FF000000"/>
      </right>
      <bottom style="thin">
        <color rgb="FF000000"/>
      </bottom>
    </border>
    <border>
      <right style="thin">
        <color rgb="FF000000"/>
      </right>
      <bottom style="medium">
        <color rgb="FF000000"/>
      </bottom>
    </border>
    <border>
      <left style="thin">
        <color rgb="FF000000"/>
      </left>
      <right style="thin">
        <color rgb="FF000000"/>
      </right>
      <bottom style="medium">
        <color rgb="FF000000"/>
      </bottom>
    </border>
    <border>
      <left style="medium">
        <color rgb="FF000000"/>
      </left>
      <top style="thin">
        <color rgb="FF000000"/>
      </top>
    </border>
    <border>
      <left style="thin">
        <color rgb="FF000000"/>
      </left>
      <right style="thin">
        <color rgb="FF000000"/>
      </right>
      <top style="thin">
        <color rgb="FF000000"/>
      </top>
    </border>
    <border>
      <top style="thin">
        <color rgb="FF000000"/>
      </top>
    </border>
    <border>
      <left style="thin">
        <color rgb="FF000000"/>
      </left>
      <top style="thin">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medium">
        <color rgb="FF000000"/>
      </left>
      <right style="thin">
        <color rgb="FF000000"/>
      </right>
      <top style="medium">
        <color rgb="FF000000"/>
      </top>
    </border>
    <border>
      <left style="thin">
        <color rgb="FF000000"/>
      </left>
      <right style="thin">
        <color rgb="FF000000"/>
      </right>
      <top style="thin">
        <color rgb="FF000000"/>
      </top>
      <bottom style="medium">
        <color rgb="FF000000"/>
      </bottom>
    </border>
    <border>
      <left style="medium">
        <color rgb="FF000000"/>
      </left>
      <right style="medium">
        <color rgb="FF000000"/>
      </right>
    </border>
    <border>
      <left style="medium">
        <color rgb="FF000000"/>
      </left>
      <right style="thin">
        <color rgb="FF000000"/>
      </right>
      <top style="thin">
        <color rgb="FF000000"/>
      </top>
    </border>
    <border>
      <left style="thin">
        <color rgb="FF000000"/>
      </left>
    </border>
    <border>
      <left style="thin">
        <color rgb="FF000000"/>
      </left>
      <right style="medium">
        <color rgb="FF000000"/>
      </right>
      <top style="thin">
        <color rgb="FF000000"/>
      </top>
      <bottom style="thin">
        <color rgb="FF000000"/>
      </bottom>
    </border>
    <border>
      <left style="thin">
        <color rgb="FF000000"/>
      </left>
      <top style="medium">
        <color rgb="FF000000"/>
      </top>
    </border>
    <border>
      <top style="medium">
        <color rgb="FF000000"/>
      </top>
    </border>
    <border>
      <left style="thin">
        <color rgb="FF000000"/>
      </left>
      <right style="medium">
        <color rgb="FF000000"/>
      </right>
      <top style="thin">
        <color rgb="FF000000"/>
      </top>
    </border>
    <border>
      <top style="medium">
        <color rgb="FF000000"/>
      </top>
      <bottom style="thin">
        <color rgb="FF000000"/>
      </bottom>
    </border>
    <border>
      <right style="thin">
        <color rgb="FF000000"/>
      </right>
      <bottom style="thin">
        <color rgb="FF000000"/>
      </bottom>
    </border>
    <border>
      <left style="medium">
        <color rgb="FF000000"/>
      </left>
      <bottom style="medium">
        <color rgb="FF000000"/>
      </bottom>
    </border>
    <border>
      <right style="thin">
        <color rgb="FF000000"/>
      </right>
      <top style="thin">
        <color rgb="FF000000"/>
      </top>
    </border>
    <border>
      <left style="thin">
        <color rgb="FF000000"/>
      </left>
      <right style="medium">
        <color rgb="FF000000"/>
      </right>
      <top style="medium">
        <color rgb="FF000000"/>
      </top>
      <bottom style="thin">
        <color rgb="FF000000"/>
      </bottom>
    </border>
    <border>
      <left style="thin">
        <color rgb="FF000000"/>
      </left>
      <bottom style="medium">
        <color rgb="FF000000"/>
      </bottom>
    </border>
    <border>
      <left style="medium">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medium">
        <color rgb="FF000000"/>
      </right>
      <top style="thin">
        <color rgb="FF000000"/>
      </top>
      <bottom style="thin">
        <color rgb="FF000000"/>
      </bottom>
    </border>
    <border>
      <right style="thin">
        <color rgb="FF000000"/>
      </right>
      <top style="thin">
        <color rgb="FF000000"/>
      </top>
      <bottom style="medium">
        <color rgb="FF000000"/>
      </bottom>
    </border>
    <border>
      <top style="medium">
        <color rgb="FF000000"/>
      </top>
      <bottom style="medium">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7F7F7F"/>
      </right>
      <top style="thin">
        <color rgb="FF000000"/>
      </top>
    </border>
    <border>
      <left style="thin">
        <color rgb="FF000000"/>
      </left>
      <top style="thin">
        <color rgb="FF000000"/>
      </top>
      <bottom style="thin">
        <color rgb="FF7F7F7F"/>
      </bottom>
    </border>
    <border>
      <top style="thin">
        <color rgb="FF000000"/>
      </top>
      <bottom style="thin">
        <color rgb="FF7F7F7F"/>
      </bottom>
    </border>
    <border>
      <right style="thin">
        <color rgb="FF7F7F7F"/>
      </right>
      <top style="thin">
        <color rgb="FF000000"/>
      </top>
      <bottom style="thin">
        <color rgb="FF7F7F7F"/>
      </bottom>
    </border>
    <border>
      <right style="thin">
        <color rgb="FF000000"/>
      </right>
      <top style="thin">
        <color rgb="FF000000"/>
      </top>
      <bottom style="thin">
        <color rgb="FF7F7F7F"/>
      </bottom>
    </border>
    <border>
      <left style="thin">
        <color rgb="FF000000"/>
      </left>
      <right style="thin">
        <color rgb="FF7F7F7F"/>
      </right>
      <bottom style="thin">
        <color rgb="FF7F7F7F"/>
      </bottom>
    </border>
    <border>
      <left style="medium">
        <color rgb="FF000000"/>
      </left>
      <right style="thin">
        <color rgb="FF000000"/>
      </right>
      <bottom style="medium">
        <color rgb="FF000000"/>
      </bottom>
    </border>
    <border>
      <left style="thin">
        <color rgb="FF000000"/>
      </left>
      <right style="medium">
        <color rgb="FF000000"/>
      </right>
      <bottom style="medium">
        <color rgb="FF000000"/>
      </bottom>
    </border>
    <border>
      <right style="thin">
        <color rgb="FF7F7F7F"/>
      </right>
      <top style="thin">
        <color rgb="FF000000"/>
      </top>
      <bottom style="thin">
        <color rgb="FF000000"/>
      </bottom>
    </border>
    <border>
      <left style="thin">
        <color rgb="FFDEE2E6"/>
      </left>
      <right style="thin">
        <color rgb="FFDEE2E6"/>
      </right>
      <top style="thin">
        <color rgb="FFDEE2E6"/>
      </top>
    </border>
    <border>
      <left style="thin">
        <color rgb="FFDEE2E6"/>
      </left>
      <top style="thin">
        <color rgb="FFDEE2E6"/>
      </top>
      <bottom style="thin">
        <color rgb="FFDEE2E6"/>
      </bottom>
    </border>
    <border>
      <top style="thin">
        <color rgb="FFDEE2E6"/>
      </top>
      <bottom style="thin">
        <color rgb="FFDEE2E6"/>
      </bottom>
    </border>
    <border>
      <right style="thin">
        <color rgb="FFDEE2E6"/>
      </right>
      <top style="thin">
        <color rgb="FFDEE2E6"/>
      </top>
      <bottom style="thin">
        <color rgb="FFDEE2E6"/>
      </bottom>
    </border>
    <border>
      <left style="thin">
        <color rgb="FFDEE2E6"/>
      </left>
      <right style="thin">
        <color rgb="FFDEE2E6"/>
      </right>
      <bottom style="thin">
        <color rgb="FFDEE2E6"/>
      </bottom>
    </border>
    <border>
      <left style="thin">
        <color rgb="FFDEE2E6"/>
      </left>
      <right style="thin">
        <color rgb="FFDEE2E6"/>
      </right>
      <top style="thin">
        <color rgb="FFDEE2E6"/>
      </top>
      <bottom style="thin">
        <color rgb="FFDEE2E6"/>
      </bottom>
    </border>
    <border>
      <left style="thin">
        <color rgb="FFAAAAAA"/>
      </left>
      <right style="thin">
        <color rgb="FFAAAAAA"/>
      </right>
      <top style="thin">
        <color rgb="FFAAAAAA"/>
      </top>
      <bottom style="thin">
        <color rgb="FFAAAAAA"/>
      </bottom>
    </border>
    <border>
      <left style="thin">
        <color rgb="FF3C8DBC"/>
      </left>
      <right style="thin">
        <color rgb="FF3C8DBC"/>
      </right>
      <top style="thin">
        <color rgb="FF3C8DBC"/>
      </top>
      <bottom style="thin">
        <color rgb="FF3C8DBC"/>
      </bottom>
    </border>
    <border>
      <left style="thin">
        <color rgb="FF3C8DBC"/>
      </left>
      <right style="thin">
        <color rgb="FF3C8DBC"/>
      </right>
      <bottom style="thin">
        <color rgb="FF3C8DBC"/>
      </bottom>
    </border>
    <border>
      <left style="medium">
        <color rgb="FF000000"/>
      </left>
      <top style="medium">
        <color rgb="FF000000"/>
      </top>
      <bottom style="thin">
        <color rgb="FFAAAAAA"/>
      </bottom>
    </border>
    <border>
      <top style="medium">
        <color rgb="FF000000"/>
      </top>
      <bottom style="thin">
        <color rgb="FFAAAAAA"/>
      </bottom>
    </border>
    <border>
      <right style="medium">
        <color rgb="FF000000"/>
      </right>
      <top style="medium">
        <color rgb="FF000000"/>
      </top>
      <bottom style="thin">
        <color rgb="FFAAAAAA"/>
      </bottom>
    </border>
    <border>
      <left style="thin">
        <color rgb="FFAAAAAA"/>
      </left>
      <top style="thin">
        <color rgb="FFAAAAAA"/>
      </top>
      <bottom style="thin">
        <color rgb="FFAAAAAA"/>
      </bottom>
    </border>
    <border>
      <left style="medium">
        <color rgb="FF000000"/>
      </left>
      <right style="thin">
        <color rgb="FFAAAAAA"/>
      </right>
      <top style="thin">
        <color rgb="FFAAAAAA"/>
      </top>
      <bottom style="thin">
        <color rgb="FFAAAAAA"/>
      </bottom>
    </border>
    <border>
      <left style="thin">
        <color rgb="FFAAAAAA"/>
      </left>
      <right style="medium">
        <color rgb="FF000000"/>
      </right>
      <top style="thin">
        <color rgb="FFAAAAAA"/>
      </top>
      <bottom style="thin">
        <color rgb="FFAAAAAA"/>
      </bottom>
    </border>
    <border>
      <left style="medium">
        <color rgb="FF000000"/>
      </left>
      <right style="thin">
        <color rgb="FFAAAAAA"/>
      </right>
      <top style="thin">
        <color rgb="FFAAAAAA"/>
      </top>
      <bottom style="medium">
        <color rgb="FF000000"/>
      </bottom>
    </border>
    <border>
      <left style="thin">
        <color rgb="FFAAAAAA"/>
      </left>
      <right style="thin">
        <color rgb="FFAAAAAA"/>
      </right>
      <top style="thin">
        <color rgb="FFAAAAAA"/>
      </top>
      <bottom style="medium">
        <color rgb="FF000000"/>
      </bottom>
    </border>
    <border>
      <left style="thin">
        <color rgb="FFAAAAAA"/>
      </left>
      <right style="medium">
        <color rgb="FF000000"/>
      </right>
      <top style="thin">
        <color rgb="FFAAAAAA"/>
      </top>
      <bottom style="medium">
        <color rgb="FF000000"/>
      </bottom>
    </border>
    <border>
      <top style="thin">
        <color rgb="FFAAAAAA"/>
      </top>
      <bottom style="thin">
        <color rgb="FFAAAAAA"/>
      </bottom>
    </border>
    <border>
      <right style="thin">
        <color rgb="FFAAAAAA"/>
      </right>
      <top style="thin">
        <color rgb="FFAAAAAA"/>
      </top>
      <bottom style="thin">
        <color rgb="FFAAAAAA"/>
      </bottom>
    </border>
  </borders>
  <cellStyleXfs count="1">
    <xf borderId="0" fillId="0" fontId="0" numFmtId="0" applyAlignment="1" applyFont="1"/>
  </cellStyleXfs>
  <cellXfs count="1319">
    <xf borderId="0" fillId="0" fontId="0" numFmtId="0" xfId="0" applyAlignment="1" applyFont="1">
      <alignment readingOrder="0" shrinkToFit="0" vertical="bottom" wrapText="0"/>
    </xf>
    <xf borderId="0" fillId="2" fontId="1" numFmtId="0" xfId="0" applyAlignment="1" applyFill="1" applyFont="1">
      <alignment horizontal="center"/>
    </xf>
    <xf borderId="0" fillId="2" fontId="2" numFmtId="0" xfId="0" applyAlignment="1" applyFont="1">
      <alignment horizontal="center" readingOrder="0"/>
    </xf>
    <xf borderId="0" fillId="2" fontId="3" numFmtId="0" xfId="0" applyFont="1"/>
    <xf borderId="1" fillId="3" fontId="3" numFmtId="0" xfId="0" applyAlignment="1" applyBorder="1" applyFill="1" applyFont="1">
      <alignment vertical="bottom"/>
    </xf>
    <xf borderId="2" fillId="4" fontId="2" numFmtId="0" xfId="0" applyAlignment="1" applyBorder="1" applyFill="1" applyFont="1">
      <alignment horizontal="center" readingOrder="0" vertical="bottom"/>
    </xf>
    <xf borderId="1" fillId="2" fontId="1" numFmtId="0" xfId="0" applyAlignment="1" applyBorder="1" applyFont="1">
      <alignment horizontal="center"/>
    </xf>
    <xf borderId="3" fillId="0" fontId="4" numFmtId="0" xfId="0" applyBorder="1" applyFont="1"/>
    <xf borderId="2" fillId="4" fontId="2" numFmtId="0" xfId="0" applyAlignment="1" applyBorder="1" applyFont="1">
      <alignment horizontal="center" readingOrder="0"/>
    </xf>
    <xf borderId="4" fillId="0" fontId="4" numFmtId="0" xfId="0" applyBorder="1" applyFont="1"/>
    <xf borderId="0" fillId="3" fontId="3" numFmtId="0" xfId="0" applyAlignment="1" applyFont="1">
      <alignment vertical="bottom"/>
    </xf>
    <xf borderId="0" fillId="0" fontId="2" numFmtId="0" xfId="0" applyAlignment="1" applyFont="1">
      <alignment horizontal="center"/>
    </xf>
    <xf borderId="1" fillId="0" fontId="2" numFmtId="0" xfId="0" applyAlignment="1" applyBorder="1" applyFont="1">
      <alignment horizontal="center" vertical="bottom"/>
    </xf>
    <xf borderId="5" fillId="5" fontId="5" numFmtId="0" xfId="0" applyAlignment="1" applyBorder="1" applyFill="1" applyFont="1">
      <alignment horizontal="center" shrinkToFit="0" vertical="bottom" wrapText="1"/>
    </xf>
    <xf borderId="1" fillId="5" fontId="5" numFmtId="0" xfId="0" applyAlignment="1" applyBorder="1" applyFont="1">
      <alignment horizontal="center" shrinkToFit="0" vertical="bottom" wrapText="1"/>
    </xf>
    <xf borderId="1" fillId="0" fontId="2" numFmtId="0" xfId="0" applyAlignment="1" applyBorder="1" applyFont="1">
      <alignment horizontal="center"/>
    </xf>
    <xf borderId="5" fillId="5" fontId="5" numFmtId="0" xfId="0" applyAlignment="1" applyBorder="1" applyFont="1">
      <alignment horizontal="center" shrinkToFit="0" wrapText="1"/>
    </xf>
    <xf borderId="1" fillId="5" fontId="5" numFmtId="0" xfId="0" applyAlignment="1" applyBorder="1" applyFont="1">
      <alignment horizontal="center" shrinkToFit="0" wrapText="1"/>
    </xf>
    <xf borderId="1" fillId="5" fontId="5" numFmtId="0" xfId="0" applyAlignment="1" applyBorder="1" applyFont="1">
      <alignment horizontal="center" readingOrder="0" shrinkToFit="0" wrapText="1"/>
    </xf>
    <xf borderId="1" fillId="6" fontId="5" numFmtId="0" xfId="0" applyAlignment="1" applyBorder="1" applyFill="1" applyFont="1">
      <alignment horizontal="center" shrinkToFit="0" wrapText="1"/>
    </xf>
    <xf borderId="1" fillId="7" fontId="5" numFmtId="0" xfId="0" applyAlignment="1" applyBorder="1" applyFill="1" applyFont="1">
      <alignment horizontal="center" shrinkToFit="0" wrapText="1"/>
    </xf>
    <xf borderId="1" fillId="7" fontId="5" numFmtId="0" xfId="0" applyAlignment="1" applyBorder="1" applyFont="1">
      <alignment horizontal="center" readingOrder="0" shrinkToFit="0" wrapText="1"/>
    </xf>
    <xf borderId="1" fillId="5" fontId="5" numFmtId="0" xfId="0" applyAlignment="1" applyBorder="1" applyFont="1">
      <alignment horizontal="center" readingOrder="0" shrinkToFit="0" vertical="bottom" wrapText="1"/>
    </xf>
    <xf borderId="0" fillId="2" fontId="6" numFmtId="0" xfId="0" applyAlignment="1" applyFont="1">
      <alignment readingOrder="0"/>
    </xf>
    <xf borderId="1" fillId="5" fontId="5" numFmtId="0" xfId="0" applyAlignment="1" applyBorder="1" applyFont="1">
      <alignment horizontal="center" readingOrder="0" shrinkToFit="0" vertical="center" wrapText="1"/>
    </xf>
    <xf borderId="1" fillId="8" fontId="6" numFmtId="0" xfId="0" applyAlignment="1" applyBorder="1" applyFill="1" applyFont="1">
      <alignment horizontal="center" shrinkToFit="0" wrapText="1"/>
    </xf>
    <xf borderId="0" fillId="0" fontId="5" numFmtId="0" xfId="0" applyAlignment="1" applyFont="1">
      <alignment horizontal="center" readingOrder="0" vertical="bottom"/>
    </xf>
    <xf borderId="1" fillId="0" fontId="5" numFmtId="0" xfId="0" applyAlignment="1" applyBorder="1" applyFont="1">
      <alignment horizontal="center" vertical="bottom"/>
    </xf>
    <xf borderId="1" fillId="0" fontId="6" numFmtId="10" xfId="0" applyAlignment="1" applyBorder="1" applyFont="1" applyNumberFormat="1">
      <alignment horizontal="center" readingOrder="0"/>
    </xf>
    <xf borderId="1" fillId="0" fontId="6" numFmtId="10" xfId="0" applyAlignment="1" applyBorder="1" applyFont="1" applyNumberFormat="1">
      <alignment horizontal="center" vertical="bottom"/>
    </xf>
    <xf borderId="6" fillId="0" fontId="6" numFmtId="9" xfId="0" applyAlignment="1" applyBorder="1" applyFont="1" applyNumberFormat="1">
      <alignment horizontal="center" readingOrder="0"/>
    </xf>
    <xf borderId="6" fillId="0" fontId="6" numFmtId="9" xfId="0" applyAlignment="1" applyBorder="1" applyFont="1" applyNumberFormat="1">
      <alignment horizontal="center" vertical="bottom"/>
    </xf>
    <xf borderId="5" fillId="0" fontId="6" numFmtId="9" xfId="0" applyAlignment="1" applyBorder="1" applyFont="1" applyNumberFormat="1">
      <alignment horizontal="center" readingOrder="0"/>
    </xf>
    <xf borderId="5" fillId="0" fontId="6" numFmtId="9" xfId="0" applyAlignment="1" applyBorder="1" applyFont="1" applyNumberFormat="1">
      <alignment horizontal="center" vertical="bottom"/>
    </xf>
    <xf borderId="5" fillId="0" fontId="6" numFmtId="9" xfId="0" applyAlignment="1" applyBorder="1" applyFont="1" applyNumberFormat="1">
      <alignment horizontal="center" readingOrder="0" vertical="bottom"/>
    </xf>
    <xf borderId="1" fillId="0" fontId="6" numFmtId="9" xfId="0" applyAlignment="1" applyBorder="1" applyFont="1" applyNumberFormat="1">
      <alignment horizontal="center" readingOrder="0" vertical="bottom"/>
    </xf>
    <xf borderId="1" fillId="3" fontId="3" numFmtId="10" xfId="0" applyAlignment="1" applyBorder="1" applyFont="1" applyNumberFormat="1">
      <alignment horizontal="center" vertical="bottom"/>
    </xf>
    <xf borderId="0" fillId="2" fontId="3" numFmtId="10" xfId="0" applyFont="1" applyNumberFormat="1"/>
    <xf borderId="1" fillId="0" fontId="6" numFmtId="0" xfId="0" applyAlignment="1" applyBorder="1" applyFont="1">
      <alignment horizontal="center" vertical="bottom"/>
    </xf>
    <xf borderId="1" fillId="0" fontId="5" numFmtId="0" xfId="0" applyAlignment="1" applyBorder="1" applyFont="1">
      <alignment horizontal="center" vertical="bottom"/>
    </xf>
    <xf borderId="1" fillId="0" fontId="3" numFmtId="10" xfId="0" applyAlignment="1" applyBorder="1" applyFont="1" applyNumberFormat="1">
      <alignment vertical="bottom"/>
    </xf>
    <xf borderId="1" fillId="0" fontId="3" numFmtId="0" xfId="0" applyAlignment="1" applyBorder="1" applyFont="1">
      <alignment vertical="bottom"/>
    </xf>
    <xf borderId="1" fillId="0" fontId="3" numFmtId="164" xfId="0" applyAlignment="1" applyBorder="1" applyFont="1" applyNumberFormat="1">
      <alignment vertical="bottom"/>
    </xf>
    <xf borderId="7" fillId="0" fontId="5" numFmtId="0" xfId="0" applyAlignment="1" applyBorder="1" applyFont="1">
      <alignment horizontal="center" readingOrder="0" shrinkToFit="0" vertical="center" wrapText="1"/>
    </xf>
    <xf borderId="1" fillId="0" fontId="3" numFmtId="3" xfId="0" applyAlignment="1" applyBorder="1" applyFont="1" applyNumberFormat="1">
      <alignment vertical="bottom"/>
    </xf>
    <xf borderId="8" fillId="0" fontId="6" numFmtId="0" xfId="0" applyAlignment="1" applyBorder="1" applyFont="1">
      <alignment horizontal="center" readingOrder="0" shrinkToFit="0" vertical="center" wrapText="1"/>
    </xf>
    <xf borderId="9" fillId="0" fontId="6" numFmtId="0" xfId="0" applyAlignment="1" applyBorder="1" applyFont="1">
      <alignment horizontal="center" readingOrder="0" shrinkToFit="0" vertical="center" wrapText="1"/>
    </xf>
    <xf borderId="10" fillId="0" fontId="6" numFmtId="0" xfId="0" applyAlignment="1" applyBorder="1" applyFont="1">
      <alignment horizontal="center" readingOrder="0" shrinkToFit="0" vertical="center" wrapText="1"/>
    </xf>
    <xf borderId="1" fillId="0" fontId="7" numFmtId="3" xfId="0" applyAlignment="1" applyBorder="1" applyFont="1" applyNumberFormat="1">
      <alignment horizontal="center" readingOrder="0"/>
    </xf>
    <xf borderId="1" fillId="0" fontId="5" numFmtId="3" xfId="0" applyAlignment="1" applyBorder="1" applyFont="1" applyNumberFormat="1">
      <alignment horizontal="center" readingOrder="0" vertical="bottom"/>
    </xf>
    <xf borderId="1" fillId="0" fontId="6" numFmtId="164" xfId="0" applyAlignment="1" applyBorder="1" applyFont="1" applyNumberFormat="1">
      <alignment horizontal="center" readingOrder="0" vertical="bottom"/>
    </xf>
    <xf borderId="1" fillId="0" fontId="6" numFmtId="3" xfId="0" applyAlignment="1" applyBorder="1" applyFont="1" applyNumberFormat="1">
      <alignment horizontal="center" vertical="bottom"/>
    </xf>
    <xf borderId="0" fillId="2" fontId="3" numFmtId="0" xfId="0" applyAlignment="1" applyFont="1">
      <alignment vertical="center"/>
    </xf>
    <xf borderId="1" fillId="0" fontId="6" numFmtId="10" xfId="0" applyAlignment="1" applyBorder="1" applyFont="1" applyNumberFormat="1">
      <alignment horizontal="center" readingOrder="0" vertical="bottom"/>
    </xf>
    <xf borderId="0" fillId="0" fontId="8" numFmtId="0" xfId="0" applyAlignment="1" applyFont="1">
      <alignment horizontal="center" readingOrder="0" vertical="bottom"/>
    </xf>
    <xf borderId="1" fillId="0" fontId="8" numFmtId="0" xfId="0" applyAlignment="1" applyBorder="1" applyFont="1">
      <alignment horizontal="center" vertical="bottom"/>
    </xf>
    <xf borderId="6" fillId="0" fontId="9" numFmtId="2" xfId="0" applyAlignment="1" applyBorder="1" applyFont="1" applyNumberFormat="1">
      <alignment horizontal="center" vertical="bottom"/>
    </xf>
    <xf borderId="5" fillId="0" fontId="8" numFmtId="165" xfId="0" applyAlignment="1" applyBorder="1" applyFont="1" applyNumberFormat="1">
      <alignment horizontal="center" vertical="bottom"/>
    </xf>
    <xf borderId="5" fillId="0" fontId="9" numFmtId="2" xfId="0" applyAlignment="1" applyBorder="1" applyFont="1" applyNumberFormat="1">
      <alignment horizontal="center" vertical="bottom"/>
    </xf>
    <xf borderId="6" fillId="0" fontId="6" numFmtId="0" xfId="0" applyAlignment="1" applyBorder="1" applyFont="1">
      <alignment horizontal="center" readingOrder="0" vertical="bottom"/>
    </xf>
    <xf borderId="5" fillId="0" fontId="9" numFmtId="2" xfId="0" applyAlignment="1" applyBorder="1" applyFont="1" applyNumberFormat="1">
      <alignment horizontal="center" readingOrder="0" vertical="bottom"/>
    </xf>
    <xf borderId="6" fillId="0" fontId="5" numFmtId="0" xfId="0" applyAlignment="1" applyBorder="1" applyFont="1">
      <alignment horizontal="center" readingOrder="0" vertical="bottom"/>
    </xf>
    <xf borderId="5" fillId="0" fontId="9" numFmtId="165" xfId="0" applyAlignment="1" applyBorder="1" applyFont="1" applyNumberFormat="1">
      <alignment horizontal="center" vertical="bottom"/>
    </xf>
    <xf borderId="5" fillId="0" fontId="6" numFmtId="10" xfId="0" applyAlignment="1" applyBorder="1" applyFont="1" applyNumberFormat="1">
      <alignment horizontal="center" readingOrder="0" vertical="bottom"/>
    </xf>
    <xf borderId="5" fillId="0" fontId="6" numFmtId="0" xfId="0" applyAlignment="1" applyBorder="1" applyFont="1">
      <alignment horizontal="center" readingOrder="0" vertical="bottom"/>
    </xf>
    <xf borderId="5" fillId="0" fontId="6" numFmtId="164" xfId="0" applyAlignment="1" applyBorder="1" applyFont="1" applyNumberFormat="1">
      <alignment horizontal="center" readingOrder="0" vertical="bottom"/>
    </xf>
    <xf borderId="5" fillId="0" fontId="6" numFmtId="3" xfId="0" applyAlignment="1" applyBorder="1" applyFont="1" applyNumberFormat="1">
      <alignment horizontal="center" readingOrder="0" vertical="bottom"/>
    </xf>
    <xf borderId="5" fillId="0" fontId="9" numFmtId="0" xfId="0" applyAlignment="1" applyBorder="1" applyFont="1">
      <alignment horizontal="center" vertical="bottom"/>
    </xf>
    <xf borderId="1" fillId="3" fontId="3" numFmtId="10" xfId="0" applyAlignment="1" applyBorder="1" applyFont="1" applyNumberFormat="1">
      <alignment horizontal="right" vertical="bottom"/>
    </xf>
    <xf borderId="0" fillId="2" fontId="10" numFmtId="0" xfId="0" applyFont="1"/>
    <xf borderId="5" fillId="3" fontId="3" numFmtId="0" xfId="0" applyAlignment="1" applyBorder="1" applyFont="1">
      <alignment vertical="bottom"/>
    </xf>
    <xf borderId="0" fillId="0" fontId="5" numFmtId="0" xfId="0" applyAlignment="1" applyFont="1">
      <alignment horizontal="center" readingOrder="0" shrinkToFit="0" vertical="center" wrapText="1"/>
    </xf>
    <xf borderId="1" fillId="0" fontId="5" numFmtId="0" xfId="0" applyAlignment="1" applyBorder="1" applyFont="1">
      <alignment horizontal="center" readingOrder="0" vertical="bottom"/>
    </xf>
    <xf borderId="1" fillId="0" fontId="5" numFmtId="0" xfId="0" applyAlignment="1" applyBorder="1" applyFont="1">
      <alignment horizontal="center" shrinkToFit="0" wrapText="1"/>
    </xf>
    <xf borderId="1" fillId="0" fontId="6" numFmtId="0" xfId="0" applyAlignment="1" applyBorder="1" applyFont="1">
      <alignment horizontal="center" readingOrder="0" vertical="bottom"/>
    </xf>
    <xf borderId="6" fillId="0" fontId="6" numFmtId="0" xfId="0" applyAlignment="1" applyBorder="1" applyFont="1">
      <alignment horizontal="center" shrinkToFit="0" wrapText="1"/>
    </xf>
    <xf borderId="9" fillId="0" fontId="6" numFmtId="0" xfId="0" applyAlignment="1" applyBorder="1" applyFont="1">
      <alignment horizontal="center" shrinkToFit="0" wrapText="1"/>
    </xf>
    <xf borderId="10" fillId="0" fontId="6" numFmtId="0" xfId="0" applyAlignment="1" applyBorder="1" applyFont="1">
      <alignment horizontal="center" shrinkToFit="0" wrapText="1"/>
    </xf>
    <xf borderId="1" fillId="0" fontId="6" numFmtId="3" xfId="0" applyAlignment="1" applyBorder="1" applyFont="1" applyNumberFormat="1">
      <alignment horizontal="center" readingOrder="0" vertical="bottom"/>
    </xf>
    <xf borderId="5" fillId="0" fontId="6" numFmtId="0" xfId="0" applyAlignment="1" applyBorder="1" applyFont="1">
      <alignment horizontal="center" readingOrder="0" shrinkToFit="0" wrapText="1"/>
    </xf>
    <xf borderId="5" fillId="3" fontId="3" numFmtId="0" xfId="0" applyBorder="1" applyFont="1"/>
    <xf borderId="11" fillId="0" fontId="8" numFmtId="0" xfId="0" applyAlignment="1" applyBorder="1" applyFont="1">
      <alignment horizontal="center" vertical="bottom"/>
    </xf>
    <xf borderId="8" fillId="0" fontId="9" numFmtId="10" xfId="0" applyAlignment="1" applyBorder="1" applyFont="1" applyNumberFormat="1">
      <alignment horizontal="center" readingOrder="0" vertical="bottom"/>
    </xf>
    <xf borderId="5" fillId="0" fontId="8" numFmtId="10" xfId="0" applyAlignment="1" applyBorder="1" applyFont="1" applyNumberFormat="1">
      <alignment horizontal="center" readingOrder="0" vertical="bottom"/>
    </xf>
    <xf borderId="5" fillId="0" fontId="9" numFmtId="10" xfId="0" applyAlignment="1" applyBorder="1" applyFont="1" applyNumberFormat="1">
      <alignment horizontal="center" readingOrder="0" vertical="bottom"/>
    </xf>
    <xf borderId="4" fillId="0" fontId="5" numFmtId="0" xfId="0" applyAlignment="1" applyBorder="1" applyFont="1">
      <alignment horizontal="center" vertical="bottom"/>
    </xf>
    <xf borderId="5" fillId="0" fontId="9" numFmtId="164" xfId="0" applyAlignment="1" applyBorder="1" applyFont="1" applyNumberFormat="1">
      <alignment horizontal="center" readingOrder="0" vertical="bottom"/>
    </xf>
    <xf borderId="5" fillId="0" fontId="9" numFmtId="0" xfId="0" applyAlignment="1" applyBorder="1" applyFont="1">
      <alignment horizontal="center" readingOrder="0" vertical="bottom"/>
    </xf>
    <xf borderId="12" fillId="0" fontId="8" numFmtId="0" xfId="0" applyAlignment="1" applyBorder="1" applyFont="1">
      <alignment horizontal="center" vertical="bottom"/>
    </xf>
    <xf borderId="0" fillId="0" fontId="6" numFmtId="0" xfId="0" applyAlignment="1" applyFont="1">
      <alignment horizontal="center" readingOrder="0"/>
    </xf>
    <xf borderId="2" fillId="2" fontId="11" numFmtId="0" xfId="0" applyAlignment="1" applyBorder="1" applyFont="1">
      <alignment horizontal="center" readingOrder="0"/>
    </xf>
    <xf borderId="1" fillId="0" fontId="6" numFmtId="2" xfId="0" applyAlignment="1" applyBorder="1" applyFont="1" applyNumberFormat="1">
      <alignment horizontal="center" vertical="bottom"/>
    </xf>
    <xf borderId="1" fillId="0" fontId="5" numFmtId="165" xfId="0" applyAlignment="1" applyBorder="1" applyFont="1" applyNumberFormat="1">
      <alignment horizontal="center" vertical="bottom"/>
    </xf>
    <xf borderId="1" fillId="0" fontId="6" numFmtId="164" xfId="0" applyAlignment="1" applyBorder="1" applyFont="1" applyNumberFormat="1">
      <alignment horizontal="center" vertical="bottom"/>
    </xf>
    <xf borderId="1" fillId="0" fontId="6" numFmtId="2" xfId="0" applyAlignment="1" applyBorder="1" applyFont="1" applyNumberFormat="1">
      <alignment horizontal="center" readingOrder="0" vertical="bottom"/>
    </xf>
    <xf borderId="1" fillId="0" fontId="6" numFmtId="165" xfId="0" applyAlignment="1" applyBorder="1" applyFont="1" applyNumberFormat="1">
      <alignment horizontal="center" vertical="bottom"/>
    </xf>
    <xf borderId="1" fillId="3" fontId="6" numFmtId="0" xfId="0" applyAlignment="1" applyBorder="1" applyFont="1">
      <alignment vertical="bottom"/>
    </xf>
    <xf borderId="6" fillId="0" fontId="9" numFmtId="3" xfId="0" applyAlignment="1" applyBorder="1" applyFont="1" applyNumberFormat="1">
      <alignment horizontal="center" vertical="bottom"/>
    </xf>
    <xf borderId="5" fillId="0" fontId="8" numFmtId="3" xfId="0" applyAlignment="1" applyBorder="1" applyFont="1" applyNumberFormat="1">
      <alignment horizontal="center" vertical="bottom"/>
    </xf>
    <xf borderId="5" fillId="0" fontId="9" numFmtId="10" xfId="0" applyAlignment="1" applyBorder="1" applyFont="1" applyNumberFormat="1">
      <alignment horizontal="center" vertical="bottom"/>
    </xf>
    <xf borderId="5" fillId="0" fontId="9" numFmtId="164" xfId="0" applyAlignment="1" applyBorder="1" applyFont="1" applyNumberFormat="1">
      <alignment horizontal="center" vertical="bottom"/>
    </xf>
    <xf borderId="5" fillId="0" fontId="9" numFmtId="9" xfId="0" applyAlignment="1" applyBorder="1" applyFont="1" applyNumberFormat="1">
      <alignment horizontal="center" readingOrder="0" vertical="bottom"/>
    </xf>
    <xf borderId="5" fillId="3" fontId="3" numFmtId="0" xfId="0" applyAlignment="1" applyBorder="1" applyFont="1">
      <alignment vertical="bottom"/>
    </xf>
    <xf borderId="8" fillId="0" fontId="9" numFmtId="2" xfId="0" applyAlignment="1" applyBorder="1" applyFont="1" applyNumberFormat="1">
      <alignment horizontal="center" vertical="bottom"/>
    </xf>
    <xf borderId="5" fillId="0" fontId="8" numFmtId="0" xfId="0" applyAlignment="1" applyBorder="1" applyFont="1">
      <alignment horizontal="center" vertical="bottom"/>
    </xf>
    <xf borderId="5" fillId="3" fontId="3" numFmtId="2" xfId="0" applyAlignment="1" applyBorder="1" applyFont="1" applyNumberFormat="1">
      <alignment vertical="bottom"/>
    </xf>
    <xf borderId="13" fillId="0" fontId="8" numFmtId="0" xfId="0" applyAlignment="1" applyBorder="1" applyFont="1">
      <alignment horizontal="center" vertical="bottom"/>
    </xf>
    <xf borderId="14" fillId="0" fontId="9" numFmtId="10" xfId="0" applyAlignment="1" applyBorder="1" applyFont="1" applyNumberFormat="1">
      <alignment horizontal="center" readingOrder="0" vertical="bottom"/>
    </xf>
    <xf borderId="15" fillId="0" fontId="8" numFmtId="10" xfId="0" applyAlignment="1" applyBorder="1" applyFont="1" applyNumberFormat="1">
      <alignment horizontal="center" readingOrder="0" vertical="bottom"/>
    </xf>
    <xf borderId="16" fillId="0" fontId="9" numFmtId="10" xfId="0" applyAlignment="1" applyBorder="1" applyFont="1" applyNumberFormat="1">
      <alignment horizontal="center" readingOrder="0" vertical="bottom"/>
    </xf>
    <xf borderId="17" fillId="0" fontId="9" numFmtId="10" xfId="0" applyAlignment="1" applyBorder="1" applyFont="1" applyNumberFormat="1">
      <alignment horizontal="center" readingOrder="0" vertical="bottom"/>
    </xf>
    <xf borderId="17" fillId="0" fontId="9" numFmtId="164" xfId="0" applyAlignment="1" applyBorder="1" applyFont="1" applyNumberFormat="1">
      <alignment horizontal="center" readingOrder="0" vertical="bottom"/>
    </xf>
    <xf borderId="17" fillId="0" fontId="9" numFmtId="0" xfId="0" applyAlignment="1" applyBorder="1" applyFont="1">
      <alignment horizontal="center" readingOrder="0" vertical="bottom"/>
    </xf>
    <xf borderId="0" fillId="2" fontId="2" numFmtId="0" xfId="0" applyAlignment="1" applyFont="1">
      <alignment horizontal="center"/>
    </xf>
    <xf borderId="18" fillId="0" fontId="8" numFmtId="0" xfId="0" applyAlignment="1" applyBorder="1" applyFont="1">
      <alignment horizontal="center" vertical="bottom"/>
    </xf>
    <xf borderId="0" fillId="0" fontId="12" numFmtId="0" xfId="0" applyAlignment="1" applyFont="1">
      <alignment horizontal="center" readingOrder="0"/>
    </xf>
    <xf borderId="19" fillId="2" fontId="11" numFmtId="0" xfId="0" applyAlignment="1" applyBorder="1" applyFont="1">
      <alignment horizontal="center" readingOrder="0"/>
    </xf>
    <xf borderId="19" fillId="0" fontId="13" numFmtId="2" xfId="0" applyAlignment="1" applyBorder="1" applyFont="1" applyNumberFormat="1">
      <alignment horizontal="center" vertical="bottom"/>
    </xf>
    <xf borderId="19" fillId="0" fontId="13" numFmtId="0" xfId="0" applyAlignment="1" applyBorder="1" applyFont="1">
      <alignment horizontal="center" vertical="bottom"/>
    </xf>
    <xf borderId="19" fillId="0" fontId="13" numFmtId="2" xfId="0" applyAlignment="1" applyBorder="1" applyFont="1" applyNumberFormat="1">
      <alignment horizontal="center" readingOrder="0" vertical="bottom"/>
    </xf>
    <xf borderId="19" fillId="0" fontId="13" numFmtId="165" xfId="0" applyAlignment="1" applyBorder="1" applyFont="1" applyNumberFormat="1">
      <alignment horizontal="center" vertical="bottom"/>
    </xf>
    <xf borderId="19" fillId="2" fontId="12" numFmtId="0" xfId="0" applyAlignment="1" applyBorder="1" applyFont="1">
      <alignment horizontal="center" readingOrder="0"/>
    </xf>
    <xf borderId="19" fillId="3" fontId="13" numFmtId="2" xfId="0" applyAlignment="1" applyBorder="1" applyFont="1" applyNumberFormat="1">
      <alignment vertical="bottom"/>
    </xf>
    <xf borderId="20" fillId="7" fontId="6" numFmtId="0" xfId="0" applyAlignment="1" applyBorder="1" applyFont="1">
      <alignment horizontal="center" readingOrder="0"/>
    </xf>
    <xf borderId="20" fillId="7" fontId="14" numFmtId="166" xfId="0" applyAlignment="1" applyBorder="1" applyFont="1" applyNumberFormat="1">
      <alignment horizontal="right" readingOrder="0" shrinkToFit="0" vertical="bottom" wrapText="0"/>
    </xf>
    <xf borderId="20" fillId="7" fontId="15" numFmtId="0" xfId="0" applyAlignment="1" applyBorder="1" applyFont="1">
      <alignment readingOrder="0"/>
    </xf>
    <xf borderId="20" fillId="7" fontId="15" numFmtId="165" xfId="0" applyAlignment="1" applyBorder="1" applyFont="1" applyNumberFormat="1">
      <alignment readingOrder="0"/>
    </xf>
    <xf borderId="0" fillId="3" fontId="3" numFmtId="0" xfId="0" applyFont="1"/>
    <xf borderId="20" fillId="7" fontId="14" numFmtId="167" xfId="0" applyAlignment="1" applyBorder="1" applyFont="1" applyNumberFormat="1">
      <alignment horizontal="right" readingOrder="0" shrinkToFit="0" vertical="bottom" wrapText="0"/>
    </xf>
    <xf borderId="0" fillId="3" fontId="15" numFmtId="0" xfId="0" applyFont="1"/>
    <xf borderId="0" fillId="9" fontId="6" numFmtId="0" xfId="0" applyAlignment="1" applyFill="1" applyFont="1">
      <alignment horizontal="center" readingOrder="0"/>
    </xf>
    <xf borderId="0" fillId="9" fontId="15" numFmtId="165" xfId="0" applyFont="1" applyNumberFormat="1"/>
    <xf borderId="5" fillId="7" fontId="5" numFmtId="0" xfId="0" applyAlignment="1" applyBorder="1" applyFont="1">
      <alignment horizontal="center" readingOrder="0" shrinkToFit="0" wrapText="1"/>
    </xf>
    <xf borderId="5" fillId="7" fontId="5" numFmtId="0" xfId="0" applyAlignment="1" applyBorder="1" applyFont="1">
      <alignment horizontal="center" shrinkToFit="0" wrapText="1"/>
    </xf>
    <xf borderId="5" fillId="5" fontId="5" numFmtId="0" xfId="0" applyAlignment="1" applyBorder="1" applyFont="1">
      <alignment horizontal="center" readingOrder="0" shrinkToFit="0" wrapText="1"/>
    </xf>
    <xf borderId="1" fillId="8" fontId="6" numFmtId="0" xfId="0" applyAlignment="1" applyBorder="1" applyFont="1">
      <alignment horizontal="center" readingOrder="0" shrinkToFit="0" vertical="center" wrapText="1"/>
    </xf>
    <xf borderId="5" fillId="0" fontId="6" numFmtId="10" xfId="0" applyAlignment="1" applyBorder="1" applyFont="1" applyNumberFormat="1">
      <alignment horizontal="center" readingOrder="0"/>
    </xf>
    <xf borderId="1" fillId="0" fontId="6" numFmtId="9" xfId="0" applyAlignment="1" applyBorder="1" applyFont="1" applyNumberFormat="1">
      <alignment horizontal="center" readingOrder="0"/>
    </xf>
    <xf borderId="1" fillId="0" fontId="16" numFmtId="9" xfId="0" applyAlignment="1" applyBorder="1" applyFont="1" applyNumberFormat="1">
      <alignment readingOrder="0"/>
    </xf>
    <xf borderId="21" fillId="0" fontId="5" numFmtId="0" xfId="0" applyAlignment="1" applyBorder="1" applyFont="1">
      <alignment horizontal="center" readingOrder="0" vertical="bottom"/>
    </xf>
    <xf borderId="15" fillId="0" fontId="6" numFmtId="3" xfId="0" applyAlignment="1" applyBorder="1" applyFont="1" applyNumberFormat="1">
      <alignment horizontal="center" readingOrder="0"/>
    </xf>
    <xf borderId="19" fillId="0" fontId="6" numFmtId="10" xfId="0" applyAlignment="1" applyBorder="1" applyFont="1" applyNumberFormat="1">
      <alignment horizontal="center" readingOrder="0" vertical="bottom"/>
    </xf>
    <xf borderId="19" fillId="0" fontId="6" numFmtId="0" xfId="0" applyAlignment="1" applyBorder="1" applyFont="1">
      <alignment horizontal="center" readingOrder="0" vertical="bottom"/>
    </xf>
    <xf borderId="19" fillId="0" fontId="6" numFmtId="164" xfId="0" applyAlignment="1" applyBorder="1" applyFont="1" applyNumberFormat="1">
      <alignment horizontal="center" readingOrder="0" vertical="bottom"/>
    </xf>
    <xf borderId="19" fillId="0" fontId="6" numFmtId="49" xfId="0" applyAlignment="1" applyBorder="1" applyFont="1" applyNumberFormat="1">
      <alignment horizontal="center" readingOrder="0" vertical="bottom"/>
    </xf>
    <xf borderId="19" fillId="0" fontId="6" numFmtId="9" xfId="0" applyAlignment="1" applyBorder="1" applyFont="1" applyNumberFormat="1">
      <alignment horizontal="center" readingOrder="0" vertical="bottom"/>
    </xf>
    <xf borderId="21" fillId="0" fontId="6" numFmtId="10" xfId="0" applyAlignment="1" applyBorder="1" applyFont="1" applyNumberFormat="1">
      <alignment horizontal="center" readingOrder="0" vertical="bottom"/>
    </xf>
    <xf borderId="19" fillId="0" fontId="6" numFmtId="0" xfId="0" applyBorder="1" applyFont="1"/>
    <xf borderId="22" fillId="0" fontId="8" numFmtId="0" xfId="0" applyAlignment="1" applyBorder="1" applyFont="1">
      <alignment horizontal="center" vertical="bottom"/>
    </xf>
    <xf borderId="23" fillId="0" fontId="9" numFmtId="4" xfId="0" applyAlignment="1" applyBorder="1" applyFont="1" applyNumberFormat="1">
      <alignment horizontal="center" vertical="bottom"/>
    </xf>
    <xf borderId="1" fillId="0" fontId="15" numFmtId="0" xfId="0" applyBorder="1" applyFont="1"/>
    <xf borderId="23" fillId="0" fontId="9" numFmtId="166" xfId="0" applyAlignment="1" applyBorder="1" applyFont="1" applyNumberFormat="1">
      <alignment horizontal="center" vertical="bottom"/>
    </xf>
    <xf borderId="0" fillId="0" fontId="15" numFmtId="0" xfId="0" applyAlignment="1" applyFont="1">
      <alignment shrinkToFit="0" vertical="center" wrapText="1"/>
    </xf>
    <xf borderId="23" fillId="0" fontId="9" numFmtId="166" xfId="0" applyAlignment="1" applyBorder="1" applyFont="1" applyNumberFormat="1">
      <alignment horizontal="center" readingOrder="0" vertical="bottom"/>
    </xf>
    <xf borderId="23" fillId="0" fontId="6" numFmtId="4" xfId="0" applyBorder="1" applyFont="1" applyNumberFormat="1"/>
    <xf borderId="1" fillId="0" fontId="5" numFmtId="0" xfId="0" applyAlignment="1" applyBorder="1" applyFont="1">
      <alignment horizontal="left" readingOrder="0" shrinkToFit="0" vertical="center" wrapText="1"/>
    </xf>
    <xf borderId="2" fillId="0" fontId="8" numFmtId="0" xfId="0" applyAlignment="1" applyBorder="1" applyFont="1">
      <alignment horizontal="center" vertical="bottom"/>
    </xf>
    <xf borderId="1" fillId="0" fontId="6" numFmtId="0" xfId="0" applyAlignment="1" applyBorder="1" applyFont="1">
      <alignment horizontal="center" readingOrder="0" shrinkToFit="0" vertical="center" wrapText="1"/>
    </xf>
    <xf borderId="1" fillId="0" fontId="9" numFmtId="4" xfId="0" applyAlignment="1" applyBorder="1" applyFont="1" applyNumberFormat="1">
      <alignment horizontal="center" vertical="bottom"/>
    </xf>
    <xf borderId="1" fillId="0" fontId="9" numFmtId="166" xfId="0" applyAlignment="1" applyBorder="1" applyFont="1" applyNumberFormat="1">
      <alignment horizontal="center" vertical="bottom"/>
    </xf>
    <xf borderId="1" fillId="0" fontId="9" numFmtId="166" xfId="0" applyAlignment="1" applyBorder="1" applyFont="1" applyNumberFormat="1">
      <alignment horizontal="center" readingOrder="0" vertical="bottom"/>
    </xf>
    <xf borderId="1" fillId="0" fontId="6" numFmtId="4" xfId="0" applyBorder="1" applyFont="1" applyNumberFormat="1"/>
    <xf borderId="8" fillId="0" fontId="9" numFmtId="4" xfId="0" applyAlignment="1" applyBorder="1" applyFont="1" applyNumberFormat="1">
      <alignment horizontal="center" vertical="bottom"/>
    </xf>
    <xf borderId="6" fillId="0" fontId="9" numFmtId="10" xfId="0" applyAlignment="1" applyBorder="1" applyFont="1" applyNumberFormat="1">
      <alignment horizontal="center" vertical="bottom"/>
    </xf>
    <xf borderId="5" fillId="0" fontId="9" numFmtId="4" xfId="0" applyAlignment="1" applyBorder="1" applyFont="1" applyNumberFormat="1">
      <alignment horizontal="center" vertical="bottom"/>
    </xf>
    <xf borderId="21" fillId="0" fontId="9" numFmtId="0" xfId="0" applyAlignment="1" applyBorder="1" applyFont="1">
      <alignment horizontal="center" readingOrder="0"/>
    </xf>
    <xf borderId="19" fillId="0" fontId="9" numFmtId="4" xfId="0" applyAlignment="1" applyBorder="1" applyFont="1" applyNumberFormat="1">
      <alignment horizontal="center" vertical="bottom"/>
    </xf>
    <xf borderId="19" fillId="0" fontId="9" numFmtId="166" xfId="0" applyAlignment="1" applyBorder="1" applyFont="1" applyNumberFormat="1">
      <alignment horizontal="center" vertical="bottom"/>
    </xf>
    <xf borderId="19" fillId="0" fontId="9" numFmtId="166" xfId="0" applyAlignment="1" applyBorder="1" applyFont="1" applyNumberFormat="1">
      <alignment horizontal="center" readingOrder="0" vertical="bottom"/>
    </xf>
    <xf borderId="15" fillId="3" fontId="3" numFmtId="0" xfId="0" applyAlignment="1" applyBorder="1" applyFont="1">
      <alignment vertical="bottom"/>
    </xf>
    <xf borderId="19" fillId="0" fontId="6" numFmtId="4" xfId="0" applyBorder="1" applyFont="1" applyNumberFormat="1"/>
    <xf borderId="10" fillId="0" fontId="6" numFmtId="0" xfId="0" applyAlignment="1" applyBorder="1" applyFont="1">
      <alignment horizontal="center" readingOrder="0"/>
    </xf>
    <xf borderId="10" fillId="0" fontId="9" numFmtId="165" xfId="0" applyAlignment="1" applyBorder="1" applyFont="1" applyNumberFormat="1">
      <alignment horizontal="center"/>
    </xf>
    <xf borderId="10" fillId="0" fontId="9" numFmtId="166" xfId="0" applyAlignment="1" applyBorder="1" applyFont="1" applyNumberFormat="1">
      <alignment horizontal="center" vertical="bottom"/>
    </xf>
    <xf borderId="10" fillId="0" fontId="9" numFmtId="166" xfId="0" applyAlignment="1" applyBorder="1" applyFont="1" applyNumberFormat="1">
      <alignment horizontal="center" readingOrder="0" vertical="bottom"/>
    </xf>
    <xf borderId="1" fillId="2" fontId="11" numFmtId="0" xfId="0" applyAlignment="1" applyBorder="1" applyFont="1">
      <alignment horizontal="center" readingOrder="0"/>
    </xf>
    <xf borderId="1" fillId="0" fontId="9" numFmtId="3" xfId="0" applyAlignment="1" applyBorder="1" applyFont="1" applyNumberFormat="1">
      <alignment horizontal="center" vertical="bottom"/>
    </xf>
    <xf borderId="10" fillId="0" fontId="6" numFmtId="165" xfId="0" applyAlignment="1" applyBorder="1" applyFont="1" applyNumberFormat="1">
      <alignment horizontal="center"/>
    </xf>
    <xf borderId="20" fillId="7" fontId="17" numFmtId="166" xfId="0" applyAlignment="1" applyBorder="1" applyFont="1" applyNumberFormat="1">
      <alignment horizontal="center" readingOrder="0" shrinkToFit="0" vertical="bottom" wrapText="0"/>
    </xf>
    <xf borderId="1" fillId="0" fontId="8" numFmtId="3" xfId="0" applyAlignment="1" applyBorder="1" applyFont="1" applyNumberFormat="1">
      <alignment horizontal="center" vertical="bottom"/>
    </xf>
    <xf borderId="20" fillId="7" fontId="13" numFmtId="0" xfId="0" applyAlignment="1" applyBorder="1" applyFont="1">
      <alignment horizontal="center" readingOrder="0" vertical="bottom"/>
    </xf>
    <xf borderId="20" fillId="7" fontId="13" numFmtId="0" xfId="0" applyAlignment="1" applyBorder="1" applyFont="1">
      <alignment horizontal="center" readingOrder="0"/>
    </xf>
    <xf borderId="1" fillId="2" fontId="12" numFmtId="10" xfId="0" applyAlignment="1" applyBorder="1" applyFont="1" applyNumberFormat="1">
      <alignment horizontal="center" readingOrder="0"/>
    </xf>
    <xf borderId="1" fillId="2" fontId="12" numFmtId="0" xfId="0" applyAlignment="1" applyBorder="1" applyFont="1">
      <alignment horizontal="center" readingOrder="0"/>
    </xf>
    <xf borderId="20" fillId="7" fontId="13" numFmtId="166" xfId="0" applyAlignment="1" applyBorder="1" applyFont="1" applyNumberFormat="1">
      <alignment horizontal="center" readingOrder="0"/>
    </xf>
    <xf borderId="1" fillId="0" fontId="9" numFmtId="10" xfId="0" applyAlignment="1" applyBorder="1" applyFont="1" applyNumberFormat="1">
      <alignment horizontal="center" vertical="bottom"/>
    </xf>
    <xf borderId="20" fillId="7" fontId="6" numFmtId="166" xfId="0" applyAlignment="1" applyBorder="1" applyFont="1" applyNumberFormat="1">
      <alignment horizontal="center"/>
    </xf>
    <xf borderId="0" fillId="9" fontId="15" numFmtId="165" xfId="0" applyAlignment="1" applyFont="1" applyNumberFormat="1">
      <alignment horizontal="center"/>
    </xf>
    <xf borderId="1" fillId="0" fontId="9" numFmtId="164" xfId="0" applyAlignment="1" applyBorder="1" applyFont="1" applyNumberFormat="1">
      <alignment horizontal="center" vertical="bottom"/>
    </xf>
    <xf borderId="1" fillId="2" fontId="12" numFmtId="9" xfId="0" applyAlignment="1" applyBorder="1" applyFont="1" applyNumberFormat="1">
      <alignment horizontal="center" readingOrder="0"/>
    </xf>
    <xf borderId="2" fillId="2" fontId="12" numFmtId="10" xfId="0" applyAlignment="1" applyBorder="1" applyFont="1" applyNumberFormat="1">
      <alignment horizontal="center" readingOrder="0"/>
    </xf>
    <xf borderId="3" fillId="2" fontId="12" numFmtId="0" xfId="0" applyAlignment="1" applyBorder="1" applyFont="1">
      <alignment horizontal="center" readingOrder="0"/>
    </xf>
    <xf borderId="4" fillId="0" fontId="6" numFmtId="10" xfId="0" applyAlignment="1" applyBorder="1" applyFont="1" applyNumberFormat="1">
      <alignment horizontal="center" readingOrder="0" vertical="bottom"/>
    </xf>
    <xf borderId="19" fillId="0" fontId="6" numFmtId="10" xfId="0" applyAlignment="1" applyBorder="1" applyFont="1" applyNumberFormat="1">
      <alignment horizontal="center" readingOrder="0"/>
    </xf>
    <xf borderId="1" fillId="2" fontId="12" numFmtId="0" xfId="0" applyBorder="1" applyFont="1"/>
    <xf borderId="0" fillId="2" fontId="12" numFmtId="0" xfId="0" applyFont="1"/>
    <xf borderId="24" fillId="0" fontId="6" numFmtId="166" xfId="0" applyAlignment="1" applyBorder="1" applyFont="1" applyNumberFormat="1">
      <alignment horizontal="center" readingOrder="0" vertical="bottom"/>
    </xf>
    <xf borderId="25" fillId="0" fontId="9" numFmtId="4" xfId="0" applyAlignment="1" applyBorder="1" applyFont="1" applyNumberFormat="1">
      <alignment horizontal="center" vertical="bottom"/>
    </xf>
    <xf borderId="0" fillId="2" fontId="11" numFmtId="0" xfId="0" applyAlignment="1" applyFont="1">
      <alignment horizontal="center" readingOrder="0"/>
    </xf>
    <xf borderId="1" fillId="0" fontId="6" numFmtId="49" xfId="0" applyAlignment="1" applyBorder="1" applyFont="1" applyNumberFormat="1">
      <alignment horizontal="center" readingOrder="0" vertical="bottom"/>
    </xf>
    <xf borderId="0" fillId="2" fontId="12" numFmtId="3" xfId="0" applyAlignment="1" applyFont="1" applyNumberFormat="1">
      <alignment horizontal="center" readingOrder="0"/>
    </xf>
    <xf borderId="0" fillId="2" fontId="12" numFmtId="0" xfId="0" applyAlignment="1" applyFont="1">
      <alignment horizontal="center" readingOrder="0"/>
    </xf>
    <xf borderId="2" fillId="0" fontId="6" numFmtId="10" xfId="0" applyAlignment="1" applyBorder="1" applyFont="1" applyNumberFormat="1">
      <alignment horizontal="center" readingOrder="0" vertical="bottom"/>
    </xf>
    <xf borderId="10" fillId="0" fontId="9" numFmtId="4" xfId="0" applyAlignment="1" applyBorder="1" applyFont="1" applyNumberFormat="1">
      <alignment horizontal="center" vertical="bottom"/>
    </xf>
    <xf borderId="0" fillId="2" fontId="13" numFmtId="0" xfId="0" applyFont="1"/>
    <xf borderId="0" fillId="0" fontId="15" numFmtId="0" xfId="0" applyAlignment="1" applyFont="1">
      <alignment readingOrder="0"/>
    </xf>
    <xf borderId="26" fillId="0" fontId="9" numFmtId="4" xfId="0" applyAlignment="1" applyBorder="1" applyFont="1" applyNumberFormat="1">
      <alignment horizontal="center" vertical="bottom"/>
    </xf>
    <xf borderId="26" fillId="0" fontId="9" numFmtId="166" xfId="0" applyAlignment="1" applyBorder="1" applyFont="1" applyNumberFormat="1">
      <alignment horizontal="center" vertical="bottom"/>
    </xf>
    <xf borderId="26" fillId="0" fontId="9" numFmtId="166" xfId="0" applyAlignment="1" applyBorder="1" applyFont="1" applyNumberFormat="1">
      <alignment horizontal="center" readingOrder="0" vertical="bottom"/>
    </xf>
    <xf borderId="23" fillId="0" fontId="6" numFmtId="0" xfId="0" applyAlignment="1" applyBorder="1" applyFont="1">
      <alignment horizontal="center" readingOrder="0"/>
    </xf>
    <xf borderId="15" fillId="0" fontId="9" numFmtId="4" xfId="0" applyAlignment="1" applyBorder="1" applyFont="1" applyNumberFormat="1">
      <alignment horizontal="center" vertical="bottom"/>
    </xf>
    <xf borderId="15" fillId="0" fontId="9" numFmtId="166" xfId="0" applyAlignment="1" applyBorder="1" applyFont="1" applyNumberFormat="1">
      <alignment horizontal="center" vertical="bottom"/>
    </xf>
    <xf borderId="15" fillId="0" fontId="9" numFmtId="166" xfId="0" applyAlignment="1" applyBorder="1" applyFont="1" applyNumberFormat="1">
      <alignment horizontal="center" readingOrder="0" vertical="bottom"/>
    </xf>
    <xf borderId="15" fillId="7" fontId="9" numFmtId="166" xfId="0" applyAlignment="1" applyBorder="1" applyFont="1" applyNumberFormat="1">
      <alignment horizontal="center" vertical="bottom"/>
    </xf>
    <xf borderId="23" fillId="0" fontId="6" numFmtId="4" xfId="0" applyAlignment="1" applyBorder="1" applyFont="1" applyNumberFormat="1">
      <alignment horizontal="center"/>
    </xf>
    <xf borderId="0" fillId="7" fontId="6" numFmtId="0" xfId="0" applyAlignment="1" applyFont="1">
      <alignment horizontal="center" readingOrder="0"/>
    </xf>
    <xf borderId="0" fillId="7" fontId="15" numFmtId="0" xfId="0" applyAlignment="1" applyFont="1">
      <alignment readingOrder="0"/>
    </xf>
    <xf borderId="0" fillId="7" fontId="9" numFmtId="0" xfId="0" applyAlignment="1" applyFont="1">
      <alignment horizontal="center" readingOrder="0" vertical="bottom"/>
    </xf>
    <xf borderId="0" fillId="7" fontId="15" numFmtId="0" xfId="0" applyFont="1"/>
    <xf borderId="0" fillId="9" fontId="15" numFmtId="0" xfId="0" applyAlignment="1" applyFont="1">
      <alignment readingOrder="0"/>
    </xf>
    <xf borderId="27" fillId="0" fontId="5" numFmtId="0" xfId="0" applyAlignment="1" applyBorder="1" applyFont="1">
      <alignment horizontal="center" shrinkToFit="0" wrapText="1"/>
    </xf>
    <xf borderId="8" fillId="0" fontId="6" numFmtId="0" xfId="0" applyAlignment="1" applyBorder="1" applyFont="1">
      <alignment horizontal="center" shrinkToFit="0" wrapText="1"/>
    </xf>
    <xf borderId="6" fillId="0" fontId="6" numFmtId="0" xfId="0" applyAlignment="1" applyBorder="1" applyFont="1">
      <alignment horizontal="center" vertical="bottom"/>
    </xf>
    <xf borderId="6" fillId="0" fontId="5" numFmtId="0" xfId="0" applyAlignment="1" applyBorder="1" applyFont="1">
      <alignment horizontal="center" vertical="bottom"/>
    </xf>
    <xf borderId="5" fillId="0" fontId="3" numFmtId="10" xfId="0" applyAlignment="1" applyBorder="1" applyFont="1" applyNumberFormat="1">
      <alignment vertical="bottom"/>
    </xf>
    <xf borderId="5" fillId="0" fontId="3" numFmtId="0" xfId="0" applyAlignment="1" applyBorder="1" applyFont="1">
      <alignment vertical="bottom"/>
    </xf>
    <xf borderId="0" fillId="2" fontId="15" numFmtId="0" xfId="0" applyFont="1"/>
    <xf borderId="5" fillId="0" fontId="3" numFmtId="164" xfId="0" applyAlignment="1" applyBorder="1" applyFont="1" applyNumberFormat="1">
      <alignment vertical="bottom"/>
    </xf>
    <xf borderId="5" fillId="0" fontId="3" numFmtId="3" xfId="0" applyAlignment="1" applyBorder="1" applyFont="1" applyNumberFormat="1">
      <alignment vertical="bottom"/>
    </xf>
    <xf borderId="1" fillId="0" fontId="16" numFmtId="9" xfId="0" applyAlignment="1" applyBorder="1" applyFont="1" applyNumberFormat="1">
      <alignment horizontal="center" readingOrder="0"/>
    </xf>
    <xf borderId="28" fillId="0" fontId="12" numFmtId="166" xfId="0" applyAlignment="1" applyBorder="1" applyFont="1" applyNumberFormat="1">
      <alignment horizontal="center" readingOrder="0" vertical="bottom"/>
    </xf>
    <xf borderId="19" fillId="0" fontId="12" numFmtId="10" xfId="0" applyAlignment="1" applyBorder="1" applyFont="1" applyNumberFormat="1">
      <alignment horizontal="center" readingOrder="0" vertical="bottom"/>
    </xf>
    <xf borderId="19" fillId="0" fontId="12" numFmtId="0" xfId="0" applyAlignment="1" applyBorder="1" applyFont="1">
      <alignment horizontal="center" readingOrder="0" vertical="bottom"/>
    </xf>
    <xf borderId="19" fillId="0" fontId="12" numFmtId="10" xfId="0" applyAlignment="1" applyBorder="1" applyFont="1" applyNumberFormat="1">
      <alignment horizontal="center" readingOrder="0"/>
    </xf>
    <xf borderId="19" fillId="3" fontId="12" numFmtId="164" xfId="0" applyAlignment="1" applyBorder="1" applyFont="1" applyNumberFormat="1">
      <alignment horizontal="center" readingOrder="0"/>
    </xf>
    <xf borderId="19" fillId="0" fontId="18" numFmtId="49" xfId="0" applyAlignment="1" applyBorder="1" applyFont="1" applyNumberFormat="1">
      <alignment horizontal="center" readingOrder="0"/>
    </xf>
    <xf borderId="19" fillId="0" fontId="19" numFmtId="10" xfId="0" applyAlignment="1" applyBorder="1" applyFont="1" applyNumberFormat="1">
      <alignment horizontal="center" readingOrder="0"/>
    </xf>
    <xf borderId="19" fillId="3" fontId="19" numFmtId="10" xfId="0" applyAlignment="1" applyBorder="1" applyFont="1" applyNumberFormat="1">
      <alignment horizontal="center" readingOrder="0"/>
    </xf>
    <xf borderId="19" fillId="0" fontId="19" numFmtId="0" xfId="0" applyAlignment="1" applyBorder="1" applyFont="1">
      <alignment horizontal="center" readingOrder="0"/>
    </xf>
    <xf borderId="19" fillId="0" fontId="18" numFmtId="9" xfId="0" applyAlignment="1" applyBorder="1" applyFont="1" applyNumberFormat="1">
      <alignment horizontal="center" readingOrder="0"/>
    </xf>
    <xf borderId="21" fillId="0" fontId="12" numFmtId="10" xfId="0" applyAlignment="1" applyBorder="1" applyFont="1" applyNumberFormat="1">
      <alignment horizontal="center" readingOrder="0" vertical="bottom"/>
    </xf>
    <xf borderId="0" fillId="7" fontId="15" numFmtId="165" xfId="0" applyAlignment="1" applyFont="1" applyNumberFormat="1">
      <alignment readingOrder="0"/>
    </xf>
    <xf borderId="0" fillId="7" fontId="9" numFmtId="165" xfId="0" applyAlignment="1" applyFont="1" applyNumberFormat="1">
      <alignment horizontal="center" readingOrder="0" vertical="bottom"/>
    </xf>
    <xf borderId="0" fillId="7" fontId="15" numFmtId="165" xfId="0" applyFont="1" applyNumberFormat="1"/>
    <xf borderId="5" fillId="7" fontId="5" numFmtId="0" xfId="0" applyAlignment="1" applyBorder="1" applyFont="1">
      <alignment horizontal="center" shrinkToFit="0" vertical="center" wrapText="1"/>
    </xf>
    <xf borderId="1" fillId="7" fontId="5" numFmtId="0" xfId="0" applyAlignment="1" applyBorder="1" applyFont="1">
      <alignment horizontal="center" readingOrder="0" shrinkToFit="0" vertical="center" wrapText="1"/>
    </xf>
    <xf borderId="15" fillId="5" fontId="5" numFmtId="0" xfId="0" applyAlignment="1" applyBorder="1" applyFont="1">
      <alignment horizontal="center" readingOrder="0" shrinkToFit="0" vertical="center" wrapText="1"/>
    </xf>
    <xf borderId="1" fillId="5" fontId="6" numFmtId="0" xfId="0" applyAlignment="1" applyBorder="1" applyFont="1">
      <alignment horizontal="center" readingOrder="0" shrinkToFit="0" vertical="center" wrapText="1"/>
    </xf>
    <xf borderId="1" fillId="0" fontId="13" numFmtId="10" xfId="0" applyAlignment="1" applyBorder="1" applyFont="1" applyNumberFormat="1">
      <alignment horizontal="center" readingOrder="0" vertical="bottom"/>
    </xf>
    <xf borderId="15" fillId="0" fontId="5" numFmtId="10" xfId="0" applyAlignment="1" applyBorder="1" applyFont="1" applyNumberFormat="1">
      <alignment horizontal="center" readingOrder="0" vertical="bottom"/>
    </xf>
    <xf borderId="29" fillId="0" fontId="5" numFmtId="0" xfId="0" applyAlignment="1" applyBorder="1" applyFont="1">
      <alignment horizontal="center" readingOrder="0" vertical="bottom"/>
    </xf>
    <xf borderId="19" fillId="0" fontId="6" numFmtId="10" xfId="0" applyAlignment="1" applyBorder="1" applyFont="1" applyNumberFormat="1">
      <alignment horizontal="center" readingOrder="0" vertical="center"/>
    </xf>
    <xf borderId="5" fillId="0" fontId="6" numFmtId="10" xfId="0" applyAlignment="1" applyBorder="1" applyFont="1" applyNumberFormat="1">
      <alignment horizontal="center" readingOrder="0" vertical="center"/>
    </xf>
    <xf borderId="1" fillId="0" fontId="13" numFmtId="0" xfId="0" applyAlignment="1" applyBorder="1" applyFont="1">
      <alignment horizontal="center" readingOrder="0" vertical="bottom"/>
    </xf>
    <xf borderId="1" fillId="0" fontId="9" numFmtId="10" xfId="0" applyAlignment="1" applyBorder="1" applyFont="1" applyNumberFormat="1">
      <alignment horizontal="center" readingOrder="0" vertical="bottom"/>
    </xf>
    <xf borderId="5" fillId="0" fontId="6" numFmtId="9" xfId="0" applyAlignment="1" applyBorder="1" applyFont="1" applyNumberFormat="1">
      <alignment horizontal="center" readingOrder="0" vertical="center"/>
    </xf>
    <xf borderId="1" fillId="0" fontId="9" numFmtId="164" xfId="0" applyAlignment="1" applyBorder="1" applyFont="1" applyNumberFormat="1">
      <alignment horizontal="center" readingOrder="0" vertical="bottom"/>
    </xf>
    <xf borderId="5" fillId="0" fontId="16" numFmtId="9" xfId="0" applyAlignment="1" applyBorder="1" applyFont="1" applyNumberFormat="1">
      <alignment readingOrder="0" vertical="center"/>
    </xf>
    <xf borderId="19" fillId="0" fontId="16" numFmtId="9" xfId="0" applyAlignment="1" applyBorder="1" applyFont="1" applyNumberFormat="1">
      <alignment readingOrder="0" vertical="center"/>
    </xf>
    <xf borderId="2" fillId="0" fontId="9" numFmtId="0" xfId="0" applyAlignment="1" applyBorder="1" applyFont="1">
      <alignment horizontal="center" readingOrder="0" vertical="bottom"/>
    </xf>
    <xf borderId="2" fillId="0" fontId="5" numFmtId="0" xfId="0" applyAlignment="1" applyBorder="1" applyFont="1">
      <alignment horizontal="center" readingOrder="0" vertical="bottom"/>
    </xf>
    <xf borderId="28" fillId="0" fontId="6" numFmtId="3" xfId="0" applyAlignment="1" applyBorder="1" applyFont="1" applyNumberFormat="1">
      <alignment horizontal="center" readingOrder="0" vertical="bottom"/>
    </xf>
    <xf borderId="4" fillId="0" fontId="13" numFmtId="10" xfId="0" applyAlignment="1" applyBorder="1" applyFont="1" applyNumberFormat="1">
      <alignment horizontal="center" readingOrder="0" vertical="bottom"/>
    </xf>
    <xf borderId="1" fillId="0" fontId="13" numFmtId="10" xfId="0" applyAlignment="1" applyBorder="1" applyFont="1" applyNumberFormat="1">
      <alignment horizontal="center" vertical="bottom"/>
    </xf>
    <xf borderId="19" fillId="0" fontId="6" numFmtId="3" xfId="0" applyAlignment="1" applyBorder="1" applyFont="1" applyNumberFormat="1">
      <alignment horizontal="center" readingOrder="0" vertical="bottom"/>
    </xf>
    <xf borderId="1" fillId="2" fontId="13" numFmtId="0" xfId="0" applyBorder="1" applyFont="1"/>
    <xf borderId="0" fillId="0" fontId="13" numFmtId="0" xfId="0" applyFont="1"/>
    <xf borderId="21" fillId="0" fontId="6" numFmtId="9" xfId="0" applyAlignment="1" applyBorder="1" applyFont="1" applyNumberFormat="1">
      <alignment horizontal="center" readingOrder="0"/>
    </xf>
    <xf borderId="21" fillId="0" fontId="6" numFmtId="3" xfId="0" applyAlignment="1" applyBorder="1" applyFont="1" applyNumberFormat="1">
      <alignment horizontal="center" readingOrder="0"/>
    </xf>
    <xf borderId="1" fillId="0" fontId="6" numFmtId="4" xfId="0" applyAlignment="1" applyBorder="1" applyFont="1" applyNumberFormat="1">
      <alignment horizontal="center" vertical="bottom"/>
    </xf>
    <xf borderId="1" fillId="0" fontId="6" numFmtId="166" xfId="0" applyAlignment="1" applyBorder="1" applyFont="1" applyNumberFormat="1">
      <alignment horizontal="center" vertical="bottom"/>
    </xf>
    <xf borderId="1" fillId="0" fontId="6" numFmtId="166" xfId="0" applyAlignment="1" applyBorder="1" applyFont="1" applyNumberFormat="1">
      <alignment horizontal="center" readingOrder="0" vertical="bottom"/>
    </xf>
    <xf borderId="0" fillId="0" fontId="15" numFmtId="10" xfId="0" applyAlignment="1" applyFont="1" applyNumberFormat="1">
      <alignment readingOrder="0"/>
    </xf>
    <xf borderId="0" fillId="0" fontId="15" numFmtId="164" xfId="0" applyAlignment="1" applyFont="1" applyNumberFormat="1">
      <alignment readingOrder="0"/>
    </xf>
    <xf borderId="1" fillId="0" fontId="6" numFmtId="0" xfId="0" applyBorder="1" applyFont="1"/>
    <xf borderId="0" fillId="0" fontId="15" numFmtId="10" xfId="0" applyFont="1" applyNumberFormat="1"/>
    <xf borderId="1" fillId="0" fontId="6" numFmtId="4" xfId="0" applyAlignment="1" applyBorder="1" applyFont="1" applyNumberFormat="1">
      <alignment horizontal="center"/>
    </xf>
    <xf borderId="22" fillId="0" fontId="6" numFmtId="0" xfId="0" applyAlignment="1" applyBorder="1" applyFont="1">
      <alignment horizontal="center" readingOrder="0"/>
    </xf>
    <xf borderId="0" fillId="9" fontId="15" numFmtId="0" xfId="0" applyFont="1"/>
    <xf borderId="1" fillId="0" fontId="9" numFmtId="168" xfId="0" applyAlignment="1" applyBorder="1" applyFont="1" applyNumberFormat="1">
      <alignment horizontal="center" vertical="bottom"/>
    </xf>
    <xf borderId="0" fillId="10" fontId="5" numFmtId="0" xfId="0" applyAlignment="1" applyFill="1" applyFont="1">
      <alignment horizontal="center" vertical="center"/>
    </xf>
    <xf borderId="2" fillId="10" fontId="5" numFmtId="0" xfId="0" applyAlignment="1" applyBorder="1" applyFont="1">
      <alignment horizontal="center" vertical="center"/>
    </xf>
    <xf borderId="0" fillId="10" fontId="5" numFmtId="0" xfId="0" applyAlignment="1" applyFont="1">
      <alignment horizontal="center" readingOrder="0" vertical="center"/>
    </xf>
    <xf borderId="1" fillId="10" fontId="5" numFmtId="0" xfId="0" applyAlignment="1" applyBorder="1" applyFont="1">
      <alignment horizontal="center" vertical="center"/>
    </xf>
    <xf borderId="1" fillId="0" fontId="20" numFmtId="0" xfId="0" applyAlignment="1" applyBorder="1" applyFont="1">
      <alignment readingOrder="0" vertical="center"/>
    </xf>
    <xf borderId="1" fillId="0" fontId="20" numFmtId="0" xfId="0" applyAlignment="1" applyBorder="1" applyFont="1">
      <alignment readingOrder="0" shrinkToFit="0" vertical="center" wrapText="1"/>
    </xf>
    <xf borderId="1" fillId="0" fontId="3" numFmtId="0" xfId="0" applyAlignment="1" applyBorder="1" applyFont="1">
      <alignment vertical="center"/>
    </xf>
    <xf borderId="1" fillId="0" fontId="3" numFmtId="9" xfId="0" applyAlignment="1" applyBorder="1" applyFont="1" applyNumberFormat="1">
      <alignment horizontal="center" readingOrder="0" vertical="center"/>
    </xf>
    <xf borderId="1" fillId="11" fontId="20" numFmtId="0" xfId="0" applyAlignment="1" applyBorder="1" applyFill="1" applyFont="1">
      <alignment readingOrder="0" shrinkToFit="0" vertical="center" wrapText="1"/>
    </xf>
    <xf borderId="1" fillId="0" fontId="20" numFmtId="0" xfId="0" applyAlignment="1" applyBorder="1" applyFont="1">
      <alignment readingOrder="0" shrinkToFit="0" vertical="center" wrapText="1"/>
    </xf>
    <xf borderId="1" fillId="2" fontId="3" numFmtId="0" xfId="0" applyAlignment="1" applyBorder="1" applyFont="1">
      <alignment vertical="center"/>
    </xf>
    <xf borderId="1" fillId="2" fontId="3" numFmtId="9" xfId="0" applyAlignment="1" applyBorder="1" applyFont="1" applyNumberFormat="1">
      <alignment horizontal="center" readingOrder="0" vertical="center"/>
    </xf>
    <xf borderId="0" fillId="0" fontId="3" numFmtId="0" xfId="0" applyAlignment="1" applyFont="1">
      <alignment vertical="bottom"/>
    </xf>
    <xf borderId="1" fillId="12" fontId="20" numFmtId="0" xfId="0" applyAlignment="1" applyBorder="1" applyFill="1" applyFont="1">
      <alignment readingOrder="0" shrinkToFit="0" vertical="center" wrapText="1"/>
    </xf>
    <xf borderId="1" fillId="12" fontId="20" numFmtId="0" xfId="0" applyAlignment="1" applyBorder="1" applyFont="1">
      <alignment readingOrder="0" shrinkToFit="0" vertical="center" wrapText="1"/>
    </xf>
    <xf borderId="20" fillId="3" fontId="6" numFmtId="0" xfId="0" applyAlignment="1" applyBorder="1" applyFont="1">
      <alignment horizontal="center" readingOrder="0"/>
    </xf>
    <xf borderId="19" fillId="13" fontId="13" numFmtId="165" xfId="0" applyAlignment="1" applyBorder="1" applyFill="1" applyFont="1" applyNumberFormat="1">
      <alignment horizontal="center" vertical="bottom"/>
    </xf>
    <xf borderId="19" fillId="0" fontId="13" numFmtId="165" xfId="0" applyAlignment="1" applyBorder="1" applyFont="1" applyNumberFormat="1">
      <alignment horizontal="center" readingOrder="0" vertical="bottom"/>
    </xf>
    <xf borderId="20" fillId="3" fontId="15" numFmtId="165" xfId="0" applyAlignment="1" applyBorder="1" applyFont="1" applyNumberFormat="1">
      <alignment readingOrder="0"/>
    </xf>
    <xf borderId="20" fillId="3" fontId="14" numFmtId="167" xfId="0" applyAlignment="1" applyBorder="1" applyFont="1" applyNumberFormat="1">
      <alignment horizontal="right" readingOrder="0" shrinkToFit="0" vertical="bottom" wrapText="0"/>
    </xf>
    <xf borderId="25" fillId="0" fontId="6" numFmtId="0" xfId="0" applyAlignment="1" applyBorder="1" applyFont="1">
      <alignment horizontal="center" readingOrder="0" shrinkToFit="0" vertical="center" wrapText="1"/>
    </xf>
    <xf borderId="10" fillId="0" fontId="6" numFmtId="0" xfId="0" applyAlignment="1" applyBorder="1" applyFont="1">
      <alignment readingOrder="0" shrinkToFit="0" vertical="center" wrapText="1"/>
    </xf>
    <xf borderId="10" fillId="0" fontId="6" numFmtId="0" xfId="0" applyAlignment="1" applyBorder="1" applyFont="1">
      <alignment vertical="center"/>
    </xf>
    <xf borderId="20" fillId="7" fontId="15" numFmtId="2" xfId="0" applyAlignment="1" applyBorder="1" applyFont="1" applyNumberFormat="1">
      <alignment readingOrder="0"/>
    </xf>
    <xf borderId="24" fillId="0" fontId="6" numFmtId="0" xfId="0" applyAlignment="1" applyBorder="1" applyFont="1">
      <alignment horizontal="center" readingOrder="0" vertical="bottom"/>
    </xf>
    <xf borderId="1" fillId="0" fontId="6" numFmtId="0" xfId="0" applyAlignment="1" applyBorder="1" applyFont="1">
      <alignment horizontal="center" readingOrder="0" shrinkToFit="0" vertical="bottom" wrapText="1"/>
    </xf>
    <xf borderId="2" fillId="0" fontId="6" numFmtId="0" xfId="0" applyAlignment="1" applyBorder="1" applyFont="1">
      <alignment horizontal="center" readingOrder="0" vertical="bottom"/>
    </xf>
    <xf borderId="2" fillId="0" fontId="6" numFmtId="0" xfId="0" applyAlignment="1" applyBorder="1" applyFont="1">
      <alignment readingOrder="0"/>
    </xf>
    <xf borderId="0" fillId="14" fontId="15" numFmtId="0" xfId="0" applyFill="1" applyFont="1"/>
    <xf borderId="0" fillId="14" fontId="16" numFmtId="0" xfId="0" applyAlignment="1" applyFont="1">
      <alignment readingOrder="0"/>
    </xf>
    <xf borderId="30" fillId="0" fontId="8" numFmtId="0" xfId="0" applyAlignment="1" applyBorder="1" applyFont="1">
      <alignment horizontal="center" vertical="bottom"/>
    </xf>
    <xf borderId="9" fillId="0" fontId="9" numFmtId="10" xfId="0" applyAlignment="1" applyBorder="1" applyFont="1" applyNumberFormat="1">
      <alignment horizontal="center" readingOrder="0" vertical="bottom"/>
    </xf>
    <xf borderId="10" fillId="0" fontId="9" numFmtId="10" xfId="0" applyAlignment="1" applyBorder="1" applyFont="1" applyNumberFormat="1">
      <alignment horizontal="center" readingOrder="0" vertical="bottom"/>
    </xf>
    <xf borderId="31" fillId="0" fontId="9" numFmtId="0" xfId="0" applyAlignment="1" applyBorder="1" applyFont="1">
      <alignment horizontal="center" readingOrder="0" vertical="bottom"/>
    </xf>
    <xf borderId="10" fillId="0" fontId="9" numFmtId="10" xfId="0" applyAlignment="1" applyBorder="1" applyFont="1" applyNumberFormat="1">
      <alignment horizontal="center"/>
    </xf>
    <xf borderId="10" fillId="0" fontId="9" numFmtId="164" xfId="0" applyAlignment="1" applyBorder="1" applyFont="1" applyNumberFormat="1">
      <alignment horizontal="center" readingOrder="0" vertical="bottom"/>
    </xf>
    <xf borderId="10" fillId="0" fontId="9" numFmtId="0" xfId="0" applyAlignment="1" applyBorder="1" applyFont="1">
      <alignment horizontal="center" readingOrder="0" vertical="bottom"/>
    </xf>
    <xf borderId="32" fillId="0" fontId="9" numFmtId="10" xfId="0" applyAlignment="1" applyBorder="1" applyFont="1" applyNumberFormat="1">
      <alignment horizontal="center" readingOrder="0"/>
    </xf>
    <xf borderId="31" fillId="0" fontId="9" numFmtId="10" xfId="0" applyAlignment="1" applyBorder="1" applyFont="1" applyNumberFormat="1">
      <alignment horizontal="center" readingOrder="0"/>
    </xf>
    <xf borderId="9" fillId="0" fontId="9" numFmtId="0" xfId="0" applyAlignment="1" applyBorder="1" applyFont="1">
      <alignment horizontal="center" readingOrder="0"/>
    </xf>
    <xf borderId="31" fillId="0" fontId="6" numFmtId="10" xfId="0" applyAlignment="1" applyBorder="1" applyFont="1" applyNumberFormat="1">
      <alignment readingOrder="0"/>
    </xf>
    <xf borderId="23" fillId="0" fontId="6" numFmtId="0" xfId="0" applyBorder="1" applyFont="1"/>
    <xf borderId="6" fillId="0" fontId="9" numFmtId="10" xfId="0" applyAlignment="1" applyBorder="1" applyFont="1" applyNumberFormat="1">
      <alignment horizontal="center" readingOrder="0" vertical="bottom"/>
    </xf>
    <xf borderId="29" fillId="0" fontId="9" numFmtId="0" xfId="0" applyAlignment="1" applyBorder="1" applyFont="1">
      <alignment horizontal="center" readingOrder="0" vertical="bottom"/>
    </xf>
    <xf borderId="5" fillId="0" fontId="9" numFmtId="10" xfId="0" applyAlignment="1" applyBorder="1" applyFont="1" applyNumberFormat="1">
      <alignment horizontal="center" readingOrder="0"/>
    </xf>
    <xf borderId="0" fillId="0" fontId="9" numFmtId="10" xfId="0" applyAlignment="1" applyFont="1" applyNumberFormat="1">
      <alignment horizontal="center" readingOrder="0"/>
    </xf>
    <xf borderId="5" fillId="0" fontId="9" numFmtId="0" xfId="0" applyAlignment="1" applyBorder="1" applyFont="1">
      <alignment horizontal="center" readingOrder="0"/>
    </xf>
    <xf borderId="29" fillId="0" fontId="6" numFmtId="10" xfId="0" applyAlignment="1" applyBorder="1" applyFont="1" applyNumberFormat="1">
      <alignment readingOrder="0"/>
    </xf>
    <xf borderId="0" fillId="6" fontId="15" numFmtId="169" xfId="0" applyFont="1" applyNumberFormat="1"/>
    <xf borderId="29" fillId="0" fontId="15" numFmtId="10" xfId="0" applyAlignment="1" applyBorder="1" applyFont="1" applyNumberFormat="1">
      <alignment readingOrder="0"/>
    </xf>
    <xf borderId="29" fillId="2" fontId="3" numFmtId="10" xfId="0" applyAlignment="1" applyBorder="1" applyFont="1" applyNumberFormat="1">
      <alignment readingOrder="0"/>
    </xf>
    <xf borderId="1" fillId="2" fontId="3" numFmtId="0" xfId="0" applyBorder="1" applyFont="1"/>
    <xf borderId="33" fillId="0" fontId="9" numFmtId="0" xfId="0" applyAlignment="1" applyBorder="1" applyFont="1">
      <alignment horizontal="center" readingOrder="0"/>
    </xf>
    <xf borderId="0" fillId="0" fontId="9" numFmtId="10" xfId="0" applyAlignment="1" applyFont="1" applyNumberFormat="1">
      <alignment horizontal="center" readingOrder="0" vertical="bottom"/>
    </xf>
    <xf borderId="19" fillId="2" fontId="3" numFmtId="0" xfId="0" applyBorder="1" applyFont="1"/>
    <xf borderId="2" fillId="15" fontId="21" numFmtId="0" xfId="0" applyAlignment="1" applyBorder="1" applyFill="1" applyFont="1">
      <alignment horizontal="center" readingOrder="0" shrinkToFit="0" vertical="bottom" wrapText="0"/>
    </xf>
    <xf borderId="2" fillId="10" fontId="21" numFmtId="0" xfId="0" applyAlignment="1" applyBorder="1" applyFont="1">
      <alignment horizontal="center" readingOrder="0" vertical="bottom"/>
    </xf>
    <xf borderId="23" fillId="0" fontId="6" numFmtId="3" xfId="0" applyAlignment="1" applyBorder="1" applyFont="1" applyNumberFormat="1">
      <alignment horizontal="center" readingOrder="0"/>
    </xf>
    <xf borderId="23" fillId="0" fontId="6" numFmtId="10" xfId="0" applyAlignment="1" applyBorder="1" applyFont="1" applyNumberFormat="1">
      <alignment horizontal="center" readingOrder="0" vertical="bottom"/>
    </xf>
    <xf borderId="23" fillId="0" fontId="6" numFmtId="0" xfId="0" applyAlignment="1" applyBorder="1" applyFont="1">
      <alignment horizontal="center" readingOrder="0" vertical="bottom"/>
    </xf>
    <xf borderId="23" fillId="0" fontId="6" numFmtId="10" xfId="0" applyAlignment="1" applyBorder="1" applyFont="1" applyNumberFormat="1">
      <alignment horizontal="center"/>
    </xf>
    <xf borderId="1" fillId="15" fontId="21" numFmtId="0" xfId="0" applyAlignment="1" applyBorder="1" applyFont="1">
      <alignment horizontal="center" readingOrder="0" shrinkToFit="0" wrapText="0"/>
    </xf>
    <xf borderId="23" fillId="0" fontId="16" numFmtId="10" xfId="0" applyAlignment="1" applyBorder="1" applyFont="1" applyNumberFormat="1">
      <alignment horizontal="center" readingOrder="0"/>
    </xf>
    <xf borderId="1" fillId="15" fontId="21" numFmtId="0" xfId="0" applyAlignment="1" applyBorder="1" applyFont="1">
      <alignment horizontal="center" readingOrder="0"/>
    </xf>
    <xf borderId="23" fillId="0" fontId="6" numFmtId="164" xfId="0" applyAlignment="1" applyBorder="1" applyFont="1" applyNumberFormat="1">
      <alignment horizontal="center" readingOrder="0"/>
    </xf>
    <xf borderId="23" fillId="0" fontId="16" numFmtId="0" xfId="0" applyAlignment="1" applyBorder="1" applyFont="1">
      <alignment horizontal="center" readingOrder="0"/>
    </xf>
    <xf borderId="1" fillId="10" fontId="21" numFmtId="0" xfId="0" applyAlignment="1" applyBorder="1" applyFont="1">
      <alignment horizontal="center" readingOrder="0"/>
    </xf>
    <xf borderId="23" fillId="0" fontId="16" numFmtId="0" xfId="0" applyAlignment="1" applyBorder="1" applyFont="1">
      <alignment horizontal="center"/>
    </xf>
    <xf borderId="34" fillId="0" fontId="6" numFmtId="10" xfId="0" applyAlignment="1" applyBorder="1" applyFont="1" applyNumberFormat="1">
      <alignment horizontal="center" readingOrder="0"/>
    </xf>
    <xf borderId="23" fillId="0" fontId="6" numFmtId="10" xfId="0" applyAlignment="1" applyBorder="1" applyFont="1" applyNumberFormat="1">
      <alignment horizontal="center" readingOrder="0"/>
    </xf>
    <xf borderId="1" fillId="10" fontId="22" numFmtId="0" xfId="0" applyAlignment="1" applyBorder="1" applyFont="1">
      <alignment horizontal="center" readingOrder="0"/>
    </xf>
    <xf borderId="22" fillId="0" fontId="16" numFmtId="10" xfId="0" applyAlignment="1" applyBorder="1" applyFont="1" applyNumberFormat="1">
      <alignment readingOrder="0"/>
    </xf>
    <xf borderId="1" fillId="16" fontId="21" numFmtId="0" xfId="0" applyAlignment="1" applyBorder="1" applyFill="1" applyFont="1">
      <alignment horizontal="center" readingOrder="0" shrinkToFit="0" vertical="bottom" wrapText="0"/>
    </xf>
    <xf borderId="1" fillId="16" fontId="21" numFmtId="0" xfId="0" applyAlignment="1" applyBorder="1" applyFont="1">
      <alignment horizontal="left" readingOrder="0" shrinkToFit="0" wrapText="0"/>
    </xf>
    <xf borderId="23" fillId="0" fontId="16" numFmtId="0" xfId="0" applyBorder="1" applyFont="1"/>
    <xf borderId="1" fillId="16" fontId="21" numFmtId="9" xfId="0" applyAlignment="1" applyBorder="1" applyFont="1" applyNumberFormat="1">
      <alignment horizontal="center" readingOrder="0" shrinkToFit="0" wrapText="0"/>
    </xf>
    <xf borderId="0" fillId="0" fontId="16" numFmtId="0" xfId="0" applyFont="1"/>
    <xf borderId="1" fillId="16" fontId="21" numFmtId="0" xfId="0" applyBorder="1" applyFont="1"/>
    <xf borderId="1" fillId="16" fontId="21" numFmtId="0" xfId="0" applyAlignment="1" applyBorder="1" applyFont="1">
      <alignment shrinkToFit="0" wrapText="0"/>
    </xf>
    <xf borderId="1" fillId="16" fontId="21" numFmtId="0" xfId="0" applyAlignment="1" applyBorder="1" applyFont="1">
      <alignment horizontal="center"/>
    </xf>
    <xf borderId="1" fillId="16" fontId="23" numFmtId="0" xfId="0" applyAlignment="1" applyBorder="1" applyFont="1">
      <alignment horizontal="center"/>
    </xf>
    <xf borderId="1" fillId="0" fontId="14" numFmtId="0" xfId="0" applyAlignment="1" applyBorder="1" applyFont="1">
      <alignment shrinkToFit="0" wrapText="0"/>
    </xf>
    <xf borderId="1" fillId="0" fontId="21" numFmtId="0" xfId="0" applyAlignment="1" applyBorder="1" applyFont="1">
      <alignment horizontal="center" readingOrder="0"/>
    </xf>
    <xf borderId="1" fillId="0" fontId="21" numFmtId="9" xfId="0" applyAlignment="1" applyBorder="1" applyFont="1" applyNumberFormat="1">
      <alignment horizontal="center" readingOrder="0"/>
    </xf>
    <xf borderId="35" fillId="0" fontId="21" numFmtId="0" xfId="0" applyAlignment="1" applyBorder="1" applyFont="1">
      <alignment horizontal="left" readingOrder="0"/>
    </xf>
    <xf borderId="1" fillId="0" fontId="23" numFmtId="0" xfId="0" applyAlignment="1" applyBorder="1" applyFont="1">
      <alignment horizontal="center" readingOrder="0"/>
    </xf>
    <xf borderId="1" fillId="7" fontId="23" numFmtId="9" xfId="0" applyAlignment="1" applyBorder="1" applyFont="1" applyNumberFormat="1">
      <alignment horizontal="center" readingOrder="0"/>
    </xf>
    <xf borderId="1" fillId="0" fontId="24" numFmtId="0" xfId="0" applyAlignment="1" applyBorder="1" applyFont="1">
      <alignment horizontal="left" readingOrder="0"/>
    </xf>
    <xf borderId="1" fillId="0" fontId="23" numFmtId="0" xfId="0" applyAlignment="1" applyBorder="1" applyFont="1">
      <alignment horizontal="left" readingOrder="0"/>
    </xf>
    <xf borderId="1" fillId="0" fontId="25" numFmtId="0" xfId="0" applyAlignment="1" applyBorder="1" applyFont="1">
      <alignment horizontal="left" readingOrder="0"/>
    </xf>
    <xf borderId="5" fillId="3" fontId="21" numFmtId="0" xfId="0" applyAlignment="1" applyBorder="1" applyFont="1">
      <alignment horizontal="center" readingOrder="0"/>
    </xf>
    <xf borderId="6" fillId="3" fontId="21" numFmtId="0" xfId="0" applyAlignment="1" applyBorder="1" applyFont="1">
      <alignment horizontal="center" readingOrder="0"/>
    </xf>
    <xf borderId="6" fillId="3" fontId="21" numFmtId="9" xfId="0" applyAlignment="1" applyBorder="1" applyFont="1" applyNumberFormat="1">
      <alignment horizontal="center" readingOrder="0"/>
    </xf>
    <xf borderId="35" fillId="3" fontId="21" numFmtId="0" xfId="0" applyAlignment="1" applyBorder="1" applyFont="1">
      <alignment horizontal="left" readingOrder="0"/>
    </xf>
    <xf borderId="1" fillId="3" fontId="21" numFmtId="0" xfId="0" applyAlignment="1" applyBorder="1" applyFont="1">
      <alignment horizontal="center" readingOrder="0"/>
    </xf>
    <xf borderId="1" fillId="3" fontId="24" numFmtId="0" xfId="0" applyAlignment="1" applyBorder="1" applyFont="1">
      <alignment horizontal="left" readingOrder="0"/>
    </xf>
    <xf borderId="1" fillId="3" fontId="23" numFmtId="0" xfId="0" applyAlignment="1" applyBorder="1" applyFont="1">
      <alignment horizontal="left" readingOrder="0"/>
    </xf>
    <xf borderId="1" fillId="3" fontId="23" numFmtId="0" xfId="0" applyAlignment="1" applyBorder="1" applyFont="1">
      <alignment horizontal="center" readingOrder="0"/>
    </xf>
    <xf borderId="1" fillId="3" fontId="25" numFmtId="0" xfId="0" applyAlignment="1" applyBorder="1" applyFont="1">
      <alignment horizontal="left" readingOrder="0"/>
    </xf>
    <xf borderId="19" fillId="0" fontId="21" numFmtId="0" xfId="0" applyAlignment="1" applyBorder="1" applyFont="1">
      <alignment horizontal="center" readingOrder="0"/>
    </xf>
    <xf borderId="19" fillId="0" fontId="21" numFmtId="9" xfId="0" applyAlignment="1" applyBorder="1" applyFont="1" applyNumberFormat="1">
      <alignment horizontal="center" readingOrder="0"/>
    </xf>
    <xf borderId="1" fillId="0" fontId="23" numFmtId="0" xfId="0" applyAlignment="1" applyBorder="1" applyFont="1">
      <alignment horizontal="center"/>
    </xf>
    <xf borderId="1" fillId="0" fontId="21" numFmtId="0" xfId="0" applyAlignment="1" applyBorder="1" applyFont="1">
      <alignment horizontal="center"/>
    </xf>
    <xf borderId="1" fillId="0" fontId="23" numFmtId="0" xfId="0" applyAlignment="1" applyBorder="1" applyFont="1">
      <alignment horizontal="left"/>
    </xf>
    <xf borderId="1" fillId="0" fontId="23" numFmtId="0" xfId="0" applyBorder="1" applyFont="1"/>
    <xf borderId="5" fillId="0" fontId="4" numFmtId="0" xfId="0" applyBorder="1" applyFont="1"/>
    <xf borderId="2" fillId="0" fontId="6" numFmtId="0" xfId="0" applyBorder="1" applyFont="1"/>
    <xf borderId="35" fillId="0" fontId="23" numFmtId="0" xfId="0" applyAlignment="1" applyBorder="1" applyFont="1">
      <alignment horizontal="left" readingOrder="0"/>
    </xf>
    <xf borderId="15" fillId="0" fontId="4" numFmtId="0" xfId="0" applyBorder="1" applyFont="1"/>
    <xf borderId="0" fillId="0" fontId="21" numFmtId="0" xfId="0" applyAlignment="1" applyFont="1">
      <alignment horizontal="left" readingOrder="0"/>
    </xf>
    <xf borderId="9" fillId="0" fontId="9" numFmtId="3" xfId="0" applyAlignment="1" applyBorder="1" applyFont="1" applyNumberFormat="1">
      <alignment horizontal="center" readingOrder="0" vertical="bottom"/>
    </xf>
    <xf borderId="23" fillId="0" fontId="15" numFmtId="0" xfId="0" applyBorder="1" applyFont="1"/>
    <xf borderId="6" fillId="0" fontId="9" numFmtId="3" xfId="0" applyAlignment="1" applyBorder="1" applyFont="1" applyNumberFormat="1">
      <alignment horizontal="center" readingOrder="0" vertical="bottom"/>
    </xf>
    <xf borderId="1" fillId="16" fontId="21" numFmtId="0" xfId="0" applyAlignment="1" applyBorder="1" applyFont="1">
      <alignment horizontal="left"/>
    </xf>
    <xf borderId="19" fillId="0" fontId="21" numFmtId="0" xfId="0" applyAlignment="1" applyBorder="1" applyFont="1">
      <alignment horizontal="center" readingOrder="0" shrinkToFit="0" wrapText="0"/>
    </xf>
    <xf borderId="1" fillId="0" fontId="21" numFmtId="0" xfId="0" applyAlignment="1" applyBorder="1" applyFont="1">
      <alignment horizontal="left" readingOrder="0"/>
    </xf>
    <xf borderId="1" fillId="3" fontId="21" numFmtId="9" xfId="0" applyAlignment="1" applyBorder="1" applyFont="1" applyNumberFormat="1">
      <alignment horizontal="center" readingOrder="0"/>
    </xf>
    <xf borderId="6" fillId="0" fontId="9" numFmtId="0" xfId="0" applyAlignment="1" applyBorder="1" applyFont="1">
      <alignment horizontal="center" readingOrder="0" vertical="bottom"/>
    </xf>
    <xf borderId="1" fillId="3" fontId="23" numFmtId="0" xfId="0" applyAlignment="1" applyBorder="1" applyFont="1">
      <alignment horizontal="left"/>
    </xf>
    <xf borderId="0" fillId="0" fontId="9" numFmtId="0" xfId="0" applyAlignment="1" applyFont="1">
      <alignment horizontal="center" readingOrder="0" vertical="bottom"/>
    </xf>
    <xf borderId="19" fillId="0" fontId="15" numFmtId="0" xfId="0" applyBorder="1" applyFont="1"/>
    <xf borderId="1" fillId="3" fontId="24" numFmtId="0" xfId="0" applyAlignment="1" applyBorder="1" applyFont="1">
      <alignment horizontal="left"/>
    </xf>
    <xf borderId="0" fillId="0" fontId="15" numFmtId="9" xfId="0" applyAlignment="1" applyFont="1" applyNumberFormat="1">
      <alignment readingOrder="0"/>
    </xf>
    <xf borderId="5" fillId="0" fontId="21" numFmtId="0" xfId="0" applyAlignment="1" applyBorder="1" applyFont="1">
      <alignment horizontal="center" readingOrder="0" shrinkToFit="0" wrapText="0"/>
    </xf>
    <xf borderId="5" fillId="0" fontId="21" numFmtId="0" xfId="0" applyAlignment="1" applyBorder="1" applyFont="1">
      <alignment horizontal="center" readingOrder="0"/>
    </xf>
    <xf borderId="5" fillId="0" fontId="21" numFmtId="9" xfId="0" applyAlignment="1" applyBorder="1" applyFont="1" applyNumberFormat="1">
      <alignment horizontal="center" readingOrder="0"/>
    </xf>
    <xf borderId="10" fillId="0" fontId="9" numFmtId="10" xfId="0" applyAlignment="1" applyBorder="1" applyFont="1" applyNumberFormat="1">
      <alignment horizontal="center" readingOrder="0"/>
    </xf>
    <xf borderId="10" fillId="0" fontId="9" numFmtId="3" xfId="0" applyAlignment="1" applyBorder="1" applyFont="1" applyNumberFormat="1">
      <alignment horizontal="center" readingOrder="0" vertical="bottom"/>
    </xf>
    <xf borderId="31" fillId="0" fontId="6" numFmtId="9" xfId="0" applyAlignment="1" applyBorder="1" applyFont="1" applyNumberFormat="1">
      <alignment readingOrder="0"/>
    </xf>
    <xf borderId="1" fillId="16" fontId="21" numFmtId="0" xfId="0" applyAlignment="1" applyBorder="1" applyFont="1">
      <alignment horizontal="left" readingOrder="0"/>
    </xf>
    <xf borderId="1" fillId="16" fontId="21" numFmtId="9" xfId="0" applyAlignment="1" applyBorder="1" applyFont="1" applyNumberFormat="1">
      <alignment horizontal="center" readingOrder="0"/>
    </xf>
    <xf borderId="5" fillId="0" fontId="9" numFmtId="3" xfId="0" applyAlignment="1" applyBorder="1" applyFont="1" applyNumberFormat="1">
      <alignment horizontal="center" readingOrder="0" vertical="bottom"/>
    </xf>
    <xf borderId="29" fillId="0" fontId="6" numFmtId="9" xfId="0" applyAlignment="1" applyBorder="1" applyFont="1" applyNumberFormat="1">
      <alignment readingOrder="0"/>
    </xf>
    <xf borderId="5" fillId="0" fontId="6" numFmtId="0" xfId="0" applyBorder="1" applyFont="1"/>
    <xf quotePrefix="1" borderId="1" fillId="3" fontId="23" numFmtId="0" xfId="0" applyAlignment="1" applyBorder="1" applyFont="1">
      <alignment horizontal="left" readingOrder="0"/>
    </xf>
    <xf borderId="1" fillId="0" fontId="21" numFmtId="0" xfId="0" applyAlignment="1" applyBorder="1" applyFont="1">
      <alignment horizontal="center" readingOrder="0" shrinkToFit="0" wrapText="0"/>
    </xf>
    <xf borderId="23" fillId="0" fontId="6" numFmtId="0" xfId="0" applyAlignment="1" applyBorder="1" applyFont="1">
      <alignment horizontal="center"/>
    </xf>
    <xf borderId="1" fillId="0" fontId="23" numFmtId="0" xfId="0" applyAlignment="1" applyBorder="1" applyFont="1">
      <alignment horizontal="center" shrinkToFit="0" vertical="bottom" wrapText="0"/>
    </xf>
    <xf borderId="1" fillId="0" fontId="21" numFmtId="0" xfId="0" applyBorder="1" applyFont="1"/>
    <xf borderId="1" fillId="0" fontId="21" numFmtId="0" xfId="0" applyAlignment="1" applyBorder="1" applyFont="1">
      <alignment horizontal="left"/>
    </xf>
    <xf borderId="1" fillId="16" fontId="21" numFmtId="0" xfId="0" applyAlignment="1" applyBorder="1" applyFont="1">
      <alignment horizontal="center" readingOrder="0"/>
    </xf>
    <xf borderId="1" fillId="0" fontId="6" numFmtId="0" xfId="0" applyAlignment="1" applyBorder="1" applyFont="1">
      <alignment horizontal="center"/>
    </xf>
    <xf borderId="29" fillId="0" fontId="15" numFmtId="9" xfId="0" applyAlignment="1" applyBorder="1" applyFont="1" applyNumberFormat="1">
      <alignment readingOrder="0"/>
    </xf>
    <xf borderId="5" fillId="0" fontId="15" numFmtId="0" xfId="0" applyBorder="1" applyFont="1"/>
    <xf borderId="29" fillId="2" fontId="3" numFmtId="9" xfId="0" applyAlignment="1" applyBorder="1" applyFont="1" applyNumberFormat="1">
      <alignment readingOrder="0"/>
    </xf>
    <xf borderId="5" fillId="2" fontId="3" numFmtId="0" xfId="0" applyBorder="1" applyFont="1"/>
    <xf borderId="0" fillId="0" fontId="9" numFmtId="3" xfId="0" applyAlignment="1" applyFont="1" applyNumberFormat="1">
      <alignment horizontal="center" readingOrder="0" vertical="bottom"/>
    </xf>
    <xf borderId="15" fillId="2" fontId="3" numFmtId="0" xfId="0" applyBorder="1" applyFont="1"/>
    <xf borderId="19" fillId="0" fontId="6" numFmtId="0" xfId="0" applyAlignment="1" applyBorder="1" applyFont="1">
      <alignment horizontal="center"/>
    </xf>
    <xf borderId="22" fillId="0" fontId="16" numFmtId="9" xfId="0" applyAlignment="1" applyBorder="1" applyFont="1" applyNumberFormat="1">
      <alignment readingOrder="0"/>
    </xf>
    <xf borderId="15" fillId="0" fontId="16" numFmtId="0" xfId="0" applyBorder="1" applyFont="1"/>
    <xf borderId="3" fillId="15" fontId="21" numFmtId="0" xfId="0" applyAlignment="1" applyBorder="1" applyFont="1">
      <alignment horizontal="center" shrinkToFit="0" vertical="bottom" wrapText="0"/>
    </xf>
    <xf borderId="4" fillId="15" fontId="21" numFmtId="0" xfId="0" applyAlignment="1" applyBorder="1" applyFont="1">
      <alignment horizontal="center" shrinkToFit="0" vertical="bottom" wrapText="0"/>
    </xf>
    <xf borderId="3" fillId="10" fontId="21" numFmtId="0" xfId="0" applyAlignment="1" applyBorder="1" applyFont="1">
      <alignment horizontal="center" readingOrder="0" vertical="bottom"/>
    </xf>
    <xf borderId="3" fillId="10" fontId="21" numFmtId="0" xfId="0" applyAlignment="1" applyBorder="1" applyFont="1">
      <alignment horizontal="center" vertical="bottom"/>
    </xf>
    <xf borderId="4" fillId="10" fontId="21" numFmtId="0" xfId="0" applyAlignment="1" applyBorder="1" applyFont="1">
      <alignment horizontal="center" vertical="bottom"/>
    </xf>
    <xf borderId="1" fillId="16" fontId="23" numFmtId="9" xfId="0" applyAlignment="1" applyBorder="1" applyFont="1" applyNumberFormat="1">
      <alignment horizontal="center" readingOrder="0"/>
    </xf>
    <xf borderId="5" fillId="0" fontId="21" numFmtId="0" xfId="0" applyAlignment="1" applyBorder="1" applyFont="1">
      <alignment horizontal="center"/>
    </xf>
    <xf borderId="5" fillId="0" fontId="21" numFmtId="9" xfId="0" applyAlignment="1" applyBorder="1" applyFont="1" applyNumberFormat="1">
      <alignment horizontal="center"/>
    </xf>
    <xf borderId="15" fillId="0" fontId="21" numFmtId="0" xfId="0" applyAlignment="1" applyBorder="1" applyFont="1">
      <alignment horizontal="center"/>
    </xf>
    <xf borderId="15" fillId="0" fontId="21" numFmtId="9" xfId="0" applyAlignment="1" applyBorder="1" applyFont="1" applyNumberFormat="1">
      <alignment horizontal="center"/>
    </xf>
    <xf quotePrefix="1" borderId="1" fillId="0" fontId="23" numFmtId="0" xfId="0" applyAlignment="1" applyBorder="1" applyFont="1">
      <alignment horizontal="left" readingOrder="0"/>
    </xf>
    <xf borderId="5" fillId="0" fontId="21" numFmtId="0" xfId="0" applyAlignment="1" applyBorder="1" applyFont="1">
      <alignment horizontal="center" shrinkToFit="0" wrapText="0"/>
    </xf>
    <xf borderId="15" fillId="0" fontId="21" numFmtId="0" xfId="0" applyAlignment="1" applyBorder="1" applyFont="1">
      <alignment horizontal="center" shrinkToFit="0" wrapText="0"/>
    </xf>
    <xf borderId="25" fillId="0" fontId="9" numFmtId="10" xfId="0" applyAlignment="1" applyBorder="1" applyFont="1" applyNumberFormat="1">
      <alignment horizontal="center" readingOrder="0" vertical="bottom"/>
    </xf>
    <xf borderId="10" fillId="0" fontId="8" numFmtId="10" xfId="0" applyAlignment="1" applyBorder="1" applyFont="1" applyNumberFormat="1">
      <alignment horizontal="center" readingOrder="0" vertical="bottom"/>
    </xf>
    <xf borderId="10" fillId="0" fontId="9" numFmtId="0" xfId="0" applyAlignment="1" applyBorder="1" applyFont="1">
      <alignment horizontal="center" readingOrder="0"/>
    </xf>
    <xf borderId="31" fillId="0" fontId="15" numFmtId="9" xfId="0" applyAlignment="1" applyBorder="1" applyFont="1" applyNumberFormat="1">
      <alignment readingOrder="0"/>
    </xf>
    <xf borderId="36" fillId="0" fontId="9" numFmtId="10" xfId="0" applyAlignment="1" applyBorder="1" applyFont="1" applyNumberFormat="1">
      <alignment horizontal="center" readingOrder="0" vertical="bottom"/>
    </xf>
    <xf borderId="15" fillId="0" fontId="15" numFmtId="0" xfId="0" applyBorder="1" applyFont="1"/>
    <xf borderId="23" fillId="0" fontId="9" numFmtId="10" xfId="0" applyAlignment="1" applyBorder="1" applyFont="1" applyNumberFormat="1">
      <alignment horizontal="center"/>
    </xf>
    <xf borderId="23" fillId="0" fontId="5" numFmtId="10" xfId="0" applyAlignment="1" applyBorder="1" applyFont="1" applyNumberFormat="1">
      <alignment horizontal="center" readingOrder="0" vertical="bottom"/>
    </xf>
    <xf borderId="24" fillId="0" fontId="12" numFmtId="166" xfId="0" applyAlignment="1" applyBorder="1" applyFont="1" applyNumberFormat="1">
      <alignment horizontal="center" readingOrder="0" vertical="bottom"/>
    </xf>
    <xf borderId="1" fillId="0" fontId="12" numFmtId="10" xfId="0" applyAlignment="1" applyBorder="1" applyFont="1" applyNumberFormat="1">
      <alignment horizontal="center" readingOrder="0" vertical="bottom"/>
    </xf>
    <xf borderId="1" fillId="0" fontId="12" numFmtId="0" xfId="0" applyAlignment="1" applyBorder="1" applyFont="1">
      <alignment horizontal="center" readingOrder="0" vertical="bottom"/>
    </xf>
    <xf borderId="1" fillId="0" fontId="12" numFmtId="10" xfId="0" applyAlignment="1" applyBorder="1" applyFont="1" applyNumberFormat="1">
      <alignment horizontal="center" readingOrder="0"/>
    </xf>
    <xf borderId="1" fillId="3" fontId="12" numFmtId="164" xfId="0" applyAlignment="1" applyBorder="1" applyFont="1" applyNumberFormat="1">
      <alignment horizontal="center" readingOrder="0"/>
    </xf>
    <xf borderId="1" fillId="0" fontId="18" numFmtId="49" xfId="0" applyAlignment="1" applyBorder="1" applyFont="1" applyNumberFormat="1">
      <alignment horizontal="center" readingOrder="0"/>
    </xf>
    <xf borderId="1" fillId="0" fontId="19" numFmtId="0" xfId="0" applyAlignment="1" applyBorder="1" applyFont="1">
      <alignment horizontal="center" readingOrder="0"/>
    </xf>
    <xf borderId="1" fillId="3" fontId="19" numFmtId="10" xfId="0" applyAlignment="1" applyBorder="1" applyFont="1" applyNumberFormat="1">
      <alignment horizontal="center" readingOrder="0"/>
    </xf>
    <xf borderId="1" fillId="0" fontId="18" numFmtId="9" xfId="0" applyAlignment="1" applyBorder="1" applyFont="1" applyNumberFormat="1">
      <alignment horizontal="center" readingOrder="0"/>
    </xf>
    <xf borderId="2" fillId="0" fontId="12" numFmtId="10" xfId="0" applyAlignment="1" applyBorder="1" applyFont="1" applyNumberFormat="1">
      <alignment horizontal="center" readingOrder="0" vertical="bottom"/>
    </xf>
    <xf borderId="19" fillId="0" fontId="9" numFmtId="10" xfId="0" applyAlignment="1" applyBorder="1" applyFont="1" applyNumberFormat="1">
      <alignment horizontal="center" readingOrder="0"/>
    </xf>
    <xf borderId="21" fillId="0" fontId="9" numFmtId="10" xfId="0" applyAlignment="1" applyBorder="1" applyFont="1" applyNumberFormat="1">
      <alignment horizontal="center" readingOrder="0"/>
    </xf>
    <xf borderId="37" fillId="0" fontId="9" numFmtId="0" xfId="0" applyAlignment="1" applyBorder="1" applyFont="1">
      <alignment horizontal="center" readingOrder="0"/>
    </xf>
    <xf borderId="29" fillId="0" fontId="9" numFmtId="10" xfId="0" applyAlignment="1" applyBorder="1" applyFont="1" applyNumberFormat="1">
      <alignment horizontal="center" readingOrder="0" vertical="bottom"/>
    </xf>
    <xf borderId="24" fillId="0" fontId="6" numFmtId="3" xfId="0" applyAlignment="1" applyBorder="1" applyFont="1" applyNumberFormat="1">
      <alignment horizontal="center" readingOrder="0" vertical="bottom"/>
    </xf>
    <xf borderId="19" fillId="0" fontId="26" numFmtId="10" xfId="0" applyAlignment="1" applyBorder="1" applyFont="1" applyNumberFormat="1">
      <alignment horizontal="center" readingOrder="0" shrinkToFit="0" vertical="bottom" wrapText="0"/>
    </xf>
    <xf borderId="5" fillId="2" fontId="8" numFmtId="10" xfId="0" applyAlignment="1" applyBorder="1" applyFont="1" applyNumberFormat="1">
      <alignment horizontal="center" readingOrder="0" vertical="bottom"/>
    </xf>
    <xf borderId="19" fillId="0" fontId="16" numFmtId="9" xfId="0" applyAlignment="1" applyBorder="1" applyFont="1" applyNumberFormat="1">
      <alignment readingOrder="0"/>
    </xf>
    <xf borderId="23" fillId="0" fontId="5" numFmtId="0" xfId="0" applyAlignment="1" applyBorder="1" applyFont="1">
      <alignment horizontal="center" readingOrder="0" shrinkToFit="0" vertical="center" wrapText="1"/>
    </xf>
    <xf borderId="10" fillId="0" fontId="6" numFmtId="0" xfId="0" applyBorder="1" applyFont="1"/>
    <xf borderId="14" fillId="0" fontId="5" numFmtId="0" xfId="0" applyAlignment="1" applyBorder="1" applyFont="1">
      <alignment horizontal="center" readingOrder="0" vertical="bottom"/>
    </xf>
    <xf borderId="38" fillId="0" fontId="8" numFmtId="0" xfId="0" applyAlignment="1" applyBorder="1" applyFont="1">
      <alignment horizontal="center" vertical="bottom"/>
    </xf>
    <xf borderId="25" fillId="0" fontId="9" numFmtId="3" xfId="0" applyAlignment="1" applyBorder="1" applyFont="1" applyNumberFormat="1">
      <alignment horizontal="center" readingOrder="0" vertical="bottom"/>
    </xf>
    <xf borderId="10" fillId="2" fontId="9" numFmtId="10" xfId="0" applyAlignment="1" applyBorder="1" applyFont="1" applyNumberFormat="1">
      <alignment horizontal="center" readingOrder="0" vertical="bottom"/>
    </xf>
    <xf borderId="31" fillId="2" fontId="9" numFmtId="0" xfId="0" applyAlignment="1" applyBorder="1" applyFont="1">
      <alignment horizontal="center" readingOrder="0" vertical="bottom"/>
    </xf>
    <xf borderId="10" fillId="2" fontId="9" numFmtId="10" xfId="0" applyAlignment="1" applyBorder="1" applyFont="1" applyNumberFormat="1">
      <alignment horizontal="center"/>
    </xf>
    <xf borderId="9" fillId="2" fontId="9" numFmtId="10" xfId="0" applyAlignment="1" applyBorder="1" applyFont="1" applyNumberFormat="1">
      <alignment horizontal="center" readingOrder="0" vertical="bottom"/>
    </xf>
    <xf borderId="10" fillId="2" fontId="9" numFmtId="164" xfId="0" applyAlignment="1" applyBorder="1" applyFont="1" applyNumberFormat="1">
      <alignment horizontal="center" readingOrder="0" vertical="bottom"/>
    </xf>
    <xf borderId="31" fillId="2" fontId="9" numFmtId="164" xfId="0" applyAlignment="1" applyBorder="1" applyFont="1" applyNumberFormat="1">
      <alignment horizontal="center" readingOrder="0" vertical="bottom"/>
    </xf>
    <xf borderId="31" fillId="0" fontId="9" numFmtId="10" xfId="0" applyAlignment="1" applyBorder="1" applyFont="1" applyNumberFormat="1">
      <alignment horizontal="center" readingOrder="0" vertical="bottom"/>
    </xf>
    <xf borderId="8" fillId="0" fontId="9" numFmtId="3" xfId="0" applyAlignment="1" applyBorder="1" applyFont="1" applyNumberFormat="1">
      <alignment horizontal="center" readingOrder="0" vertical="bottom"/>
    </xf>
    <xf borderId="5" fillId="2" fontId="9" numFmtId="10" xfId="0" applyAlignment="1" applyBorder="1" applyFont="1" applyNumberFormat="1">
      <alignment horizontal="center" readingOrder="0" vertical="bottom"/>
    </xf>
    <xf borderId="29" fillId="2" fontId="9" numFmtId="0" xfId="0" applyAlignment="1" applyBorder="1" applyFont="1">
      <alignment horizontal="center" readingOrder="0" vertical="bottom"/>
    </xf>
    <xf borderId="5" fillId="2" fontId="9" numFmtId="10" xfId="0" applyAlignment="1" applyBorder="1" applyFont="1" applyNumberFormat="1">
      <alignment horizontal="center" readingOrder="0"/>
    </xf>
    <xf borderId="6" fillId="2" fontId="9" numFmtId="10" xfId="0" applyAlignment="1" applyBorder="1" applyFont="1" applyNumberFormat="1">
      <alignment horizontal="center" readingOrder="0" vertical="bottom"/>
    </xf>
    <xf borderId="5" fillId="2" fontId="9" numFmtId="164" xfId="0" applyAlignment="1" applyBorder="1" applyFont="1" applyNumberFormat="1">
      <alignment horizontal="center" readingOrder="0" vertical="bottom"/>
    </xf>
    <xf borderId="29" fillId="2" fontId="9" numFmtId="164" xfId="0" applyAlignment="1" applyBorder="1" applyFont="1" applyNumberFormat="1">
      <alignment horizontal="center" readingOrder="0" vertical="bottom"/>
    </xf>
    <xf borderId="23" fillId="0" fontId="16" numFmtId="164" xfId="0" applyAlignment="1" applyBorder="1" applyFont="1" applyNumberFormat="1">
      <alignment horizontal="center" readingOrder="0"/>
    </xf>
    <xf borderId="23" fillId="0" fontId="16" numFmtId="10" xfId="0" applyAlignment="1" applyBorder="1" applyFont="1" applyNumberFormat="1">
      <alignment horizontal="center"/>
    </xf>
    <xf borderId="29" fillId="2" fontId="9" numFmtId="10" xfId="0" applyAlignment="1" applyBorder="1" applyFont="1" applyNumberFormat="1">
      <alignment horizontal="center" readingOrder="0" vertical="bottom"/>
    </xf>
    <xf borderId="15" fillId="0" fontId="6" numFmtId="10" xfId="0" applyAlignment="1" applyBorder="1" applyFont="1" applyNumberFormat="1">
      <alignment horizontal="center" readingOrder="0" vertical="bottom"/>
    </xf>
    <xf borderId="22" fillId="0" fontId="16" numFmtId="10" xfId="0" applyAlignment="1" applyBorder="1" applyFont="1" applyNumberFormat="1">
      <alignment horizontal="center" readingOrder="0"/>
    </xf>
    <xf borderId="0" fillId="0" fontId="15" numFmtId="3" xfId="0" applyAlignment="1" applyFont="1" applyNumberFormat="1">
      <alignment readingOrder="0"/>
    </xf>
    <xf borderId="0" fillId="0" fontId="15" numFmtId="3" xfId="0" applyFont="1" applyNumberFormat="1"/>
    <xf borderId="0" fillId="0" fontId="15" numFmtId="0" xfId="0" applyFont="1"/>
    <xf borderId="5" fillId="0" fontId="26" numFmtId="10" xfId="0" applyAlignment="1" applyBorder="1" applyFont="1" applyNumberFormat="1">
      <alignment horizontal="center" readingOrder="0" shrinkToFit="0" vertical="bottom" wrapText="0"/>
    </xf>
    <xf borderId="0" fillId="0" fontId="15" numFmtId="164" xfId="0" applyFont="1" applyNumberFormat="1"/>
    <xf borderId="36" fillId="0" fontId="9" numFmtId="3" xfId="0" applyAlignment="1" applyBorder="1" applyFont="1" applyNumberFormat="1">
      <alignment horizontal="center" readingOrder="0" vertical="bottom"/>
    </xf>
    <xf borderId="19" fillId="0" fontId="5" numFmtId="0" xfId="0" applyAlignment="1" applyBorder="1" applyFont="1">
      <alignment horizontal="center" readingOrder="0" vertical="bottom"/>
    </xf>
    <xf borderId="23" fillId="2" fontId="6" numFmtId="10" xfId="0" applyAlignment="1" applyBorder="1" applyFont="1" applyNumberFormat="1">
      <alignment horizontal="center" readingOrder="0" vertical="bottom"/>
    </xf>
    <xf borderId="23" fillId="2" fontId="6" numFmtId="0" xfId="0" applyAlignment="1" applyBorder="1" applyFont="1">
      <alignment horizontal="center" readingOrder="0" vertical="bottom"/>
    </xf>
    <xf borderId="23" fillId="2" fontId="6" numFmtId="10" xfId="0" applyAlignment="1" applyBorder="1" applyFont="1" applyNumberFormat="1">
      <alignment horizontal="center"/>
    </xf>
    <xf borderId="23" fillId="2" fontId="16" numFmtId="10" xfId="0" applyAlignment="1" applyBorder="1" applyFont="1" applyNumberFormat="1">
      <alignment horizontal="center" readingOrder="0"/>
    </xf>
    <xf borderId="23" fillId="2" fontId="6" numFmtId="164" xfId="0" applyAlignment="1" applyBorder="1" applyFont="1" applyNumberFormat="1">
      <alignment horizontal="center" readingOrder="0"/>
    </xf>
    <xf borderId="22" fillId="2" fontId="16" numFmtId="164" xfId="0" applyAlignment="1" applyBorder="1" applyFont="1" applyNumberFormat="1">
      <alignment horizontal="center" readingOrder="0"/>
    </xf>
    <xf borderId="1" fillId="0" fontId="19" numFmtId="10" xfId="0" applyAlignment="1" applyBorder="1" applyFont="1" applyNumberFormat="1">
      <alignment horizontal="center" readingOrder="0"/>
    </xf>
    <xf borderId="29" fillId="0" fontId="9" numFmtId="164" xfId="0" applyAlignment="1" applyBorder="1" applyFont="1" applyNumberFormat="1">
      <alignment horizontal="center" readingOrder="0" vertical="bottom"/>
    </xf>
    <xf borderId="19" fillId="0" fontId="8" numFmtId="10" xfId="0" applyAlignment="1" applyBorder="1" applyFont="1" applyNumberFormat="1">
      <alignment horizontal="center" readingOrder="0" vertical="bottom"/>
    </xf>
    <xf borderId="19" fillId="0" fontId="9" numFmtId="0" xfId="0" applyAlignment="1" applyBorder="1" applyFont="1">
      <alignment horizontal="center" readingOrder="0"/>
    </xf>
    <xf borderId="4" fillId="0" fontId="6" numFmtId="0" xfId="0" applyAlignment="1" applyBorder="1" applyFont="1">
      <alignment horizontal="center" readingOrder="0" vertical="bottom"/>
    </xf>
    <xf borderId="19" fillId="0" fontId="6" numFmtId="3" xfId="0" applyAlignment="1" applyBorder="1" applyFont="1" applyNumberFormat="1">
      <alignment horizontal="center" readingOrder="0"/>
    </xf>
    <xf borderId="23" fillId="0" fontId="8" numFmtId="0" xfId="0" applyAlignment="1" applyBorder="1" applyFont="1">
      <alignment horizontal="center" vertical="bottom"/>
    </xf>
    <xf borderId="31" fillId="0" fontId="9" numFmtId="164" xfId="0" applyAlignment="1" applyBorder="1" applyFont="1" applyNumberFormat="1">
      <alignment horizontal="center" readingOrder="0" vertical="bottom"/>
    </xf>
    <xf borderId="29" fillId="0" fontId="15" numFmtId="10" xfId="0" applyBorder="1" applyFont="1" applyNumberFormat="1"/>
    <xf borderId="39" fillId="0" fontId="9" numFmtId="10" xfId="0" applyAlignment="1" applyBorder="1" applyFont="1" applyNumberFormat="1">
      <alignment horizontal="center" readingOrder="0" vertical="bottom"/>
    </xf>
    <xf borderId="22" fillId="0" fontId="6" numFmtId="164" xfId="0" applyAlignment="1" applyBorder="1" applyFont="1" applyNumberFormat="1">
      <alignment horizontal="center" readingOrder="0"/>
    </xf>
    <xf borderId="40" fillId="0" fontId="9" numFmtId="10" xfId="0" applyAlignment="1" applyBorder="1" applyFont="1" applyNumberFormat="1">
      <alignment horizontal="center" readingOrder="0" vertical="bottom"/>
    </xf>
    <xf borderId="23" fillId="0" fontId="9" numFmtId="10" xfId="0" applyAlignment="1" applyBorder="1" applyFont="1" applyNumberFormat="1">
      <alignment horizontal="center" readingOrder="0" vertical="bottom"/>
    </xf>
    <xf borderId="23" fillId="0" fontId="9" numFmtId="10" xfId="0" applyAlignment="1" applyBorder="1" applyFont="1" applyNumberFormat="1">
      <alignment horizontal="center" readingOrder="0"/>
    </xf>
    <xf borderId="41" fillId="0" fontId="9" numFmtId="10" xfId="0" applyAlignment="1" applyBorder="1" applyFont="1" applyNumberFormat="1">
      <alignment horizontal="center" readingOrder="0" vertical="bottom"/>
    </xf>
    <xf borderId="23" fillId="0" fontId="9" numFmtId="164" xfId="0" applyAlignment="1" applyBorder="1" applyFont="1" applyNumberFormat="1">
      <alignment horizontal="center" readingOrder="0" vertical="bottom"/>
    </xf>
    <xf borderId="22" fillId="0" fontId="9" numFmtId="10" xfId="0" applyAlignment="1" applyBorder="1" applyFont="1" applyNumberFormat="1">
      <alignment horizontal="center" readingOrder="0" vertical="bottom"/>
    </xf>
    <xf borderId="23" fillId="0" fontId="8" numFmtId="10" xfId="0" applyAlignment="1" applyBorder="1" applyFont="1" applyNumberFormat="1">
      <alignment horizontal="center" readingOrder="0" vertical="bottom"/>
    </xf>
    <xf borderId="34" fillId="0" fontId="15" numFmtId="10" xfId="0" applyBorder="1" applyFont="1" applyNumberFormat="1"/>
    <xf borderId="22" fillId="0" fontId="15" numFmtId="10" xfId="0" applyBorder="1" applyFont="1" applyNumberFormat="1"/>
    <xf borderId="23" fillId="0" fontId="9" numFmtId="0" xfId="0" applyAlignment="1" applyBorder="1" applyFont="1">
      <alignment horizontal="center" readingOrder="0"/>
    </xf>
    <xf borderId="0" fillId="0" fontId="15" numFmtId="165" xfId="0" applyFont="1" applyNumberFormat="1"/>
    <xf borderId="2" fillId="17" fontId="21" numFmtId="0" xfId="0" applyAlignment="1" applyBorder="1" applyFill="1" applyFont="1">
      <alignment horizontal="center" readingOrder="0" shrinkToFit="0" vertical="bottom" wrapText="0"/>
    </xf>
    <xf borderId="2" fillId="18" fontId="21" numFmtId="0" xfId="0" applyAlignment="1" applyBorder="1" applyFill="1" applyFont="1">
      <alignment horizontal="center" readingOrder="0" vertical="bottom"/>
    </xf>
    <xf borderId="1" fillId="17" fontId="21" numFmtId="0" xfId="0" applyAlignment="1" applyBorder="1" applyFont="1">
      <alignment horizontal="center" readingOrder="0" shrinkToFit="0" wrapText="0"/>
    </xf>
    <xf borderId="1" fillId="17" fontId="27" numFmtId="0" xfId="0" applyAlignment="1" applyBorder="1" applyFont="1">
      <alignment horizontal="center" readingOrder="0"/>
    </xf>
    <xf borderId="1" fillId="18" fontId="27" numFmtId="0" xfId="0" applyAlignment="1" applyBorder="1" applyFont="1">
      <alignment horizontal="center" readingOrder="0"/>
    </xf>
    <xf borderId="1" fillId="19" fontId="21" numFmtId="0" xfId="0" applyAlignment="1" applyBorder="1" applyFill="1" applyFont="1">
      <alignment horizontal="center" readingOrder="0" shrinkToFit="0" vertical="bottom" wrapText="0"/>
    </xf>
    <xf borderId="1" fillId="19" fontId="27" numFmtId="0" xfId="0" applyAlignment="1" applyBorder="1" applyFont="1">
      <alignment readingOrder="0" shrinkToFit="0" wrapText="0"/>
    </xf>
    <xf borderId="1" fillId="19" fontId="27" numFmtId="9" xfId="0" applyAlignment="1" applyBorder="1" applyFont="1" applyNumberFormat="1">
      <alignment horizontal="center" readingOrder="0" shrinkToFit="0" wrapText="0"/>
    </xf>
    <xf borderId="1" fillId="19" fontId="27" numFmtId="0" xfId="0" applyAlignment="1" applyBorder="1" applyFont="1">
      <alignment shrinkToFit="0" wrapText="0"/>
    </xf>
    <xf borderId="1" fillId="19" fontId="27" numFmtId="0" xfId="0" applyAlignment="1" applyBorder="1" applyFont="1">
      <alignment horizontal="center"/>
    </xf>
    <xf borderId="1" fillId="19" fontId="27" numFmtId="0" xfId="0" applyBorder="1" applyFont="1"/>
    <xf borderId="1" fillId="19" fontId="28" numFmtId="0" xfId="0" applyAlignment="1" applyBorder="1" applyFont="1">
      <alignment horizontal="center"/>
    </xf>
    <xf borderId="1" fillId="0" fontId="27" numFmtId="0" xfId="0" applyAlignment="1" applyBorder="1" applyFont="1">
      <alignment horizontal="center" readingOrder="0"/>
    </xf>
    <xf borderId="1" fillId="0" fontId="27" numFmtId="9" xfId="0" applyAlignment="1" applyBorder="1" applyFont="1" applyNumberFormat="1">
      <alignment horizontal="center" readingOrder="0"/>
    </xf>
    <xf borderId="35" fillId="0" fontId="27" numFmtId="0" xfId="0" applyAlignment="1" applyBorder="1" applyFont="1">
      <alignment readingOrder="0"/>
    </xf>
    <xf borderId="1" fillId="0" fontId="28" numFmtId="0" xfId="0" applyAlignment="1" applyBorder="1" applyFont="1">
      <alignment horizontal="center" readingOrder="0"/>
    </xf>
    <xf borderId="19" fillId="10" fontId="21" numFmtId="0" xfId="0" applyAlignment="1" applyBorder="1" applyFont="1">
      <alignment horizontal="center" readingOrder="0"/>
    </xf>
    <xf borderId="1" fillId="19" fontId="28" numFmtId="9" xfId="0" applyAlignment="1" applyBorder="1" applyFont="1" applyNumberFormat="1">
      <alignment horizontal="center" readingOrder="0"/>
    </xf>
    <xf borderId="1" fillId="0" fontId="28" numFmtId="0" xfId="0" applyAlignment="1" applyBorder="1" applyFont="1">
      <alignment horizontal="left" readingOrder="0"/>
    </xf>
    <xf quotePrefix="1" borderId="1" fillId="0" fontId="28" numFmtId="0" xfId="0" applyAlignment="1" applyBorder="1" applyFont="1">
      <alignment readingOrder="0"/>
    </xf>
    <xf borderId="5" fillId="0" fontId="27" numFmtId="0" xfId="0" applyAlignment="1" applyBorder="1" applyFont="1">
      <alignment horizontal="center" readingOrder="0"/>
    </xf>
    <xf borderId="5" fillId="0" fontId="27" numFmtId="9" xfId="0" applyAlignment="1" applyBorder="1" applyFont="1" applyNumberFormat="1">
      <alignment horizontal="center" readingOrder="0"/>
    </xf>
    <xf borderId="4" fillId="0" fontId="21" numFmtId="0" xfId="0" applyAlignment="1" applyBorder="1" applyFont="1">
      <alignment readingOrder="0"/>
    </xf>
    <xf borderId="1" fillId="0" fontId="28" numFmtId="0" xfId="0" applyAlignment="1" applyBorder="1" applyFont="1">
      <alignment horizontal="center"/>
    </xf>
    <xf borderId="1" fillId="0" fontId="28" numFmtId="0" xfId="0" applyAlignment="1" applyBorder="1" applyFont="1">
      <alignment horizontal="left"/>
    </xf>
    <xf borderId="1" fillId="0" fontId="28" numFmtId="0" xfId="0" applyBorder="1" applyFont="1"/>
    <xf borderId="35" fillId="0" fontId="23" numFmtId="0" xfId="0" applyAlignment="1" applyBorder="1" applyFont="1">
      <alignment readingOrder="0"/>
    </xf>
    <xf borderId="1" fillId="0" fontId="28" numFmtId="9" xfId="0" applyAlignment="1" applyBorder="1" applyFont="1" applyNumberFormat="1">
      <alignment horizontal="center" readingOrder="0"/>
    </xf>
    <xf borderId="1" fillId="0" fontId="28" numFmtId="0" xfId="0" applyAlignment="1" applyBorder="1" applyFont="1">
      <alignment readingOrder="0"/>
    </xf>
    <xf borderId="1" fillId="0" fontId="14" numFmtId="0" xfId="0" applyAlignment="1" applyBorder="1" applyFont="1">
      <alignment shrinkToFit="0" vertical="bottom" wrapText="0"/>
    </xf>
    <xf borderId="0" fillId="0" fontId="21" numFmtId="0" xfId="0" applyAlignment="1" applyFont="1">
      <alignment readingOrder="0"/>
    </xf>
    <xf borderId="1" fillId="0" fontId="29" numFmtId="0" xfId="0" applyAlignment="1" applyBorder="1" applyFont="1">
      <alignment horizontal="center" shrinkToFit="0" vertical="bottom" wrapText="0"/>
    </xf>
    <xf borderId="1" fillId="19" fontId="27" numFmtId="0" xfId="0" applyAlignment="1" applyBorder="1" applyFont="1">
      <alignment horizontal="left"/>
    </xf>
    <xf borderId="1" fillId="0" fontId="25" numFmtId="0" xfId="0" applyAlignment="1" applyBorder="1" applyFont="1">
      <alignment horizontal="left" readingOrder="0" vertical="bottom"/>
    </xf>
    <xf borderId="1" fillId="0" fontId="29" numFmtId="170" xfId="0" applyAlignment="1" applyBorder="1" applyFont="1" applyNumberFormat="1">
      <alignment horizontal="center" readingOrder="0" shrinkToFit="0" vertical="bottom" wrapText="0"/>
    </xf>
    <xf borderId="1" fillId="0" fontId="27" numFmtId="0" xfId="0" applyAlignment="1" applyBorder="1" applyFont="1">
      <alignment readingOrder="0"/>
    </xf>
    <xf borderId="1" fillId="3" fontId="28" numFmtId="0" xfId="0" applyAlignment="1" applyBorder="1" applyFont="1">
      <alignment readingOrder="0"/>
    </xf>
    <xf quotePrefix="1" borderId="1" fillId="0" fontId="28" numFmtId="0" xfId="0" applyAlignment="1" applyBorder="1" applyFont="1">
      <alignment horizontal="left" readingOrder="0"/>
    </xf>
    <xf borderId="1" fillId="0" fontId="29" numFmtId="0" xfId="0" applyAlignment="1" applyBorder="1" applyFont="1">
      <alignment horizontal="center" readingOrder="0" shrinkToFit="0" vertical="bottom" wrapText="0"/>
    </xf>
    <xf borderId="1" fillId="3" fontId="28" numFmtId="9" xfId="0" applyAlignment="1" applyBorder="1" applyFont="1" applyNumberFormat="1">
      <alignment horizontal="center" readingOrder="0"/>
    </xf>
    <xf borderId="19" fillId="0" fontId="27" numFmtId="0" xfId="0" applyAlignment="1" applyBorder="1" applyFont="1">
      <alignment horizontal="center" readingOrder="0"/>
    </xf>
    <xf borderId="19" fillId="0" fontId="27" numFmtId="9" xfId="0" applyAlignment="1" applyBorder="1" applyFont="1" applyNumberFormat="1">
      <alignment horizontal="center" readingOrder="0"/>
    </xf>
    <xf borderId="1" fillId="19" fontId="27" numFmtId="0" xfId="0" applyAlignment="1" applyBorder="1" applyFont="1">
      <alignment readingOrder="0"/>
    </xf>
    <xf borderId="1" fillId="19" fontId="27" numFmtId="9" xfId="0" applyAlignment="1" applyBorder="1" applyFont="1" applyNumberFormat="1">
      <alignment horizontal="center" readingOrder="0"/>
    </xf>
    <xf borderId="1" fillId="3" fontId="28" numFmtId="0" xfId="0" applyAlignment="1" applyBorder="1" applyFont="1">
      <alignment horizontal="left" readingOrder="0"/>
    </xf>
    <xf borderId="1" fillId="0" fontId="23" numFmtId="0" xfId="0" applyAlignment="1" applyBorder="1" applyFont="1">
      <alignment readingOrder="0"/>
    </xf>
    <xf borderId="1" fillId="19" fontId="23" numFmtId="9" xfId="0" applyAlignment="1" applyBorder="1" applyFont="1" applyNumberFormat="1">
      <alignment horizontal="center" readingOrder="0"/>
    </xf>
    <xf borderId="1" fillId="3" fontId="23" numFmtId="9" xfId="0" applyAlignment="1" applyBorder="1" applyFont="1" applyNumberFormat="1">
      <alignment horizontal="center" readingOrder="0"/>
    </xf>
    <xf borderId="1" fillId="0" fontId="27" numFmtId="0" xfId="0" applyBorder="1" applyFont="1"/>
    <xf borderId="1" fillId="3" fontId="6" numFmtId="10" xfId="0" applyAlignment="1" applyBorder="1" applyFont="1" applyNumberFormat="1">
      <alignment horizontal="center" vertical="bottom"/>
    </xf>
    <xf borderId="1" fillId="0" fontId="27" numFmtId="0" xfId="0" applyAlignment="1" applyBorder="1" applyFont="1">
      <alignment horizontal="left"/>
    </xf>
    <xf borderId="1" fillId="0" fontId="27" numFmtId="0" xfId="0" applyAlignment="1" applyBorder="1" applyFont="1">
      <alignment horizontal="center"/>
    </xf>
    <xf borderId="1" fillId="19" fontId="27" numFmtId="0" xfId="0" applyAlignment="1" applyBorder="1" applyFont="1">
      <alignment horizontal="center" readingOrder="0"/>
    </xf>
    <xf borderId="5" fillId="0" fontId="6" numFmtId="0" xfId="0" applyAlignment="1" applyBorder="1" applyFont="1">
      <alignment horizontal="center" readingOrder="0" shrinkToFit="0" vertical="center" wrapText="1"/>
    </xf>
    <xf borderId="5" fillId="0" fontId="9" numFmtId="0" xfId="0" applyAlignment="1" applyBorder="1" applyFont="1">
      <alignment readingOrder="0" vertical="bottom"/>
    </xf>
    <xf borderId="15" fillId="0" fontId="8" numFmtId="3" xfId="0" applyAlignment="1" applyBorder="1" applyFont="1" applyNumberFormat="1">
      <alignment horizontal="center" vertical="bottom"/>
    </xf>
    <xf borderId="1" fillId="2" fontId="12" numFmtId="3" xfId="0" applyAlignment="1" applyBorder="1" applyFont="1" applyNumberFormat="1">
      <alignment horizontal="center" readingOrder="0"/>
    </xf>
    <xf borderId="1" fillId="2" fontId="12" numFmtId="164" xfId="0" applyAlignment="1" applyBorder="1" applyFont="1" applyNumberFormat="1">
      <alignment horizontal="center" readingOrder="0"/>
    </xf>
    <xf borderId="0" fillId="2" fontId="30" numFmtId="0" xfId="0" applyAlignment="1" applyFont="1">
      <alignment horizontal="center"/>
    </xf>
    <xf borderId="19" fillId="0" fontId="31" numFmtId="0" xfId="0" applyAlignment="1" applyBorder="1" applyFont="1">
      <alignment horizontal="center" readingOrder="0"/>
    </xf>
    <xf borderId="19" fillId="3" fontId="31" numFmtId="0" xfId="0" applyAlignment="1" applyBorder="1" applyFont="1">
      <alignment horizontal="center" readingOrder="0"/>
    </xf>
    <xf borderId="19" fillId="10" fontId="31" numFmtId="0" xfId="0" applyAlignment="1" applyBorder="1" applyFont="1">
      <alignment horizontal="center" readingOrder="0"/>
    </xf>
    <xf borderId="2" fillId="0" fontId="31" numFmtId="0" xfId="0" applyAlignment="1" applyBorder="1" applyFont="1">
      <alignment horizontal="center" readingOrder="0" vertical="bottom"/>
    </xf>
    <xf borderId="1" fillId="3" fontId="32" numFmtId="0" xfId="0" applyAlignment="1" applyBorder="1" applyFont="1">
      <alignment horizontal="center" readingOrder="0"/>
    </xf>
    <xf borderId="5" fillId="0" fontId="8" numFmtId="9" xfId="0" applyAlignment="1" applyBorder="1" applyFont="1" applyNumberFormat="1">
      <alignment horizontal="center" readingOrder="0" vertical="bottom"/>
    </xf>
    <xf borderId="1" fillId="0" fontId="31" numFmtId="0" xfId="0" applyAlignment="1" applyBorder="1" applyFont="1">
      <alignment horizontal="center" readingOrder="0"/>
    </xf>
    <xf borderId="2" fillId="3" fontId="31" numFmtId="0" xfId="0" applyAlignment="1" applyBorder="1" applyFont="1">
      <alignment horizontal="left" readingOrder="0"/>
    </xf>
    <xf borderId="1" fillId="3" fontId="31" numFmtId="0" xfId="0" applyAlignment="1" applyBorder="1" applyFont="1">
      <alignment horizontal="center"/>
    </xf>
    <xf borderId="1" fillId="3" fontId="31" numFmtId="9" xfId="0" applyAlignment="1" applyBorder="1" applyFont="1" applyNumberFormat="1">
      <alignment horizontal="center" readingOrder="0"/>
    </xf>
    <xf borderId="1" fillId="3" fontId="31" numFmtId="9" xfId="0" applyAlignment="1" applyBorder="1" applyFont="1" applyNumberFormat="1">
      <alignment horizontal="center" readingOrder="0" vertical="bottom"/>
    </xf>
    <xf borderId="1" fillId="3" fontId="31" numFmtId="0" xfId="0" applyAlignment="1" applyBorder="1" applyFont="1">
      <alignment horizontal="center" vertical="bottom"/>
    </xf>
    <xf borderId="1" fillId="0" fontId="33" numFmtId="0" xfId="0" applyAlignment="1" applyBorder="1" applyFont="1">
      <alignment vertical="bottom"/>
    </xf>
    <xf borderId="19" fillId="0" fontId="34" numFmtId="0" xfId="0" applyAlignment="1" applyBorder="1" applyFont="1">
      <alignment horizontal="center" readingOrder="0"/>
    </xf>
    <xf borderId="19" fillId="3" fontId="34" numFmtId="0" xfId="0" applyAlignment="1" applyBorder="1" applyFont="1">
      <alignment horizontal="center" readingOrder="0"/>
    </xf>
    <xf borderId="1" fillId="17" fontId="34" numFmtId="0" xfId="0" applyAlignment="1" applyBorder="1" applyFont="1">
      <alignment horizontal="left" readingOrder="0"/>
    </xf>
    <xf borderId="1" fillId="17" fontId="32" numFmtId="0" xfId="0" applyAlignment="1" applyBorder="1" applyFont="1">
      <alignment horizontal="left" readingOrder="0"/>
    </xf>
    <xf borderId="1" fillId="17" fontId="34" numFmtId="0" xfId="0" applyAlignment="1" applyBorder="1" applyFont="1">
      <alignment horizontal="center" readingOrder="0"/>
    </xf>
    <xf borderId="1" fillId="17" fontId="34" numFmtId="9" xfId="0" applyAlignment="1" applyBorder="1" applyFont="1" applyNumberFormat="1">
      <alignment horizontal="center" readingOrder="0"/>
    </xf>
    <xf borderId="1" fillId="17" fontId="34" numFmtId="3" xfId="0" applyAlignment="1" applyBorder="1" applyFont="1" applyNumberFormat="1">
      <alignment horizontal="center" readingOrder="0"/>
    </xf>
    <xf borderId="1" fillId="20" fontId="34" numFmtId="0" xfId="0" applyAlignment="1" applyBorder="1" applyFill="1" applyFont="1">
      <alignment horizontal="left" readingOrder="0"/>
    </xf>
    <xf borderId="1" fillId="20" fontId="32" numFmtId="0" xfId="0" applyAlignment="1" applyBorder="1" applyFont="1">
      <alignment horizontal="left"/>
    </xf>
    <xf borderId="1" fillId="20" fontId="34" numFmtId="0" xfId="0" applyAlignment="1" applyBorder="1" applyFont="1">
      <alignment horizontal="left"/>
    </xf>
    <xf borderId="1" fillId="20" fontId="34" numFmtId="0" xfId="0" applyAlignment="1" applyBorder="1" applyFont="1">
      <alignment horizontal="center"/>
    </xf>
    <xf borderId="1" fillId="20" fontId="34" numFmtId="9" xfId="0" applyAlignment="1" applyBorder="1" applyFont="1" applyNumberFormat="1">
      <alignment horizontal="center" readingOrder="0"/>
    </xf>
    <xf borderId="1" fillId="20" fontId="34" numFmtId="0" xfId="0" applyAlignment="1" applyBorder="1" applyFont="1">
      <alignment horizontal="center" vertical="bottom"/>
    </xf>
    <xf borderId="1" fillId="0" fontId="8" numFmtId="9" xfId="0" applyAlignment="1" applyBorder="1" applyFont="1" applyNumberFormat="1">
      <alignment horizontal="center" readingOrder="0" vertical="bottom"/>
    </xf>
    <xf borderId="1" fillId="0" fontId="9" numFmtId="0" xfId="0" applyAlignment="1" applyBorder="1" applyFont="1">
      <alignment horizontal="center" readingOrder="0" vertical="bottom"/>
    </xf>
    <xf borderId="1" fillId="2" fontId="35" numFmtId="0" xfId="0" applyBorder="1" applyFont="1"/>
    <xf borderId="0" fillId="0" fontId="36" numFmtId="0" xfId="0" applyFont="1"/>
    <xf borderId="0" fillId="0" fontId="37" numFmtId="0" xfId="0" applyAlignment="1" applyFont="1">
      <alignment readingOrder="0"/>
    </xf>
    <xf borderId="1" fillId="20" fontId="32" numFmtId="0" xfId="0" applyBorder="1" applyFont="1"/>
    <xf borderId="1" fillId="20" fontId="34" numFmtId="0" xfId="0" applyAlignment="1" applyBorder="1" applyFont="1">
      <alignment horizontal="center" readingOrder="0"/>
    </xf>
    <xf borderId="0" fillId="0" fontId="38" numFmtId="0" xfId="0" applyAlignment="1" applyFont="1">
      <alignment readingOrder="0"/>
    </xf>
    <xf borderId="1" fillId="0" fontId="34" numFmtId="0" xfId="0" applyAlignment="1" applyBorder="1" applyFont="1">
      <alignment horizontal="center" readingOrder="0"/>
    </xf>
    <xf borderId="1" fillId="3" fontId="34" numFmtId="0" xfId="0" applyAlignment="1" applyBorder="1" applyFont="1">
      <alignment horizontal="center" readingOrder="0"/>
    </xf>
    <xf borderId="1" fillId="17" fontId="34" numFmtId="0" xfId="0" applyAlignment="1" applyBorder="1" applyFont="1">
      <alignment horizontal="center"/>
    </xf>
    <xf borderId="1" fillId="17" fontId="34" numFmtId="0" xfId="0" applyAlignment="1" applyBorder="1" applyFont="1">
      <alignment horizontal="center" vertical="bottom"/>
    </xf>
    <xf borderId="0" fillId="0" fontId="39" numFmtId="0" xfId="0" applyAlignment="1" applyFont="1">
      <alignment horizontal="center" shrinkToFit="0" vertical="bottom" wrapText="0"/>
    </xf>
    <xf borderId="2" fillId="5" fontId="39" numFmtId="0" xfId="0" applyAlignment="1" applyBorder="1" applyFont="1">
      <alignment horizontal="center" readingOrder="0" shrinkToFit="0" vertical="bottom" wrapText="0"/>
    </xf>
    <xf borderId="42" fillId="5" fontId="39" numFmtId="0" xfId="0" applyAlignment="1" applyBorder="1" applyFont="1">
      <alignment horizontal="center" readingOrder="0" shrinkToFit="0" vertical="bottom" wrapText="0"/>
    </xf>
    <xf borderId="34" fillId="0" fontId="4" numFmtId="0" xfId="0" applyBorder="1" applyFont="1"/>
    <xf borderId="43" fillId="0" fontId="4" numFmtId="0" xfId="0" applyBorder="1" applyFont="1"/>
    <xf borderId="1" fillId="3" fontId="31" numFmtId="0" xfId="0" applyAlignment="1" applyBorder="1" applyFont="1">
      <alignment horizontal="left" readingOrder="0"/>
    </xf>
    <xf borderId="1" fillId="3" fontId="40" numFmtId="0" xfId="0" applyAlignment="1" applyBorder="1" applyFont="1">
      <alignment horizontal="left"/>
    </xf>
    <xf borderId="1" fillId="3" fontId="31" numFmtId="0" xfId="0" applyAlignment="1" applyBorder="1" applyFont="1">
      <alignment horizontal="left"/>
    </xf>
    <xf borderId="1" fillId="17" fontId="32" numFmtId="0" xfId="0" applyAlignment="1" applyBorder="1" applyFont="1">
      <alignment horizontal="left"/>
    </xf>
    <xf borderId="0" fillId="0" fontId="29" numFmtId="0" xfId="0" applyAlignment="1" applyFont="1">
      <alignment shrinkToFit="0" vertical="bottom" wrapText="0"/>
    </xf>
    <xf borderId="1" fillId="17" fontId="34" numFmtId="10" xfId="0" applyAlignment="1" applyBorder="1" applyFont="1" applyNumberFormat="1">
      <alignment horizontal="center" readingOrder="0"/>
    </xf>
    <xf borderId="1" fillId="0" fontId="31" numFmtId="0" xfId="0" applyAlignment="1" applyBorder="1" applyFont="1">
      <alignment horizontal="left" readingOrder="0"/>
    </xf>
    <xf quotePrefix="1" borderId="1" fillId="0" fontId="31" numFmtId="0" xfId="0" applyAlignment="1" applyBorder="1" applyFont="1">
      <alignment horizontal="left" readingOrder="0"/>
    </xf>
    <xf quotePrefix="1" borderId="1" fillId="17" fontId="34" numFmtId="0" xfId="0" applyAlignment="1" applyBorder="1" applyFont="1">
      <alignment horizontal="left" readingOrder="0"/>
    </xf>
    <xf borderId="1" fillId="17" fontId="34" numFmtId="164" xfId="0" applyAlignment="1" applyBorder="1" applyFont="1" applyNumberFormat="1">
      <alignment horizontal="center" readingOrder="0"/>
    </xf>
    <xf quotePrefix="1" borderId="1" fillId="17" fontId="32" numFmtId="0" xfId="0" applyAlignment="1" applyBorder="1" applyFont="1">
      <alignment horizontal="left" readingOrder="0"/>
    </xf>
    <xf borderId="1" fillId="0" fontId="6" numFmtId="0" xfId="0" applyAlignment="1" applyBorder="1" applyFont="1">
      <alignment horizontal="center" readingOrder="0"/>
    </xf>
    <xf borderId="2" fillId="0" fontId="6" numFmtId="0" xfId="0" applyAlignment="1" applyBorder="1" applyFont="1">
      <alignment horizontal="center" readingOrder="0"/>
    </xf>
    <xf borderId="24" fillId="8" fontId="6" numFmtId="0" xfId="0" applyAlignment="1" applyBorder="1" applyFont="1">
      <alignment horizontal="center" readingOrder="0"/>
    </xf>
    <xf borderId="1" fillId="8" fontId="6" numFmtId="0" xfId="0" applyAlignment="1" applyBorder="1" applyFont="1">
      <alignment horizontal="center" readingOrder="0"/>
    </xf>
    <xf borderId="30" fillId="8" fontId="6" numFmtId="0" xfId="0" applyAlignment="1" applyBorder="1" applyFont="1">
      <alignment horizontal="center" readingOrder="0" shrinkToFit="0" wrapText="1"/>
    </xf>
    <xf borderId="0" fillId="0" fontId="41" numFmtId="0" xfId="0" applyAlignment="1" applyFont="1">
      <alignment horizontal="center" readingOrder="0" shrinkToFit="0" vertical="bottom" wrapText="0"/>
    </xf>
    <xf borderId="0" fillId="0" fontId="14" numFmtId="0" xfId="0" applyAlignment="1" applyFont="1">
      <alignment shrinkToFit="0" wrapText="0"/>
    </xf>
    <xf borderId="0" fillId="0" fontId="14" numFmtId="0" xfId="0" applyAlignment="1" applyFont="1">
      <alignment shrinkToFit="0" vertical="bottom" wrapText="0"/>
    </xf>
    <xf borderId="0" fillId="0" fontId="42" numFmtId="0" xfId="0" applyAlignment="1" applyFont="1">
      <alignment horizontal="center" readingOrder="0" shrinkToFit="0" vertical="bottom" wrapText="0"/>
    </xf>
    <xf borderId="0" fillId="0" fontId="41" numFmtId="0" xfId="0" applyAlignment="1" applyFont="1">
      <alignment shrinkToFit="0" wrapText="0"/>
    </xf>
    <xf borderId="0" fillId="0" fontId="41" numFmtId="0" xfId="0" applyAlignment="1" applyFont="1">
      <alignment shrinkToFit="0" vertical="bottom" wrapText="0"/>
    </xf>
    <xf borderId="0" fillId="0" fontId="23" numFmtId="0" xfId="0" applyAlignment="1" applyFont="1">
      <alignment horizontal="center" shrinkToFit="0" vertical="bottom" wrapText="0"/>
    </xf>
    <xf borderId="0" fillId="0" fontId="14" numFmtId="0" xfId="0" applyAlignment="1" applyFont="1">
      <alignment vertical="bottom"/>
    </xf>
    <xf borderId="0" fillId="0" fontId="14" numFmtId="0" xfId="0" applyAlignment="1" applyFont="1">
      <alignment horizontal="center" vertical="bottom"/>
    </xf>
    <xf borderId="0" fillId="0" fontId="29" numFmtId="0" xfId="0" applyAlignment="1" applyFont="1">
      <alignment horizontal="center" vertical="bottom"/>
    </xf>
    <xf borderId="0" fillId="0" fontId="14" numFmtId="0" xfId="0" applyAlignment="1" applyFont="1">
      <alignment vertical="bottom"/>
    </xf>
    <xf borderId="2" fillId="15" fontId="21" numFmtId="0" xfId="0" applyAlignment="1" applyBorder="1" applyFont="1">
      <alignment horizontal="center" readingOrder="0" vertical="bottom"/>
    </xf>
    <xf borderId="1" fillId="0" fontId="14" numFmtId="0" xfId="0" applyAlignment="1" applyBorder="1" applyFont="1">
      <alignment vertical="bottom"/>
    </xf>
    <xf borderId="1" fillId="16" fontId="21" numFmtId="0" xfId="0" applyAlignment="1" applyBorder="1" applyFont="1">
      <alignment horizontal="center" readingOrder="0" vertical="bottom"/>
    </xf>
    <xf borderId="1" fillId="16" fontId="14" numFmtId="0" xfId="0" applyBorder="1" applyFont="1"/>
    <xf borderId="6" fillId="16" fontId="29" numFmtId="0" xfId="0" applyAlignment="1" applyBorder="1" applyFont="1">
      <alignment horizontal="center"/>
    </xf>
    <xf borderId="1" fillId="0" fontId="14" numFmtId="0" xfId="0" applyBorder="1" applyFont="1"/>
    <xf borderId="44" fillId="16" fontId="23" numFmtId="9" xfId="0" applyAlignment="1" applyBorder="1" applyFont="1" applyNumberFormat="1">
      <alignment horizontal="center" readingOrder="0"/>
    </xf>
    <xf borderId="1" fillId="0" fontId="29" numFmtId="0" xfId="0" applyAlignment="1" applyBorder="1" applyFont="1">
      <alignment horizontal="center" readingOrder="0"/>
    </xf>
    <xf borderId="35" fillId="0" fontId="24" numFmtId="0" xfId="0" applyAlignment="1" applyBorder="1" applyFont="1">
      <alignment horizontal="left" readingOrder="0"/>
    </xf>
    <xf borderId="1" fillId="3" fontId="21" numFmtId="0" xfId="0" applyAlignment="1" applyBorder="1" applyFont="1">
      <alignment horizontal="left" readingOrder="0"/>
    </xf>
    <xf borderId="44" fillId="3" fontId="23" numFmtId="9" xfId="0" applyAlignment="1" applyBorder="1" applyFont="1" applyNumberFormat="1">
      <alignment horizontal="center" readingOrder="0"/>
    </xf>
    <xf borderId="1" fillId="3" fontId="29" numFmtId="0" xfId="0" applyAlignment="1" applyBorder="1" applyFont="1">
      <alignment horizontal="center" readingOrder="0"/>
    </xf>
    <xf borderId="35" fillId="3" fontId="24" numFmtId="0" xfId="0" applyAlignment="1" applyBorder="1" applyFont="1">
      <alignment horizontal="left" readingOrder="0"/>
    </xf>
    <xf borderId="1" fillId="3" fontId="14" numFmtId="0" xfId="0" applyAlignment="1" applyBorder="1" applyFont="1">
      <alignment vertical="bottom"/>
    </xf>
    <xf borderId="44" fillId="16" fontId="14" numFmtId="0" xfId="0" applyBorder="1" applyFont="1"/>
    <xf borderId="1" fillId="0" fontId="29" numFmtId="0" xfId="0" applyAlignment="1" applyBorder="1" applyFont="1">
      <alignment horizontal="center"/>
    </xf>
    <xf borderId="35" fillId="0" fontId="14" numFmtId="0" xfId="0" applyBorder="1" applyFont="1"/>
    <xf borderId="1" fillId="7" fontId="34" numFmtId="0" xfId="0" applyAlignment="1" applyBorder="1" applyFont="1">
      <alignment horizontal="left" readingOrder="0"/>
    </xf>
    <xf borderId="1" fillId="7" fontId="32" numFmtId="0" xfId="0" applyAlignment="1" applyBorder="1" applyFont="1">
      <alignment horizontal="left"/>
    </xf>
    <xf borderId="1" fillId="7" fontId="34" numFmtId="0" xfId="0" applyAlignment="1" applyBorder="1" applyFont="1">
      <alignment horizontal="center" readingOrder="0"/>
    </xf>
    <xf borderId="1" fillId="7" fontId="34" numFmtId="9" xfId="0" applyAlignment="1" applyBorder="1" applyFont="1" applyNumberFormat="1">
      <alignment horizontal="center" readingOrder="0"/>
    </xf>
    <xf borderId="1" fillId="7" fontId="34" numFmtId="10" xfId="0" applyAlignment="1" applyBorder="1" applyFont="1" applyNumberFormat="1">
      <alignment horizontal="center" readingOrder="0"/>
    </xf>
    <xf borderId="1" fillId="16" fontId="29" numFmtId="0" xfId="0" applyAlignment="1" applyBorder="1" applyFont="1">
      <alignment horizontal="center"/>
    </xf>
    <xf borderId="35" fillId="16" fontId="14" numFmtId="0" xfId="0" applyBorder="1" applyFont="1"/>
    <xf borderId="1" fillId="12" fontId="23" numFmtId="0" xfId="0" applyAlignment="1" applyBorder="1" applyFont="1">
      <alignment horizontal="left" readingOrder="0"/>
    </xf>
    <xf borderId="35" fillId="3" fontId="23" numFmtId="0" xfId="0" applyAlignment="1" applyBorder="1" applyFont="1">
      <alignment horizontal="left" readingOrder="0"/>
    </xf>
    <xf borderId="1" fillId="3" fontId="21" numFmtId="10" xfId="0" applyAlignment="1" applyBorder="1" applyFont="1" applyNumberFormat="1">
      <alignment horizontal="center" readingOrder="0"/>
    </xf>
    <xf borderId="1" fillId="12" fontId="24" numFmtId="0" xfId="0" applyAlignment="1" applyBorder="1" applyFont="1">
      <alignment horizontal="left" readingOrder="0"/>
    </xf>
    <xf borderId="1" fillId="0" fontId="9" numFmtId="0" xfId="0" applyAlignment="1" applyBorder="1" applyFont="1">
      <alignment horizontal="center" readingOrder="0"/>
    </xf>
    <xf borderId="24" fillId="0" fontId="9" numFmtId="0" xfId="0" applyAlignment="1" applyBorder="1" applyFont="1">
      <alignment horizontal="center"/>
    </xf>
    <xf borderId="1" fillId="0" fontId="9" numFmtId="0" xfId="0" applyAlignment="1" applyBorder="1" applyFont="1">
      <alignment horizontal="center"/>
    </xf>
    <xf borderId="1" fillId="3" fontId="34" numFmtId="0" xfId="0" applyAlignment="1" applyBorder="1" applyFont="1">
      <alignment horizontal="center" vertical="bottom"/>
    </xf>
    <xf borderId="1" fillId="0" fontId="43" numFmtId="0" xfId="0" applyAlignment="1" applyBorder="1" applyFont="1">
      <alignment vertical="bottom"/>
    </xf>
    <xf borderId="1" fillId="20" fontId="32" numFmtId="0" xfId="0" applyAlignment="1" applyBorder="1" applyFont="1">
      <alignment horizontal="left" readingOrder="0"/>
    </xf>
    <xf borderId="30" fillId="0" fontId="9" numFmtId="0" xfId="0" applyAlignment="1" applyBorder="1" applyFont="1">
      <alignment horizontal="center"/>
    </xf>
    <xf borderId="1" fillId="20" fontId="32" numFmtId="9" xfId="0" applyAlignment="1" applyBorder="1" applyFont="1" applyNumberFormat="1">
      <alignment horizontal="center" readingOrder="0"/>
    </xf>
    <xf borderId="1" fillId="0" fontId="21" numFmtId="10" xfId="0" applyAlignment="1" applyBorder="1" applyFont="1" applyNumberFormat="1">
      <alignment horizontal="center" readingOrder="0"/>
    </xf>
    <xf borderId="24" fillId="0" fontId="9" numFmtId="0" xfId="0" applyAlignment="1" applyBorder="1" applyFont="1">
      <alignment horizontal="center" readingOrder="0"/>
    </xf>
    <xf borderId="30" fillId="0" fontId="9" numFmtId="10" xfId="0" applyAlignment="1" applyBorder="1" applyFont="1" applyNumberFormat="1">
      <alignment horizontal="center"/>
    </xf>
    <xf borderId="1" fillId="0" fontId="20" numFmtId="0" xfId="0" applyAlignment="1" applyBorder="1" applyFont="1">
      <alignment horizontal="center" readingOrder="0" vertical="bottom"/>
    </xf>
    <xf borderId="2" fillId="0" fontId="9" numFmtId="10" xfId="0" applyAlignment="1" applyBorder="1" applyFont="1" applyNumberFormat="1">
      <alignment horizontal="center"/>
    </xf>
    <xf borderId="24" fillId="0" fontId="17" numFmtId="0" xfId="0" applyAlignment="1" applyBorder="1" applyFont="1">
      <alignment horizontal="center" readingOrder="0" shrinkToFit="0" vertical="bottom" wrapText="0"/>
    </xf>
    <xf borderId="1" fillId="0" fontId="17" numFmtId="3" xfId="0" applyAlignment="1" applyBorder="1" applyFont="1" applyNumberFormat="1">
      <alignment horizontal="center" readingOrder="0" shrinkToFit="0" vertical="bottom" wrapText="0"/>
    </xf>
    <xf borderId="1" fillId="0" fontId="29" numFmtId="9" xfId="0" applyAlignment="1" applyBorder="1" applyFont="1" applyNumberFormat="1">
      <alignment horizontal="center" readingOrder="0"/>
    </xf>
    <xf borderId="1" fillId="17" fontId="34" numFmtId="0" xfId="0" applyAlignment="1" applyBorder="1" applyFont="1">
      <alignment horizontal="left"/>
    </xf>
    <xf borderId="1" fillId="17" fontId="32" numFmtId="0" xfId="0" applyAlignment="1" applyBorder="1" applyFont="1">
      <alignment horizontal="center" readingOrder="0"/>
    </xf>
    <xf borderId="1" fillId="0" fontId="44" numFmtId="0" xfId="0" applyAlignment="1" applyBorder="1" applyFont="1">
      <alignment horizontal="center" readingOrder="0"/>
    </xf>
    <xf borderId="1" fillId="0" fontId="44" numFmtId="9" xfId="0" applyAlignment="1" applyBorder="1" applyFont="1" applyNumberFormat="1">
      <alignment horizontal="center" readingOrder="0"/>
    </xf>
    <xf borderId="1" fillId="0" fontId="45" numFmtId="0" xfId="0" applyAlignment="1" applyBorder="1" applyFont="1">
      <alignment horizontal="left" readingOrder="0"/>
    </xf>
    <xf borderId="1" fillId="0" fontId="45" numFmtId="0" xfId="0" applyAlignment="1" applyBorder="1" applyFont="1">
      <alignment horizontal="center" readingOrder="0"/>
    </xf>
    <xf borderId="44" fillId="16" fontId="45" numFmtId="9" xfId="0" applyAlignment="1" applyBorder="1" applyFont="1" applyNumberFormat="1">
      <alignment horizontal="center" readingOrder="0"/>
    </xf>
    <xf borderId="35" fillId="3" fontId="45" numFmtId="0" xfId="0" applyAlignment="1" applyBorder="1" applyFont="1">
      <alignment horizontal="left" readingOrder="0"/>
    </xf>
    <xf borderId="1" fillId="3" fontId="45" numFmtId="0" xfId="0" applyAlignment="1" applyBorder="1" applyFont="1">
      <alignment horizontal="left" readingOrder="0"/>
    </xf>
    <xf borderId="1" fillId="0" fontId="46" numFmtId="0" xfId="0" applyAlignment="1" applyBorder="1" applyFont="1">
      <alignment horizontal="left" readingOrder="0"/>
    </xf>
    <xf borderId="35" fillId="0" fontId="29" numFmtId="0" xfId="0" applyAlignment="1" applyBorder="1" applyFont="1">
      <alignment horizontal="center"/>
    </xf>
    <xf borderId="1" fillId="0" fontId="17" numFmtId="0" xfId="0" applyAlignment="1" applyBorder="1" applyFont="1">
      <alignment horizontal="center" readingOrder="0" shrinkToFit="0" vertical="bottom" wrapText="0"/>
    </xf>
    <xf borderId="1" fillId="20" fontId="34" numFmtId="10" xfId="0" applyAlignment="1" applyBorder="1" applyFont="1" applyNumberFormat="1">
      <alignment horizontal="center" readingOrder="0"/>
    </xf>
    <xf borderId="1" fillId="3" fontId="34" numFmtId="0" xfId="0" applyAlignment="1" applyBorder="1" applyFont="1">
      <alignment horizontal="left" readingOrder="0"/>
    </xf>
    <xf borderId="1" fillId="3" fontId="32" numFmtId="0" xfId="0" applyAlignment="1" applyBorder="1" applyFont="1">
      <alignment horizontal="left"/>
    </xf>
    <xf borderId="1" fillId="3" fontId="34" numFmtId="9" xfId="0" applyAlignment="1" applyBorder="1" applyFont="1" applyNumberFormat="1">
      <alignment horizontal="center" readingOrder="0"/>
    </xf>
    <xf borderId="45" fillId="0" fontId="9" numFmtId="0" xfId="0" applyAlignment="1" applyBorder="1" applyFont="1">
      <alignment horizontal="center"/>
    </xf>
    <xf borderId="26" fillId="0" fontId="9" numFmtId="0" xfId="0" applyAlignment="1" applyBorder="1" applyFont="1">
      <alignment horizontal="center"/>
    </xf>
    <xf borderId="1" fillId="3" fontId="34" numFmtId="0" xfId="0" applyAlignment="1" applyBorder="1" applyFont="1">
      <alignment horizontal="center"/>
    </xf>
    <xf borderId="46" fillId="0" fontId="9" numFmtId="0" xfId="0" applyAlignment="1" applyBorder="1" applyFont="1">
      <alignment horizontal="center"/>
    </xf>
    <xf borderId="45" fillId="0" fontId="9" numFmtId="0" xfId="0" applyAlignment="1" applyBorder="1" applyFont="1">
      <alignment horizontal="center" readingOrder="0"/>
    </xf>
    <xf borderId="26" fillId="0" fontId="9" numFmtId="0" xfId="0" applyAlignment="1" applyBorder="1" applyFont="1">
      <alignment horizontal="center" readingOrder="0"/>
    </xf>
    <xf borderId="1" fillId="0" fontId="47" numFmtId="9" xfId="0" applyAlignment="1" applyBorder="1" applyFont="1" applyNumberFormat="1">
      <alignment readingOrder="0" vertical="bottom"/>
    </xf>
    <xf borderId="46" fillId="0" fontId="9" numFmtId="10" xfId="0" applyAlignment="1" applyBorder="1" applyFont="1" applyNumberFormat="1">
      <alignment horizontal="center"/>
    </xf>
    <xf borderId="26" fillId="0" fontId="20" numFmtId="0" xfId="0" applyAlignment="1" applyBorder="1" applyFont="1">
      <alignment horizontal="center" readingOrder="0" vertical="bottom"/>
    </xf>
    <xf borderId="47" fillId="0" fontId="9" numFmtId="10" xfId="0" applyAlignment="1" applyBorder="1" applyFont="1" applyNumberFormat="1">
      <alignment horizontal="center"/>
    </xf>
    <xf borderId="45" fillId="0" fontId="17" numFmtId="0" xfId="0" applyAlignment="1" applyBorder="1" applyFont="1">
      <alignment horizontal="center" readingOrder="0" shrinkToFit="0" vertical="bottom" wrapText="0"/>
    </xf>
    <xf borderId="26" fillId="0" fontId="17" numFmtId="3" xfId="0" applyAlignment="1" applyBorder="1" applyFont="1" applyNumberFormat="1">
      <alignment horizontal="center" readingOrder="0" shrinkToFit="0" vertical="bottom" wrapText="0"/>
    </xf>
    <xf borderId="2" fillId="12" fontId="6" numFmtId="0" xfId="0" applyAlignment="1" applyBorder="1" applyFont="1">
      <alignment horizontal="center" readingOrder="0"/>
    </xf>
    <xf borderId="1" fillId="21" fontId="17" numFmtId="0" xfId="0" applyAlignment="1" applyBorder="1" applyFill="1" applyFont="1">
      <alignment horizontal="center" readingOrder="0" shrinkToFit="0" wrapText="0"/>
    </xf>
    <xf borderId="1" fillId="21" fontId="11" numFmtId="0" xfId="0" applyAlignment="1" applyBorder="1" applyFont="1">
      <alignment horizontal="center" readingOrder="0" shrinkToFit="0" wrapText="0"/>
    </xf>
    <xf borderId="1" fillId="21" fontId="6" numFmtId="0" xfId="0" applyAlignment="1" applyBorder="1" applyFont="1">
      <alignment horizontal="center" readingOrder="0" shrinkToFit="0" wrapText="1"/>
    </xf>
    <xf borderId="1" fillId="0" fontId="11" numFmtId="0" xfId="0" applyAlignment="1" applyBorder="1" applyFont="1">
      <alignment horizontal="center" readingOrder="0" shrinkToFit="0" wrapText="0"/>
    </xf>
    <xf borderId="1" fillId="0" fontId="6" numFmtId="165" xfId="0" applyAlignment="1" applyBorder="1" applyFont="1" applyNumberFormat="1">
      <alignment horizontal="center"/>
    </xf>
    <xf borderId="1" fillId="0" fontId="17" numFmtId="0" xfId="0" applyAlignment="1" applyBorder="1" applyFont="1">
      <alignment horizontal="center" readingOrder="0" shrinkToFit="0" wrapText="0"/>
    </xf>
    <xf borderId="1" fillId="0" fontId="9" numFmtId="165" xfId="0" applyAlignment="1" applyBorder="1" applyFont="1" applyNumberFormat="1">
      <alignment horizontal="center"/>
    </xf>
    <xf borderId="0" fillId="0" fontId="9" numFmtId="0" xfId="0" applyFont="1"/>
    <xf borderId="0" fillId="0" fontId="9" numFmtId="0" xfId="0" applyAlignment="1" applyFont="1">
      <alignment readingOrder="0"/>
    </xf>
    <xf borderId="0" fillId="0" fontId="48" numFmtId="0" xfId="0" applyAlignment="1" applyFont="1">
      <alignment readingOrder="0"/>
    </xf>
    <xf borderId="19" fillId="21" fontId="39" numFmtId="0" xfId="0" applyAlignment="1" applyBorder="1" applyFont="1">
      <alignment horizontal="center" readingOrder="0"/>
    </xf>
    <xf borderId="21" fillId="21" fontId="39" numFmtId="0" xfId="0" applyAlignment="1" applyBorder="1" applyFont="1">
      <alignment horizontal="center" readingOrder="0"/>
    </xf>
    <xf borderId="42" fillId="17" fontId="39" numFmtId="0" xfId="0" applyAlignment="1" applyBorder="1" applyFont="1">
      <alignment horizontal="center" readingOrder="0" shrinkToFit="0" vertical="bottom" wrapText="0"/>
    </xf>
    <xf borderId="3" fillId="17" fontId="39" numFmtId="0" xfId="0" applyAlignment="1" applyBorder="1" applyFont="1">
      <alignment horizontal="center" readingOrder="0" shrinkToFit="0" vertical="bottom" wrapText="0"/>
    </xf>
    <xf borderId="2" fillId="17" fontId="39" numFmtId="0" xfId="0" applyAlignment="1" applyBorder="1" applyFont="1">
      <alignment horizontal="center" readingOrder="0" shrinkToFit="0" vertical="bottom" wrapText="0"/>
    </xf>
    <xf borderId="14" fillId="0" fontId="4" numFmtId="0" xfId="0" applyBorder="1" applyFont="1"/>
    <xf borderId="28" fillId="0" fontId="39" numFmtId="0" xfId="0" applyAlignment="1" applyBorder="1" applyFont="1">
      <alignment horizontal="center" readingOrder="0" shrinkToFit="0" vertical="bottom" wrapText="1"/>
    </xf>
    <xf borderId="19" fillId="0" fontId="39" numFmtId="0" xfId="0" applyAlignment="1" applyBorder="1" applyFont="1">
      <alignment horizontal="center" readingOrder="0" shrinkToFit="0" vertical="bottom" wrapText="1"/>
    </xf>
    <xf borderId="33" fillId="0" fontId="39" numFmtId="0" xfId="0" applyAlignment="1" applyBorder="1" applyFont="1">
      <alignment horizontal="center" readingOrder="0" shrinkToFit="0" vertical="bottom" wrapText="1"/>
    </xf>
    <xf borderId="45" fillId="0" fontId="39" numFmtId="0" xfId="0" applyAlignment="1" applyBorder="1" applyFont="1">
      <alignment horizontal="center" readingOrder="0" shrinkToFit="0" vertical="bottom" wrapText="1"/>
    </xf>
    <xf borderId="26" fillId="0" fontId="39" numFmtId="0" xfId="0" applyAlignment="1" applyBorder="1" applyFont="1">
      <alignment horizontal="center" readingOrder="0" shrinkToFit="0" vertical="bottom" wrapText="1"/>
    </xf>
    <xf borderId="46" fillId="0" fontId="39" numFmtId="0" xfId="0" applyAlignment="1" applyBorder="1" applyFont="1">
      <alignment horizontal="center" readingOrder="0" shrinkToFit="0" vertical="bottom" wrapText="1"/>
    </xf>
    <xf borderId="4" fillId="0" fontId="39" numFmtId="0" xfId="0" applyAlignment="1" applyBorder="1" applyFont="1">
      <alignment horizontal="center" readingOrder="0" shrinkToFit="0" vertical="bottom" wrapText="1"/>
    </xf>
    <xf borderId="1" fillId="0" fontId="39" numFmtId="0" xfId="0" applyAlignment="1" applyBorder="1" applyFont="1">
      <alignment horizontal="center" readingOrder="0" shrinkToFit="0" vertical="bottom" wrapText="1"/>
    </xf>
    <xf borderId="0" fillId="0" fontId="9" numFmtId="0" xfId="0" applyAlignment="1" applyFont="1">
      <alignment horizontal="center"/>
    </xf>
    <xf borderId="1" fillId="0" fontId="39" numFmtId="0" xfId="0" applyAlignment="1" applyBorder="1" applyFont="1">
      <alignment horizontal="center" readingOrder="0" vertical="bottom"/>
    </xf>
    <xf borderId="2" fillId="0" fontId="39" numFmtId="0" xfId="0" applyAlignment="1" applyBorder="1" applyFont="1">
      <alignment horizontal="center" readingOrder="0" vertical="bottom"/>
    </xf>
    <xf borderId="40" fillId="0" fontId="26" numFmtId="0" xfId="0" applyAlignment="1" applyBorder="1" applyFont="1">
      <alignment horizontal="center" readingOrder="0" shrinkToFit="0" vertical="bottom" wrapText="0"/>
    </xf>
    <xf borderId="23" fillId="0" fontId="26" numFmtId="0" xfId="0" applyAlignment="1" applyBorder="1" applyFont="1">
      <alignment horizontal="center" readingOrder="0" shrinkToFit="0" vertical="bottom" wrapText="0"/>
    </xf>
    <xf borderId="38" fillId="0" fontId="26" numFmtId="10" xfId="0" applyAlignment="1" applyBorder="1" applyFont="1" applyNumberFormat="1">
      <alignment horizontal="center" readingOrder="0" shrinkToFit="0" vertical="bottom" wrapText="0"/>
    </xf>
    <xf borderId="48" fillId="0" fontId="26" numFmtId="0" xfId="0" applyAlignment="1" applyBorder="1" applyFont="1">
      <alignment horizontal="right" readingOrder="0" shrinkToFit="0" vertical="bottom" wrapText="0"/>
    </xf>
    <xf borderId="15" fillId="0" fontId="26" numFmtId="0" xfId="0" applyAlignment="1" applyBorder="1" applyFont="1">
      <alignment horizontal="right" readingOrder="0" shrinkToFit="0" vertical="bottom" wrapText="0"/>
    </xf>
    <xf borderId="49" fillId="0" fontId="26" numFmtId="10" xfId="0" applyAlignment="1" applyBorder="1" applyFont="1" applyNumberFormat="1">
      <alignment horizontal="right" readingOrder="0" shrinkToFit="0" vertical="bottom" wrapText="0"/>
    </xf>
    <xf borderId="4" fillId="0" fontId="26" numFmtId="0" xfId="0" applyAlignment="1" applyBorder="1" applyFont="1">
      <alignment horizontal="right" readingOrder="0" shrinkToFit="0" vertical="bottom" wrapText="0"/>
    </xf>
    <xf borderId="1" fillId="0" fontId="26" numFmtId="0" xfId="0" applyAlignment="1" applyBorder="1" applyFont="1">
      <alignment horizontal="right" readingOrder="0" shrinkToFit="0" vertical="bottom" wrapText="0"/>
    </xf>
    <xf borderId="1" fillId="0" fontId="26" numFmtId="0" xfId="0" applyAlignment="1" applyBorder="1" applyFont="1">
      <alignment horizontal="center" readingOrder="0" vertical="bottom"/>
    </xf>
    <xf borderId="2" fillId="0" fontId="26" numFmtId="0" xfId="0" applyAlignment="1" applyBorder="1" applyFont="1">
      <alignment horizontal="center" readingOrder="0" vertical="bottom"/>
    </xf>
    <xf borderId="24" fillId="0" fontId="26" numFmtId="0" xfId="0" applyAlignment="1" applyBorder="1" applyFont="1">
      <alignment horizontal="center" readingOrder="0" shrinkToFit="0" wrapText="0"/>
    </xf>
    <xf borderId="1" fillId="0" fontId="26" numFmtId="0" xfId="0" applyAlignment="1" applyBorder="1" applyFont="1">
      <alignment horizontal="center" readingOrder="0" shrinkToFit="0" vertical="bottom" wrapText="0"/>
    </xf>
    <xf borderId="30" fillId="0" fontId="26" numFmtId="10" xfId="0" applyAlignment="1" applyBorder="1" applyFont="1" applyNumberFormat="1">
      <alignment horizontal="center" readingOrder="0" shrinkToFit="0" vertical="bottom" wrapText="0"/>
    </xf>
    <xf borderId="24" fillId="0" fontId="26" numFmtId="0" xfId="0" applyAlignment="1" applyBorder="1" applyFont="1">
      <alignment horizontal="right" readingOrder="0" shrinkToFit="0" wrapText="0"/>
    </xf>
    <xf borderId="30" fillId="0" fontId="26" numFmtId="10" xfId="0" applyAlignment="1" applyBorder="1" applyFont="1" applyNumberFormat="1">
      <alignment horizontal="right" readingOrder="0" shrinkToFit="0" vertical="bottom" wrapText="0"/>
    </xf>
    <xf borderId="4" fillId="0" fontId="26" numFmtId="0" xfId="0" applyAlignment="1" applyBorder="1" applyFont="1">
      <alignment horizontal="right" readingOrder="0" shrinkToFit="0" wrapText="0"/>
    </xf>
    <xf borderId="1" fillId="0" fontId="26" numFmtId="0" xfId="0" applyAlignment="1" applyBorder="1" applyFont="1">
      <alignment horizontal="right" readingOrder="0" shrinkToFit="0" wrapText="0"/>
    </xf>
    <xf borderId="0" fillId="0" fontId="49" numFmtId="0" xfId="0" applyAlignment="1" applyFont="1">
      <alignment readingOrder="0"/>
    </xf>
    <xf borderId="0" fillId="0" fontId="50" numFmtId="0" xfId="0" applyAlignment="1" applyFont="1">
      <alignment readingOrder="0"/>
    </xf>
    <xf borderId="2" fillId="0" fontId="15" numFmtId="0" xfId="0" applyAlignment="1" applyBorder="1" applyFont="1">
      <alignment readingOrder="0"/>
    </xf>
    <xf borderId="42" fillId="22" fontId="51" numFmtId="0" xfId="0" applyAlignment="1" applyBorder="1" applyFill="1" applyFont="1">
      <alignment horizontal="center" readingOrder="0" vertical="bottom"/>
    </xf>
    <xf borderId="45" fillId="0" fontId="26" numFmtId="0" xfId="0" applyAlignment="1" applyBorder="1" applyFont="1">
      <alignment horizontal="center" readingOrder="0" shrinkToFit="0" wrapText="0"/>
    </xf>
    <xf borderId="42" fillId="22" fontId="51" numFmtId="0" xfId="0" applyAlignment="1" applyBorder="1" applyFont="1">
      <alignment horizontal="center" readingOrder="0"/>
    </xf>
    <xf borderId="26" fillId="0" fontId="26" numFmtId="0" xfId="0" applyAlignment="1" applyBorder="1" applyFont="1">
      <alignment horizontal="center" readingOrder="0" shrinkToFit="0" vertical="bottom" wrapText="0"/>
    </xf>
    <xf borderId="46" fillId="0" fontId="26" numFmtId="10" xfId="0" applyAlignment="1" applyBorder="1" applyFont="1" applyNumberFormat="1">
      <alignment horizontal="center" readingOrder="0" shrinkToFit="0" vertical="bottom" wrapText="0"/>
    </xf>
    <xf borderId="45" fillId="0" fontId="26" numFmtId="0" xfId="0" applyAlignment="1" applyBorder="1" applyFont="1">
      <alignment horizontal="right" readingOrder="0" shrinkToFit="0" wrapText="0"/>
    </xf>
    <xf borderId="26" fillId="0" fontId="26" numFmtId="0" xfId="0" applyAlignment="1" applyBorder="1" applyFont="1">
      <alignment horizontal="right" readingOrder="0" shrinkToFit="0" vertical="bottom" wrapText="0"/>
    </xf>
    <xf borderId="46" fillId="0" fontId="26" numFmtId="10" xfId="0" applyAlignment="1" applyBorder="1" applyFont="1" applyNumberFormat="1">
      <alignment horizontal="right" readingOrder="0" shrinkToFit="0" vertical="bottom" wrapText="0"/>
    </xf>
    <xf borderId="3" fillId="22" fontId="52" numFmtId="0" xfId="0" applyAlignment="1" applyBorder="1" applyFont="1">
      <alignment horizontal="center" readingOrder="0"/>
    </xf>
    <xf borderId="2" fillId="22" fontId="52" numFmtId="0" xfId="0" applyAlignment="1" applyBorder="1" applyFont="1">
      <alignment horizontal="center" readingOrder="0" vertical="bottom"/>
    </xf>
    <xf borderId="2" fillId="22" fontId="52" numFmtId="0" xfId="0" applyAlignment="1" applyBorder="1" applyFont="1">
      <alignment horizontal="center" readingOrder="0"/>
    </xf>
    <xf borderId="21" fillId="23" fontId="53" numFmtId="0" xfId="0" applyAlignment="1" applyBorder="1" applyFill="1" applyFont="1">
      <alignment horizontal="center" readingOrder="0" shrinkToFit="0" vertical="bottom" wrapText="0"/>
    </xf>
    <xf borderId="37" fillId="0" fontId="4" numFmtId="0" xfId="0" applyBorder="1" applyFont="1"/>
    <xf borderId="12" fillId="24" fontId="6" numFmtId="0" xfId="0" applyAlignment="1" applyBorder="1" applyFill="1" applyFont="1">
      <alignment horizontal="center" vertical="bottom"/>
    </xf>
    <xf borderId="2" fillId="25" fontId="6" numFmtId="0" xfId="0" applyAlignment="1" applyBorder="1" applyFill="1" applyFont="1">
      <alignment horizontal="center" vertical="bottom"/>
    </xf>
    <xf borderId="2" fillId="23" fontId="6" numFmtId="0" xfId="0" applyAlignment="1" applyBorder="1" applyFont="1">
      <alignment horizontal="center" vertical="bottom"/>
    </xf>
    <xf borderId="50" fillId="0" fontId="4" numFmtId="0" xfId="0" applyBorder="1" applyFont="1"/>
    <xf borderId="12" fillId="24" fontId="6" numFmtId="0" xfId="0" applyAlignment="1" applyBorder="1" applyFont="1">
      <alignment horizontal="center" readingOrder="0"/>
    </xf>
    <xf borderId="2" fillId="25" fontId="6" numFmtId="0" xfId="0" applyAlignment="1" applyBorder="1" applyFont="1">
      <alignment horizontal="center" readingOrder="0"/>
    </xf>
    <xf borderId="2" fillId="23" fontId="6" numFmtId="0" xfId="0" applyAlignment="1" applyBorder="1" applyFont="1">
      <alignment horizontal="center" readingOrder="0"/>
    </xf>
    <xf borderId="12" fillId="24" fontId="6" numFmtId="0" xfId="0" applyAlignment="1" applyBorder="1" applyFont="1">
      <alignment horizontal="center" vertical="bottom"/>
    </xf>
    <xf borderId="2" fillId="25" fontId="6" numFmtId="0" xfId="0" applyAlignment="1" applyBorder="1" applyFont="1">
      <alignment horizontal="center" vertical="bottom"/>
    </xf>
    <xf borderId="2" fillId="23" fontId="6" numFmtId="0" xfId="0" applyAlignment="1" applyBorder="1" applyFont="1">
      <alignment horizontal="center" vertical="bottom"/>
    </xf>
    <xf borderId="3" fillId="24" fontId="6" numFmtId="0" xfId="0" applyAlignment="1" applyBorder="1" applyFont="1">
      <alignment horizontal="center" readingOrder="0"/>
    </xf>
    <xf borderId="2" fillId="24" fontId="6" numFmtId="0" xfId="0" applyAlignment="1" applyBorder="1" applyFont="1">
      <alignment horizontal="center" vertical="bottom"/>
    </xf>
    <xf borderId="2" fillId="24" fontId="6" numFmtId="0" xfId="0" applyAlignment="1" applyBorder="1" applyFont="1">
      <alignment horizontal="center" readingOrder="0"/>
    </xf>
    <xf borderId="35" fillId="0" fontId="4" numFmtId="0" xfId="0" applyBorder="1" applyFont="1"/>
    <xf borderId="24" fillId="24" fontId="6" numFmtId="0" xfId="0" applyAlignment="1" applyBorder="1" applyFont="1">
      <alignment horizontal="center" vertical="bottom"/>
    </xf>
    <xf borderId="1" fillId="24" fontId="6" numFmtId="0" xfId="0" applyAlignment="1" applyBorder="1" applyFont="1">
      <alignment horizontal="center" vertical="bottom"/>
    </xf>
    <xf borderId="1" fillId="25" fontId="6" numFmtId="0" xfId="0" applyAlignment="1" applyBorder="1" applyFont="1">
      <alignment horizontal="center" vertical="bottom"/>
    </xf>
    <xf borderId="1" fillId="23" fontId="6" numFmtId="0" xfId="0" applyAlignment="1" applyBorder="1" applyFont="1">
      <alignment horizontal="center" vertical="bottom"/>
    </xf>
    <xf borderId="30" fillId="23" fontId="6" numFmtId="0" xfId="0" applyAlignment="1" applyBorder="1" applyFont="1">
      <alignment horizontal="center" vertical="bottom"/>
    </xf>
    <xf borderId="24" fillId="24" fontId="53" numFmtId="0" xfId="0" applyAlignment="1" applyBorder="1" applyFont="1">
      <alignment horizontal="center" readingOrder="0" shrinkToFit="0" vertical="bottom" wrapText="0"/>
    </xf>
    <xf borderId="1" fillId="24" fontId="53" numFmtId="0" xfId="0" applyAlignment="1" applyBorder="1" applyFont="1">
      <alignment horizontal="center" readingOrder="0" shrinkToFit="0" vertical="bottom" wrapText="0"/>
    </xf>
    <xf borderId="1" fillId="25" fontId="53" numFmtId="0" xfId="0" applyAlignment="1" applyBorder="1" applyFont="1">
      <alignment horizontal="center" readingOrder="0" shrinkToFit="0" vertical="bottom" wrapText="0"/>
    </xf>
    <xf borderId="1" fillId="23" fontId="53" numFmtId="0" xfId="0" applyAlignment="1" applyBorder="1" applyFont="1">
      <alignment horizontal="center" readingOrder="0" shrinkToFit="0" vertical="bottom" wrapText="0"/>
    </xf>
    <xf borderId="30" fillId="23" fontId="53" numFmtId="0" xfId="0" applyAlignment="1" applyBorder="1" applyFont="1">
      <alignment horizontal="center" readingOrder="0" shrinkToFit="0" vertical="bottom" wrapText="0"/>
    </xf>
    <xf borderId="24" fillId="24" fontId="6" numFmtId="0" xfId="0" applyAlignment="1" applyBorder="1" applyFont="1">
      <alignment horizontal="center" vertical="bottom"/>
    </xf>
    <xf borderId="1" fillId="24" fontId="6" numFmtId="0" xfId="0" applyAlignment="1" applyBorder="1" applyFont="1">
      <alignment horizontal="center" vertical="bottom"/>
    </xf>
    <xf borderId="1" fillId="25" fontId="6" numFmtId="0" xfId="0" applyAlignment="1" applyBorder="1" applyFont="1">
      <alignment horizontal="center" vertical="bottom"/>
    </xf>
    <xf borderId="1" fillId="23" fontId="6" numFmtId="0" xfId="0" applyAlignment="1" applyBorder="1" applyFont="1">
      <alignment horizontal="center" vertical="bottom"/>
    </xf>
    <xf borderId="30" fillId="23" fontId="6" numFmtId="0" xfId="0" applyAlignment="1" applyBorder="1" applyFont="1">
      <alignment horizontal="center" vertical="bottom"/>
    </xf>
    <xf borderId="4" fillId="24" fontId="53" numFmtId="0" xfId="0" applyAlignment="1" applyBorder="1" applyFont="1">
      <alignment horizontal="center" readingOrder="0" shrinkToFit="0" vertical="bottom" wrapText="0"/>
    </xf>
    <xf borderId="2" fillId="0" fontId="54" numFmtId="0" xfId="0" applyAlignment="1" applyBorder="1" applyFont="1">
      <alignment horizontal="center" readingOrder="0" shrinkToFit="0" vertical="bottom" wrapText="0"/>
    </xf>
    <xf borderId="2" fillId="0" fontId="54" numFmtId="0" xfId="0" applyAlignment="1" applyBorder="1" applyFont="1">
      <alignment horizontal="left" readingOrder="0" shrinkToFit="0" vertical="bottom" wrapText="0"/>
    </xf>
    <xf borderId="24" fillId="3" fontId="9" numFmtId="0" xfId="0" applyAlignment="1" applyBorder="1" applyFont="1">
      <alignment horizontal="center" readingOrder="0" vertical="bottom"/>
    </xf>
    <xf borderId="1" fillId="3" fontId="9" numFmtId="0" xfId="0" applyAlignment="1" applyBorder="1" applyFont="1">
      <alignment horizontal="center" readingOrder="0" vertical="bottom"/>
    </xf>
    <xf borderId="30" fillId="0" fontId="9" numFmtId="0" xfId="0" applyAlignment="1" applyBorder="1" applyFont="1">
      <alignment horizontal="center" vertical="bottom"/>
    </xf>
    <xf borderId="24" fillId="2" fontId="54" numFmtId="2" xfId="0" applyAlignment="1" applyBorder="1" applyFont="1" applyNumberFormat="1">
      <alignment horizontal="center" readingOrder="0" shrinkToFit="0" vertical="bottom" wrapText="0"/>
    </xf>
    <xf borderId="1" fillId="2" fontId="54" numFmtId="2" xfId="0" applyAlignment="1" applyBorder="1" applyFont="1" applyNumberFormat="1">
      <alignment horizontal="center" readingOrder="0" shrinkToFit="0" vertical="bottom" wrapText="0"/>
    </xf>
    <xf borderId="1" fillId="2" fontId="54" numFmtId="2" xfId="0" applyAlignment="1" applyBorder="1" applyFont="1" applyNumberFormat="1">
      <alignment horizontal="center" readingOrder="0" vertical="bottom"/>
    </xf>
    <xf borderId="1" fillId="2" fontId="17" numFmtId="0" xfId="0" applyAlignment="1" applyBorder="1" applyFont="1">
      <alignment horizontal="center" readingOrder="0"/>
    </xf>
    <xf borderId="24" fillId="2" fontId="54" numFmtId="0" xfId="0" applyAlignment="1" applyBorder="1" applyFont="1">
      <alignment horizontal="center" readingOrder="0" shrinkToFit="0" vertical="bottom" wrapText="0"/>
    </xf>
    <xf borderId="1" fillId="2" fontId="54" numFmtId="0" xfId="0" applyAlignment="1" applyBorder="1" applyFont="1">
      <alignment horizontal="center" readingOrder="0" shrinkToFit="0" vertical="bottom" wrapText="0"/>
    </xf>
    <xf borderId="1" fillId="2" fontId="54" numFmtId="0" xfId="0" applyAlignment="1" applyBorder="1" applyFont="1">
      <alignment horizontal="center" readingOrder="0" vertical="bottom"/>
    </xf>
    <xf borderId="30" fillId="0" fontId="9" numFmtId="2" xfId="0" applyAlignment="1" applyBorder="1" applyFont="1" applyNumberFormat="1">
      <alignment horizontal="center"/>
    </xf>
    <xf borderId="1" fillId="3" fontId="9" numFmtId="0" xfId="0" applyAlignment="1" applyBorder="1" applyFont="1">
      <alignment horizontal="center" vertical="bottom"/>
    </xf>
    <xf borderId="30" fillId="0" fontId="9" numFmtId="0" xfId="0" applyAlignment="1" applyBorder="1" applyFont="1">
      <alignment horizontal="center" vertical="bottom"/>
    </xf>
    <xf borderId="4" fillId="2" fontId="54" numFmtId="0" xfId="0" applyAlignment="1" applyBorder="1" applyFont="1">
      <alignment horizontal="center" readingOrder="0" shrinkToFit="0" vertical="bottom" wrapText="0"/>
    </xf>
    <xf borderId="1" fillId="0" fontId="9" numFmtId="0" xfId="0" applyAlignment="1" applyBorder="1" applyFont="1">
      <alignment horizontal="center" vertical="bottom"/>
    </xf>
    <xf borderId="1" fillId="3" fontId="9" numFmtId="4" xfId="0" applyAlignment="1" applyBorder="1" applyFont="1" applyNumberFormat="1">
      <alignment horizontal="center" readingOrder="0" vertical="bottom"/>
    </xf>
    <xf borderId="1" fillId="2" fontId="54" numFmtId="4" xfId="0" applyAlignment="1" applyBorder="1" applyFont="1" applyNumberFormat="1">
      <alignment horizontal="center" readingOrder="0" shrinkToFit="0" vertical="bottom" wrapText="0"/>
    </xf>
    <xf borderId="1" fillId="3" fontId="9" numFmtId="4" xfId="0" applyAlignment="1" applyBorder="1" applyFont="1" applyNumberFormat="1">
      <alignment horizontal="center" vertical="bottom"/>
    </xf>
    <xf borderId="2" fillId="26" fontId="53" numFmtId="0" xfId="0" applyAlignment="1" applyBorder="1" applyFill="1" applyFont="1">
      <alignment horizontal="center" readingOrder="0" shrinkToFit="0" vertical="bottom" wrapText="0"/>
    </xf>
    <xf borderId="45" fillId="27" fontId="6" numFmtId="0" xfId="0" applyAlignment="1" applyBorder="1" applyFill="1" applyFont="1">
      <alignment horizontal="center" readingOrder="0" vertical="bottom"/>
    </xf>
    <xf borderId="26" fillId="27" fontId="6" numFmtId="0" xfId="0" applyAlignment="1" applyBorder="1" applyFont="1">
      <alignment horizontal="center" readingOrder="0" vertical="bottom"/>
    </xf>
    <xf borderId="26" fillId="25" fontId="6" numFmtId="0" xfId="0" applyAlignment="1" applyBorder="1" applyFont="1">
      <alignment horizontal="center" readingOrder="0" vertical="bottom"/>
    </xf>
    <xf borderId="26" fillId="23" fontId="6" numFmtId="0" xfId="0" applyAlignment="1" applyBorder="1" applyFont="1">
      <alignment horizontal="center" readingOrder="0" vertical="bottom"/>
    </xf>
    <xf borderId="46" fillId="23" fontId="6" numFmtId="0" xfId="0" applyAlignment="1" applyBorder="1" applyFont="1">
      <alignment horizontal="center" vertical="bottom"/>
    </xf>
    <xf borderId="45" fillId="28" fontId="53" numFmtId="2" xfId="0" applyAlignment="1" applyBorder="1" applyFill="1" applyFont="1" applyNumberFormat="1">
      <alignment horizontal="center" readingOrder="0" shrinkToFit="0" wrapText="0"/>
    </xf>
    <xf borderId="26" fillId="28" fontId="53" numFmtId="2" xfId="0" applyAlignment="1" applyBorder="1" applyFont="1" applyNumberFormat="1">
      <alignment horizontal="center" readingOrder="0" shrinkToFit="0" wrapText="0"/>
    </xf>
    <xf borderId="26" fillId="28" fontId="53" numFmtId="2" xfId="0" applyAlignment="1" applyBorder="1" applyFont="1" applyNumberFormat="1">
      <alignment horizontal="center" readingOrder="0"/>
    </xf>
    <xf borderId="26" fillId="25" fontId="53" numFmtId="2" xfId="0" applyAlignment="1" applyBorder="1" applyFont="1" applyNumberFormat="1">
      <alignment horizontal="center" readingOrder="0" shrinkToFit="0" wrapText="0"/>
    </xf>
    <xf borderId="26" fillId="25" fontId="53" numFmtId="2" xfId="0" applyAlignment="1" applyBorder="1" applyFont="1" applyNumberFormat="1">
      <alignment horizontal="center" readingOrder="0"/>
    </xf>
    <xf borderId="26" fillId="23" fontId="11" numFmtId="0" xfId="0" applyAlignment="1" applyBorder="1" applyFont="1">
      <alignment horizontal="center" readingOrder="0"/>
    </xf>
    <xf borderId="46" fillId="23" fontId="6" numFmtId="0" xfId="0" applyAlignment="1" applyBorder="1" applyFont="1">
      <alignment horizontal="center"/>
    </xf>
    <xf borderId="45" fillId="28" fontId="53" numFmtId="0" xfId="0" applyAlignment="1" applyBorder="1" applyFont="1">
      <alignment horizontal="center" readingOrder="0" shrinkToFit="0" wrapText="0"/>
    </xf>
    <xf borderId="26" fillId="28" fontId="53" numFmtId="0" xfId="0" applyAlignment="1" applyBorder="1" applyFont="1">
      <alignment horizontal="center" readingOrder="0" shrinkToFit="0" wrapText="0"/>
    </xf>
    <xf borderId="26" fillId="28" fontId="53" numFmtId="0" xfId="0" applyAlignment="1" applyBorder="1" applyFont="1">
      <alignment horizontal="center" readingOrder="0"/>
    </xf>
    <xf borderId="26" fillId="25" fontId="53" numFmtId="0" xfId="0" applyAlignment="1" applyBorder="1" applyFont="1">
      <alignment horizontal="center" readingOrder="0" shrinkToFit="0" wrapText="0"/>
    </xf>
    <xf borderId="26" fillId="25" fontId="53" numFmtId="0" xfId="0" applyAlignment="1" applyBorder="1" applyFont="1">
      <alignment horizontal="center" readingOrder="0"/>
    </xf>
    <xf borderId="26" fillId="24" fontId="53" numFmtId="0" xfId="0" applyAlignment="1" applyBorder="1" applyFont="1">
      <alignment horizontal="center" readingOrder="0" vertical="bottom"/>
    </xf>
    <xf borderId="26" fillId="25" fontId="53" numFmtId="0" xfId="0" applyAlignment="1" applyBorder="1" applyFont="1">
      <alignment horizontal="center" readingOrder="0" vertical="bottom"/>
    </xf>
    <xf borderId="26" fillId="12" fontId="17" numFmtId="0" xfId="0" applyAlignment="1" applyBorder="1" applyFont="1">
      <alignment horizontal="center" readingOrder="0"/>
    </xf>
    <xf borderId="46" fillId="12" fontId="9" numFmtId="2" xfId="0" applyAlignment="1" applyBorder="1" applyFont="1" applyNumberFormat="1">
      <alignment horizontal="center"/>
    </xf>
    <xf borderId="26" fillId="27" fontId="9" numFmtId="0" xfId="0" applyAlignment="1" applyBorder="1" applyFont="1">
      <alignment horizontal="center" vertical="bottom"/>
    </xf>
    <xf borderId="26" fillId="25" fontId="9" numFmtId="0" xfId="0" applyAlignment="1" applyBorder="1" applyFont="1">
      <alignment horizontal="center" vertical="bottom"/>
    </xf>
    <xf borderId="26" fillId="12" fontId="9" numFmtId="0" xfId="0" applyAlignment="1" applyBorder="1" applyFont="1">
      <alignment horizontal="center" readingOrder="0" vertical="bottom"/>
    </xf>
    <xf borderId="46" fillId="23" fontId="6" numFmtId="0" xfId="0" applyAlignment="1" applyBorder="1" applyFont="1">
      <alignment horizontal="center" vertical="bottom"/>
    </xf>
    <xf borderId="4" fillId="28" fontId="53" numFmtId="0" xfId="0" applyAlignment="1" applyBorder="1" applyFont="1">
      <alignment horizontal="center" readingOrder="0" shrinkToFit="0" wrapText="0"/>
    </xf>
    <xf borderId="1" fillId="28" fontId="53" numFmtId="0" xfId="0" applyAlignment="1" applyBorder="1" applyFont="1">
      <alignment horizontal="center" readingOrder="0" shrinkToFit="0" wrapText="0"/>
    </xf>
    <xf borderId="1" fillId="28" fontId="53" numFmtId="0" xfId="0" applyAlignment="1" applyBorder="1" applyFont="1">
      <alignment horizontal="center" readingOrder="0"/>
    </xf>
    <xf borderId="1" fillId="25" fontId="53" numFmtId="0" xfId="0" applyAlignment="1" applyBorder="1" applyFont="1">
      <alignment horizontal="center" readingOrder="0" shrinkToFit="0" wrapText="0"/>
    </xf>
    <xf borderId="1" fillId="25" fontId="53" numFmtId="0" xfId="0" applyAlignment="1" applyBorder="1" applyFont="1">
      <alignment horizontal="center" readingOrder="0"/>
    </xf>
    <xf borderId="1" fillId="23" fontId="11" numFmtId="0" xfId="0" applyAlignment="1" applyBorder="1" applyFont="1">
      <alignment horizontal="center" readingOrder="0"/>
    </xf>
    <xf borderId="1" fillId="23" fontId="6" numFmtId="0" xfId="0" applyAlignment="1" applyBorder="1" applyFont="1">
      <alignment horizontal="center"/>
    </xf>
    <xf borderId="1" fillId="27" fontId="6" numFmtId="0" xfId="0" applyAlignment="1" applyBorder="1" applyFont="1">
      <alignment horizontal="center" vertical="bottom"/>
    </xf>
    <xf borderId="0" fillId="29" fontId="5" numFmtId="0" xfId="0" applyAlignment="1" applyFill="1" applyFont="1">
      <alignment horizontal="center" readingOrder="0"/>
    </xf>
    <xf borderId="1" fillId="0" fontId="52" numFmtId="0" xfId="0" applyBorder="1" applyFont="1"/>
    <xf borderId="2" fillId="0" fontId="52" numFmtId="0" xfId="0" applyBorder="1" applyFont="1"/>
    <xf borderId="0" fillId="0" fontId="52" numFmtId="0" xfId="0" applyFont="1"/>
    <xf borderId="21" fillId="23" fontId="55" numFmtId="0" xfId="0" applyAlignment="1" applyBorder="1" applyFont="1">
      <alignment horizontal="center" readingOrder="0" shrinkToFit="0" vertical="bottom" wrapText="0"/>
    </xf>
    <xf borderId="3" fillId="25" fontId="6" numFmtId="0" xfId="0" applyAlignment="1" applyBorder="1" applyFont="1">
      <alignment horizontal="center" readingOrder="0"/>
    </xf>
    <xf borderId="3" fillId="23" fontId="6" numFmtId="0" xfId="0" applyAlignment="1" applyBorder="1" applyFont="1">
      <alignment horizontal="center" readingOrder="0"/>
    </xf>
    <xf borderId="50" fillId="29" fontId="6" numFmtId="0" xfId="0" applyAlignment="1" applyBorder="1" applyFont="1">
      <alignment horizontal="center" readingOrder="0"/>
    </xf>
    <xf borderId="4" fillId="29" fontId="6" numFmtId="0" xfId="0" applyAlignment="1" applyBorder="1" applyFont="1">
      <alignment horizontal="center" readingOrder="0"/>
    </xf>
    <xf borderId="14" fillId="23" fontId="55" numFmtId="0" xfId="0" applyAlignment="1" applyBorder="1" applyFont="1">
      <alignment horizontal="center" readingOrder="0" shrinkToFit="0" vertical="bottom" wrapText="0"/>
    </xf>
    <xf borderId="24" fillId="24" fontId="55" numFmtId="0" xfId="0" applyAlignment="1" applyBorder="1" applyFont="1">
      <alignment horizontal="center" readingOrder="0" shrinkToFit="0" vertical="bottom" wrapText="0"/>
    </xf>
    <xf borderId="1" fillId="28" fontId="9" numFmtId="0" xfId="0" applyAlignment="1" applyBorder="1" applyFont="1">
      <alignment horizontal="center" readingOrder="0"/>
    </xf>
    <xf borderId="1" fillId="25" fontId="55" numFmtId="0" xfId="0" applyAlignment="1" applyBorder="1" applyFont="1">
      <alignment horizontal="center" readingOrder="0" shrinkToFit="0" vertical="bottom" wrapText="0"/>
    </xf>
    <xf borderId="1" fillId="25" fontId="9" numFmtId="0" xfId="0" applyAlignment="1" applyBorder="1" applyFont="1">
      <alignment horizontal="center" readingOrder="0"/>
    </xf>
    <xf borderId="1" fillId="23" fontId="55" numFmtId="0" xfId="0" applyAlignment="1" applyBorder="1" applyFont="1">
      <alignment horizontal="center" readingOrder="0" shrinkToFit="0" vertical="bottom" wrapText="0"/>
    </xf>
    <xf borderId="1" fillId="23" fontId="9" numFmtId="0" xfId="0" applyAlignment="1" applyBorder="1" applyFont="1">
      <alignment horizontal="center" readingOrder="0"/>
    </xf>
    <xf borderId="30" fillId="29" fontId="9" numFmtId="0" xfId="0" applyAlignment="1" applyBorder="1" applyFont="1">
      <alignment horizontal="center" readingOrder="0"/>
    </xf>
    <xf borderId="4" fillId="24" fontId="55" numFmtId="0" xfId="0" applyAlignment="1" applyBorder="1" applyFont="1">
      <alignment horizontal="center" readingOrder="0" shrinkToFit="0" vertical="bottom" wrapText="0"/>
    </xf>
    <xf borderId="1" fillId="29" fontId="9" numFmtId="0" xfId="0" applyAlignment="1" applyBorder="1" applyFont="1">
      <alignment horizontal="center" readingOrder="0"/>
    </xf>
    <xf borderId="1" fillId="24" fontId="55" numFmtId="0" xfId="0" applyAlignment="1" applyBorder="1" applyFont="1">
      <alignment horizontal="center" readingOrder="0" shrinkToFit="0" vertical="bottom" wrapText="0"/>
    </xf>
    <xf borderId="2" fillId="0" fontId="56" numFmtId="0" xfId="0" applyAlignment="1" applyBorder="1" applyFont="1">
      <alignment horizontal="center" readingOrder="0" shrinkToFit="0" vertical="bottom" wrapText="0"/>
    </xf>
    <xf borderId="24" fillId="2" fontId="56" numFmtId="0" xfId="0" applyAlignment="1" applyBorder="1" applyFont="1">
      <alignment horizontal="center" readingOrder="0" vertical="bottom"/>
    </xf>
    <xf borderId="1" fillId="0" fontId="9" numFmtId="2" xfId="0" applyAlignment="1" applyBorder="1" applyFont="1" applyNumberFormat="1">
      <alignment horizontal="center"/>
    </xf>
    <xf borderId="1" fillId="2" fontId="56" numFmtId="0" xfId="0" applyAlignment="1" applyBorder="1" applyFont="1">
      <alignment horizontal="center" readingOrder="0" vertical="bottom"/>
    </xf>
    <xf borderId="24" fillId="2" fontId="56" numFmtId="2" xfId="0" applyAlignment="1" applyBorder="1" applyFont="1" applyNumberFormat="1">
      <alignment horizontal="center" readingOrder="0" vertical="bottom"/>
    </xf>
    <xf borderId="1" fillId="2" fontId="56" numFmtId="2" xfId="0" applyAlignment="1" applyBorder="1" applyFont="1" applyNumberFormat="1">
      <alignment horizontal="center" readingOrder="0" vertical="bottom"/>
    </xf>
    <xf borderId="4" fillId="2" fontId="56" numFmtId="0" xfId="0" applyAlignment="1" applyBorder="1" applyFont="1">
      <alignment horizontal="center" readingOrder="0" vertical="bottom"/>
    </xf>
    <xf borderId="2" fillId="26" fontId="56" numFmtId="0" xfId="0" applyAlignment="1" applyBorder="1" applyFont="1">
      <alignment horizontal="center" readingOrder="0" shrinkToFit="0" vertical="bottom" wrapText="0"/>
    </xf>
    <xf borderId="45" fillId="28" fontId="56" numFmtId="0" xfId="0" applyAlignment="1" applyBorder="1" applyFont="1">
      <alignment horizontal="center" readingOrder="0"/>
    </xf>
    <xf borderId="26" fillId="28" fontId="9" numFmtId="2" xfId="0" applyAlignment="1" applyBorder="1" applyFont="1" applyNumberFormat="1">
      <alignment horizontal="center"/>
    </xf>
    <xf borderId="26" fillId="25" fontId="56" numFmtId="0" xfId="0" applyAlignment="1" applyBorder="1" applyFont="1">
      <alignment horizontal="center" readingOrder="0" vertical="bottom"/>
    </xf>
    <xf borderId="26" fillId="25" fontId="9" numFmtId="2" xfId="0" applyAlignment="1" applyBorder="1" applyFont="1" applyNumberFormat="1">
      <alignment horizontal="center"/>
    </xf>
    <xf borderId="26" fillId="12" fontId="9" numFmtId="0" xfId="0" applyAlignment="1" applyBorder="1" applyFont="1">
      <alignment horizontal="center"/>
    </xf>
    <xf borderId="26" fillId="12" fontId="9" numFmtId="2" xfId="0" applyAlignment="1" applyBorder="1" applyFont="1" applyNumberFormat="1">
      <alignment horizontal="center"/>
    </xf>
    <xf borderId="46" fillId="29" fontId="9" numFmtId="2" xfId="0" applyAlignment="1" applyBorder="1" applyFont="1" applyNumberFormat="1">
      <alignment horizontal="center"/>
    </xf>
    <xf borderId="45" fillId="28" fontId="56" numFmtId="2" xfId="0" applyAlignment="1" applyBorder="1" applyFont="1" applyNumberFormat="1">
      <alignment horizontal="center" readingOrder="0" vertical="bottom"/>
    </xf>
    <xf borderId="26" fillId="25" fontId="56" numFmtId="2" xfId="0" applyAlignment="1" applyBorder="1" applyFont="1" applyNumberFormat="1">
      <alignment horizontal="center" readingOrder="0" vertical="bottom"/>
    </xf>
    <xf borderId="26" fillId="24" fontId="9" numFmtId="2" xfId="0" applyAlignment="1" applyBorder="1" applyFont="1" applyNumberFormat="1">
      <alignment horizontal="center"/>
    </xf>
    <xf borderId="26" fillId="25" fontId="56" numFmtId="0" xfId="0" applyAlignment="1" applyBorder="1" applyFont="1">
      <alignment horizontal="center" readingOrder="0"/>
    </xf>
    <xf borderId="26" fillId="23" fontId="9" numFmtId="0" xfId="0" applyAlignment="1" applyBorder="1" applyFont="1">
      <alignment horizontal="center"/>
    </xf>
    <xf borderId="26" fillId="23" fontId="9" numFmtId="2" xfId="0" applyAlignment="1" applyBorder="1" applyFont="1" applyNumberFormat="1">
      <alignment horizontal="center"/>
    </xf>
    <xf borderId="45" fillId="28" fontId="56" numFmtId="0" xfId="0" applyAlignment="1" applyBorder="1" applyFont="1">
      <alignment horizontal="center" readingOrder="0" vertical="bottom"/>
    </xf>
    <xf borderId="45" fillId="24" fontId="56" numFmtId="0" xfId="0" applyAlignment="1" applyBorder="1" applyFont="1">
      <alignment horizontal="center" readingOrder="0" vertical="bottom"/>
    </xf>
    <xf borderId="51" fillId="28" fontId="56" numFmtId="0" xfId="0" applyAlignment="1" applyBorder="1" applyFont="1">
      <alignment horizontal="center" readingOrder="0"/>
    </xf>
    <xf borderId="26" fillId="29" fontId="9" numFmtId="2" xfId="0" applyAlignment="1" applyBorder="1" applyFont="1" applyNumberFormat="1">
      <alignment horizontal="center"/>
    </xf>
    <xf borderId="26" fillId="28" fontId="56" numFmtId="0" xfId="0" applyAlignment="1" applyBorder="1" applyFont="1">
      <alignment horizontal="center" readingOrder="0"/>
    </xf>
    <xf borderId="1" fillId="23" fontId="9" numFmtId="0" xfId="0" applyAlignment="1" applyBorder="1" applyFont="1">
      <alignment horizontal="center"/>
    </xf>
    <xf borderId="1" fillId="23" fontId="9" numFmtId="2" xfId="0" applyAlignment="1" applyBorder="1" applyFont="1" applyNumberFormat="1">
      <alignment horizontal="center"/>
    </xf>
    <xf borderId="1" fillId="29" fontId="9" numFmtId="2" xfId="0" applyAlignment="1" applyBorder="1" applyFont="1" applyNumberFormat="1">
      <alignment horizontal="center"/>
    </xf>
    <xf borderId="1" fillId="28" fontId="56" numFmtId="0" xfId="0" applyAlignment="1" applyBorder="1" applyFont="1">
      <alignment horizontal="center" readingOrder="0"/>
    </xf>
    <xf borderId="1" fillId="24" fontId="9" numFmtId="2" xfId="0" applyAlignment="1" applyBorder="1" applyFont="1" applyNumberFormat="1">
      <alignment horizontal="center"/>
    </xf>
    <xf borderId="1" fillId="25" fontId="56" numFmtId="0" xfId="0" applyAlignment="1" applyBorder="1" applyFont="1">
      <alignment horizontal="center" readingOrder="0"/>
    </xf>
    <xf borderId="1" fillId="25" fontId="9" numFmtId="2" xfId="0" applyAlignment="1" applyBorder="1" applyFont="1" applyNumberFormat="1">
      <alignment horizontal="center"/>
    </xf>
    <xf borderId="19" fillId="21" fontId="57" numFmtId="0" xfId="0" applyAlignment="1" applyBorder="1" applyFont="1">
      <alignment horizontal="center" readingOrder="0" shrinkToFit="0" wrapText="0"/>
    </xf>
    <xf borderId="3" fillId="21" fontId="57" numFmtId="0" xfId="0" applyAlignment="1" applyBorder="1" applyFont="1">
      <alignment horizontal="center" readingOrder="0" shrinkToFit="0" wrapText="0"/>
    </xf>
    <xf borderId="35" fillId="21" fontId="57" numFmtId="0" xfId="0" applyAlignment="1" applyBorder="1" applyFont="1">
      <alignment horizontal="center" readingOrder="0" shrinkToFit="0" wrapText="0"/>
    </xf>
    <xf borderId="35" fillId="21" fontId="57" numFmtId="0" xfId="0" applyAlignment="1" applyBorder="1" applyFont="1">
      <alignment horizontal="center" readingOrder="0"/>
    </xf>
    <xf borderId="15" fillId="0" fontId="57" numFmtId="0" xfId="0" applyAlignment="1" applyBorder="1" applyFont="1">
      <alignment horizontal="center" readingOrder="0" shrinkToFit="0" wrapText="0"/>
    </xf>
    <xf borderId="35" fillId="0" fontId="57" numFmtId="0" xfId="0" applyAlignment="1" applyBorder="1" applyFont="1">
      <alignment horizontal="center" readingOrder="0" shrinkToFit="0" wrapText="0"/>
    </xf>
    <xf borderId="35" fillId="0" fontId="57" numFmtId="0" xfId="0" applyAlignment="1" applyBorder="1" applyFont="1">
      <alignment horizontal="center" readingOrder="0"/>
    </xf>
    <xf borderId="1" fillId="0" fontId="57" numFmtId="0" xfId="0" applyAlignment="1" applyBorder="1" applyFont="1">
      <alignment horizontal="center" readingOrder="0" shrinkToFit="0" wrapText="0"/>
    </xf>
    <xf borderId="1" fillId="0" fontId="39" numFmtId="0" xfId="0" applyAlignment="1" applyBorder="1" applyFont="1">
      <alignment horizontal="center" readingOrder="0"/>
    </xf>
    <xf borderId="1" fillId="0" fontId="57" numFmtId="0" xfId="0" applyAlignment="1" applyBorder="1" applyFont="1">
      <alignment horizontal="center" readingOrder="0"/>
    </xf>
    <xf borderId="15" fillId="0" fontId="20" numFmtId="0" xfId="0" applyAlignment="1" applyBorder="1" applyFont="1">
      <alignment horizontal="center" readingOrder="0" shrinkToFit="0" wrapText="0"/>
    </xf>
    <xf borderId="35" fillId="0" fontId="20" numFmtId="0" xfId="0" applyAlignment="1" applyBorder="1" applyFont="1">
      <alignment horizontal="center" readingOrder="0" shrinkToFit="0" wrapText="0"/>
    </xf>
    <xf borderId="35" fillId="0" fontId="20" numFmtId="0" xfId="0" applyAlignment="1" applyBorder="1" applyFont="1">
      <alignment horizontal="center" readingOrder="0"/>
    </xf>
    <xf borderId="1" fillId="0" fontId="20" numFmtId="0" xfId="0" applyAlignment="1" applyBorder="1" applyFont="1">
      <alignment horizontal="center" readingOrder="0" shrinkToFit="0" wrapText="0"/>
    </xf>
    <xf borderId="35" fillId="2" fontId="57" numFmtId="0" xfId="0" applyAlignment="1" applyBorder="1" applyFont="1">
      <alignment horizontal="center" readingOrder="0" shrinkToFit="0" wrapText="0"/>
    </xf>
    <xf borderId="1" fillId="0" fontId="8" numFmtId="0" xfId="0" applyAlignment="1" applyBorder="1" applyFont="1">
      <alignment horizontal="center" readingOrder="0"/>
    </xf>
    <xf borderId="1" fillId="0" fontId="15" numFmtId="0" xfId="0" applyBorder="1" applyFont="1"/>
    <xf borderId="35" fillId="2" fontId="20" numFmtId="0" xfId="0" applyAlignment="1" applyBorder="1" applyFont="1">
      <alignment horizontal="center" readingOrder="0" shrinkToFit="0" wrapText="0"/>
    </xf>
    <xf borderId="0" fillId="0" fontId="20" numFmtId="0" xfId="0" applyAlignment="1" applyFont="1">
      <alignment shrinkToFit="0" vertical="bottom" wrapText="0"/>
    </xf>
    <xf borderId="0" fillId="21" fontId="57" numFmtId="0" xfId="0" applyAlignment="1" applyFont="1">
      <alignment horizontal="center" readingOrder="0" shrinkToFit="0" wrapText="0"/>
    </xf>
    <xf borderId="0" fillId="21" fontId="57" numFmtId="0" xfId="0" applyAlignment="1" applyFont="1">
      <alignment horizontal="center" readingOrder="0"/>
    </xf>
    <xf borderId="35" fillId="0" fontId="58" numFmtId="0" xfId="0" applyAlignment="1" applyBorder="1" applyFont="1">
      <alignment horizontal="center" readingOrder="0" shrinkToFit="0" wrapText="0"/>
    </xf>
    <xf borderId="35" fillId="0" fontId="59" numFmtId="0" xfId="0" applyAlignment="1" applyBorder="1" applyFont="1">
      <alignment horizontal="center" readingOrder="0"/>
    </xf>
    <xf borderId="0" fillId="0" fontId="59" numFmtId="0" xfId="0" applyAlignment="1" applyFont="1">
      <alignment horizontal="center" readingOrder="0"/>
    </xf>
    <xf borderId="35" fillId="0" fontId="60" numFmtId="0" xfId="0" applyAlignment="1" applyBorder="1" applyFont="1">
      <alignment horizontal="center" readingOrder="0" shrinkToFit="0" wrapText="0"/>
    </xf>
    <xf borderId="35" fillId="0" fontId="61" numFmtId="0" xfId="0" applyAlignment="1" applyBorder="1" applyFont="1">
      <alignment horizontal="center" readingOrder="0" shrinkToFit="0" wrapText="0"/>
    </xf>
    <xf borderId="35" fillId="0" fontId="61" numFmtId="0" xfId="0" applyAlignment="1" applyBorder="1" applyFont="1">
      <alignment horizontal="center" readingOrder="0"/>
    </xf>
    <xf borderId="0" fillId="0" fontId="61" numFmtId="0" xfId="0" applyAlignment="1" applyFont="1">
      <alignment horizontal="center" readingOrder="0"/>
    </xf>
    <xf borderId="35" fillId="0" fontId="62" numFmtId="0" xfId="0" applyAlignment="1" applyBorder="1" applyFont="1">
      <alignment horizontal="center" readingOrder="0"/>
    </xf>
    <xf borderId="0" fillId="0" fontId="62" numFmtId="0" xfId="0" applyAlignment="1" applyFont="1">
      <alignment horizontal="center" readingOrder="0"/>
    </xf>
    <xf borderId="0" fillId="0" fontId="3" numFmtId="0" xfId="0" applyAlignment="1" applyFont="1">
      <alignment readingOrder="0" vertical="bottom"/>
    </xf>
    <xf borderId="0" fillId="0" fontId="63" numFmtId="0" xfId="0" applyAlignment="1" applyFont="1">
      <alignment readingOrder="0" vertical="bottom"/>
    </xf>
    <xf borderId="19" fillId="30" fontId="51" numFmtId="0" xfId="0" applyAlignment="1" applyBorder="1" applyFill="1" applyFont="1">
      <alignment horizontal="center" readingOrder="0"/>
    </xf>
    <xf borderId="3" fillId="23" fontId="51" numFmtId="0" xfId="0" applyAlignment="1" applyBorder="1" applyFont="1">
      <alignment horizontal="center" readingOrder="0" vertical="bottom"/>
    </xf>
    <xf borderId="3" fillId="23" fontId="51" numFmtId="0" xfId="0" applyAlignment="1" applyBorder="1" applyFont="1">
      <alignment horizontal="center" vertical="bottom"/>
    </xf>
    <xf borderId="15" fillId="30" fontId="51" numFmtId="0" xfId="0" applyAlignment="1" applyBorder="1" applyFont="1">
      <alignment horizontal="center"/>
    </xf>
    <xf borderId="1" fillId="23" fontId="51" numFmtId="0" xfId="0" applyAlignment="1" applyBorder="1" applyFont="1">
      <alignment horizontal="center" readingOrder="0" vertical="bottom"/>
    </xf>
    <xf borderId="1" fillId="0" fontId="52" numFmtId="0" xfId="0" applyAlignment="1" applyBorder="1" applyFont="1">
      <alignment horizontal="center" readingOrder="0" vertical="bottom"/>
    </xf>
    <xf borderId="1" fillId="0" fontId="52" numFmtId="0" xfId="0" applyAlignment="1" applyBorder="1" applyFont="1">
      <alignment readingOrder="0" vertical="bottom"/>
    </xf>
    <xf borderId="1" fillId="31" fontId="52" numFmtId="10" xfId="0" applyAlignment="1" applyBorder="1" applyFill="1" applyFont="1" applyNumberFormat="1">
      <alignment horizontal="center" readingOrder="0" vertical="bottom"/>
    </xf>
    <xf borderId="1" fillId="32" fontId="52" numFmtId="10" xfId="0" applyAlignment="1" applyBorder="1" applyFill="1" applyFont="1" applyNumberFormat="1">
      <alignment horizontal="center" readingOrder="0" vertical="bottom"/>
    </xf>
    <xf borderId="1" fillId="3" fontId="52" numFmtId="0" xfId="0" applyAlignment="1" applyBorder="1" applyFont="1">
      <alignment horizontal="center" readingOrder="0" vertical="bottom"/>
    </xf>
    <xf borderId="1" fillId="33" fontId="52" numFmtId="10" xfId="0" applyAlignment="1" applyBorder="1" applyFill="1" applyFont="1" applyNumberFormat="1">
      <alignment horizontal="center" readingOrder="0" vertical="bottom"/>
    </xf>
    <xf borderId="1" fillId="34" fontId="52" numFmtId="10" xfId="0" applyAlignment="1" applyBorder="1" applyFill="1" applyFont="1" applyNumberFormat="1">
      <alignment horizontal="center" readingOrder="0" vertical="bottom"/>
    </xf>
    <xf borderId="1" fillId="35" fontId="52" numFmtId="10" xfId="0" applyAlignment="1" applyBorder="1" applyFill="1" applyFont="1" applyNumberFormat="1">
      <alignment horizontal="center" readingOrder="0" vertical="bottom"/>
    </xf>
    <xf borderId="0" fillId="0" fontId="64" numFmtId="0" xfId="0" applyAlignment="1" applyFont="1">
      <alignment readingOrder="0"/>
    </xf>
    <xf borderId="1" fillId="36" fontId="52" numFmtId="10" xfId="0" applyAlignment="1" applyBorder="1" applyFill="1" applyFont="1" applyNumberFormat="1">
      <alignment horizontal="center" readingOrder="0" vertical="bottom"/>
    </xf>
    <xf borderId="0" fillId="0" fontId="65" numFmtId="0" xfId="0" applyAlignment="1" applyFont="1">
      <alignment shrinkToFit="0" vertical="bottom" wrapText="0"/>
    </xf>
    <xf borderId="1" fillId="37" fontId="52" numFmtId="10" xfId="0" applyAlignment="1" applyBorder="1" applyFill="1" applyFont="1" applyNumberFormat="1">
      <alignment horizontal="center" readingOrder="0" vertical="bottom"/>
    </xf>
    <xf borderId="1" fillId="38" fontId="52" numFmtId="10" xfId="0" applyAlignment="1" applyBorder="1" applyFill="1" applyFont="1" applyNumberFormat="1">
      <alignment horizontal="center" readingOrder="0" vertical="bottom"/>
    </xf>
    <xf borderId="1" fillId="39" fontId="52" numFmtId="10" xfId="0" applyAlignment="1" applyBorder="1" applyFill="1" applyFont="1" applyNumberFormat="1">
      <alignment horizontal="center" readingOrder="0" vertical="bottom"/>
    </xf>
    <xf borderId="1" fillId="40" fontId="52" numFmtId="10" xfId="0" applyAlignment="1" applyBorder="1" applyFill="1" applyFont="1" applyNumberFormat="1">
      <alignment horizontal="center" readingOrder="0" vertical="bottom"/>
    </xf>
    <xf borderId="1" fillId="41" fontId="52" numFmtId="10" xfId="0" applyAlignment="1" applyBorder="1" applyFill="1" applyFont="1" applyNumberFormat="1">
      <alignment horizontal="center" readingOrder="0" vertical="bottom"/>
    </xf>
    <xf borderId="19" fillId="21" fontId="66" numFmtId="0" xfId="0" applyAlignment="1" applyBorder="1" applyFont="1">
      <alignment horizontal="center" vertical="bottom"/>
    </xf>
    <xf borderId="21" fillId="21" fontId="66" numFmtId="0" xfId="0" applyAlignment="1" applyBorder="1" applyFont="1">
      <alignment horizontal="center" vertical="bottom"/>
    </xf>
    <xf borderId="1" fillId="42" fontId="52" numFmtId="10" xfId="0" applyAlignment="1" applyBorder="1" applyFill="1" applyFont="1" applyNumberFormat="1">
      <alignment horizontal="center" readingOrder="0" vertical="bottom"/>
    </xf>
    <xf borderId="52" fillId="43" fontId="66" numFmtId="0" xfId="0" applyAlignment="1" applyBorder="1" applyFill="1" applyFont="1">
      <alignment horizontal="center"/>
    </xf>
    <xf borderId="1" fillId="44" fontId="52" numFmtId="10" xfId="0" applyAlignment="1" applyBorder="1" applyFill="1" applyFont="1" applyNumberFormat="1">
      <alignment horizontal="center" readingOrder="0" vertical="bottom"/>
    </xf>
    <xf borderId="1" fillId="45" fontId="52" numFmtId="10" xfId="0" applyAlignment="1" applyBorder="1" applyFill="1" applyFont="1" applyNumberFormat="1">
      <alignment horizontal="center" readingOrder="0" vertical="bottom"/>
    </xf>
    <xf borderId="53" fillId="43" fontId="66" numFmtId="0" xfId="0" applyAlignment="1" applyBorder="1" applyFont="1">
      <alignment horizontal="center"/>
    </xf>
    <xf borderId="54" fillId="43" fontId="66" numFmtId="0" xfId="0" applyAlignment="1" applyBorder="1" applyFont="1">
      <alignment horizontal="center" vertical="bottom"/>
    </xf>
    <xf borderId="2" fillId="26" fontId="3" numFmtId="0" xfId="0" applyAlignment="1" applyBorder="1" applyFont="1">
      <alignment vertical="bottom"/>
    </xf>
    <xf borderId="4" fillId="26" fontId="51" numFmtId="0" xfId="0" applyAlignment="1" applyBorder="1" applyFont="1">
      <alignment horizontal="center" readingOrder="0" vertical="bottom"/>
    </xf>
    <xf borderId="1" fillId="26" fontId="51" numFmtId="10" xfId="0" applyAlignment="1" applyBorder="1" applyFont="1" applyNumberFormat="1">
      <alignment horizontal="center" readingOrder="0" vertical="bottom"/>
    </xf>
    <xf borderId="2" fillId="46" fontId="67" numFmtId="0" xfId="0" applyAlignment="1" applyBorder="1" applyFill="1" applyFont="1">
      <alignment horizontal="center" readingOrder="0" shrinkToFit="0" wrapText="0"/>
    </xf>
    <xf borderId="1" fillId="26" fontId="51" numFmtId="0" xfId="0" applyAlignment="1" applyBorder="1" applyFont="1">
      <alignment horizontal="center" readingOrder="0" vertical="bottom"/>
    </xf>
    <xf borderId="55" fillId="47" fontId="67" numFmtId="0" xfId="0" applyAlignment="1" applyBorder="1" applyFill="1" applyFont="1">
      <alignment horizontal="center" readingOrder="0"/>
    </xf>
    <xf borderId="56" fillId="47" fontId="67" numFmtId="0" xfId="0" applyAlignment="1" applyBorder="1" applyFont="1">
      <alignment horizontal="center" readingOrder="0" shrinkToFit="0" wrapText="0"/>
    </xf>
    <xf borderId="57" fillId="0" fontId="4" numFmtId="0" xfId="0" applyBorder="1" applyFont="1"/>
    <xf borderId="48" fillId="21" fontId="68" numFmtId="0" xfId="0" applyAlignment="1" applyBorder="1" applyFont="1">
      <alignment horizontal="center" vertical="bottom"/>
    </xf>
    <xf borderId="58" fillId="0" fontId="4" numFmtId="0" xfId="0" applyBorder="1" applyFont="1"/>
    <xf borderId="49" fillId="21" fontId="68" numFmtId="0" xfId="0" applyAlignment="1" applyBorder="1" applyFont="1">
      <alignment horizontal="center" vertical="bottom"/>
    </xf>
    <xf borderId="4" fillId="23" fontId="51" numFmtId="0" xfId="0" applyAlignment="1" applyBorder="1" applyFont="1">
      <alignment horizontal="center" vertical="bottom"/>
    </xf>
    <xf borderId="35" fillId="21" fontId="68" numFmtId="0" xfId="0" applyAlignment="1" applyBorder="1" applyFont="1">
      <alignment horizontal="center" vertical="bottom"/>
    </xf>
    <xf borderId="14" fillId="21" fontId="68" numFmtId="0" xfId="0" applyAlignment="1" applyBorder="1" applyFont="1">
      <alignment horizontal="center" vertical="bottom"/>
    </xf>
    <xf borderId="1" fillId="0" fontId="69" numFmtId="0" xfId="0" applyAlignment="1" applyBorder="1" applyFont="1">
      <alignment horizontal="center" vertical="bottom"/>
    </xf>
    <xf borderId="2" fillId="0" fontId="69" numFmtId="0" xfId="0" applyAlignment="1" applyBorder="1" applyFont="1">
      <alignment horizontal="center" vertical="bottom"/>
    </xf>
    <xf borderId="1" fillId="29" fontId="69" numFmtId="164" xfId="0" applyAlignment="1" applyBorder="1" applyFont="1" applyNumberFormat="1">
      <alignment horizontal="center" vertical="bottom"/>
    </xf>
    <xf borderId="1" fillId="3" fontId="52" numFmtId="0" xfId="0" applyAlignment="1" applyBorder="1" applyFont="1">
      <alignment horizontal="right" readingOrder="0" vertical="bottom"/>
    </xf>
    <xf borderId="59" fillId="0" fontId="4" numFmtId="0" xfId="0" applyBorder="1" applyFont="1"/>
    <xf borderId="60" fillId="0" fontId="4" numFmtId="0" xfId="0" applyBorder="1" applyFont="1"/>
    <xf borderId="24" fillId="0" fontId="69" numFmtId="0" xfId="0" applyAlignment="1" applyBorder="1" applyFont="1">
      <alignment horizontal="center" vertical="bottom"/>
    </xf>
    <xf borderId="1" fillId="48" fontId="70" numFmtId="0" xfId="0" applyAlignment="1" applyBorder="1" applyFill="1" applyFont="1">
      <alignment horizontal="center" readingOrder="0"/>
    </xf>
    <xf borderId="30" fillId="29" fontId="69" numFmtId="164" xfId="0" applyAlignment="1" applyBorder="1" applyFont="1" applyNumberFormat="1">
      <alignment horizontal="center" vertical="bottom"/>
    </xf>
    <xf borderId="1" fillId="49" fontId="52" numFmtId="10" xfId="0" applyAlignment="1" applyBorder="1" applyFill="1" applyFont="1" applyNumberFormat="1">
      <alignment horizontal="center" readingOrder="0" vertical="bottom"/>
    </xf>
    <xf borderId="4" fillId="0" fontId="69" numFmtId="0" xfId="0" applyAlignment="1" applyBorder="1" applyFont="1">
      <alignment horizontal="center" vertical="bottom"/>
    </xf>
    <xf borderId="2" fillId="29" fontId="69" numFmtId="164" xfId="0" applyAlignment="1" applyBorder="1" applyFont="1" applyNumberFormat="1">
      <alignment horizontal="center" vertical="bottom"/>
    </xf>
    <xf borderId="1" fillId="29" fontId="71" numFmtId="164" xfId="0" applyAlignment="1" applyBorder="1" applyFont="1" applyNumberFormat="1">
      <alignment horizontal="center" vertical="bottom"/>
    </xf>
    <xf borderId="4" fillId="3" fontId="69" numFmtId="0" xfId="0" applyAlignment="1" applyBorder="1" applyFont="1">
      <alignment horizontal="center" vertical="bottom"/>
    </xf>
    <xf borderId="2" fillId="3" fontId="69" numFmtId="0" xfId="0" applyAlignment="1" applyBorder="1" applyFont="1">
      <alignment horizontal="center" vertical="bottom"/>
    </xf>
    <xf borderId="24" fillId="3" fontId="69" numFmtId="0" xfId="0" applyAlignment="1" applyBorder="1" applyFont="1">
      <alignment horizontal="center" vertical="bottom"/>
    </xf>
    <xf borderId="30" fillId="3" fontId="69" numFmtId="0" xfId="0" applyAlignment="1" applyBorder="1" applyFont="1">
      <alignment horizontal="center" vertical="bottom"/>
    </xf>
    <xf borderId="15" fillId="0" fontId="69" numFmtId="0" xfId="0" applyAlignment="1" applyBorder="1" applyFont="1">
      <alignment horizontal="center" vertical="bottom"/>
    </xf>
    <xf borderId="1" fillId="50" fontId="52" numFmtId="10" xfId="0" applyAlignment="1" applyBorder="1" applyFill="1" applyFont="1" applyNumberFormat="1">
      <alignment horizontal="center" readingOrder="0" vertical="bottom"/>
    </xf>
    <xf borderId="48" fillId="0" fontId="69" numFmtId="0" xfId="0" applyAlignment="1" applyBorder="1" applyFont="1">
      <alignment horizontal="center" vertical="bottom"/>
    </xf>
    <xf borderId="35" fillId="0" fontId="69" numFmtId="0" xfId="0" applyAlignment="1" applyBorder="1" applyFont="1">
      <alignment horizontal="center" vertical="bottom"/>
    </xf>
    <xf borderId="1" fillId="51" fontId="52" numFmtId="10" xfId="0" applyAlignment="1" applyBorder="1" applyFill="1" applyFont="1" applyNumberFormat="1">
      <alignment horizontal="center" readingOrder="0" vertical="bottom"/>
    </xf>
    <xf borderId="1" fillId="52" fontId="52" numFmtId="10" xfId="0" applyAlignment="1" applyBorder="1" applyFill="1" applyFont="1" applyNumberFormat="1">
      <alignment horizontal="center" readingOrder="0" vertical="bottom"/>
    </xf>
    <xf borderId="1" fillId="30" fontId="52" numFmtId="10" xfId="0" applyAlignment="1" applyBorder="1" applyFont="1" applyNumberFormat="1">
      <alignment horizontal="center" readingOrder="0" vertical="bottom"/>
    </xf>
    <xf borderId="1" fillId="3" fontId="42" numFmtId="0" xfId="0" applyAlignment="1" applyBorder="1" applyFont="1">
      <alignment horizontal="left" readingOrder="0" shrinkToFit="0" wrapText="0"/>
    </xf>
    <xf borderId="30" fillId="53" fontId="69" numFmtId="164" xfId="0" applyAlignment="1" applyBorder="1" applyFill="1" applyFont="1" applyNumberFormat="1">
      <alignment horizontal="center" vertical="bottom"/>
    </xf>
    <xf borderId="1" fillId="3" fontId="42" numFmtId="0" xfId="0" applyAlignment="1" applyBorder="1" applyFont="1">
      <alignment horizontal="right" readingOrder="0" shrinkToFit="0" wrapText="0"/>
    </xf>
    <xf borderId="1" fillId="3" fontId="72" numFmtId="0" xfId="0" applyAlignment="1" applyBorder="1" applyFont="1">
      <alignment horizontal="right" readingOrder="0" shrinkToFit="0" wrapText="0"/>
    </xf>
    <xf borderId="1" fillId="3" fontId="72" numFmtId="10" xfId="0" applyAlignment="1" applyBorder="1" applyFont="1" applyNumberFormat="1">
      <alignment horizontal="right" readingOrder="0" shrinkToFit="0" wrapText="0"/>
    </xf>
    <xf borderId="1" fillId="3" fontId="73" numFmtId="10" xfId="0" applyAlignment="1" applyBorder="1" applyFont="1" applyNumberFormat="1">
      <alignment horizontal="right" readingOrder="0" shrinkToFit="0" wrapText="0"/>
    </xf>
    <xf borderId="1" fillId="3" fontId="73" numFmtId="0" xfId="0" applyAlignment="1" applyBorder="1" applyFont="1">
      <alignment horizontal="right" readingOrder="0" shrinkToFit="0" wrapText="0"/>
    </xf>
    <xf borderId="1" fillId="54" fontId="52" numFmtId="10" xfId="0" applyAlignment="1" applyBorder="1" applyFill="1" applyFont="1" applyNumberFormat="1">
      <alignment horizontal="center" readingOrder="0" vertical="bottom"/>
    </xf>
    <xf borderId="1" fillId="55" fontId="52" numFmtId="10" xfId="0" applyAlignment="1" applyBorder="1" applyFill="1" applyFont="1" applyNumberFormat="1">
      <alignment horizontal="center" readingOrder="0" vertical="bottom"/>
    </xf>
    <xf borderId="1" fillId="53" fontId="69" numFmtId="164" xfId="0" applyAlignment="1" applyBorder="1" applyFont="1" applyNumberFormat="1">
      <alignment horizontal="center" vertical="bottom"/>
    </xf>
    <xf borderId="1" fillId="56" fontId="52" numFmtId="10" xfId="0" applyAlignment="1" applyBorder="1" applyFill="1" applyFont="1" applyNumberFormat="1">
      <alignment horizontal="center" readingOrder="0" vertical="bottom"/>
    </xf>
    <xf borderId="1" fillId="57" fontId="52" numFmtId="10" xfId="0" applyAlignment="1" applyBorder="1" applyFill="1" applyFont="1" applyNumberFormat="1">
      <alignment horizontal="center" readingOrder="0" vertical="bottom"/>
    </xf>
    <xf borderId="1" fillId="58" fontId="3" numFmtId="0" xfId="0" applyAlignment="1" applyBorder="1" applyFill="1" applyFont="1">
      <alignment vertical="bottom"/>
    </xf>
    <xf borderId="2" fillId="0" fontId="66" numFmtId="0" xfId="0" applyAlignment="1" applyBorder="1" applyFont="1">
      <alignment horizontal="center" vertical="bottom"/>
    </xf>
    <xf borderId="1" fillId="59" fontId="52" numFmtId="10" xfId="0" applyAlignment="1" applyBorder="1" applyFill="1" applyFont="1" applyNumberFormat="1">
      <alignment horizontal="center" readingOrder="0" vertical="bottom"/>
    </xf>
    <xf borderId="15" fillId="0" fontId="66" numFmtId="0" xfId="0" applyAlignment="1" applyBorder="1" applyFont="1">
      <alignment horizontal="center" vertical="bottom"/>
    </xf>
    <xf borderId="1" fillId="60" fontId="52" numFmtId="10" xfId="0" applyAlignment="1" applyBorder="1" applyFill="1" applyFont="1" applyNumberFormat="1">
      <alignment horizontal="center" readingOrder="0" vertical="bottom"/>
    </xf>
    <xf borderId="35" fillId="0" fontId="66" numFmtId="164" xfId="0" applyAlignment="1" applyBorder="1" applyFont="1" applyNumberFormat="1">
      <alignment horizontal="center" vertical="bottom"/>
    </xf>
    <xf borderId="15" fillId="0" fontId="66" numFmtId="164" xfId="0" applyAlignment="1" applyBorder="1" applyFont="1" applyNumberFormat="1">
      <alignment horizontal="center" vertical="bottom"/>
    </xf>
    <xf borderId="61" fillId="0" fontId="66" numFmtId="0" xfId="0" applyAlignment="1" applyBorder="1" applyFont="1">
      <alignment horizontal="center" vertical="bottom"/>
    </xf>
    <xf borderId="62" fillId="0" fontId="66" numFmtId="164" xfId="0" applyAlignment="1" applyBorder="1" applyFont="1" applyNumberFormat="1">
      <alignment horizontal="center" vertical="bottom"/>
    </xf>
    <xf borderId="16" fillId="0" fontId="66" numFmtId="0" xfId="0" applyAlignment="1" applyBorder="1" applyFont="1">
      <alignment horizontal="center" vertical="bottom"/>
    </xf>
    <xf borderId="39" fillId="0" fontId="66" numFmtId="164" xfId="0" applyAlignment="1" applyBorder="1" applyFont="1" applyNumberFormat="1">
      <alignment horizontal="center" vertical="bottom"/>
    </xf>
    <xf borderId="1" fillId="0" fontId="74" numFmtId="164" xfId="0" applyAlignment="1" applyBorder="1" applyFont="1" applyNumberFormat="1">
      <alignment horizontal="center" vertical="bottom"/>
    </xf>
    <xf borderId="51" fillId="3" fontId="69" numFmtId="0" xfId="0" applyAlignment="1" applyBorder="1" applyFont="1">
      <alignment horizontal="center" vertical="bottom"/>
    </xf>
    <xf borderId="1" fillId="61" fontId="52" numFmtId="10" xfId="0" applyAlignment="1" applyBorder="1" applyFill="1" applyFont="1" applyNumberFormat="1">
      <alignment horizontal="center" readingOrder="0" vertical="bottom"/>
    </xf>
    <xf borderId="47" fillId="3" fontId="69" numFmtId="0" xfId="0" applyAlignment="1" applyBorder="1" applyFont="1">
      <alignment horizontal="center" vertical="bottom"/>
    </xf>
    <xf borderId="45" fillId="3" fontId="69" numFmtId="0" xfId="0" applyAlignment="1" applyBorder="1" applyFont="1">
      <alignment horizontal="center" vertical="bottom"/>
    </xf>
    <xf borderId="1" fillId="62" fontId="52" numFmtId="10" xfId="0" applyAlignment="1" applyBorder="1" applyFill="1" applyFont="1" applyNumberFormat="1">
      <alignment horizontal="center" readingOrder="0" vertical="bottom"/>
    </xf>
    <xf borderId="46" fillId="3" fontId="69" numFmtId="0" xfId="0" applyAlignment="1" applyBorder="1" applyFont="1">
      <alignment horizontal="center" vertical="bottom"/>
    </xf>
    <xf borderId="1" fillId="63" fontId="52" numFmtId="10" xfId="0" applyAlignment="1" applyBorder="1" applyFill="1" applyFont="1" applyNumberFormat="1">
      <alignment horizontal="center" readingOrder="0" vertical="bottom"/>
    </xf>
    <xf borderId="1" fillId="64" fontId="52" numFmtId="10" xfId="0" applyAlignment="1" applyBorder="1" applyFill="1" applyFont="1" applyNumberFormat="1">
      <alignment horizontal="center" readingOrder="0" vertical="bottom"/>
    </xf>
    <xf borderId="1" fillId="65" fontId="52" numFmtId="10" xfId="0" applyAlignment="1" applyBorder="1" applyFill="1" applyFont="1" applyNumberFormat="1">
      <alignment horizontal="center" readingOrder="0" vertical="bottom"/>
    </xf>
    <xf borderId="1" fillId="66" fontId="52" numFmtId="10" xfId="0" applyAlignment="1" applyBorder="1" applyFill="1" applyFont="1" applyNumberFormat="1">
      <alignment horizontal="center" readingOrder="0" vertical="bottom"/>
    </xf>
    <xf borderId="1" fillId="67" fontId="52" numFmtId="10" xfId="0" applyAlignment="1" applyBorder="1" applyFill="1" applyFont="1" applyNumberFormat="1">
      <alignment horizontal="center" readingOrder="0" vertical="bottom"/>
    </xf>
    <xf borderId="1" fillId="68" fontId="52" numFmtId="10" xfId="0" applyAlignment="1" applyBorder="1" applyFill="1" applyFont="1" applyNumberFormat="1">
      <alignment horizontal="center" readingOrder="0" vertical="bottom"/>
    </xf>
    <xf borderId="1" fillId="69" fontId="52" numFmtId="10" xfId="0" applyAlignment="1" applyBorder="1" applyFill="1" applyFont="1" applyNumberFormat="1">
      <alignment horizontal="center" readingOrder="0" vertical="bottom"/>
    </xf>
    <xf borderId="1" fillId="70" fontId="52" numFmtId="10" xfId="0" applyAlignment="1" applyBorder="1" applyFill="1" applyFont="1" applyNumberFormat="1">
      <alignment horizontal="center" readingOrder="0" vertical="bottom"/>
    </xf>
    <xf borderId="1" fillId="71" fontId="52" numFmtId="10" xfId="0" applyAlignment="1" applyBorder="1" applyFill="1" applyFont="1" applyNumberFormat="1">
      <alignment horizontal="center" readingOrder="0" vertical="bottom"/>
    </xf>
    <xf borderId="2" fillId="23" fontId="51" numFmtId="0" xfId="0" applyAlignment="1" applyBorder="1" applyFont="1">
      <alignment horizontal="center" readingOrder="0" vertical="bottom"/>
    </xf>
    <xf borderId="1" fillId="3" fontId="51" numFmtId="10" xfId="0" applyAlignment="1" applyBorder="1" applyFont="1" applyNumberFormat="1">
      <alignment horizontal="center" readingOrder="0"/>
    </xf>
    <xf borderId="1" fillId="48" fontId="70" numFmtId="0" xfId="0" applyAlignment="1" applyBorder="1" applyFont="1">
      <alignment horizontal="left" readingOrder="0" shrinkToFit="0" wrapText="0"/>
    </xf>
    <xf borderId="1" fillId="48" fontId="70" numFmtId="0" xfId="0" applyAlignment="1" applyBorder="1" applyFont="1">
      <alignment horizontal="right" readingOrder="0" shrinkToFit="0" wrapText="0"/>
    </xf>
    <xf borderId="1" fillId="48" fontId="72" numFmtId="0" xfId="0" applyAlignment="1" applyBorder="1" applyFont="1">
      <alignment horizontal="right" readingOrder="0" shrinkToFit="0" wrapText="0"/>
    </xf>
    <xf borderId="1" fillId="48" fontId="73" numFmtId="0" xfId="0" applyAlignment="1" applyBorder="1" applyFont="1">
      <alignment horizontal="right" readingOrder="0" shrinkToFit="0" wrapText="0"/>
    </xf>
    <xf borderId="0" fillId="0" fontId="20" numFmtId="0" xfId="0" applyAlignment="1" applyFont="1">
      <alignment shrinkToFit="0" vertical="bottom" wrapText="0"/>
    </xf>
    <xf borderId="0" fillId="0" fontId="60" numFmtId="0" xfId="0" applyAlignment="1" applyFont="1">
      <alignment readingOrder="0" shrinkToFit="0" vertical="bottom" wrapText="0"/>
    </xf>
    <xf borderId="1" fillId="3" fontId="51" numFmtId="0" xfId="0" applyAlignment="1" applyBorder="1" applyFont="1">
      <alignment horizontal="center" readingOrder="0"/>
    </xf>
    <xf borderId="0" fillId="0" fontId="60" numFmtId="0" xfId="0" applyAlignment="1" applyFont="1">
      <alignment horizontal="left" readingOrder="0" shrinkToFit="0" wrapText="0"/>
    </xf>
    <xf borderId="0" fillId="0" fontId="20" numFmtId="0" xfId="0" applyAlignment="1" applyFont="1">
      <alignment horizontal="center" readingOrder="0" shrinkToFit="0" vertical="bottom" wrapText="0"/>
    </xf>
    <xf borderId="0" fillId="0" fontId="20" numFmtId="0" xfId="0" applyAlignment="1" applyFont="1">
      <alignment readingOrder="0" shrinkToFit="0" vertical="top" wrapText="0"/>
    </xf>
    <xf borderId="0" fillId="0" fontId="20" numFmtId="3" xfId="0" applyAlignment="1" applyFont="1" applyNumberFormat="1">
      <alignment readingOrder="0" shrinkToFit="0" vertical="bottom" wrapText="0"/>
    </xf>
    <xf borderId="0" fillId="0" fontId="60" numFmtId="3" xfId="0" applyAlignment="1" applyFont="1" applyNumberFormat="1">
      <alignment readingOrder="0" shrinkToFit="0" vertical="bottom" wrapText="0"/>
    </xf>
    <xf borderId="1" fillId="0" fontId="42" numFmtId="0" xfId="0" applyAlignment="1" applyBorder="1" applyFont="1">
      <alignment readingOrder="0" shrinkToFit="0" vertical="bottom" wrapText="0"/>
    </xf>
    <xf borderId="1" fillId="0" fontId="42" numFmtId="0" xfId="0" applyAlignment="1" applyBorder="1" applyFont="1">
      <alignment horizontal="right" readingOrder="0" shrinkToFit="0" vertical="bottom" wrapText="0"/>
    </xf>
    <xf borderId="1" fillId="0" fontId="42" numFmtId="0" xfId="0" applyAlignment="1" applyBorder="1" applyFont="1">
      <alignment shrinkToFit="0" vertical="bottom" wrapText="0"/>
    </xf>
    <xf borderId="0" fillId="0" fontId="60" numFmtId="0" xfId="0" applyAlignment="1" applyFont="1">
      <alignment horizontal="center" readingOrder="0" shrinkToFit="0" vertical="bottom" wrapText="0"/>
    </xf>
    <xf borderId="1" fillId="7" fontId="42" numFmtId="0" xfId="0" applyAlignment="1" applyBorder="1" applyFont="1">
      <alignment readingOrder="0" shrinkToFit="0" vertical="bottom" wrapText="0"/>
    </xf>
    <xf borderId="1" fillId="7" fontId="42" numFmtId="0" xfId="0" applyAlignment="1" applyBorder="1" applyFont="1">
      <alignment horizontal="right" readingOrder="0" shrinkToFit="0" vertical="bottom" wrapText="0"/>
    </xf>
    <xf borderId="0" fillId="0" fontId="75" numFmtId="3" xfId="0" applyAlignment="1" applyFont="1" applyNumberFormat="1">
      <alignment readingOrder="0" shrinkToFit="0" vertical="bottom" wrapText="0"/>
    </xf>
    <xf borderId="0" fillId="0" fontId="60" numFmtId="0" xfId="0" applyAlignment="1" applyFont="1">
      <alignment horizontal="center" shrinkToFit="0" vertical="bottom" wrapText="0"/>
    </xf>
    <xf borderId="0" fillId="0" fontId="60" numFmtId="0" xfId="0" applyAlignment="1" applyFont="1">
      <alignment shrinkToFit="0" vertical="bottom" wrapText="0"/>
    </xf>
    <xf borderId="1" fillId="7" fontId="42" numFmtId="10" xfId="0" applyAlignment="1" applyBorder="1" applyFont="1" applyNumberFormat="1">
      <alignment horizontal="right" readingOrder="0" shrinkToFit="0" vertical="bottom" wrapText="0"/>
    </xf>
    <xf borderId="0" fillId="0" fontId="20" numFmtId="3" xfId="0" applyAlignment="1" applyFont="1" applyNumberFormat="1">
      <alignment horizontal="right" readingOrder="0" shrinkToFit="0" vertical="bottom" wrapText="0"/>
    </xf>
    <xf borderId="0" fillId="0" fontId="60" numFmtId="3" xfId="0" applyAlignment="1" applyFont="1" applyNumberFormat="1">
      <alignment horizontal="right" readingOrder="0" shrinkToFit="0" vertical="bottom" wrapText="0"/>
    </xf>
    <xf borderId="1" fillId="7" fontId="42" numFmtId="0" xfId="0" applyAlignment="1" applyBorder="1" applyFont="1">
      <alignment shrinkToFit="0" vertical="bottom" wrapText="0"/>
    </xf>
    <xf borderId="1" fillId="0" fontId="42" numFmtId="10" xfId="0" applyAlignment="1" applyBorder="1" applyFont="1" applyNumberFormat="1">
      <alignment horizontal="right" readingOrder="0" shrinkToFit="0" vertical="bottom" wrapText="0"/>
    </xf>
    <xf borderId="0" fillId="0" fontId="75" numFmtId="3" xfId="0" applyAlignment="1" applyFont="1" applyNumberFormat="1">
      <alignment horizontal="right" readingOrder="0" shrinkToFit="0" vertical="bottom" wrapText="0"/>
    </xf>
    <xf borderId="1" fillId="0" fontId="76" numFmtId="0" xfId="0" applyAlignment="1" applyBorder="1" applyFont="1">
      <alignment shrinkToFit="0" vertical="bottom" wrapText="0"/>
    </xf>
    <xf borderId="1" fillId="0" fontId="76" numFmtId="0" xfId="0" applyAlignment="1" applyBorder="1" applyFont="1">
      <alignment shrinkToFit="0" vertical="bottom" wrapText="0"/>
    </xf>
    <xf borderId="1" fillId="0" fontId="70" numFmtId="0" xfId="0" applyAlignment="1" applyBorder="1" applyFont="1">
      <alignment readingOrder="0" shrinkToFit="0" wrapText="0"/>
    </xf>
    <xf borderId="1" fillId="4" fontId="77" numFmtId="0" xfId="0" applyAlignment="1" applyBorder="1" applyFont="1">
      <alignment horizontal="center" readingOrder="0" shrinkToFit="0" wrapText="0"/>
    </xf>
    <xf borderId="0" fillId="0" fontId="20" numFmtId="0" xfId="0" applyAlignment="1" applyFont="1">
      <alignment horizontal="right" readingOrder="0" shrinkToFit="0" vertical="bottom" wrapText="0"/>
    </xf>
    <xf borderId="1" fillId="0" fontId="42" numFmtId="0" xfId="0" applyAlignment="1" applyBorder="1" applyFont="1">
      <alignment shrinkToFit="0" wrapText="0"/>
    </xf>
    <xf borderId="2" fillId="46" fontId="67" numFmtId="0" xfId="0" applyAlignment="1" applyBorder="1" applyFont="1">
      <alignment horizontal="left" readingOrder="0"/>
    </xf>
    <xf borderId="63" fillId="0" fontId="4" numFmtId="0" xfId="0" applyBorder="1" applyFont="1"/>
    <xf borderId="0" fillId="0" fontId="60" numFmtId="0" xfId="0" applyAlignment="1" applyFont="1">
      <alignment horizontal="right" readingOrder="0" shrinkToFit="0" vertical="bottom" wrapText="0"/>
    </xf>
    <xf borderId="3" fillId="0" fontId="78" numFmtId="0" xfId="0" applyAlignment="1" applyBorder="1" applyFont="1">
      <alignment horizontal="left" readingOrder="0"/>
    </xf>
    <xf borderId="2" fillId="72" fontId="42" numFmtId="0" xfId="0" applyAlignment="1" applyBorder="1" applyFill="1" applyFont="1">
      <alignment horizontal="left" readingOrder="0"/>
    </xf>
    <xf borderId="0" fillId="0" fontId="16" numFmtId="0" xfId="0" applyAlignment="1" applyFont="1">
      <alignment readingOrder="0"/>
    </xf>
    <xf borderId="1" fillId="47" fontId="67" numFmtId="0" xfId="0" applyAlignment="1" applyBorder="1" applyFont="1">
      <alignment horizontal="center" readingOrder="0"/>
    </xf>
    <xf borderId="2" fillId="48" fontId="70" numFmtId="171" xfId="0" applyAlignment="1" applyBorder="1" applyFont="1" applyNumberFormat="1">
      <alignment horizontal="center" readingOrder="0"/>
    </xf>
    <xf borderId="1" fillId="0" fontId="42" numFmtId="0" xfId="0" applyAlignment="1" applyBorder="1" applyFont="1">
      <alignment horizontal="left" readingOrder="0" shrinkToFit="0" wrapText="0"/>
    </xf>
    <xf borderId="1" fillId="0" fontId="42" numFmtId="0" xfId="0" applyAlignment="1" applyBorder="1" applyFont="1">
      <alignment horizontal="right" readingOrder="0" shrinkToFit="0" wrapText="0"/>
    </xf>
    <xf borderId="1" fillId="0" fontId="72" numFmtId="0" xfId="0" applyAlignment="1" applyBorder="1" applyFont="1">
      <alignment horizontal="right" readingOrder="0" shrinkToFit="0" wrapText="0"/>
    </xf>
    <xf borderId="2" fillId="0" fontId="70" numFmtId="0" xfId="0" applyAlignment="1" applyBorder="1" applyFont="1">
      <alignment horizontal="center" readingOrder="0" shrinkToFit="0" vertical="bottom" wrapText="0"/>
    </xf>
    <xf borderId="0" fillId="0" fontId="79" numFmtId="0" xfId="0" applyFont="1"/>
    <xf borderId="0" fillId="0" fontId="79" numFmtId="3" xfId="0" applyFont="1" applyNumberFormat="1"/>
    <xf borderId="1" fillId="0" fontId="76" numFmtId="0" xfId="0" applyAlignment="1" applyBorder="1" applyFont="1">
      <alignment horizontal="center" shrinkToFit="0" vertical="bottom" wrapText="0"/>
    </xf>
    <xf borderId="30" fillId="8" fontId="6" numFmtId="0" xfId="0" applyAlignment="1" applyBorder="1" applyFont="1">
      <alignment horizontal="center" readingOrder="0"/>
    </xf>
    <xf borderId="1" fillId="0" fontId="73" numFmtId="0" xfId="0" applyAlignment="1" applyBorder="1" applyFont="1">
      <alignment horizontal="right" readingOrder="0" shrinkToFit="0" wrapText="0"/>
    </xf>
    <xf borderId="24" fillId="0" fontId="9" numFmtId="3" xfId="0" applyAlignment="1" applyBorder="1" applyFont="1" applyNumberFormat="1">
      <alignment horizontal="center"/>
    </xf>
    <xf borderId="1" fillId="0" fontId="9" numFmtId="3" xfId="0" applyAlignment="1" applyBorder="1" applyFont="1" applyNumberFormat="1">
      <alignment horizontal="center"/>
    </xf>
    <xf borderId="24" fillId="0" fontId="9" numFmtId="3" xfId="0" applyAlignment="1" applyBorder="1" applyFont="1" applyNumberFormat="1">
      <alignment horizontal="center" vertical="bottom"/>
    </xf>
    <xf borderId="35" fillId="0" fontId="13" numFmtId="3" xfId="0" applyAlignment="1" applyBorder="1" applyFont="1" applyNumberFormat="1">
      <alignment horizontal="center" vertical="bottom"/>
    </xf>
    <xf borderId="14" fillId="0" fontId="13" numFmtId="3" xfId="0" applyAlignment="1" applyBorder="1" applyFont="1" applyNumberFormat="1">
      <alignment horizontal="center" vertical="bottom"/>
    </xf>
    <xf borderId="35" fillId="0" fontId="9" numFmtId="3" xfId="0" applyAlignment="1" applyBorder="1" applyFont="1" applyNumberFormat="1">
      <alignment horizontal="center" vertical="bottom"/>
    </xf>
    <xf borderId="14" fillId="0" fontId="9" numFmtId="0" xfId="0" applyAlignment="1" applyBorder="1" applyFont="1">
      <alignment horizontal="center" vertical="bottom"/>
    </xf>
    <xf borderId="4" fillId="0" fontId="13" numFmtId="3" xfId="0" applyAlignment="1" applyBorder="1" applyFont="1" applyNumberFormat="1">
      <alignment horizontal="center" vertical="bottom"/>
    </xf>
    <xf borderId="2" fillId="0" fontId="13" numFmtId="3" xfId="0" applyAlignment="1" applyBorder="1" applyFont="1" applyNumberFormat="1">
      <alignment horizontal="center" vertical="bottom"/>
    </xf>
    <xf borderId="4" fillId="0" fontId="9" numFmtId="3" xfId="0" applyAlignment="1" applyBorder="1" applyFont="1" applyNumberFormat="1">
      <alignment horizontal="center" vertical="bottom"/>
    </xf>
    <xf borderId="2" fillId="0" fontId="9" numFmtId="0" xfId="0" applyAlignment="1" applyBorder="1" applyFont="1">
      <alignment horizontal="center" vertical="bottom"/>
    </xf>
    <xf borderId="37" fillId="0" fontId="13" numFmtId="3" xfId="0" applyAlignment="1" applyBorder="1" applyFont="1" applyNumberFormat="1">
      <alignment horizontal="center" vertical="bottom"/>
    </xf>
    <xf borderId="21" fillId="0" fontId="13" numFmtId="3" xfId="0" applyAlignment="1" applyBorder="1" applyFont="1" applyNumberFormat="1">
      <alignment horizontal="center" vertical="bottom"/>
    </xf>
    <xf borderId="37" fillId="0" fontId="9" numFmtId="3" xfId="0" applyAlignment="1" applyBorder="1" applyFont="1" applyNumberFormat="1">
      <alignment horizontal="center" vertical="bottom"/>
    </xf>
    <xf borderId="21" fillId="0" fontId="9" numFmtId="0" xfId="0" applyAlignment="1" applyBorder="1" applyFont="1">
      <alignment horizontal="center" vertical="bottom"/>
    </xf>
    <xf borderId="45" fillId="0" fontId="9" numFmtId="3" xfId="0" applyAlignment="1" applyBorder="1" applyFont="1" applyNumberFormat="1">
      <alignment horizontal="center"/>
    </xf>
    <xf borderId="26" fillId="0" fontId="9" numFmtId="3" xfId="0" applyAlignment="1" applyBorder="1" applyFont="1" applyNumberFormat="1">
      <alignment horizontal="center"/>
    </xf>
    <xf borderId="64" fillId="73" fontId="80" numFmtId="0" xfId="0" applyAlignment="1" applyBorder="1" applyFill="1" applyFont="1">
      <alignment horizontal="center" readingOrder="0" shrinkToFit="0" vertical="bottom" wrapText="0"/>
    </xf>
    <xf borderId="65" fillId="73" fontId="80" numFmtId="0" xfId="0" applyAlignment="1" applyBorder="1" applyFont="1">
      <alignment horizontal="center" readingOrder="0" shrinkToFit="0" vertical="bottom" wrapText="0"/>
    </xf>
    <xf borderId="66" fillId="0" fontId="4" numFmtId="0" xfId="0" applyBorder="1" applyFont="1"/>
    <xf borderId="67" fillId="0" fontId="4" numFmtId="0" xfId="0" applyBorder="1" applyFont="1"/>
    <xf borderId="68" fillId="0" fontId="4" numFmtId="0" xfId="0" applyBorder="1" applyFont="1"/>
    <xf borderId="69" fillId="73" fontId="80" numFmtId="0" xfId="0" applyAlignment="1" applyBorder="1" applyFont="1">
      <alignment horizontal="center" readingOrder="0" shrinkToFit="0" vertical="bottom" wrapText="0"/>
    </xf>
    <xf borderId="69" fillId="0" fontId="81" numFmtId="0" xfId="0" applyAlignment="1" applyBorder="1" applyFont="1">
      <alignment horizontal="center" shrinkToFit="0" vertical="bottom" wrapText="0"/>
    </xf>
    <xf borderId="69" fillId="0" fontId="81" numFmtId="0" xfId="0" applyAlignment="1" applyBorder="1" applyFont="1">
      <alignment readingOrder="0" vertical="bottom"/>
    </xf>
    <xf borderId="65" fillId="0" fontId="81" numFmtId="0" xfId="0" applyAlignment="1" applyBorder="1" applyFont="1">
      <alignment shrinkToFit="0" vertical="bottom" wrapText="0"/>
    </xf>
    <xf borderId="69" fillId="0" fontId="81" numFmtId="0" xfId="0" applyAlignment="1" applyBorder="1" applyFont="1">
      <alignment horizontal="center" readingOrder="0" shrinkToFit="0" vertical="bottom" wrapText="0"/>
    </xf>
    <xf borderId="70" fillId="3" fontId="81" numFmtId="0" xfId="0" applyAlignment="1" applyBorder="1" applyFont="1">
      <alignment readingOrder="0" vertical="bottom"/>
    </xf>
    <xf borderId="69" fillId="74" fontId="81" numFmtId="0" xfId="0" applyAlignment="1" applyBorder="1" applyFill="1" applyFont="1">
      <alignment horizontal="center" readingOrder="0" shrinkToFit="0" vertical="bottom" wrapText="0"/>
    </xf>
    <xf borderId="69" fillId="74" fontId="81" numFmtId="3" xfId="0" applyAlignment="1" applyBorder="1" applyFont="1" applyNumberFormat="1">
      <alignment horizontal="right" readingOrder="0" shrinkToFit="0" vertical="bottom" wrapText="0"/>
    </xf>
    <xf borderId="69" fillId="74" fontId="81" numFmtId="0" xfId="0" applyAlignment="1" applyBorder="1" applyFont="1">
      <alignment horizontal="right" shrinkToFit="0" vertical="bottom" wrapText="0"/>
    </xf>
    <xf borderId="69" fillId="74" fontId="82" numFmtId="10" xfId="0" applyAlignment="1" applyBorder="1" applyFont="1" applyNumberFormat="1">
      <alignment horizontal="right" readingOrder="0" shrinkToFit="0" vertical="bottom" wrapText="0"/>
    </xf>
    <xf borderId="69" fillId="74" fontId="81" numFmtId="10" xfId="0" applyAlignment="1" applyBorder="1" applyFont="1" applyNumberFormat="1">
      <alignment horizontal="right" readingOrder="0" shrinkToFit="0" vertical="bottom" wrapText="0"/>
    </xf>
    <xf borderId="69" fillId="74" fontId="81" numFmtId="0" xfId="0" applyAlignment="1" applyBorder="1" applyFont="1">
      <alignment horizontal="center" shrinkToFit="0" vertical="bottom" wrapText="0"/>
    </xf>
    <xf borderId="71" fillId="75" fontId="80" numFmtId="0" xfId="0" applyAlignment="1" applyBorder="1" applyFill="1" applyFont="1">
      <alignment readingOrder="0" vertical="bottom"/>
    </xf>
    <xf borderId="69" fillId="0" fontId="83" numFmtId="0" xfId="0" applyAlignment="1" applyBorder="1" applyFont="1">
      <alignment horizontal="center" shrinkToFit="0" vertical="bottom" wrapText="0"/>
    </xf>
    <xf borderId="69" fillId="0" fontId="84" numFmtId="0" xfId="0" applyAlignment="1" applyBorder="1" applyFont="1">
      <alignment readingOrder="0" vertical="bottom"/>
    </xf>
    <xf borderId="69" fillId="76" fontId="83" numFmtId="0" xfId="0" applyAlignment="1" applyBorder="1" applyFill="1" applyFont="1">
      <alignment horizontal="center" readingOrder="0" shrinkToFit="0" vertical="bottom" wrapText="0"/>
    </xf>
    <xf borderId="69" fillId="76" fontId="83" numFmtId="3" xfId="0" applyAlignment="1" applyBorder="1" applyFont="1" applyNumberFormat="1">
      <alignment horizontal="right" readingOrder="0" shrinkToFit="0" vertical="bottom" wrapText="0"/>
    </xf>
    <xf borderId="69" fillId="76" fontId="83" numFmtId="0" xfId="0" applyAlignment="1" applyBorder="1" applyFont="1">
      <alignment horizontal="right" shrinkToFit="0" vertical="bottom" wrapText="0"/>
    </xf>
    <xf borderId="69" fillId="76" fontId="81" numFmtId="3" xfId="0" applyAlignment="1" applyBorder="1" applyFont="1" applyNumberFormat="1">
      <alignment horizontal="right" readingOrder="0" shrinkToFit="0" vertical="bottom" wrapText="0"/>
    </xf>
    <xf borderId="69" fillId="76" fontId="85" numFmtId="10" xfId="0" applyAlignment="1" applyBorder="1" applyFont="1" applyNumberFormat="1">
      <alignment horizontal="right" readingOrder="0" shrinkToFit="0" vertical="bottom" wrapText="0"/>
    </xf>
    <xf borderId="69" fillId="76" fontId="83" numFmtId="10" xfId="0" applyAlignment="1" applyBorder="1" applyFont="1" applyNumberFormat="1">
      <alignment horizontal="right" readingOrder="0" shrinkToFit="0" vertical="bottom" wrapText="0"/>
    </xf>
    <xf borderId="69" fillId="77" fontId="86" numFmtId="0" xfId="0" applyAlignment="1" applyBorder="1" applyFill="1" applyFont="1">
      <alignment horizontal="center" readingOrder="0" shrinkToFit="0" vertical="bottom" wrapText="0"/>
    </xf>
    <xf borderId="69" fillId="76" fontId="82" numFmtId="10" xfId="0" applyAlignment="1" applyBorder="1" applyFont="1" applyNumberFormat="1">
      <alignment horizontal="right" readingOrder="0" shrinkToFit="0" vertical="bottom" wrapText="0"/>
    </xf>
    <xf borderId="69" fillId="78" fontId="80" numFmtId="0" xfId="0" applyAlignment="1" applyBorder="1" applyFill="1" applyFont="1">
      <alignment horizontal="center" readingOrder="0" shrinkToFit="0" vertical="bottom" wrapText="0"/>
    </xf>
    <xf borderId="69" fillId="79" fontId="80" numFmtId="0" xfId="0" applyAlignment="1" applyBorder="1" applyFill="1" applyFont="1">
      <alignment horizontal="center" readingOrder="0" shrinkToFit="0" vertical="bottom" wrapText="0"/>
    </xf>
    <xf borderId="0" fillId="74" fontId="87" numFmtId="3" xfId="0" applyAlignment="1" applyFont="1" applyNumberFormat="1">
      <alignment horizontal="right" readingOrder="0" shrinkToFit="0" vertical="bottom" wrapText="0"/>
    </xf>
    <xf borderId="69" fillId="0" fontId="87" numFmtId="170" xfId="0" applyAlignment="1" applyBorder="1" applyFont="1" applyNumberFormat="1">
      <alignment horizontal="center" readingOrder="0" shrinkToFit="0" vertical="bottom" wrapText="0"/>
    </xf>
    <xf borderId="72" fillId="75" fontId="88" numFmtId="0" xfId="0" applyAlignment="1" applyBorder="1" applyFont="1">
      <alignment readingOrder="0" vertical="bottom"/>
    </xf>
    <xf borderId="69" fillId="74" fontId="87" numFmtId="0" xfId="0" applyAlignment="1" applyBorder="1" applyFont="1">
      <alignment horizontal="center" readingOrder="0" shrinkToFit="0" vertical="bottom" wrapText="0"/>
    </xf>
    <xf borderId="69" fillId="74" fontId="87" numFmtId="3" xfId="0" applyAlignment="1" applyBorder="1" applyFont="1" applyNumberFormat="1">
      <alignment horizontal="right" readingOrder="0" shrinkToFit="0" vertical="bottom" wrapText="0"/>
    </xf>
    <xf borderId="69" fillId="74" fontId="87" numFmtId="0" xfId="0" applyAlignment="1" applyBorder="1" applyFont="1">
      <alignment horizontal="right" shrinkToFit="0" vertical="bottom" wrapText="0"/>
    </xf>
    <xf borderId="69" fillId="74" fontId="89" numFmtId="10" xfId="0" applyAlignment="1" applyBorder="1" applyFont="1" applyNumberFormat="1">
      <alignment horizontal="right" readingOrder="0" shrinkToFit="0" vertical="bottom" wrapText="0"/>
    </xf>
    <xf borderId="69" fillId="74" fontId="87" numFmtId="10" xfId="0" applyAlignment="1" applyBorder="1" applyFont="1" applyNumberFormat="1">
      <alignment horizontal="right" readingOrder="0" shrinkToFit="0" vertical="bottom" wrapText="0"/>
    </xf>
    <xf borderId="69" fillId="74" fontId="87" numFmtId="0" xfId="0" applyAlignment="1" applyBorder="1" applyFont="1">
      <alignment horizontal="center" shrinkToFit="0" vertical="bottom" wrapText="0"/>
    </xf>
    <xf borderId="0" fillId="76" fontId="90" numFmtId="3" xfId="0" applyAlignment="1" applyFont="1" applyNumberFormat="1">
      <alignment horizontal="right" readingOrder="0" shrinkToFit="0" vertical="bottom" wrapText="0"/>
    </xf>
    <xf borderId="69" fillId="0" fontId="90" numFmtId="0" xfId="0" applyAlignment="1" applyBorder="1" applyFont="1">
      <alignment horizontal="center" shrinkToFit="0" vertical="bottom" wrapText="0"/>
    </xf>
    <xf borderId="69" fillId="0" fontId="91" numFmtId="0" xfId="0" applyAlignment="1" applyBorder="1" applyFont="1">
      <alignment readingOrder="0" vertical="bottom"/>
    </xf>
    <xf borderId="69" fillId="76" fontId="90" numFmtId="0" xfId="0" applyAlignment="1" applyBorder="1" applyFont="1">
      <alignment horizontal="center" readingOrder="0" shrinkToFit="0" vertical="bottom" wrapText="0"/>
    </xf>
    <xf borderId="69" fillId="76" fontId="90" numFmtId="3" xfId="0" applyAlignment="1" applyBorder="1" applyFont="1" applyNumberFormat="1">
      <alignment horizontal="right" readingOrder="0" shrinkToFit="0" vertical="bottom" wrapText="0"/>
    </xf>
    <xf borderId="69" fillId="76" fontId="90" numFmtId="0" xfId="0" applyAlignment="1" applyBorder="1" applyFont="1">
      <alignment horizontal="right" shrinkToFit="0" vertical="bottom" wrapText="0"/>
    </xf>
    <xf borderId="69" fillId="76" fontId="87" numFmtId="3" xfId="0" applyAlignment="1" applyBorder="1" applyFont="1" applyNumberFormat="1">
      <alignment horizontal="right" readingOrder="0" shrinkToFit="0" vertical="bottom" wrapText="0"/>
    </xf>
    <xf borderId="69" fillId="76" fontId="89" numFmtId="10" xfId="0" applyAlignment="1" applyBorder="1" applyFont="1" applyNumberFormat="1">
      <alignment horizontal="right" readingOrder="0" shrinkToFit="0" vertical="bottom" wrapText="0"/>
    </xf>
    <xf borderId="69" fillId="76" fontId="90" numFmtId="10" xfId="0" applyAlignment="1" applyBorder="1" applyFont="1" applyNumberFormat="1">
      <alignment horizontal="right" readingOrder="0" shrinkToFit="0" vertical="bottom" wrapText="0"/>
    </xf>
    <xf borderId="69" fillId="77" fontId="92" numFmtId="0" xfId="0" applyAlignment="1" applyBorder="1" applyFont="1">
      <alignment horizontal="center" readingOrder="0" shrinkToFit="0" vertical="bottom" wrapText="0"/>
    </xf>
    <xf borderId="69" fillId="76" fontId="83" numFmtId="0" xfId="0" applyAlignment="1" applyBorder="1" applyFont="1">
      <alignment horizontal="center" shrinkToFit="0" vertical="bottom" wrapText="0"/>
    </xf>
    <xf borderId="69" fillId="78" fontId="88" numFmtId="0" xfId="0" applyAlignment="1" applyBorder="1" applyFont="1">
      <alignment horizontal="center" readingOrder="0" shrinkToFit="0" vertical="bottom" wrapText="0"/>
    </xf>
    <xf borderId="69" fillId="76" fontId="93" numFmtId="10" xfId="0" applyAlignment="1" applyBorder="1" applyFont="1" applyNumberFormat="1">
      <alignment horizontal="right" readingOrder="0" shrinkToFit="0" vertical="bottom" wrapText="0"/>
    </xf>
    <xf borderId="69" fillId="76" fontId="90" numFmtId="0" xfId="0" applyAlignment="1" applyBorder="1" applyFont="1">
      <alignment horizontal="right" readingOrder="0" shrinkToFit="0" vertical="bottom" wrapText="0"/>
    </xf>
    <xf borderId="0" fillId="0" fontId="94" numFmtId="0" xfId="0" applyAlignment="1" applyFont="1">
      <alignment readingOrder="0"/>
    </xf>
    <xf borderId="0" fillId="3" fontId="55" numFmtId="0" xfId="0" applyAlignment="1" applyFont="1">
      <alignment horizontal="center" readingOrder="0"/>
    </xf>
    <xf borderId="42" fillId="5" fontId="6" numFmtId="0" xfId="0" applyAlignment="1" applyBorder="1" applyFont="1">
      <alignment horizontal="center" readingOrder="0"/>
    </xf>
    <xf borderId="3" fillId="5" fontId="6" numFmtId="0" xfId="0" applyAlignment="1" applyBorder="1" applyFont="1">
      <alignment horizontal="center" readingOrder="0"/>
    </xf>
    <xf borderId="2" fillId="5" fontId="6" numFmtId="0" xfId="0" applyAlignment="1" applyBorder="1" applyFont="1">
      <alignment horizontal="center" readingOrder="0"/>
    </xf>
    <xf borderId="0" fillId="0" fontId="9" numFmtId="0" xfId="0" applyFont="1"/>
    <xf borderId="1" fillId="3" fontId="55" numFmtId="0" xfId="0" applyAlignment="1" applyBorder="1" applyFont="1">
      <alignment horizontal="center" readingOrder="0" vertical="center"/>
    </xf>
    <xf borderId="2" fillId="3" fontId="55" numFmtId="0" xfId="0" applyAlignment="1" applyBorder="1" applyFont="1">
      <alignment horizontal="center" readingOrder="0" vertical="center"/>
    </xf>
    <xf borderId="24" fillId="0" fontId="6" numFmtId="0" xfId="0" applyAlignment="1" applyBorder="1" applyFont="1">
      <alignment horizontal="center" readingOrder="0" shrinkToFit="0" vertical="center" wrapText="1"/>
    </xf>
    <xf borderId="30" fillId="0" fontId="6" numFmtId="0" xfId="0" applyAlignment="1" applyBorder="1" applyFont="1">
      <alignment horizontal="center" readingOrder="0" vertical="center"/>
    </xf>
    <xf borderId="4" fillId="0" fontId="6" numFmtId="0" xfId="0" applyAlignment="1" applyBorder="1" applyFont="1">
      <alignment horizontal="center" readingOrder="0" shrinkToFit="0" vertical="center" wrapText="1"/>
    </xf>
    <xf borderId="1" fillId="0" fontId="6" numFmtId="0" xfId="0" applyAlignment="1" applyBorder="1" applyFont="1">
      <alignment horizontal="center" readingOrder="0" vertical="center"/>
    </xf>
    <xf borderId="0" fillId="0" fontId="9" numFmtId="0" xfId="0" applyAlignment="1" applyFont="1">
      <alignment vertical="center"/>
    </xf>
    <xf borderId="1" fillId="3" fontId="56" numFmtId="0" xfId="0" applyAlignment="1" applyBorder="1" applyFont="1">
      <alignment horizontal="left" readingOrder="0" shrinkToFit="0" wrapText="0"/>
    </xf>
    <xf borderId="2" fillId="3" fontId="56" numFmtId="0" xfId="0" applyAlignment="1" applyBorder="1" applyFont="1">
      <alignment horizontal="left" readingOrder="0" shrinkToFit="0" wrapText="0"/>
    </xf>
    <xf borderId="24" fillId="0" fontId="9" numFmtId="0" xfId="0" applyBorder="1" applyFont="1"/>
    <xf borderId="1" fillId="0" fontId="9" numFmtId="0" xfId="0" applyBorder="1" applyFont="1"/>
    <xf borderId="30" fillId="0" fontId="9" numFmtId="10" xfId="0" applyBorder="1" applyFont="1" applyNumberFormat="1"/>
    <xf borderId="4" fillId="0" fontId="9" numFmtId="0" xfId="0" applyBorder="1" applyFont="1"/>
    <xf borderId="1" fillId="3" fontId="55" numFmtId="0" xfId="0" applyAlignment="1" applyBorder="1" applyFont="1">
      <alignment horizontal="left" readingOrder="0" shrinkToFit="0" wrapText="0"/>
    </xf>
    <xf borderId="2" fillId="3" fontId="55" numFmtId="0" xfId="0" applyAlignment="1" applyBorder="1" applyFont="1">
      <alignment horizontal="left" readingOrder="0" shrinkToFit="0" wrapText="0"/>
    </xf>
    <xf borderId="45" fillId="0" fontId="9" numFmtId="0" xfId="0" applyBorder="1" applyFont="1"/>
    <xf borderId="26" fillId="0" fontId="9" numFmtId="0" xfId="0" applyBorder="1" applyFont="1"/>
    <xf borderId="46" fillId="0" fontId="9" numFmtId="10" xfId="0" applyBorder="1" applyFont="1" applyNumberFormat="1"/>
    <xf borderId="73" fillId="5" fontId="95" numFmtId="0" xfId="0" applyAlignment="1" applyBorder="1" applyFont="1">
      <alignment horizontal="center" readingOrder="0" shrinkToFit="0" wrapText="0"/>
    </xf>
    <xf borderId="74" fillId="0" fontId="4" numFmtId="0" xfId="0" applyBorder="1" applyFont="1"/>
    <xf borderId="75" fillId="0" fontId="4" numFmtId="0" xfId="0" applyBorder="1" applyFont="1"/>
    <xf borderId="73" fillId="15" fontId="95" numFmtId="0" xfId="0" applyAlignment="1" applyBorder="1" applyFont="1">
      <alignment horizontal="center" readingOrder="0" shrinkToFit="0" wrapText="0"/>
    </xf>
    <xf borderId="73" fillId="10" fontId="95" numFmtId="0" xfId="0" applyAlignment="1" applyBorder="1" applyFont="1">
      <alignment horizontal="center" readingOrder="0" shrinkToFit="0" wrapText="0"/>
    </xf>
    <xf borderId="73" fillId="80" fontId="95" numFmtId="0" xfId="0" applyAlignment="1" applyBorder="1" applyFill="1" applyFont="1">
      <alignment horizontal="center" readingOrder="0" shrinkToFit="0" wrapText="0"/>
    </xf>
    <xf borderId="76" fillId="3" fontId="55" numFmtId="0" xfId="0" applyAlignment="1" applyBorder="1" applyFont="1">
      <alignment horizontal="center" readingOrder="0"/>
    </xf>
    <xf borderId="77" fillId="25" fontId="96" numFmtId="0" xfId="0" applyAlignment="1" applyBorder="1" applyFont="1">
      <alignment horizontal="center" readingOrder="0"/>
    </xf>
    <xf borderId="70" fillId="25" fontId="96" numFmtId="0" xfId="0" applyAlignment="1" applyBorder="1" applyFont="1">
      <alignment horizontal="center" readingOrder="0"/>
    </xf>
    <xf borderId="70" fillId="81" fontId="96" numFmtId="0" xfId="0" applyAlignment="1" applyBorder="1" applyFill="1" applyFont="1">
      <alignment horizontal="center" readingOrder="0"/>
    </xf>
    <xf borderId="78" fillId="81" fontId="96" numFmtId="0" xfId="0" applyAlignment="1" applyBorder="1" applyFont="1">
      <alignment horizontal="center" readingOrder="0"/>
    </xf>
    <xf borderId="0" fillId="3" fontId="56" numFmtId="0" xfId="0" applyAlignment="1" applyFont="1">
      <alignment horizontal="left" readingOrder="0" shrinkToFit="0" wrapText="0"/>
    </xf>
    <xf borderId="76" fillId="3" fontId="56" numFmtId="0" xfId="0" applyAlignment="1" applyBorder="1" applyFont="1">
      <alignment horizontal="left" readingOrder="0" shrinkToFit="0" wrapText="0"/>
    </xf>
    <xf borderId="77" fillId="3" fontId="56" numFmtId="0" xfId="0" applyAlignment="1" applyBorder="1" applyFont="1">
      <alignment horizontal="center" readingOrder="0" shrinkToFit="0" wrapText="0"/>
    </xf>
    <xf borderId="70" fillId="3" fontId="56" numFmtId="0" xfId="0" applyAlignment="1" applyBorder="1" applyFont="1">
      <alignment horizontal="center" readingOrder="0" shrinkToFit="0" wrapText="0"/>
    </xf>
    <xf borderId="70" fillId="3" fontId="55" numFmtId="0" xfId="0" applyAlignment="1" applyBorder="1" applyFont="1">
      <alignment horizontal="center" readingOrder="0" shrinkToFit="0" wrapText="0"/>
    </xf>
    <xf borderId="70" fillId="3" fontId="56" numFmtId="10" xfId="0" applyAlignment="1" applyBorder="1" applyFont="1" applyNumberFormat="1">
      <alignment horizontal="center" readingOrder="0" shrinkToFit="0" wrapText="0"/>
    </xf>
    <xf borderId="78" fillId="3" fontId="56" numFmtId="10" xfId="0" applyAlignment="1" applyBorder="1" applyFont="1" applyNumberFormat="1">
      <alignment horizontal="center" readingOrder="0" shrinkToFit="0" wrapText="0"/>
    </xf>
    <xf borderId="78" fillId="3" fontId="55" numFmtId="10" xfId="0" applyAlignment="1" applyBorder="1" applyFont="1" applyNumberFormat="1">
      <alignment horizontal="center" readingOrder="0" shrinkToFit="0" wrapText="0"/>
    </xf>
    <xf borderId="0" fillId="3" fontId="55" numFmtId="0" xfId="0" applyAlignment="1" applyFont="1">
      <alignment horizontal="left" readingOrder="0" shrinkToFit="0" wrapText="0"/>
    </xf>
    <xf borderId="76" fillId="3" fontId="55" numFmtId="0" xfId="0" applyAlignment="1" applyBorder="1" applyFont="1">
      <alignment horizontal="left" readingOrder="0" shrinkToFit="0" wrapText="0"/>
    </xf>
    <xf borderId="79" fillId="3" fontId="55" numFmtId="0" xfId="0" applyAlignment="1" applyBorder="1" applyFont="1">
      <alignment horizontal="center" readingOrder="0" shrinkToFit="0" wrapText="0"/>
    </xf>
    <xf borderId="80" fillId="3" fontId="55" numFmtId="0" xfId="0" applyAlignment="1" applyBorder="1" applyFont="1">
      <alignment horizontal="center" readingOrder="0" shrinkToFit="0" wrapText="0"/>
    </xf>
    <xf borderId="80" fillId="3" fontId="55" numFmtId="10" xfId="0" applyAlignment="1" applyBorder="1" applyFont="1" applyNumberFormat="1">
      <alignment horizontal="center" readingOrder="0" shrinkToFit="0" wrapText="0"/>
    </xf>
    <xf borderId="81" fillId="3" fontId="55" numFmtId="10" xfId="0" applyAlignment="1" applyBorder="1" applyFont="1" applyNumberFormat="1">
      <alignment horizontal="center" readingOrder="0" shrinkToFit="0" wrapText="0"/>
    </xf>
    <xf borderId="0" fillId="3" fontId="56" numFmtId="0" xfId="0" applyFont="1"/>
    <xf borderId="0" fillId="21" fontId="31" numFmtId="0" xfId="0" applyAlignment="1" applyFont="1">
      <alignment horizontal="center" readingOrder="0" shrinkToFit="0" wrapText="0"/>
    </xf>
    <xf borderId="6" fillId="0" fontId="4" numFmtId="0" xfId="0" applyBorder="1" applyFont="1"/>
    <xf borderId="1" fillId="14" fontId="31" numFmtId="0" xfId="0" applyAlignment="1" applyBorder="1" applyFont="1">
      <alignment horizontal="center" readingOrder="0"/>
    </xf>
    <xf borderId="1" fillId="0" fontId="70" numFmtId="0" xfId="0" applyAlignment="1" applyBorder="1" applyFont="1">
      <alignment horizontal="center" readingOrder="0" shrinkToFit="0" vertical="bottom" wrapText="0"/>
    </xf>
    <xf borderId="1" fillId="0" fontId="70" numFmtId="0" xfId="0" applyAlignment="1" applyBorder="1" applyFont="1">
      <alignment horizontal="center" readingOrder="0" shrinkToFit="0" wrapText="0"/>
    </xf>
    <xf borderId="1" fillId="0" fontId="8" numFmtId="10" xfId="0" applyAlignment="1" applyBorder="1" applyFont="1" applyNumberFormat="1">
      <alignment horizontal="center" readingOrder="0"/>
    </xf>
    <xf borderId="1" fillId="0" fontId="8" numFmtId="9" xfId="0" applyAlignment="1" applyBorder="1" applyFont="1" applyNumberFormat="1">
      <alignment horizontal="center" readingOrder="0"/>
    </xf>
    <xf borderId="1" fillId="0" fontId="8" numFmtId="0" xfId="0" applyAlignment="1" applyBorder="1" applyFont="1">
      <alignment horizontal="center"/>
    </xf>
    <xf borderId="1" fillId="0" fontId="42" numFmtId="0" xfId="0" applyAlignment="1" applyBorder="1" applyFont="1">
      <alignment horizontal="center" readingOrder="0" shrinkToFit="0" vertical="bottom" wrapText="0"/>
    </xf>
    <xf borderId="1" fillId="0" fontId="42" numFmtId="0" xfId="0" applyAlignment="1" applyBorder="1" applyFont="1">
      <alignment horizontal="center" readingOrder="0" shrinkToFit="0" wrapText="0"/>
    </xf>
    <xf borderId="0" fillId="0" fontId="14" numFmtId="0" xfId="0" applyAlignment="1" applyFont="1">
      <alignment shrinkToFit="0" vertical="bottom" wrapText="0"/>
    </xf>
    <xf borderId="76" fillId="15" fontId="95" numFmtId="0" xfId="0" applyAlignment="1" applyBorder="1" applyFont="1">
      <alignment horizontal="center" readingOrder="0" shrinkToFit="0" wrapText="0"/>
    </xf>
    <xf borderId="82" fillId="0" fontId="4" numFmtId="0" xfId="0" applyBorder="1" applyFont="1"/>
    <xf borderId="83" fillId="0" fontId="4" numFmtId="0" xfId="0" applyBorder="1" applyFont="1"/>
    <xf borderId="70" fillId="3" fontId="55" numFmtId="0" xfId="0" applyAlignment="1" applyBorder="1" applyFont="1">
      <alignment horizontal="center" readingOrder="0"/>
    </xf>
    <xf borderId="70" fillId="3" fontId="56" numFmtId="0" xfId="0" applyAlignment="1" applyBorder="1" applyFont="1">
      <alignment horizontal="left" readingOrder="0" shrinkToFit="0" wrapText="0"/>
    </xf>
    <xf borderId="19" fillId="21" fontId="57" numFmtId="0" xfId="0" applyAlignment="1" applyBorder="1" applyFont="1">
      <alignment horizontal="center" readingOrder="0"/>
    </xf>
    <xf borderId="21" fillId="21" fontId="57" numFmtId="0" xfId="0" applyAlignment="1" applyBorder="1" applyFont="1">
      <alignment horizontal="center" readingOrder="0"/>
    </xf>
    <xf borderId="42" fillId="17" fontId="57" numFmtId="0" xfId="0" applyAlignment="1" applyBorder="1" applyFont="1">
      <alignment horizontal="center" readingOrder="0" shrinkToFit="0" vertical="bottom" wrapText="0"/>
    </xf>
    <xf borderId="70" fillId="3" fontId="55" numFmtId="10" xfId="0" applyAlignment="1" applyBorder="1" applyFont="1" applyNumberFormat="1">
      <alignment horizontal="center" readingOrder="0" shrinkToFit="0" wrapText="0"/>
    </xf>
    <xf borderId="24" fillId="0" fontId="57" numFmtId="0" xfId="0" applyAlignment="1" applyBorder="1" applyFont="1">
      <alignment horizontal="left" readingOrder="0" shrinkToFit="0" vertical="bottom" wrapText="0"/>
    </xf>
    <xf borderId="1" fillId="0" fontId="57" numFmtId="0" xfId="0" applyAlignment="1" applyBorder="1" applyFont="1">
      <alignment horizontal="left" readingOrder="0" shrinkToFit="0" vertical="bottom" wrapText="0"/>
    </xf>
    <xf borderId="30" fillId="0" fontId="57" numFmtId="0" xfId="0" applyAlignment="1" applyBorder="1" applyFont="1">
      <alignment horizontal="left" readingOrder="0" shrinkToFit="0" vertical="bottom" wrapText="0"/>
    </xf>
    <xf borderId="1" fillId="0" fontId="57" numFmtId="0" xfId="0" applyAlignment="1" applyBorder="1" applyFont="1">
      <alignment horizontal="center" readingOrder="0" vertical="bottom"/>
    </xf>
    <xf borderId="2" fillId="0" fontId="57" numFmtId="0" xfId="0" applyAlignment="1" applyBorder="1" applyFont="1">
      <alignment horizontal="center" readingOrder="0" vertical="bottom"/>
    </xf>
    <xf borderId="24" fillId="0" fontId="20" numFmtId="0" xfId="0" applyAlignment="1" applyBorder="1" applyFont="1">
      <alignment shrinkToFit="0" vertical="bottom" wrapText="0"/>
    </xf>
    <xf borderId="1" fillId="0" fontId="20" numFmtId="0" xfId="0" applyAlignment="1" applyBorder="1" applyFont="1">
      <alignment shrinkToFit="0" vertical="bottom" wrapText="0"/>
    </xf>
    <xf borderId="30" fillId="0" fontId="20" numFmtId="0" xfId="0" applyAlignment="1" applyBorder="1" applyFont="1">
      <alignment horizontal="center" readingOrder="0" shrinkToFit="0" vertical="bottom" wrapText="0"/>
    </xf>
    <xf borderId="21" fillId="13" fontId="57" numFmtId="0" xfId="0" applyAlignment="1" applyBorder="1" applyFont="1">
      <alignment horizontal="center" readingOrder="0" shrinkToFit="0" vertical="center" wrapText="0"/>
    </xf>
    <xf borderId="24" fillId="0" fontId="20" numFmtId="0" xfId="0" applyAlignment="1" applyBorder="1" applyFont="1">
      <alignment horizontal="right" readingOrder="0" shrinkToFit="0" vertical="bottom" wrapText="0"/>
    </xf>
    <xf borderId="1" fillId="0" fontId="20" numFmtId="0" xfId="0" applyAlignment="1" applyBorder="1" applyFont="1">
      <alignment horizontal="right" readingOrder="0" shrinkToFit="0" vertical="bottom" wrapText="0"/>
    </xf>
    <xf borderId="30" fillId="0" fontId="20" numFmtId="10" xfId="0" applyAlignment="1" applyBorder="1" applyFont="1" applyNumberFormat="1">
      <alignment horizontal="right" readingOrder="0" shrinkToFit="0" vertical="bottom" wrapText="0"/>
    </xf>
    <xf borderId="24" fillId="0" fontId="14" numFmtId="0" xfId="0" applyAlignment="1" applyBorder="1" applyFont="1">
      <alignment shrinkToFit="0" vertical="bottom" wrapText="0"/>
    </xf>
    <xf borderId="30" fillId="0" fontId="14" numFmtId="0" xfId="0" applyAlignment="1" applyBorder="1" applyFont="1">
      <alignment horizontal="center" readingOrder="0" shrinkToFit="0" vertical="bottom" wrapText="0"/>
    </xf>
    <xf borderId="24" fillId="0" fontId="57" numFmtId="0" xfId="0" applyAlignment="1" applyBorder="1" applyFont="1">
      <alignment horizontal="center" readingOrder="0" shrinkToFit="0" vertical="bottom" wrapText="0"/>
    </xf>
    <xf borderId="1" fillId="0" fontId="57" numFmtId="0" xfId="0" applyAlignment="1" applyBorder="1" applyFont="1">
      <alignment horizontal="center" readingOrder="0" shrinkToFit="0" vertical="bottom" wrapText="0"/>
    </xf>
    <xf borderId="30" fillId="0" fontId="57" numFmtId="0" xfId="0" applyAlignment="1" applyBorder="1" applyFont="1">
      <alignment horizontal="center" readingOrder="0" shrinkToFit="0" vertical="bottom" wrapText="0"/>
    </xf>
    <xf borderId="2" fillId="0" fontId="20" numFmtId="0" xfId="0" applyAlignment="1" applyBorder="1" applyFont="1">
      <alignment horizontal="center" readingOrder="0" vertical="bottom"/>
    </xf>
    <xf borderId="24" fillId="0" fontId="20" numFmtId="0" xfId="0" applyAlignment="1" applyBorder="1" applyFont="1">
      <alignment shrinkToFit="0" wrapText="0"/>
    </xf>
    <xf borderId="24" fillId="0" fontId="20" numFmtId="0" xfId="0" applyAlignment="1" applyBorder="1" applyFont="1">
      <alignment horizontal="right" readingOrder="0" shrinkToFit="0" wrapText="0"/>
    </xf>
    <xf borderId="2" fillId="0" fontId="26" numFmtId="0" xfId="0" applyAlignment="1" applyBorder="1" applyFont="1">
      <alignment horizontal="center" readingOrder="0" shrinkToFit="0" vertical="bottom" wrapText="0"/>
    </xf>
    <xf borderId="24" fillId="0" fontId="14" numFmtId="0" xfId="0" applyAlignment="1" applyBorder="1" applyFont="1">
      <alignment shrinkToFit="0" wrapText="0"/>
    </xf>
    <xf borderId="24" fillId="0" fontId="26" numFmtId="0" xfId="0" applyAlignment="1" applyBorder="1" applyFont="1">
      <alignment horizontal="center" readingOrder="0" shrinkToFit="0" vertical="bottom" wrapText="0"/>
    </xf>
    <xf borderId="4" fillId="0" fontId="26" numFmtId="0" xfId="0" applyAlignment="1" applyBorder="1" applyFont="1">
      <alignment horizontal="center" readingOrder="0" vertical="bottom"/>
    </xf>
    <xf borderId="1" fillId="0" fontId="26" numFmtId="10" xfId="0" applyAlignment="1" applyBorder="1" applyFont="1" applyNumberFormat="1">
      <alignment horizontal="center" readingOrder="0" vertical="bottom"/>
    </xf>
    <xf borderId="1" fillId="0" fontId="56" numFmtId="0" xfId="0" applyAlignment="1" applyBorder="1" applyFont="1">
      <alignment horizontal="center" readingOrder="0" vertical="bottom"/>
    </xf>
    <xf borderId="14" fillId="0" fontId="26" numFmtId="0" xfId="0" applyAlignment="1" applyBorder="1" applyFont="1">
      <alignment horizontal="center" readingOrder="0" shrinkToFit="0" vertical="bottom" wrapText="0"/>
    </xf>
    <xf borderId="70" fillId="3" fontId="55" numFmtId="0" xfId="0" applyAlignment="1" applyBorder="1" applyFont="1">
      <alignment horizontal="left" readingOrder="0" shrinkToFit="0" wrapText="0"/>
    </xf>
    <xf borderId="45" fillId="0" fontId="26" numFmtId="0" xfId="0" applyAlignment="1" applyBorder="1" applyFont="1">
      <alignment horizontal="center" readingOrder="0" shrinkToFit="0" vertical="bottom" wrapText="0"/>
    </xf>
    <xf borderId="51" fillId="0" fontId="26" numFmtId="0" xfId="0" applyAlignment="1" applyBorder="1" applyFont="1">
      <alignment horizontal="center" readingOrder="0" vertical="bottom"/>
    </xf>
    <xf borderId="26" fillId="0" fontId="26" numFmtId="0" xfId="0" applyAlignment="1" applyBorder="1" applyFont="1">
      <alignment horizontal="center" readingOrder="0" vertical="bottom"/>
    </xf>
    <xf borderId="26" fillId="0" fontId="26" numFmtId="10" xfId="0" applyAlignment="1" applyBorder="1" applyFont="1" applyNumberFormat="1">
      <alignment horizontal="center" readingOrder="0" vertical="bottom"/>
    </xf>
    <xf borderId="26" fillId="0" fontId="56" numFmtId="0" xfId="0" applyAlignment="1" applyBorder="1" applyFont="1">
      <alignment horizontal="center" readingOrder="0" vertical="bottom"/>
    </xf>
    <xf borderId="45" fillId="0" fontId="20" numFmtId="0" xfId="0" applyAlignment="1" applyBorder="1" applyFont="1">
      <alignment shrinkToFit="0" wrapText="0"/>
    </xf>
    <xf borderId="76" fillId="10" fontId="95" numFmtId="0" xfId="0" applyAlignment="1" applyBorder="1" applyFont="1">
      <alignment horizontal="center" readingOrder="0" shrinkToFit="0" wrapText="0"/>
    </xf>
    <xf borderId="26" fillId="0" fontId="20" numFmtId="0" xfId="0" applyAlignment="1" applyBorder="1" applyFont="1">
      <alignment shrinkToFit="0" vertical="bottom" wrapText="0"/>
    </xf>
    <xf borderId="46" fillId="0" fontId="20" numFmtId="0" xfId="0" applyAlignment="1" applyBorder="1" applyFont="1">
      <alignment horizontal="center" readingOrder="0" shrinkToFit="0" vertical="bottom" wrapText="0"/>
    </xf>
    <xf borderId="45" fillId="0" fontId="20" numFmtId="0" xfId="0" applyAlignment="1" applyBorder="1" applyFont="1">
      <alignment horizontal="right" readingOrder="0" shrinkToFit="0" wrapText="0"/>
    </xf>
    <xf borderId="26" fillId="0" fontId="20" numFmtId="0" xfId="0" applyAlignment="1" applyBorder="1" applyFont="1">
      <alignment horizontal="right" readingOrder="0" shrinkToFit="0" vertical="bottom" wrapText="0"/>
    </xf>
    <xf borderId="46" fillId="0" fontId="20" numFmtId="10" xfId="0" applyAlignment="1" applyBorder="1" applyFont="1" applyNumberFormat="1">
      <alignment horizontal="right" readingOrder="0" shrinkToFit="0" vertical="bottom" wrapText="0"/>
    </xf>
    <xf borderId="45" fillId="0" fontId="14" numFmtId="0" xfId="0" applyAlignment="1" applyBorder="1" applyFont="1">
      <alignment shrinkToFit="0" wrapText="0"/>
    </xf>
    <xf borderId="26" fillId="0" fontId="14" numFmtId="0" xfId="0" applyAlignment="1" applyBorder="1" applyFont="1">
      <alignment shrinkToFit="0" vertical="bottom" wrapText="0"/>
    </xf>
    <xf borderId="46" fillId="0" fontId="14" numFmtId="0" xfId="0" applyAlignment="1" applyBorder="1" applyFont="1">
      <alignment horizontal="center" readingOrder="0" shrinkToFit="0" vertical="bottom" wrapText="0"/>
    </xf>
    <xf borderId="24" fillId="0" fontId="20" numFmtId="0" xfId="0" applyAlignment="1" applyBorder="1" applyFont="1">
      <alignment horizontal="center" readingOrder="0" shrinkToFit="0" vertical="bottom" wrapText="0"/>
    </xf>
    <xf borderId="1" fillId="0" fontId="20" numFmtId="0" xfId="0" applyAlignment="1" applyBorder="1" applyFont="1">
      <alignment horizontal="center" readingOrder="0" shrinkToFit="0" vertical="bottom" wrapText="0"/>
    </xf>
    <xf borderId="30" fillId="0" fontId="20" numFmtId="10" xfId="0" applyAlignment="1" applyBorder="1" applyFont="1" applyNumberFormat="1">
      <alignment horizontal="center" readingOrder="0" shrinkToFit="0" vertical="bottom" wrapText="0"/>
    </xf>
    <xf borderId="15" fillId="0" fontId="26" numFmtId="0" xfId="0" applyAlignment="1" applyBorder="1" applyFont="1">
      <alignment horizontal="center" readingOrder="0" shrinkToFit="0" vertical="bottom" wrapText="0"/>
    </xf>
    <xf borderId="24" fillId="0" fontId="20" numFmtId="0" xfId="0" applyAlignment="1" applyBorder="1" applyFont="1">
      <alignment horizontal="center" readingOrder="0" shrinkToFit="0" wrapText="0"/>
    </xf>
    <xf borderId="45" fillId="0" fontId="20" numFmtId="0" xfId="0" applyAlignment="1" applyBorder="1" applyFont="1">
      <alignment horizontal="center" readingOrder="0" shrinkToFit="0" wrapText="0"/>
    </xf>
    <xf borderId="26" fillId="0" fontId="20" numFmtId="0" xfId="0" applyAlignment="1" applyBorder="1" applyFont="1">
      <alignment horizontal="center" readingOrder="0" shrinkToFit="0" vertical="bottom" wrapText="0"/>
    </xf>
    <xf borderId="46" fillId="0" fontId="20" numFmtId="10" xfId="0" applyAlignment="1" applyBorder="1" applyFont="1" applyNumberFormat="1">
      <alignment horizontal="center" readingOrder="0" shrinkToFit="0" vertical="bottom" wrapText="0"/>
    </xf>
    <xf borderId="0" fillId="0" fontId="15" numFmtId="0" xfId="0" applyFont="1"/>
    <xf borderId="24" fillId="0" fontId="20" numFmtId="0" xfId="0" applyAlignment="1" applyBorder="1" applyFont="1">
      <alignment horizontal="center" shrinkToFit="0" vertical="bottom" wrapText="0"/>
    </xf>
    <xf borderId="1" fillId="0" fontId="20" numFmtId="0" xfId="0" applyAlignment="1" applyBorder="1" applyFont="1">
      <alignment horizontal="center" shrinkToFit="0" vertical="bottom" wrapText="0"/>
    </xf>
    <xf borderId="24" fillId="0" fontId="20" numFmtId="0" xfId="0" applyAlignment="1" applyBorder="1" applyFont="1">
      <alignment horizontal="center" shrinkToFit="0" wrapText="0"/>
    </xf>
    <xf borderId="69" fillId="76" fontId="97" numFmtId="10" xfId="0" applyAlignment="1" applyBorder="1" applyFont="1" applyNumberFormat="1">
      <alignment horizontal="right" readingOrder="0" shrinkToFit="0" vertical="bottom" wrapText="0"/>
    </xf>
    <xf borderId="69" fillId="79" fontId="88" numFmtId="0" xfId="0" applyAlignment="1" applyBorder="1" applyFont="1">
      <alignment horizontal="center" readingOrder="0" shrinkToFit="0" vertical="bottom" wrapText="0"/>
    </xf>
    <xf borderId="45" fillId="0" fontId="20" numFmtId="0" xfId="0" applyAlignment="1" applyBorder="1" applyFont="1">
      <alignment horizontal="center" shrinkToFit="0" wrapText="0"/>
    </xf>
    <xf borderId="26" fillId="0" fontId="20" numFmtId="0" xfId="0" applyAlignment="1" applyBorder="1" applyFont="1">
      <alignment horizontal="center" shrinkToFit="0" vertical="bottom" wrapText="0"/>
    </xf>
    <xf borderId="76" fillId="80" fontId="95" numFmtId="0" xfId="0" applyAlignment="1" applyBorder="1" applyFont="1">
      <alignment horizontal="center" readingOrder="0" shrinkToFit="0" wrapText="0"/>
    </xf>
    <xf borderId="69" fillId="76" fontId="90" numFmtId="0" xfId="0" applyAlignment="1" applyBorder="1" applyFont="1">
      <alignment horizontal="center"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dieuhanh.vienthongtayninh.vn/HopDongThoaiTra" TargetMode="External"/><Relationship Id="rId2" Type="http://schemas.openxmlformats.org/officeDocument/2006/relationships/hyperlink" Target="https://onebss.vnpt.vn/"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onebss.vnpt.vn/" TargetMode="Externa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cts.vnpt.vn/Report/QoSMyTvV2" TargetMode="External"/><Relationship Id="rId2" Type="http://schemas.openxmlformats.org/officeDocument/2006/relationships/hyperlink" Target="https://cts.vnpt.vn/Report/QoSEs/DVHCMbbQoS" TargetMode="External"/><Relationship Id="rId3" Type="http://schemas.openxmlformats.org/officeDocument/2006/relationships/hyperlink" Target="https://cts.vnpt.vn/Report/MBBQoEReport/DVHCMbbQoE" TargetMode="External"/><Relationship Id="rId4"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zSkXMF_841bdwNjGmwBgzvtQASNwoug28SXi1coSQLs/edit?gid=17169895" TargetMode="External"/><Relationship Id="rId2" Type="http://schemas.openxmlformats.org/officeDocument/2006/relationships/hyperlink" Target="https://fmbb.vnpt.vn/FMSBB/ReportBB" TargetMode="External"/><Relationship Id="rId3"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hyperlink" Target="https://cts.vnpt.vn/Report/FBBQoSV2" TargetMode="External"/><Relationship Id="rId2"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oss.vnpt.vn:82/EvnReport/StatGroupData" TargetMode="External"/><Relationship Id="rId2" Type="http://schemas.openxmlformats.org/officeDocument/2006/relationships/hyperlink" Target="https://oss.vnpt.vn/" TargetMode="External"/><Relationship Id="rId3"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dieuhanh.vienthongtayninh.vn/DuLieuKeToan/KqsxkdDv/Index" TargetMode="External"/><Relationship Id="rId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ieuhanh.vienthongtayninh.vn/DuLieuKeToan/KqsxkdDv/Index"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onebss.vnpt.vn/" TargetMode="External"/><Relationship Id="rId2" Type="http://schemas.openxmlformats.org/officeDocument/2006/relationships/hyperlink" Target="https://tts.vnpt.vn/" TargetMode="External"/><Relationship Id="rId3"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ieuhanh.vienthongtayninh.vn/BaoCaoPTTB/BaoCaoDiemTinNgay" TargetMode="External"/><Relationship Id="rId2"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88"/>
    <col customWidth="1" min="2" max="2" width="17.0"/>
    <col customWidth="1" min="3" max="3" width="15.13"/>
    <col customWidth="1" min="4" max="4" width="17.63"/>
    <col customWidth="1" min="5" max="5" width="10.25"/>
    <col customWidth="1" min="6" max="6" width="13.5"/>
    <col customWidth="1" min="7" max="7" width="13.38"/>
    <col customWidth="1" min="8" max="8" width="16.75"/>
    <col customWidth="1" min="9" max="9" width="16.63"/>
    <col customWidth="1" min="10" max="10" width="15.13"/>
    <col customWidth="1" min="11" max="11" width="14.25"/>
    <col customWidth="1" min="12" max="13" width="16.25"/>
    <col customWidth="1" min="14" max="14" width="15.63"/>
    <col customWidth="1" min="15" max="15" width="21.5"/>
  </cols>
  <sheetData>
    <row r="1">
      <c r="A1" s="1"/>
      <c r="B1" s="2"/>
      <c r="C1" s="2"/>
      <c r="D1" s="2"/>
      <c r="E1" s="2"/>
      <c r="F1" s="2"/>
      <c r="G1" s="2"/>
      <c r="H1" s="2"/>
      <c r="I1" s="2"/>
      <c r="J1" s="2"/>
      <c r="K1" s="2"/>
      <c r="L1" s="2"/>
      <c r="M1" s="2"/>
      <c r="N1" s="2"/>
      <c r="O1" s="2"/>
      <c r="P1" s="3"/>
      <c r="Q1" s="3"/>
      <c r="R1" s="3"/>
      <c r="S1" s="3"/>
      <c r="T1" s="3"/>
      <c r="U1" s="3"/>
      <c r="V1" s="3"/>
      <c r="W1" s="3"/>
      <c r="X1" s="3"/>
      <c r="Y1" s="3"/>
      <c r="Z1" s="3"/>
      <c r="AA1" s="3"/>
      <c r="AB1" s="3"/>
      <c r="AC1" s="3"/>
      <c r="AD1" s="3"/>
      <c r="AE1" s="3"/>
      <c r="AF1" s="3"/>
      <c r="AG1" s="3"/>
      <c r="AH1" s="3"/>
      <c r="AI1" s="3"/>
      <c r="AJ1" s="3"/>
      <c r="AK1" s="3"/>
      <c r="AL1" s="3"/>
      <c r="AM1" s="3"/>
      <c r="AN1" s="3"/>
      <c r="AO1" s="3"/>
    </row>
    <row r="2">
      <c r="A2" s="6"/>
      <c r="B2" s="8" t="s">
        <v>1</v>
      </c>
      <c r="C2" s="7"/>
      <c r="D2" s="7"/>
      <c r="E2" s="7"/>
      <c r="F2" s="7"/>
      <c r="G2" s="7"/>
      <c r="H2" s="7"/>
      <c r="I2" s="7"/>
      <c r="J2" s="7"/>
      <c r="K2" s="7"/>
      <c r="L2" s="7"/>
      <c r="M2" s="7"/>
      <c r="N2" s="7"/>
      <c r="O2" s="9"/>
      <c r="P2" s="3"/>
      <c r="Q2" s="3"/>
      <c r="R2" s="3"/>
      <c r="S2" s="3"/>
      <c r="T2" s="3"/>
      <c r="U2" s="3"/>
      <c r="V2" s="3"/>
      <c r="W2" s="3"/>
      <c r="X2" s="3"/>
      <c r="Y2" s="3"/>
      <c r="Z2" s="3"/>
      <c r="AA2" s="3"/>
      <c r="AB2" s="3"/>
      <c r="AC2" s="3"/>
      <c r="AD2" s="3"/>
      <c r="AE2" s="3"/>
      <c r="AF2" s="3"/>
      <c r="AG2" s="3"/>
      <c r="AH2" s="3"/>
      <c r="AI2" s="3"/>
      <c r="AJ2" s="3"/>
      <c r="AK2" s="3"/>
      <c r="AL2" s="3"/>
      <c r="AM2" s="3"/>
      <c r="AN2" s="3"/>
      <c r="AO2" s="3"/>
    </row>
    <row r="3" ht="96.75" customHeight="1">
      <c r="A3" s="15" t="s">
        <v>2</v>
      </c>
      <c r="B3" s="16" t="s">
        <v>3</v>
      </c>
      <c r="C3" s="17" t="s">
        <v>4</v>
      </c>
      <c r="D3" s="18" t="s">
        <v>5</v>
      </c>
      <c r="E3" s="19" t="s">
        <v>6</v>
      </c>
      <c r="F3" s="17" t="s">
        <v>7</v>
      </c>
      <c r="G3" s="20" t="s">
        <v>8</v>
      </c>
      <c r="H3" s="21" t="s">
        <v>9</v>
      </c>
      <c r="I3" s="18" t="s">
        <v>10</v>
      </c>
      <c r="J3" s="18" t="s">
        <v>11</v>
      </c>
      <c r="K3" s="21" t="s">
        <v>12</v>
      </c>
      <c r="L3" s="17" t="s">
        <v>13</v>
      </c>
      <c r="M3" s="21" t="s">
        <v>14</v>
      </c>
      <c r="N3" s="18" t="s">
        <v>15</v>
      </c>
      <c r="O3" s="17" t="s">
        <v>16</v>
      </c>
      <c r="P3" s="23" t="s">
        <v>18</v>
      </c>
      <c r="Q3" s="3"/>
      <c r="R3" s="3"/>
      <c r="S3" s="3"/>
      <c r="T3" s="3"/>
      <c r="U3" s="3"/>
      <c r="V3" s="3"/>
      <c r="W3" s="3"/>
      <c r="X3" s="3"/>
      <c r="Y3" s="3"/>
      <c r="Z3" s="3"/>
      <c r="AA3" s="3"/>
      <c r="AB3" s="3"/>
      <c r="AC3" s="3"/>
      <c r="AD3" s="3"/>
      <c r="AE3" s="3"/>
      <c r="AF3" s="3"/>
      <c r="AG3" s="3"/>
      <c r="AH3" s="3"/>
      <c r="AI3" s="3"/>
      <c r="AJ3" s="3"/>
      <c r="AK3" s="3"/>
      <c r="AL3" s="3"/>
      <c r="AM3" s="3"/>
      <c r="AN3" s="3"/>
      <c r="AO3" s="3"/>
    </row>
    <row r="4">
      <c r="A4" s="26" t="s">
        <v>20</v>
      </c>
      <c r="B4" s="28">
        <v>0.1</v>
      </c>
      <c r="C4" s="30">
        <v>0.05</v>
      </c>
      <c r="D4" s="32">
        <v>0.1</v>
      </c>
      <c r="E4" s="32">
        <v>0.05</v>
      </c>
      <c r="F4" s="32">
        <v>0.1</v>
      </c>
      <c r="G4" s="32">
        <v>0.05</v>
      </c>
      <c r="H4" s="32">
        <v>0.05</v>
      </c>
      <c r="I4" s="32">
        <v>0.05</v>
      </c>
      <c r="J4" s="32">
        <v>0.05</v>
      </c>
      <c r="K4" s="32">
        <v>0.05</v>
      </c>
      <c r="L4" s="32">
        <v>0.1</v>
      </c>
      <c r="M4" s="32">
        <v>0.1</v>
      </c>
      <c r="N4" s="32">
        <v>0.05</v>
      </c>
      <c r="O4" s="32">
        <v>0.1</v>
      </c>
      <c r="P4" s="37">
        <f>sum(B4:O4)</f>
        <v>1</v>
      </c>
      <c r="Q4" s="3"/>
      <c r="R4" s="3"/>
      <c r="S4" s="3"/>
      <c r="T4" s="3"/>
      <c r="U4" s="3"/>
      <c r="V4" s="3"/>
      <c r="W4" s="3"/>
      <c r="X4" s="3"/>
      <c r="Y4" s="3"/>
      <c r="Z4" s="3"/>
      <c r="AA4" s="3"/>
      <c r="AB4" s="3"/>
      <c r="AC4" s="3"/>
      <c r="AD4" s="3"/>
      <c r="AE4" s="3"/>
      <c r="AF4" s="3"/>
      <c r="AG4" s="3"/>
      <c r="AH4" s="3"/>
      <c r="AI4" s="3"/>
      <c r="AJ4" s="3"/>
      <c r="AK4" s="3"/>
      <c r="AL4" s="3"/>
      <c r="AM4" s="3"/>
      <c r="AN4" s="3"/>
      <c r="AO4" s="3"/>
    </row>
    <row r="5">
      <c r="A5" s="43" t="s">
        <v>24</v>
      </c>
      <c r="B5" s="45" t="s">
        <v>25</v>
      </c>
      <c r="C5" s="46" t="s">
        <v>25</v>
      </c>
      <c r="D5" s="47" t="s">
        <v>26</v>
      </c>
      <c r="E5" s="47" t="s">
        <v>27</v>
      </c>
      <c r="F5" s="47" t="s">
        <v>29</v>
      </c>
      <c r="G5" s="47" t="s">
        <v>31</v>
      </c>
      <c r="H5" s="47" t="s">
        <v>32</v>
      </c>
      <c r="I5" s="47" t="s">
        <v>33</v>
      </c>
      <c r="J5" s="47" t="s">
        <v>34</v>
      </c>
      <c r="K5" s="47" t="s">
        <v>35</v>
      </c>
      <c r="L5" s="47" t="s">
        <v>36</v>
      </c>
      <c r="M5" s="47" t="s">
        <v>37</v>
      </c>
      <c r="N5" s="47" t="s">
        <v>38</v>
      </c>
      <c r="O5" s="47" t="s">
        <v>39</v>
      </c>
      <c r="P5" s="52"/>
      <c r="Q5" s="52"/>
      <c r="R5" s="52"/>
      <c r="S5" s="52"/>
      <c r="T5" s="52"/>
      <c r="U5" s="52"/>
      <c r="V5" s="52"/>
      <c r="W5" s="52"/>
      <c r="X5" s="52"/>
      <c r="Y5" s="52"/>
      <c r="Z5" s="52"/>
      <c r="AA5" s="52"/>
      <c r="AB5" s="52"/>
      <c r="AC5" s="52"/>
      <c r="AD5" s="52"/>
      <c r="AE5" s="52"/>
      <c r="AF5" s="52"/>
      <c r="AG5" s="52"/>
      <c r="AH5" s="52"/>
      <c r="AI5" s="52"/>
      <c r="AJ5" s="52"/>
      <c r="AK5" s="52"/>
      <c r="AL5" s="52"/>
      <c r="AM5" s="52"/>
      <c r="AN5" s="52"/>
      <c r="AO5" s="52"/>
    </row>
    <row r="6">
      <c r="A6" s="26" t="s">
        <v>22</v>
      </c>
      <c r="B6" s="59" t="s">
        <v>23</v>
      </c>
      <c r="C6" s="61" t="s">
        <v>23</v>
      </c>
      <c r="D6" s="63"/>
      <c r="E6" s="64"/>
      <c r="F6" s="63"/>
      <c r="G6" s="63"/>
      <c r="H6" s="65"/>
      <c r="I6" s="63"/>
      <c r="J6" s="66"/>
      <c r="K6" s="63"/>
      <c r="L6" s="63"/>
      <c r="M6" s="64"/>
      <c r="N6" s="63"/>
      <c r="O6" s="63"/>
      <c r="P6" s="69"/>
      <c r="Q6" s="69"/>
      <c r="R6" s="69"/>
      <c r="S6" s="69"/>
      <c r="T6" s="69"/>
      <c r="U6" s="69"/>
      <c r="V6" s="69"/>
      <c r="W6" s="69"/>
      <c r="X6" s="69"/>
      <c r="Y6" s="69"/>
      <c r="Z6" s="69"/>
      <c r="AA6" s="69"/>
      <c r="AB6" s="69"/>
      <c r="AC6" s="69"/>
      <c r="AD6" s="69"/>
      <c r="AE6" s="69"/>
      <c r="AF6" s="69"/>
      <c r="AG6" s="69"/>
      <c r="AH6" s="69"/>
      <c r="AI6" s="69"/>
      <c r="AJ6" s="69"/>
      <c r="AK6" s="69"/>
      <c r="AL6" s="69"/>
      <c r="AM6" s="69"/>
      <c r="AN6" s="69"/>
      <c r="AO6" s="69"/>
    </row>
    <row r="7">
      <c r="A7" s="72" t="s">
        <v>30</v>
      </c>
      <c r="B7" s="74">
        <v>132.695</v>
      </c>
      <c r="C7" s="72">
        <v>1.397</v>
      </c>
      <c r="D7" s="53">
        <v>0.98</v>
      </c>
      <c r="E7" s="74">
        <v>1.0</v>
      </c>
      <c r="F7" s="53">
        <v>0.98</v>
      </c>
      <c r="G7" s="53">
        <v>0.02</v>
      </c>
      <c r="H7" s="50">
        <v>4.6E-4</v>
      </c>
      <c r="I7" s="53">
        <v>0.998</v>
      </c>
      <c r="J7" s="78" t="s">
        <v>41</v>
      </c>
      <c r="K7" s="53">
        <v>0.005</v>
      </c>
      <c r="L7" s="53">
        <v>0.99</v>
      </c>
      <c r="M7" s="74">
        <v>3.0</v>
      </c>
      <c r="N7" s="53">
        <v>0.9</v>
      </c>
      <c r="O7" s="53">
        <v>1.0</v>
      </c>
      <c r="P7" s="69"/>
      <c r="Q7" s="69"/>
      <c r="R7" s="69"/>
      <c r="S7" s="69"/>
      <c r="T7" s="69"/>
      <c r="U7" s="69"/>
      <c r="V7" s="69"/>
      <c r="W7" s="69"/>
      <c r="X7" s="69"/>
      <c r="Y7" s="69"/>
      <c r="Z7" s="69"/>
      <c r="AA7" s="69"/>
      <c r="AB7" s="69"/>
      <c r="AC7" s="69"/>
      <c r="AD7" s="69"/>
      <c r="AE7" s="69"/>
      <c r="AF7" s="69"/>
      <c r="AG7" s="69"/>
      <c r="AH7" s="69"/>
      <c r="AI7" s="69"/>
      <c r="AJ7" s="69"/>
      <c r="AK7" s="69"/>
      <c r="AL7" s="69"/>
      <c r="AM7" s="69"/>
      <c r="AN7" s="69"/>
      <c r="AO7" s="69"/>
    </row>
    <row r="8">
      <c r="A8" s="81" t="s">
        <v>42</v>
      </c>
      <c r="B8" s="82">
        <v>1.0</v>
      </c>
      <c r="C8" s="83">
        <v>1.0</v>
      </c>
      <c r="D8" s="84">
        <v>0.96</v>
      </c>
      <c r="E8" s="84">
        <v>1.0</v>
      </c>
      <c r="F8" s="84">
        <v>0.99</v>
      </c>
      <c r="G8" s="84">
        <v>0.0032</v>
      </c>
      <c r="H8" s="86">
        <v>0.00121</v>
      </c>
      <c r="I8" s="84">
        <v>1.0</v>
      </c>
      <c r="J8" s="84">
        <v>0.809027777777778</v>
      </c>
      <c r="K8" s="84">
        <v>0.0</v>
      </c>
      <c r="L8" s="84">
        <v>0.9847</v>
      </c>
      <c r="M8" s="87">
        <v>2.3</v>
      </c>
      <c r="N8" s="84">
        <v>0.986984815618221</v>
      </c>
      <c r="O8" s="84">
        <v>1.0</v>
      </c>
      <c r="P8" s="3"/>
      <c r="Q8" s="3"/>
      <c r="R8" s="3"/>
      <c r="S8" s="3"/>
      <c r="T8" s="3"/>
      <c r="U8" s="3"/>
      <c r="V8" s="3"/>
      <c r="W8" s="3"/>
      <c r="X8" s="3"/>
      <c r="Y8" s="3"/>
      <c r="Z8" s="3"/>
      <c r="AA8" s="3"/>
      <c r="AB8" s="3"/>
      <c r="AC8" s="3"/>
      <c r="AD8" s="3"/>
      <c r="AE8" s="3"/>
      <c r="AF8" s="3"/>
      <c r="AG8" s="3"/>
      <c r="AH8" s="3"/>
      <c r="AI8" s="3"/>
      <c r="AJ8" s="3"/>
      <c r="AK8" s="3"/>
      <c r="AL8" s="3"/>
      <c r="AM8" s="3"/>
      <c r="AN8" s="3"/>
      <c r="AO8" s="3"/>
    </row>
    <row r="9">
      <c r="A9" s="88" t="s">
        <v>43</v>
      </c>
      <c r="B9" s="82">
        <v>1.0</v>
      </c>
      <c r="C9" s="83">
        <v>1.0</v>
      </c>
      <c r="D9" s="84">
        <v>1.037</v>
      </c>
      <c r="E9" s="84">
        <v>1.0</v>
      </c>
      <c r="F9" s="84">
        <v>0.9802</v>
      </c>
      <c r="G9" s="84">
        <v>0.0161</v>
      </c>
      <c r="H9" s="86">
        <v>0.00219</v>
      </c>
      <c r="I9" s="84">
        <v>1.0</v>
      </c>
      <c r="J9" s="84">
        <v>0.910596026490066</v>
      </c>
      <c r="K9" s="84">
        <v>0.00543888469564445</v>
      </c>
      <c r="L9" s="84">
        <v>0.9831</v>
      </c>
      <c r="M9" s="87">
        <v>6.7</v>
      </c>
      <c r="N9" s="84">
        <v>0.963087248322148</v>
      </c>
      <c r="O9" s="84">
        <v>1.0</v>
      </c>
      <c r="P9" s="3"/>
      <c r="Q9" s="3"/>
      <c r="R9" s="3"/>
      <c r="S9" s="3"/>
      <c r="T9" s="3"/>
      <c r="U9" s="3"/>
      <c r="V9" s="3"/>
      <c r="W9" s="3"/>
      <c r="X9" s="3"/>
      <c r="Y9" s="3"/>
      <c r="Z9" s="3"/>
      <c r="AA9" s="3"/>
      <c r="AB9" s="3"/>
      <c r="AC9" s="3"/>
      <c r="AD9" s="3"/>
      <c r="AE9" s="3"/>
      <c r="AF9" s="3"/>
      <c r="AG9" s="3"/>
      <c r="AH9" s="3"/>
      <c r="AI9" s="3"/>
      <c r="AJ9" s="3"/>
      <c r="AK9" s="3"/>
      <c r="AL9" s="3"/>
      <c r="AM9" s="3"/>
      <c r="AN9" s="3"/>
      <c r="AO9" s="3"/>
    </row>
    <row r="10">
      <c r="A10" s="88" t="s">
        <v>44</v>
      </c>
      <c r="B10" s="82">
        <v>1.0</v>
      </c>
      <c r="C10" s="83">
        <v>1.0</v>
      </c>
      <c r="D10" s="84">
        <v>0.8069</v>
      </c>
      <c r="E10" s="84">
        <v>1.0</v>
      </c>
      <c r="F10" s="84">
        <v>0.8636</v>
      </c>
      <c r="G10" s="84">
        <v>0.0049</v>
      </c>
      <c r="H10" s="86">
        <v>0.00321</v>
      </c>
      <c r="I10" s="84">
        <v>1.0</v>
      </c>
      <c r="J10" s="84">
        <v>0.364</v>
      </c>
      <c r="K10" s="84">
        <v>0.00464994276993514</v>
      </c>
      <c r="L10" s="84">
        <v>0.9835</v>
      </c>
      <c r="M10" s="87">
        <v>7.6</v>
      </c>
      <c r="N10" s="84">
        <v>0.993808049535604</v>
      </c>
      <c r="O10" s="84">
        <v>1.0</v>
      </c>
      <c r="P10" s="3"/>
      <c r="Q10" s="3"/>
      <c r="R10" s="3"/>
      <c r="S10" s="3"/>
      <c r="T10" s="3"/>
      <c r="U10" s="3"/>
      <c r="V10" s="3"/>
      <c r="W10" s="3"/>
      <c r="X10" s="3"/>
      <c r="Y10" s="3"/>
      <c r="Z10" s="3"/>
      <c r="AA10" s="3"/>
      <c r="AB10" s="3"/>
      <c r="AC10" s="3"/>
      <c r="AD10" s="3"/>
      <c r="AE10" s="3"/>
      <c r="AF10" s="3"/>
      <c r="AG10" s="3"/>
      <c r="AH10" s="3"/>
      <c r="AI10" s="3"/>
      <c r="AJ10" s="3"/>
      <c r="AK10" s="3"/>
      <c r="AL10" s="3"/>
      <c r="AM10" s="3"/>
      <c r="AN10" s="3"/>
      <c r="AO10" s="3"/>
    </row>
    <row r="11">
      <c r="A11" s="88" t="s">
        <v>45</v>
      </c>
      <c r="B11" s="82">
        <v>1.0</v>
      </c>
      <c r="C11" s="83">
        <v>1.0</v>
      </c>
      <c r="D11" s="84">
        <v>0.9166</v>
      </c>
      <c r="E11" s="84">
        <v>1.0</v>
      </c>
      <c r="F11" s="84">
        <v>0.9283</v>
      </c>
      <c r="G11" s="84">
        <v>0.0301</v>
      </c>
      <c r="H11" s="86">
        <v>0.00203</v>
      </c>
      <c r="I11" s="84">
        <v>1.0</v>
      </c>
      <c r="J11" s="84">
        <v>0.837988826815643</v>
      </c>
      <c r="K11" s="84">
        <v>0.0</v>
      </c>
      <c r="L11" s="84">
        <v>0.9847</v>
      </c>
      <c r="M11" s="87">
        <v>3.3</v>
      </c>
      <c r="N11" s="84">
        <v>0.983695652173913</v>
      </c>
      <c r="O11" s="84">
        <v>1.0</v>
      </c>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A12" s="88" t="s">
        <v>47</v>
      </c>
      <c r="B12" s="82">
        <v>1.0</v>
      </c>
      <c r="C12" s="83">
        <v>1.0</v>
      </c>
      <c r="D12" s="101">
        <v>0.9496</v>
      </c>
      <c r="E12" s="84">
        <v>1.0</v>
      </c>
      <c r="F12" s="84">
        <v>0.98</v>
      </c>
      <c r="G12" s="84">
        <v>0.015</v>
      </c>
      <c r="H12" s="86">
        <v>0.00115</v>
      </c>
      <c r="I12" s="84">
        <v>1.0</v>
      </c>
      <c r="J12" s="84">
        <v>0.772594752186589</v>
      </c>
      <c r="K12" s="84">
        <v>0.0</v>
      </c>
      <c r="L12" s="84">
        <v>0.9841</v>
      </c>
      <c r="M12" s="87">
        <v>2.6</v>
      </c>
      <c r="N12" s="84">
        <v>0.988861386138614</v>
      </c>
      <c r="O12" s="84">
        <v>1.0</v>
      </c>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A13" s="88" t="s">
        <v>48</v>
      </c>
      <c r="B13" s="82">
        <v>1.0</v>
      </c>
      <c r="C13" s="83">
        <v>1.0</v>
      </c>
      <c r="D13" s="84">
        <v>1.3955</v>
      </c>
      <c r="E13" s="84">
        <v>1.0</v>
      </c>
      <c r="F13" s="84">
        <v>0.8962</v>
      </c>
      <c r="G13" s="84">
        <v>0.0057</v>
      </c>
      <c r="H13" s="84">
        <v>0.00219</v>
      </c>
      <c r="I13" s="84">
        <v>1.0</v>
      </c>
      <c r="J13" s="84">
        <v>0.582914572864322</v>
      </c>
      <c r="K13" s="84">
        <v>0.0185933304895491</v>
      </c>
      <c r="L13" s="84">
        <v>0.9871</v>
      </c>
      <c r="M13" s="87">
        <v>4.4</v>
      </c>
      <c r="N13" s="84">
        <v>1.0</v>
      </c>
      <c r="O13" s="84">
        <v>1.0</v>
      </c>
      <c r="P13" s="3"/>
      <c r="Q13" s="3"/>
      <c r="R13" s="3"/>
      <c r="S13" s="3"/>
      <c r="T13" s="3"/>
      <c r="U13" s="3"/>
      <c r="V13" s="3"/>
      <c r="W13" s="3"/>
      <c r="X13" s="3"/>
      <c r="Y13" s="3"/>
      <c r="Z13" s="3"/>
      <c r="AA13" s="3"/>
      <c r="AB13" s="3"/>
      <c r="AC13" s="3"/>
      <c r="AD13" s="3"/>
      <c r="AE13" s="3"/>
      <c r="AF13" s="3"/>
      <c r="AG13" s="3"/>
      <c r="AH13" s="3"/>
      <c r="AI13" s="3"/>
      <c r="AJ13" s="3"/>
      <c r="AK13" s="3"/>
      <c r="AL13" s="3"/>
      <c r="AM13" s="3"/>
      <c r="AN13" s="3"/>
      <c r="AO13" s="3"/>
    </row>
    <row r="14">
      <c r="A14" s="106" t="s">
        <v>49</v>
      </c>
      <c r="B14" s="107">
        <v>1.0</v>
      </c>
      <c r="C14" s="108">
        <v>1.0</v>
      </c>
      <c r="D14" s="109">
        <v>0.4444</v>
      </c>
      <c r="E14" s="110">
        <v>1.0</v>
      </c>
      <c r="F14" s="110">
        <v>0.8893</v>
      </c>
      <c r="G14" s="110">
        <v>0.0036</v>
      </c>
      <c r="H14" s="111">
        <v>0.00187</v>
      </c>
      <c r="I14" s="110">
        <v>1.0</v>
      </c>
      <c r="J14" s="110">
        <v>0.632911392405063</v>
      </c>
      <c r="K14" s="110">
        <v>0.00286764875927939</v>
      </c>
      <c r="L14" s="110">
        <v>0.985</v>
      </c>
      <c r="M14" s="112">
        <v>4.7</v>
      </c>
      <c r="N14" s="110">
        <v>0.992462311557789</v>
      </c>
      <c r="O14" s="110">
        <v>1.0</v>
      </c>
      <c r="P14" s="3"/>
      <c r="Q14" s="3"/>
      <c r="R14" s="3"/>
      <c r="S14" s="3"/>
      <c r="T14" s="3"/>
      <c r="U14" s="3"/>
      <c r="V14" s="3"/>
      <c r="W14" s="3"/>
      <c r="X14" s="3"/>
      <c r="Y14" s="3"/>
      <c r="Z14" s="3"/>
      <c r="AA14" s="3"/>
      <c r="AB14" s="3"/>
      <c r="AC14" s="3"/>
      <c r="AD14" s="3"/>
      <c r="AE14" s="3"/>
      <c r="AF14" s="3"/>
      <c r="AG14" s="3"/>
      <c r="AH14" s="3"/>
      <c r="AI14" s="3"/>
      <c r="AJ14" s="3"/>
      <c r="AK14" s="3"/>
      <c r="AL14" s="3"/>
      <c r="AM14" s="3"/>
      <c r="AN14" s="3"/>
      <c r="AO14" s="3"/>
    </row>
    <row r="15">
      <c r="A15" s="1"/>
      <c r="B15" s="113"/>
      <c r="C15" s="113"/>
      <c r="D15" s="2" t="s">
        <v>52</v>
      </c>
      <c r="E15" s="2" t="s">
        <v>53</v>
      </c>
      <c r="F15" s="2" t="s">
        <v>54</v>
      </c>
      <c r="G15" s="2" t="s">
        <v>54</v>
      </c>
      <c r="H15" s="2" t="s">
        <v>55</v>
      </c>
      <c r="I15" s="2" t="s">
        <v>56</v>
      </c>
      <c r="J15" s="2" t="s">
        <v>57</v>
      </c>
      <c r="K15" s="2" t="s">
        <v>57</v>
      </c>
      <c r="L15" s="113"/>
      <c r="M15" s="2" t="s">
        <v>58</v>
      </c>
      <c r="N15" s="2" t="s">
        <v>59</v>
      </c>
      <c r="O15" s="2" t="s">
        <v>60</v>
      </c>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A16" s="1"/>
      <c r="B16" s="113"/>
      <c r="C16" s="113"/>
      <c r="D16" s="113"/>
      <c r="E16" s="113"/>
      <c r="F16" s="113"/>
      <c r="G16" s="113"/>
      <c r="H16" s="113"/>
      <c r="I16" s="2" t="s">
        <v>61</v>
      </c>
      <c r="J16" s="113"/>
      <c r="K16" s="113"/>
      <c r="L16" s="113"/>
      <c r="M16" s="113"/>
      <c r="N16" s="113"/>
      <c r="O16" s="11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A17" s="1"/>
      <c r="B17" s="113"/>
      <c r="C17" s="113"/>
      <c r="D17" s="113"/>
      <c r="E17" s="113"/>
      <c r="F17" s="113"/>
      <c r="G17" s="113"/>
      <c r="H17" s="113"/>
      <c r="I17" s="113"/>
      <c r="J17" s="113"/>
      <c r="K17" s="113"/>
      <c r="L17" s="113"/>
      <c r="M17" s="113"/>
      <c r="N17" s="113"/>
      <c r="O17" s="11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A18" s="6"/>
      <c r="B18" s="8" t="s">
        <v>62</v>
      </c>
      <c r="C18" s="7"/>
      <c r="D18" s="7"/>
      <c r="E18" s="7"/>
      <c r="F18" s="7"/>
      <c r="G18" s="7"/>
      <c r="H18" s="7"/>
      <c r="I18" s="7"/>
      <c r="J18" s="7"/>
      <c r="K18" s="7"/>
      <c r="L18" s="7"/>
      <c r="M18" s="7"/>
      <c r="N18" s="7"/>
      <c r="O18" s="9"/>
      <c r="P18" s="127"/>
      <c r="Q18" s="127"/>
      <c r="R18" s="127"/>
      <c r="S18" s="127"/>
      <c r="T18" s="127"/>
      <c r="U18" s="127"/>
      <c r="V18" s="127"/>
      <c r="W18" s="127"/>
      <c r="X18" s="127"/>
      <c r="Y18" s="127"/>
      <c r="Z18" s="127"/>
      <c r="AA18" s="127"/>
      <c r="AB18" s="127"/>
      <c r="AC18" s="127"/>
      <c r="AD18" s="127"/>
      <c r="AE18" s="127"/>
      <c r="AF18" s="127"/>
      <c r="AG18" s="127"/>
      <c r="AH18" s="127"/>
      <c r="AI18" s="127"/>
      <c r="AJ18" s="127"/>
      <c r="AK18" s="127"/>
      <c r="AL18" s="127"/>
      <c r="AM18" s="127"/>
      <c r="AN18" s="127"/>
      <c r="AO18" s="127"/>
    </row>
    <row r="19">
      <c r="A19" s="15" t="s">
        <v>2</v>
      </c>
      <c r="B19" s="16" t="s">
        <v>3</v>
      </c>
      <c r="C19" s="16" t="s">
        <v>4</v>
      </c>
      <c r="D19" s="132" t="s">
        <v>5</v>
      </c>
      <c r="E19" s="133" t="s">
        <v>6</v>
      </c>
      <c r="F19" s="16" t="s">
        <v>7</v>
      </c>
      <c r="G19" s="133" t="s">
        <v>8</v>
      </c>
      <c r="H19" s="132" t="s">
        <v>9</v>
      </c>
      <c r="I19" s="134" t="s">
        <v>10</v>
      </c>
      <c r="J19" s="134" t="s">
        <v>11</v>
      </c>
      <c r="K19" s="132" t="s">
        <v>12</v>
      </c>
      <c r="L19" s="16" t="s">
        <v>13</v>
      </c>
      <c r="M19" s="132" t="s">
        <v>14</v>
      </c>
      <c r="N19" s="134" t="s">
        <v>15</v>
      </c>
      <c r="O19" s="16" t="s">
        <v>16</v>
      </c>
      <c r="P19" s="135" t="s">
        <v>18</v>
      </c>
      <c r="Q19" s="127"/>
      <c r="R19" s="127"/>
      <c r="S19" s="127"/>
      <c r="T19" s="127"/>
      <c r="U19" s="127"/>
      <c r="V19" s="127"/>
      <c r="W19" s="127"/>
      <c r="X19" s="127"/>
      <c r="Y19" s="127"/>
      <c r="Z19" s="127"/>
      <c r="AA19" s="127"/>
      <c r="AB19" s="127"/>
      <c r="AC19" s="127"/>
      <c r="AD19" s="127"/>
      <c r="AE19" s="127"/>
      <c r="AF19" s="127"/>
      <c r="AG19" s="127"/>
      <c r="AH19" s="127"/>
      <c r="AI19" s="127"/>
      <c r="AJ19" s="127"/>
      <c r="AK19" s="127"/>
      <c r="AL19" s="127"/>
      <c r="AM19" s="127"/>
      <c r="AN19" s="127"/>
      <c r="AO19" s="127"/>
    </row>
    <row r="20">
      <c r="A20" s="26" t="s">
        <v>20</v>
      </c>
      <c r="B20" s="137">
        <v>0.1</v>
      </c>
      <c r="C20" s="30">
        <v>0.05</v>
      </c>
      <c r="D20" s="32">
        <v>0.1</v>
      </c>
      <c r="E20" s="32">
        <v>0.05</v>
      </c>
      <c r="F20" s="32">
        <v>0.1</v>
      </c>
      <c r="G20" s="32">
        <v>0.05</v>
      </c>
      <c r="H20" s="32">
        <v>0.05</v>
      </c>
      <c r="I20" s="32">
        <v>0.05</v>
      </c>
      <c r="J20" s="32">
        <v>0.05</v>
      </c>
      <c r="K20" s="32">
        <v>0.05</v>
      </c>
      <c r="L20" s="32">
        <v>0.1</v>
      </c>
      <c r="M20" s="32">
        <v>0.1</v>
      </c>
      <c r="N20" s="32">
        <v>0.05</v>
      </c>
      <c r="O20" s="32">
        <v>0.1</v>
      </c>
      <c r="P20" s="138">
        <v>1.0</v>
      </c>
    </row>
    <row r="21">
      <c r="A21" s="43" t="s">
        <v>24</v>
      </c>
      <c r="B21" s="45" t="s">
        <v>25</v>
      </c>
      <c r="C21" s="46" t="s">
        <v>25</v>
      </c>
      <c r="D21" s="47" t="s">
        <v>26</v>
      </c>
      <c r="E21" s="47" t="s">
        <v>27</v>
      </c>
      <c r="F21" s="47" t="s">
        <v>29</v>
      </c>
      <c r="G21" s="47" t="s">
        <v>31</v>
      </c>
      <c r="H21" s="47" t="s">
        <v>32</v>
      </c>
      <c r="I21" s="47" t="s">
        <v>33</v>
      </c>
      <c r="J21" s="47" t="s">
        <v>34</v>
      </c>
      <c r="K21" s="47" t="s">
        <v>35</v>
      </c>
      <c r="L21" s="47" t="s">
        <v>36</v>
      </c>
      <c r="M21" s="47" t="s">
        <v>76</v>
      </c>
      <c r="N21" s="47" t="s">
        <v>38</v>
      </c>
      <c r="O21" s="47" t="s">
        <v>39</v>
      </c>
      <c r="P21" s="150"/>
      <c r="Q21" s="152"/>
      <c r="R21" s="152"/>
      <c r="S21" s="152"/>
      <c r="T21" s="152"/>
      <c r="U21" s="152"/>
      <c r="V21" s="152"/>
      <c r="W21" s="152"/>
      <c r="X21" s="152"/>
      <c r="Y21" s="152"/>
      <c r="Z21" s="152"/>
      <c r="AA21" s="152"/>
      <c r="AB21" s="152"/>
      <c r="AC21" s="152"/>
      <c r="AD21" s="152"/>
      <c r="AE21" s="152"/>
      <c r="AF21" s="152"/>
      <c r="AG21" s="152"/>
      <c r="AH21" s="152"/>
      <c r="AI21" s="152"/>
      <c r="AJ21" s="152"/>
      <c r="AK21" s="152"/>
      <c r="AL21" s="152"/>
      <c r="AM21" s="152"/>
      <c r="AN21" s="152"/>
      <c r="AO21" s="152"/>
    </row>
    <row r="22">
      <c r="A22" s="155"/>
      <c r="B22" s="157"/>
      <c r="C22" s="157"/>
      <c r="D22" s="157"/>
      <c r="E22" s="157"/>
      <c r="F22" s="157"/>
      <c r="G22" s="157"/>
      <c r="H22" s="157"/>
      <c r="I22" s="157"/>
      <c r="J22" s="157"/>
      <c r="K22" s="157"/>
      <c r="L22" s="157"/>
      <c r="M22" s="157"/>
      <c r="N22" s="157"/>
      <c r="O22" s="157"/>
      <c r="P22" s="150"/>
      <c r="Q22" s="152"/>
      <c r="R22" s="152"/>
      <c r="S22" s="152"/>
      <c r="T22" s="152"/>
      <c r="U22" s="152"/>
      <c r="V22" s="152"/>
      <c r="W22" s="152"/>
      <c r="X22" s="152"/>
      <c r="Y22" s="152"/>
      <c r="Z22" s="152"/>
      <c r="AA22" s="152"/>
      <c r="AB22" s="152"/>
      <c r="AC22" s="152"/>
      <c r="AD22" s="152"/>
      <c r="AE22" s="152"/>
      <c r="AF22" s="152"/>
      <c r="AG22" s="152"/>
      <c r="AH22" s="152"/>
      <c r="AI22" s="152"/>
      <c r="AJ22" s="152"/>
      <c r="AK22" s="152"/>
      <c r="AL22" s="152"/>
      <c r="AM22" s="152"/>
      <c r="AN22" s="152"/>
      <c r="AO22" s="152"/>
    </row>
    <row r="23">
      <c r="A23" s="81" t="s">
        <v>42</v>
      </c>
      <c r="B23" s="162">
        <f t="shared" ref="B23:C23" si="1">MAX(-5,MIN(5,
IF(B8&lt;95%,
-(95%-B8)*100,
IF(B8&lt;100%,
-(100%-B8)*100*0.5,
(B8-100%)*100*2
))*B4))</f>
        <v>0</v>
      </c>
      <c r="C23" s="162">
        <f t="shared" si="1"/>
        <v>0</v>
      </c>
      <c r="D23" s="164">
        <f>((D7-D8)*100)*D4</f>
        <v>0.2</v>
      </c>
      <c r="E23" s="164">
        <f>MAX(-5,MIN(3,(E7-E8)*100*0.1*E4))</f>
        <v>0</v>
      </c>
      <c r="F23" s="164">
        <f>MAX(-5,((F8-98%)*1000)*F4)</f>
        <v>1</v>
      </c>
      <c r="G23" s="164">
        <f>-MAX(-2.5,((G8-2%)*1000)*G4)</f>
        <v>0.84</v>
      </c>
      <c r="H23" s="164">
        <f>MAX(-2.5,(-(H8-0.046%)*100000)*0.65*H4)</f>
        <v>-2.4375</v>
      </c>
      <c r="I23" s="164">
        <f>MAX(-2.5,((I8-99.8%)*10000)*I4)</f>
        <v>1</v>
      </c>
      <c r="J23" s="158">
        <f>((100%-J8)*100/3)*0.5*J4</f>
        <v>0.1591435185</v>
      </c>
      <c r="K23" s="164">
        <f>MAX(-2.5,(-(K8-0.5%)*1000)*6*K4)</f>
        <v>1.5</v>
      </c>
      <c r="L23" s="164">
        <f>MAX(-5,((L8-99%)*1000)*2*L4)</f>
        <v>-1.06</v>
      </c>
      <c r="M23" s="164">
        <f>MAX(-2.5,((3-M8)/0.1)*0.5*M4)</f>
        <v>0.35</v>
      </c>
      <c r="N23" s="164">
        <f>MAX(-2.5,((N8-90%)*100)*2*N4)</f>
        <v>0.8698481562</v>
      </c>
      <c r="O23" s="158">
        <f>IF(O8&gt;=100%,0,((O8-100%)*100/2)*O4)</f>
        <v>0</v>
      </c>
      <c r="P23" s="161">
        <f t="shared" ref="P23:P29" si="3">100+sum(B23:O23)</f>
        <v>102.4214917</v>
      </c>
    </row>
    <row r="24">
      <c r="A24" s="88" t="s">
        <v>43</v>
      </c>
      <c r="B24" s="197">
        <f t="shared" ref="B24:C24" si="2">MAX(-5,MIN(5,
IF(B9&lt;95%,
-(95%-B9)*100,
IF(B9&lt;100%,
-(100%-B9)*100*0.5,
(B9-100%)*100*2
))*B4))</f>
        <v>0</v>
      </c>
      <c r="C24" s="197">
        <f t="shared" si="2"/>
        <v>0</v>
      </c>
      <c r="D24" s="203">
        <f>((D7-D9)*100)*D4</f>
        <v>-0.57</v>
      </c>
      <c r="E24" s="203">
        <f>MAX(-5,MIN(3,(E7-E9)*100*0.1*E4))</f>
        <v>0</v>
      </c>
      <c r="F24" s="203">
        <f>MAX(-5,((F9-98%)*1000)*F4)</f>
        <v>0.02</v>
      </c>
      <c r="G24" s="203">
        <f>-MAX(-2.5,((G9-2%)*1000)*G4)</f>
        <v>0.195</v>
      </c>
      <c r="H24" s="203">
        <f>MAX(-2.5,(-(H9-0.046%)*100000)*0.65*H4)</f>
        <v>-2.5</v>
      </c>
      <c r="I24" s="203">
        <f>MAX(-2.5,((I9-99.8%)*10000)*I4)</f>
        <v>1</v>
      </c>
      <c r="J24" s="158">
        <f>((100%-J9)*100/3)*0.5*J4</f>
        <v>0.07450331126</v>
      </c>
      <c r="K24" s="203">
        <f>MAX(-2.5,(-(K9-0.5%)*1000)*6*K4)</f>
        <v>-0.1316654087</v>
      </c>
      <c r="L24" s="203">
        <f>MAX(-5,((L9-99%)*1000)*2*L4)</f>
        <v>-1.38</v>
      </c>
      <c r="M24" s="203">
        <f>MAX(-2.5,((3-M9)/0.1)*0.5*M4)</f>
        <v>-1.85</v>
      </c>
      <c r="N24" s="203">
        <f>MAX(-2.5,((N9-90%)*100)*2*N4)</f>
        <v>0.6308724832</v>
      </c>
      <c r="O24" s="158">
        <f>IF(O9&gt;=100%,0,((O9-100%)*100/2)*O4)</f>
        <v>0</v>
      </c>
      <c r="P24" s="161">
        <f t="shared" si="3"/>
        <v>95.48871039</v>
      </c>
    </row>
    <row r="25">
      <c r="A25" s="88" t="s">
        <v>44</v>
      </c>
      <c r="B25" s="197">
        <f t="shared" ref="B25:C25" si="4">MAX(-5,MIN(5,
IF(B10&lt;95%,
-(95%-B10)*100,
IF(B10&lt;100%,
-(100%-B10)*100*0.5,
(B10-100%)*100*2
))*B4))</f>
        <v>0</v>
      </c>
      <c r="C25" s="197">
        <f t="shared" si="4"/>
        <v>0</v>
      </c>
      <c r="D25" s="203">
        <f>((D7-D10)*100)*D4</f>
        <v>1.731</v>
      </c>
      <c r="E25" s="203">
        <f>MAX(-5,MIN(3,(E7-E10)*100*0.1*E4))</f>
        <v>0</v>
      </c>
      <c r="F25" s="203">
        <f>MAX(-5,((F10-98%)*1000)*F4)</f>
        <v>-5</v>
      </c>
      <c r="G25" s="203">
        <f>-MAX(-2.5,((G10-2%)*1000)*G4)</f>
        <v>0.755</v>
      </c>
      <c r="H25" s="203">
        <f>MAX(-2.5,(-(H10-0.046%)*100000)*0.65*H4)</f>
        <v>-2.5</v>
      </c>
      <c r="I25" s="203">
        <f>MAX(-2.5,((I10-99.8%)*10000)*I4)</f>
        <v>1</v>
      </c>
      <c r="J25" s="158">
        <f>((100%-J10)*100/3)*0.5*J4</f>
        <v>0.53</v>
      </c>
      <c r="K25" s="203">
        <f>MAX(-2.5,(-(K10-0.5%)*1000)*6*K4)</f>
        <v>0.105017169</v>
      </c>
      <c r="L25" s="203">
        <f>MAX(-5,((L10-99%)*1000)*2*L4)</f>
        <v>-1.3</v>
      </c>
      <c r="M25" s="203">
        <f>MAX(-2.5,((3-M10)/0.1)*0.5*M4)</f>
        <v>-2.3</v>
      </c>
      <c r="N25" s="203">
        <f>MAX(-2.5,((N10-90%)*100)*2*N4)</f>
        <v>0.9380804954</v>
      </c>
      <c r="O25" s="158">
        <f>IF(O10&gt;=100%,0,((O10-100%)*100/2)*O4)</f>
        <v>0</v>
      </c>
      <c r="P25" s="161">
        <f t="shared" si="3"/>
        <v>93.95909766</v>
      </c>
      <c r="Q25" s="226"/>
      <c r="R25" s="226"/>
      <c r="S25" s="226"/>
      <c r="T25" s="226"/>
      <c r="U25" s="226"/>
      <c r="V25" s="226"/>
      <c r="W25" s="226"/>
      <c r="X25" s="226"/>
      <c r="Y25" s="226"/>
      <c r="Z25" s="226"/>
      <c r="AA25" s="226"/>
      <c r="AB25" s="226"/>
      <c r="AC25" s="226"/>
      <c r="AD25" s="226"/>
      <c r="AE25" s="226"/>
      <c r="AF25" s="226"/>
      <c r="AG25" s="226"/>
      <c r="AH25" s="226"/>
      <c r="AI25" s="226"/>
      <c r="AJ25" s="226"/>
      <c r="AK25" s="226"/>
      <c r="AL25" s="226"/>
      <c r="AM25" s="226"/>
      <c r="AN25" s="226"/>
      <c r="AO25" s="226"/>
    </row>
    <row r="26">
      <c r="A26" s="88" t="s">
        <v>45</v>
      </c>
      <c r="B26" s="197">
        <f>MAX(-5,MIN(5,
IF(B11&lt;95%,
-(95%-B11)*100,
IF(B11&lt;100%,
-(100%-B11)*100*0.5,
(B11-100%)*100*2
))*B4))</f>
        <v>0</v>
      </c>
      <c r="C26" s="197">
        <f>MAX(-5,MIN(5,
IF(C11&lt;95%,
-(95%-C11)*100,
IF(C11&lt;100%,
-(100%-C11)*100*0.5,
(C11-100%)*100*2
))*C9))</f>
        <v>0</v>
      </c>
      <c r="D26" s="203">
        <f>((D7-D11)*100)*D4</f>
        <v>0.634</v>
      </c>
      <c r="E26" s="203">
        <f>MAX(-5,MIN(3,(E7-E11)*100*0.1*E4))</f>
        <v>0</v>
      </c>
      <c r="F26" s="203">
        <f>MAX(-5,((F11-98%)*1000)*F4)</f>
        <v>-5</v>
      </c>
      <c r="G26" s="203">
        <f>-MAX(-2.5,((G11-2%)*1000)*G4)</f>
        <v>-0.505</v>
      </c>
      <c r="H26" s="203">
        <f>MAX(-2.5,(-(H11-0.046%)*100000)*0.65*H4)</f>
        <v>-2.5</v>
      </c>
      <c r="I26" s="203">
        <f>MAX(-2.5,((I11-99.8%)*10000)*I4)</f>
        <v>1</v>
      </c>
      <c r="J26" s="158">
        <f>((100%-J11)*100/3)*0.5*J4</f>
        <v>0.135009311</v>
      </c>
      <c r="K26" s="203">
        <f>MAX(-2.5,(-(K11-0.5%)*1000)*6*K4)</f>
        <v>1.5</v>
      </c>
      <c r="L26" s="203">
        <f>MAX(-5,((L11-99%)*1000)*2*L4)</f>
        <v>-1.06</v>
      </c>
      <c r="M26" s="203">
        <f>MAX(-2.5,((3-M11)/0.1)*0.5*M4)</f>
        <v>-0.15</v>
      </c>
      <c r="N26" s="203">
        <f>MAX(-2.5,((N11-90%)*100)*2*N4)</f>
        <v>0.8369565217</v>
      </c>
      <c r="O26" s="158">
        <f>IF(O11&gt;=100%,0,((O11-100%)*100/2)*O4)</f>
        <v>0</v>
      </c>
      <c r="P26" s="161">
        <f t="shared" si="3"/>
        <v>94.89096583</v>
      </c>
    </row>
    <row r="27">
      <c r="A27" s="88" t="s">
        <v>47</v>
      </c>
      <c r="B27" s="197">
        <f>MAX(-5,MIN(5,
IF(B12&lt;95%,
-(95%-B12)*100,
IF(B12&lt;100%,
-(100%-B12)*100*0.5,
(B12-100%)*100*2
))*B10))</f>
        <v>0</v>
      </c>
      <c r="C27" s="197">
        <f>MAX(-5,MIN(5,
IF(C12&lt;95%,
-(95%-C12)*100,
IF(C12&lt;100%,
-(100%-C12)*100*0.5,
(C12-100%)*100*2
))*C4))</f>
        <v>0</v>
      </c>
      <c r="D27" s="203">
        <f>((D7-D12)*100)*D4</f>
        <v>0.304</v>
      </c>
      <c r="E27" s="203">
        <f>MAX(-5,MIN(3,(E7-E12)*100*0.1*E4))</f>
        <v>0</v>
      </c>
      <c r="F27" s="203">
        <f>MAX(-5,((F12-98%)*1000)*F4)</f>
        <v>0</v>
      </c>
      <c r="G27" s="203">
        <f>-MAX(-2.5,((G12-2%)*1000)*G4)</f>
        <v>0.25</v>
      </c>
      <c r="H27" s="203">
        <f>MAX(-2.5,(-(H12-0.046%)*100000)*0.65*H4)</f>
        <v>-2.2425</v>
      </c>
      <c r="I27" s="203">
        <f>MAX(-2.5,((I12-99.8%)*10000)*I4)</f>
        <v>1</v>
      </c>
      <c r="J27" s="158">
        <f>((100%-J12)*100/3)*0.5*J4</f>
        <v>0.1895043732</v>
      </c>
      <c r="K27" s="203">
        <f>MAX(-2.5,(-(K12-0.5%)*1000)*6*K4)</f>
        <v>1.5</v>
      </c>
      <c r="L27" s="203">
        <f>MAX(-5,((L12-99%)*1000)*2*L4)</f>
        <v>-1.18</v>
      </c>
      <c r="M27" s="203">
        <f>MAX(-2.5,((3-M12)/0.1)*0.5*M4)</f>
        <v>0.2</v>
      </c>
      <c r="N27" s="203">
        <f>MAX(-2.5,((N12-90%)*100)*2*N4)</f>
        <v>0.8886138614</v>
      </c>
      <c r="O27" s="158">
        <f>IF(O12&gt;=100%,0,((O12-100%)*100/2)*O4)</f>
        <v>0</v>
      </c>
      <c r="P27" s="161">
        <f t="shared" si="3"/>
        <v>100.9096182</v>
      </c>
    </row>
    <row r="28">
      <c r="A28" s="88" t="s">
        <v>48</v>
      </c>
      <c r="B28" s="197">
        <f t="shared" ref="B28:C28" si="5">MAX(-5,MIN(5,
IF(B13&lt;95%,
-(95%-B13)*100,
IF(B13&lt;100%,
-(100%-B13)*100*0.5,
(B13-100%)*100*2
))*B4))</f>
        <v>0</v>
      </c>
      <c r="C28" s="197">
        <f t="shared" si="5"/>
        <v>0</v>
      </c>
      <c r="D28" s="203">
        <f>((D7-D13)*100)*D4</f>
        <v>-4.155</v>
      </c>
      <c r="E28" s="203">
        <f>MAX(-5,MIN(3,(E7-E13)*100*0.1*E4))</f>
        <v>0</v>
      </c>
      <c r="F28" s="203">
        <f>MAX(-5,((F13-98%)*1000)*F4)</f>
        <v>-5</v>
      </c>
      <c r="G28" s="203">
        <f>-MAX(-2.5,((G13-2%)*1000)*G4)</f>
        <v>0.715</v>
      </c>
      <c r="H28" s="203">
        <f>MAX(-2.5,(-(H13-0.046%)*100000)*0.65*H4)</f>
        <v>-2.5</v>
      </c>
      <c r="I28" s="203">
        <f>MAX(-2.5,((I13-99.8%)*10000)*I4)</f>
        <v>1</v>
      </c>
      <c r="J28" s="158">
        <f>((100%-J13)*100/3)*0.5*J4</f>
        <v>0.3475711893</v>
      </c>
      <c r="K28" s="203">
        <f>MAX(-2.5,(-(K13-0.5%)*1000)*6*K4)</f>
        <v>-2.5</v>
      </c>
      <c r="L28" s="203">
        <f>MAX(-5,((L13-99%)*1000)*2*L4)</f>
        <v>-0.58</v>
      </c>
      <c r="M28" s="203">
        <f>MAX(-2.5,((3-M13)/0.1)*0.5*M4)</f>
        <v>-0.7</v>
      </c>
      <c r="N28" s="203">
        <f>MAX(-2.5,((N13-90%)*100)*2*N4)</f>
        <v>1</v>
      </c>
      <c r="O28" s="158">
        <f>IF(O13&gt;=100%,0,((O13-100%)*100/2)*O4)</f>
        <v>0</v>
      </c>
      <c r="P28" s="161">
        <f t="shared" si="3"/>
        <v>87.62757119</v>
      </c>
    </row>
    <row r="29">
      <c r="A29" s="106" t="s">
        <v>49</v>
      </c>
      <c r="B29" s="158">
        <f t="shared" ref="B29:C29" si="6">MAX(-5,MIN(5,
IF(B14&lt;95%,
-(95%-B14)*100,
IF(B14&lt;100%,
-(100%-B14)*100*0.5,
(B14-100%)*100*2
))*B4))</f>
        <v>0</v>
      </c>
      <c r="C29" s="158">
        <f t="shared" si="6"/>
        <v>0</v>
      </c>
      <c r="D29" s="158">
        <f>((D7-D14)*100)*D4</f>
        <v>5.356</v>
      </c>
      <c r="E29" s="158">
        <f>MAX(-5,MIN(3,(E7-E14)*100*0.1*E4))</f>
        <v>0</v>
      </c>
      <c r="F29" s="158">
        <f>MAX(-5,((F14-98%)*1000)*F4)</f>
        <v>-5</v>
      </c>
      <c r="G29" s="158">
        <f>-MAX(-2.5,((G14-2%)*1000)*G4)</f>
        <v>0.82</v>
      </c>
      <c r="H29" s="158">
        <f>MAX(-2.5,(-(H14-0.046%)*100000)*0.65*H4)</f>
        <v>-2.5</v>
      </c>
      <c r="I29" s="158">
        <f>MAX(-2.5,((I14-99.8%)*10000)*I4)</f>
        <v>1</v>
      </c>
      <c r="J29" s="158">
        <f>((100%-J14)*100/3)*0.5*J4</f>
        <v>0.305907173</v>
      </c>
      <c r="K29" s="158">
        <f>MAX(-2.5,(-(K14-0.5%)*1000)*6*K4)</f>
        <v>0.6397053722</v>
      </c>
      <c r="L29" s="158">
        <f>MAX(-5,((L14-99%)*1000)*2*L4)</f>
        <v>-1</v>
      </c>
      <c r="M29" s="158">
        <f>MAX(-2.5,((3-M14)/0.1)*0.5*M4)</f>
        <v>-0.85</v>
      </c>
      <c r="N29" s="279">
        <f>MAX(-2.5,((N14-90%)*100)*2*N4)</f>
        <v>0.9246231156</v>
      </c>
      <c r="O29" s="158">
        <f>IF(O14&gt;=100%,0,((O14-100%)*100/2)*O4)</f>
        <v>0</v>
      </c>
      <c r="P29" s="161">
        <f t="shared" si="3"/>
        <v>99.69623566</v>
      </c>
    </row>
    <row r="32">
      <c r="A32" s="280"/>
      <c r="B32" s="281" t="s">
        <v>99</v>
      </c>
      <c r="C32" s="7"/>
      <c r="D32" s="7"/>
      <c r="E32" s="7"/>
      <c r="F32" s="9"/>
    </row>
    <row r="33">
      <c r="A33" s="282" t="s">
        <v>100</v>
      </c>
      <c r="B33" s="283" t="s">
        <v>2</v>
      </c>
      <c r="C33" s="283" t="s">
        <v>101</v>
      </c>
      <c r="D33" s="283" t="s">
        <v>20</v>
      </c>
      <c r="E33" s="283" t="s">
        <v>102</v>
      </c>
      <c r="F33" s="283" t="s">
        <v>103</v>
      </c>
    </row>
    <row r="34">
      <c r="A34" s="284">
        <v>1.0</v>
      </c>
      <c r="B34" s="285" t="s">
        <v>104</v>
      </c>
      <c r="C34" s="286"/>
      <c r="D34" s="287">
        <v>0.1</v>
      </c>
      <c r="E34" s="285" t="s">
        <v>105</v>
      </c>
      <c r="F34" s="288" t="s">
        <v>106</v>
      </c>
    </row>
    <row r="35">
      <c r="A35" s="284">
        <v>2.0</v>
      </c>
      <c r="B35" s="285" t="s">
        <v>107</v>
      </c>
      <c r="C35" s="286"/>
      <c r="D35" s="287">
        <v>0.05</v>
      </c>
      <c r="E35" s="285" t="s">
        <v>108</v>
      </c>
      <c r="F35" s="288" t="s">
        <v>106</v>
      </c>
    </row>
    <row r="36">
      <c r="A36" s="284">
        <v>3.0</v>
      </c>
      <c r="B36" s="285" t="s">
        <v>109</v>
      </c>
      <c r="C36" s="286"/>
      <c r="D36" s="287">
        <v>0.1</v>
      </c>
      <c r="E36" s="285" t="s">
        <v>110</v>
      </c>
      <c r="F36" s="289" t="s">
        <v>111</v>
      </c>
    </row>
    <row r="37">
      <c r="A37" s="284">
        <v>4.0</v>
      </c>
      <c r="B37" s="285" t="s">
        <v>112</v>
      </c>
      <c r="C37" s="290"/>
      <c r="D37" s="291">
        <v>0.05</v>
      </c>
      <c r="E37" s="285" t="s">
        <v>113</v>
      </c>
      <c r="F37" s="289" t="s">
        <v>114</v>
      </c>
      <c r="P37" s="292"/>
      <c r="Q37" s="292"/>
      <c r="R37" s="292"/>
      <c r="S37" s="292"/>
      <c r="T37" s="292"/>
      <c r="U37" s="292"/>
      <c r="V37" s="292"/>
      <c r="W37" s="292"/>
      <c r="X37" s="292"/>
      <c r="Y37" s="292"/>
      <c r="Z37" s="292"/>
      <c r="AA37" s="292"/>
      <c r="AB37" s="292"/>
      <c r="AC37" s="292"/>
      <c r="AD37" s="292"/>
      <c r="AE37" s="292"/>
      <c r="AF37" s="292"/>
      <c r="AG37" s="292"/>
      <c r="AH37" s="292"/>
      <c r="AI37" s="292"/>
      <c r="AJ37" s="292"/>
      <c r="AK37" s="292"/>
      <c r="AL37" s="292"/>
      <c r="AM37" s="292"/>
      <c r="AN37" s="292"/>
      <c r="AO37" s="292"/>
    </row>
    <row r="38">
      <c r="A38" s="284">
        <v>5.0</v>
      </c>
      <c r="B38" s="285" t="s">
        <v>115</v>
      </c>
      <c r="C38" s="286"/>
      <c r="D38" s="287">
        <v>0.1</v>
      </c>
      <c r="E38" s="285" t="s">
        <v>116</v>
      </c>
      <c r="F38" s="293" t="s">
        <v>117</v>
      </c>
      <c r="P38" s="292"/>
      <c r="Q38" s="292"/>
      <c r="R38" s="292"/>
      <c r="S38" s="292"/>
      <c r="T38" s="292"/>
      <c r="U38" s="292"/>
      <c r="V38" s="292"/>
      <c r="W38" s="292"/>
      <c r="X38" s="292"/>
      <c r="Y38" s="292"/>
      <c r="Z38" s="292"/>
      <c r="AA38" s="292"/>
      <c r="AB38" s="292"/>
      <c r="AC38" s="292"/>
      <c r="AD38" s="292"/>
      <c r="AE38" s="292"/>
      <c r="AF38" s="292"/>
      <c r="AG38" s="292"/>
      <c r="AH38" s="292"/>
      <c r="AI38" s="292"/>
      <c r="AJ38" s="292"/>
      <c r="AK38" s="292"/>
      <c r="AL38" s="292"/>
      <c r="AM38" s="292"/>
      <c r="AN38" s="292"/>
      <c r="AO38" s="292"/>
    </row>
    <row r="39">
      <c r="A39" s="284">
        <v>6.0</v>
      </c>
      <c r="B39" s="285" t="s">
        <v>118</v>
      </c>
      <c r="C39" s="286"/>
      <c r="D39" s="287">
        <v>0.05</v>
      </c>
      <c r="E39" s="294" t="s">
        <v>119</v>
      </c>
      <c r="F39" s="293" t="s">
        <v>120</v>
      </c>
      <c r="P39" s="292"/>
      <c r="Q39" s="292"/>
      <c r="R39" s="292"/>
      <c r="S39" s="292"/>
      <c r="T39" s="292"/>
      <c r="U39" s="292"/>
      <c r="V39" s="292"/>
      <c r="W39" s="292"/>
      <c r="X39" s="292"/>
      <c r="Y39" s="292"/>
      <c r="Z39" s="292"/>
      <c r="AA39" s="292"/>
      <c r="AB39" s="292"/>
      <c r="AC39" s="292"/>
      <c r="AD39" s="292"/>
      <c r="AE39" s="292"/>
      <c r="AF39" s="292"/>
      <c r="AG39" s="292"/>
      <c r="AH39" s="292"/>
      <c r="AI39" s="292"/>
      <c r="AJ39" s="292"/>
      <c r="AK39" s="292"/>
      <c r="AL39" s="292"/>
      <c r="AM39" s="292"/>
      <c r="AN39" s="292"/>
      <c r="AO39" s="292"/>
    </row>
    <row r="40">
      <c r="A40" s="284">
        <v>7.0</v>
      </c>
      <c r="B40" s="285" t="s">
        <v>121</v>
      </c>
      <c r="C40" s="286"/>
      <c r="D40" s="287">
        <v>0.05</v>
      </c>
      <c r="E40" s="285" t="s">
        <v>122</v>
      </c>
      <c r="F40" s="293" t="s">
        <v>123</v>
      </c>
      <c r="P40" s="292"/>
      <c r="Q40" s="292"/>
      <c r="R40" s="292"/>
      <c r="S40" s="292"/>
      <c r="T40" s="292"/>
      <c r="U40" s="292"/>
      <c r="V40" s="292"/>
      <c r="W40" s="292"/>
      <c r="X40" s="292"/>
      <c r="Y40" s="292"/>
      <c r="Z40" s="292"/>
      <c r="AA40" s="292"/>
      <c r="AB40" s="292"/>
      <c r="AC40" s="292"/>
      <c r="AD40" s="292"/>
      <c r="AE40" s="292"/>
      <c r="AF40" s="292"/>
      <c r="AG40" s="292"/>
      <c r="AH40" s="292"/>
      <c r="AI40" s="292"/>
      <c r="AJ40" s="292"/>
      <c r="AK40" s="292"/>
      <c r="AL40" s="292"/>
      <c r="AM40" s="292"/>
      <c r="AN40" s="292"/>
      <c r="AO40" s="292"/>
    </row>
    <row r="41">
      <c r="A41" s="284">
        <v>8.0</v>
      </c>
      <c r="B41" s="285" t="s">
        <v>124</v>
      </c>
      <c r="C41" s="286"/>
      <c r="D41" s="287">
        <v>0.05</v>
      </c>
      <c r="E41" s="285" t="s">
        <v>125</v>
      </c>
      <c r="F41" s="293" t="s">
        <v>126</v>
      </c>
      <c r="P41" s="292"/>
      <c r="Q41" s="292"/>
      <c r="R41" s="292"/>
      <c r="S41" s="292"/>
      <c r="T41" s="292"/>
      <c r="U41" s="292"/>
      <c r="V41" s="292"/>
      <c r="W41" s="292"/>
      <c r="X41" s="292"/>
      <c r="Y41" s="292"/>
      <c r="Z41" s="292"/>
      <c r="AA41" s="292"/>
      <c r="AB41" s="292"/>
      <c r="AC41" s="292"/>
      <c r="AD41" s="292"/>
      <c r="AE41" s="292"/>
      <c r="AF41" s="292"/>
      <c r="AG41" s="292"/>
      <c r="AH41" s="292"/>
      <c r="AI41" s="292"/>
      <c r="AJ41" s="292"/>
      <c r="AK41" s="292"/>
      <c r="AL41" s="292"/>
      <c r="AM41" s="292"/>
      <c r="AN41" s="292"/>
      <c r="AO41" s="292"/>
    </row>
    <row r="42">
      <c r="A42" s="284">
        <v>9.0</v>
      </c>
      <c r="B42" s="285" t="s">
        <v>127</v>
      </c>
      <c r="C42" s="286"/>
      <c r="D42" s="287">
        <v>0.05</v>
      </c>
      <c r="E42" s="285" t="s">
        <v>128</v>
      </c>
      <c r="F42" s="289" t="s">
        <v>129</v>
      </c>
      <c r="P42" s="292"/>
      <c r="Q42" s="292"/>
      <c r="R42" s="292"/>
      <c r="S42" s="292"/>
      <c r="T42" s="292"/>
      <c r="U42" s="292"/>
      <c r="V42" s="292"/>
      <c r="W42" s="292"/>
      <c r="X42" s="292"/>
      <c r="Y42" s="292"/>
      <c r="Z42" s="292"/>
      <c r="AA42" s="292"/>
      <c r="AB42" s="292"/>
      <c r="AC42" s="292"/>
      <c r="AD42" s="292"/>
      <c r="AE42" s="292"/>
      <c r="AF42" s="292"/>
      <c r="AG42" s="292"/>
      <c r="AH42" s="292"/>
      <c r="AI42" s="292"/>
      <c r="AJ42" s="292"/>
      <c r="AK42" s="292"/>
      <c r="AL42" s="292"/>
      <c r="AM42" s="292"/>
      <c r="AN42" s="292"/>
      <c r="AO42" s="292"/>
    </row>
    <row r="43">
      <c r="A43" s="284">
        <v>10.0</v>
      </c>
      <c r="B43" s="285" t="s">
        <v>130</v>
      </c>
      <c r="C43" s="286"/>
      <c r="D43" s="287">
        <v>0.05</v>
      </c>
      <c r="E43" s="285" t="s">
        <v>131</v>
      </c>
      <c r="F43" s="293" t="s">
        <v>132</v>
      </c>
      <c r="P43" s="292"/>
      <c r="Q43" s="292"/>
      <c r="R43" s="292"/>
      <c r="S43" s="292"/>
      <c r="T43" s="292"/>
      <c r="U43" s="292"/>
      <c r="V43" s="292"/>
      <c r="W43" s="292"/>
      <c r="X43" s="292"/>
      <c r="Y43" s="292"/>
      <c r="Z43" s="292"/>
      <c r="AA43" s="292"/>
      <c r="AB43" s="292"/>
      <c r="AC43" s="292"/>
      <c r="AD43" s="292"/>
      <c r="AE43" s="292"/>
      <c r="AF43" s="292"/>
      <c r="AG43" s="292"/>
      <c r="AH43" s="292"/>
      <c r="AI43" s="292"/>
      <c r="AJ43" s="292"/>
      <c r="AK43" s="292"/>
      <c r="AL43" s="292"/>
      <c r="AM43" s="292"/>
      <c r="AN43" s="292"/>
      <c r="AO43" s="292"/>
    </row>
    <row r="44">
      <c r="A44" s="284">
        <v>11.0</v>
      </c>
      <c r="B44" s="285" t="s">
        <v>133</v>
      </c>
      <c r="C44" s="286"/>
      <c r="D44" s="287">
        <v>0.1</v>
      </c>
      <c r="E44" s="285" t="s">
        <v>36</v>
      </c>
      <c r="F44" s="293" t="s">
        <v>134</v>
      </c>
      <c r="P44" s="292"/>
      <c r="Q44" s="292"/>
      <c r="R44" s="292"/>
      <c r="S44" s="292"/>
      <c r="T44" s="292"/>
      <c r="U44" s="292"/>
      <c r="V44" s="292"/>
      <c r="W44" s="292"/>
      <c r="X44" s="292"/>
      <c r="Y44" s="292"/>
      <c r="Z44" s="292"/>
      <c r="AA44" s="292"/>
      <c r="AB44" s="292"/>
      <c r="AC44" s="292"/>
      <c r="AD44" s="292"/>
      <c r="AE44" s="292"/>
      <c r="AF44" s="292"/>
      <c r="AG44" s="292"/>
      <c r="AH44" s="292"/>
      <c r="AI44" s="292"/>
      <c r="AJ44" s="292"/>
      <c r="AK44" s="292"/>
      <c r="AL44" s="292"/>
      <c r="AM44" s="292"/>
      <c r="AN44" s="292"/>
      <c r="AO44" s="292"/>
    </row>
    <row r="45">
      <c r="A45" s="284">
        <v>12.0</v>
      </c>
      <c r="B45" s="285" t="s">
        <v>135</v>
      </c>
      <c r="C45" s="286"/>
      <c r="D45" s="287">
        <v>0.1</v>
      </c>
      <c r="E45" s="285" t="s">
        <v>136</v>
      </c>
      <c r="F45" s="293" t="s">
        <v>137</v>
      </c>
      <c r="P45" s="292"/>
      <c r="Q45" s="292"/>
      <c r="R45" s="292"/>
      <c r="S45" s="292"/>
      <c r="T45" s="292"/>
      <c r="U45" s="292"/>
      <c r="V45" s="292"/>
      <c r="W45" s="292"/>
      <c r="X45" s="292"/>
      <c r="Y45" s="292"/>
      <c r="Z45" s="292"/>
      <c r="AA45" s="292"/>
      <c r="AB45" s="292"/>
      <c r="AC45" s="292"/>
      <c r="AD45" s="292"/>
      <c r="AE45" s="292"/>
      <c r="AF45" s="292"/>
      <c r="AG45" s="292"/>
      <c r="AH45" s="292"/>
      <c r="AI45" s="292"/>
      <c r="AJ45" s="292"/>
      <c r="AK45" s="292"/>
      <c r="AL45" s="292"/>
      <c r="AM45" s="292"/>
      <c r="AN45" s="292"/>
      <c r="AO45" s="292"/>
    </row>
    <row r="46">
      <c r="A46" s="284">
        <v>13.0</v>
      </c>
      <c r="B46" s="285" t="s">
        <v>138</v>
      </c>
      <c r="C46" s="286"/>
      <c r="D46" s="287">
        <v>0.05</v>
      </c>
      <c r="E46" s="285" t="s">
        <v>139</v>
      </c>
      <c r="F46" s="293" t="s">
        <v>140</v>
      </c>
      <c r="P46" s="292"/>
      <c r="Q46" s="292"/>
      <c r="R46" s="292"/>
      <c r="S46" s="292"/>
      <c r="T46" s="292"/>
      <c r="U46" s="292"/>
      <c r="V46" s="292"/>
      <c r="W46" s="292"/>
      <c r="X46" s="292"/>
      <c r="Y46" s="292"/>
      <c r="Z46" s="292"/>
      <c r="AA46" s="292"/>
      <c r="AB46" s="292"/>
      <c r="AC46" s="292"/>
      <c r="AD46" s="292"/>
      <c r="AE46" s="292"/>
      <c r="AF46" s="292"/>
      <c r="AG46" s="292"/>
      <c r="AH46" s="292"/>
      <c r="AI46" s="292"/>
      <c r="AJ46" s="292"/>
      <c r="AK46" s="292"/>
      <c r="AL46" s="292"/>
      <c r="AM46" s="292"/>
      <c r="AN46" s="292"/>
      <c r="AO46" s="292"/>
    </row>
    <row r="47">
      <c r="A47" s="284">
        <v>14.0</v>
      </c>
      <c r="B47" s="285" t="s">
        <v>141</v>
      </c>
      <c r="C47" s="286"/>
      <c r="D47" s="287">
        <v>0.1</v>
      </c>
      <c r="E47" s="285" t="s">
        <v>39</v>
      </c>
      <c r="F47" s="289" t="s">
        <v>142</v>
      </c>
    </row>
  </sheetData>
  <mergeCells count="3">
    <mergeCell ref="B2:O2"/>
    <mergeCell ref="B18:O18"/>
    <mergeCell ref="B32:F32"/>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0">
      <c r="A10" s="1"/>
      <c r="B10" s="4"/>
      <c r="C10" s="5" t="s">
        <v>0</v>
      </c>
      <c r="D10" s="7"/>
      <c r="E10" s="7"/>
      <c r="F10" s="7"/>
      <c r="G10" s="7"/>
      <c r="H10" s="7"/>
      <c r="I10" s="7"/>
      <c r="J10" s="7"/>
      <c r="K10" s="7"/>
      <c r="L10" s="7"/>
      <c r="M10" s="7"/>
      <c r="N10" s="7"/>
      <c r="O10" s="7"/>
      <c r="P10" s="7"/>
      <c r="Q10" s="7"/>
      <c r="R10" s="9"/>
      <c r="S10" s="10"/>
    </row>
    <row r="11">
      <c r="A11" s="11"/>
      <c r="B11" s="12" t="s">
        <v>2</v>
      </c>
      <c r="C11" s="13" t="s">
        <v>3</v>
      </c>
      <c r="D11" s="14" t="s">
        <v>4</v>
      </c>
      <c r="E11" s="14" t="s">
        <v>5</v>
      </c>
      <c r="F11" s="14" t="s">
        <v>6</v>
      </c>
      <c r="G11" s="14" t="s">
        <v>7</v>
      </c>
      <c r="H11" s="14" t="s">
        <v>8</v>
      </c>
      <c r="I11" s="14" t="s">
        <v>9</v>
      </c>
      <c r="J11" s="14" t="s">
        <v>10</v>
      </c>
      <c r="K11" s="14" t="s">
        <v>11</v>
      </c>
      <c r="L11" s="14" t="s">
        <v>12</v>
      </c>
      <c r="M11" s="14" t="s">
        <v>13</v>
      </c>
      <c r="N11" s="14" t="s">
        <v>14</v>
      </c>
      <c r="O11" s="14" t="s">
        <v>15</v>
      </c>
      <c r="P11" s="14" t="s">
        <v>16</v>
      </c>
      <c r="Q11" s="22" t="s">
        <v>17</v>
      </c>
      <c r="R11" s="24" t="s">
        <v>19</v>
      </c>
      <c r="S11" s="25" t="s">
        <v>18</v>
      </c>
    </row>
    <row r="12">
      <c r="A12" s="26"/>
      <c r="B12" s="27" t="s">
        <v>20</v>
      </c>
      <c r="C12" s="29">
        <v>0.1</v>
      </c>
      <c r="D12" s="31">
        <v>0.05</v>
      </c>
      <c r="E12" s="33">
        <v>0.1</v>
      </c>
      <c r="F12" s="33">
        <v>0.05</v>
      </c>
      <c r="G12" s="33">
        <v>0.1</v>
      </c>
      <c r="H12" s="33">
        <v>0.05</v>
      </c>
      <c r="I12" s="33">
        <v>0.05</v>
      </c>
      <c r="J12" s="33">
        <v>0.05</v>
      </c>
      <c r="K12" s="33">
        <v>0.05</v>
      </c>
      <c r="L12" s="33">
        <v>0.05</v>
      </c>
      <c r="M12" s="33">
        <v>0.1</v>
      </c>
      <c r="N12" s="33">
        <v>0.1</v>
      </c>
      <c r="O12" s="33">
        <v>0.05</v>
      </c>
      <c r="P12" s="34">
        <v>0.05</v>
      </c>
      <c r="Q12" s="35">
        <v>0.05</v>
      </c>
      <c r="R12" s="35">
        <v>0.0</v>
      </c>
      <c r="S12" s="36">
        <v>1.0000000000000002</v>
      </c>
    </row>
    <row r="13">
      <c r="B13" s="27" t="s">
        <v>22</v>
      </c>
      <c r="C13" s="38" t="s">
        <v>23</v>
      </c>
      <c r="D13" s="39" t="s">
        <v>23</v>
      </c>
      <c r="E13" s="40"/>
      <c r="F13" s="41"/>
      <c r="G13" s="40"/>
      <c r="H13" s="40"/>
      <c r="I13" s="42"/>
      <c r="J13" s="40"/>
      <c r="K13" s="44"/>
      <c r="L13" s="40"/>
      <c r="M13" s="40"/>
      <c r="N13" s="41"/>
      <c r="O13" s="40"/>
      <c r="P13" s="40"/>
      <c r="Q13" s="40"/>
      <c r="R13" s="40"/>
      <c r="S13" s="4"/>
    </row>
    <row r="14">
      <c r="A14" s="26" t="s">
        <v>28</v>
      </c>
      <c r="B14" s="27" t="s">
        <v>30</v>
      </c>
      <c r="C14" s="48">
        <v>139178.0</v>
      </c>
      <c r="D14" s="49">
        <v>1722.0</v>
      </c>
      <c r="E14" s="29">
        <v>0.98</v>
      </c>
      <c r="F14" s="38">
        <v>1.0</v>
      </c>
      <c r="G14" s="29">
        <v>0.98</v>
      </c>
      <c r="H14" s="29">
        <v>0.02</v>
      </c>
      <c r="I14" s="50">
        <v>3.7E-4</v>
      </c>
      <c r="J14" s="29">
        <v>0.998</v>
      </c>
      <c r="K14" s="51" t="s">
        <v>41</v>
      </c>
      <c r="L14" s="29">
        <v>0.005</v>
      </c>
      <c r="M14" s="29">
        <v>0.99</v>
      </c>
      <c r="N14" s="38">
        <v>3.0</v>
      </c>
      <c r="O14" s="29">
        <v>0.9</v>
      </c>
      <c r="P14" s="29">
        <v>1.0</v>
      </c>
      <c r="Q14" s="53">
        <v>1.0</v>
      </c>
      <c r="R14" s="53">
        <v>1.0</v>
      </c>
      <c r="S14" s="4"/>
    </row>
    <row r="15">
      <c r="A15" s="54">
        <v>1.0</v>
      </c>
      <c r="B15" s="55" t="s">
        <v>42</v>
      </c>
      <c r="C15" s="56"/>
      <c r="D15" s="57">
        <v>0.0</v>
      </c>
      <c r="E15" s="58"/>
      <c r="F15" s="60">
        <v>0.0</v>
      </c>
      <c r="G15" s="58">
        <v>-1.0864197530864206</v>
      </c>
      <c r="H15" s="58">
        <v>0.3453355155482815</v>
      </c>
      <c r="I15" s="62">
        <v>-2.5</v>
      </c>
      <c r="J15" s="58">
        <v>1.0000000000000009</v>
      </c>
      <c r="K15" s="58">
        <v>0.08042151968940647</v>
      </c>
      <c r="L15" s="58">
        <v>1.5</v>
      </c>
      <c r="M15" s="58">
        <v>-0.9489999999999998</v>
      </c>
      <c r="N15" s="67">
        <v>-2.5</v>
      </c>
      <c r="O15" s="58">
        <v>0.4479999999999995</v>
      </c>
      <c r="P15" s="58">
        <v>0.0</v>
      </c>
      <c r="Q15" s="62">
        <v>0.0</v>
      </c>
      <c r="R15" s="60">
        <v>0.0</v>
      </c>
      <c r="S15" s="70"/>
    </row>
    <row r="16">
      <c r="A16" s="54">
        <v>2.0</v>
      </c>
      <c r="B16" s="55" t="s">
        <v>43</v>
      </c>
      <c r="C16" s="56"/>
      <c r="D16" s="57">
        <v>0.0</v>
      </c>
      <c r="E16" s="58"/>
      <c r="F16" s="60">
        <v>0.0</v>
      </c>
      <c r="G16" s="58">
        <v>0.44559585492227605</v>
      </c>
      <c r="H16" s="58">
        <v>1.0</v>
      </c>
      <c r="I16" s="62">
        <v>-2.5</v>
      </c>
      <c r="J16" s="58">
        <v>-2.5</v>
      </c>
      <c r="K16" s="58">
        <v>-0.16506922257720982</v>
      </c>
      <c r="L16" s="58">
        <v>1.5</v>
      </c>
      <c r="M16" s="58">
        <v>-1.1946159999999928</v>
      </c>
      <c r="N16" s="67">
        <v>-2.5</v>
      </c>
      <c r="O16" s="58">
        <v>0.635</v>
      </c>
      <c r="P16" s="58">
        <v>0.0</v>
      </c>
      <c r="Q16" s="62">
        <v>0.0</v>
      </c>
      <c r="R16" s="60">
        <v>0.0</v>
      </c>
      <c r="S16" s="70"/>
    </row>
    <row r="17">
      <c r="A17" s="54">
        <v>3.0</v>
      </c>
      <c r="B17" s="55" t="s">
        <v>44</v>
      </c>
      <c r="C17" s="56"/>
      <c r="D17" s="57">
        <v>0.0</v>
      </c>
      <c r="E17" s="58"/>
      <c r="F17" s="60">
        <v>0.0</v>
      </c>
      <c r="G17" s="58">
        <v>-2.2042042042042076</v>
      </c>
      <c r="H17" s="58">
        <v>1.0</v>
      </c>
      <c r="I17" s="62">
        <v>-2.5</v>
      </c>
      <c r="J17" s="58">
        <v>-2.5</v>
      </c>
      <c r="K17" s="58">
        <v>-0.6048906048906049</v>
      </c>
      <c r="L17" s="58">
        <v>1.5</v>
      </c>
      <c r="M17" s="58">
        <v>-1.2838400000000583</v>
      </c>
      <c r="N17" s="67">
        <v>-0.9049999999999998</v>
      </c>
      <c r="O17" s="58">
        <v>0.3969999999999996</v>
      </c>
      <c r="P17" s="58">
        <v>0.0</v>
      </c>
      <c r="Q17" s="62">
        <v>0.0</v>
      </c>
      <c r="R17" s="60">
        <v>0.0</v>
      </c>
      <c r="S17" s="70"/>
    </row>
    <row r="18">
      <c r="A18" s="54">
        <v>4.0</v>
      </c>
      <c r="B18" s="55" t="s">
        <v>45</v>
      </c>
      <c r="C18" s="56"/>
      <c r="D18" s="57">
        <v>0.0</v>
      </c>
      <c r="E18" s="58"/>
      <c r="F18" s="60">
        <v>0.0</v>
      </c>
      <c r="G18" s="58">
        <v>-4.958762886597935</v>
      </c>
      <c r="H18" s="58">
        <v>-1.03125</v>
      </c>
      <c r="I18" s="62">
        <v>-2.5</v>
      </c>
      <c r="J18" s="58">
        <v>1.0000000000000009</v>
      </c>
      <c r="K18" s="58">
        <v>-0.3076923076923077</v>
      </c>
      <c r="L18" s="58">
        <v>-1.38</v>
      </c>
      <c r="M18" s="58">
        <v>-1.1017699999999797</v>
      </c>
      <c r="N18" s="67">
        <v>-0.7749999999999999</v>
      </c>
      <c r="O18" s="58">
        <v>0.716</v>
      </c>
      <c r="P18" s="58">
        <v>0.0</v>
      </c>
      <c r="Q18" s="62">
        <v>0.0</v>
      </c>
      <c r="R18" s="60">
        <v>0.0</v>
      </c>
      <c r="S18" s="70"/>
    </row>
    <row r="19">
      <c r="A19" s="54">
        <v>5.0</v>
      </c>
      <c r="B19" s="55" t="s">
        <v>47</v>
      </c>
      <c r="C19" s="56"/>
      <c r="D19" s="57">
        <v>0.0</v>
      </c>
      <c r="E19" s="58"/>
      <c r="F19" s="60">
        <v>0.0</v>
      </c>
      <c r="G19" s="58">
        <v>-0.23214285714285854</v>
      </c>
      <c r="H19" s="58">
        <v>-0.7326732673267329</v>
      </c>
      <c r="I19" s="62">
        <v>-2.5</v>
      </c>
      <c r="J19" s="58">
        <v>1.0000000000000009</v>
      </c>
      <c r="K19" s="58">
        <v>-0.4212454212454213</v>
      </c>
      <c r="L19" s="58">
        <v>-2.5</v>
      </c>
      <c r="M19" s="58">
        <v>-1.1219020000000413</v>
      </c>
      <c r="N19" s="67">
        <v>-0.44999999999999996</v>
      </c>
      <c r="O19" s="58">
        <v>0.8640000000000003</v>
      </c>
      <c r="P19" s="58">
        <v>0.0</v>
      </c>
      <c r="Q19" s="62">
        <v>0.0</v>
      </c>
      <c r="R19" s="60">
        <v>0.0</v>
      </c>
      <c r="S19" s="70"/>
    </row>
    <row r="20">
      <c r="A20" s="54">
        <v>6.0</v>
      </c>
      <c r="B20" s="55" t="s">
        <v>48</v>
      </c>
      <c r="C20" s="56"/>
      <c r="D20" s="57">
        <v>0.0</v>
      </c>
      <c r="E20" s="58"/>
      <c r="F20" s="60">
        <v>0.0</v>
      </c>
      <c r="G20" s="58">
        <v>-0.22222222222222365</v>
      </c>
      <c r="H20" s="58">
        <v>0.4402985074626866</v>
      </c>
      <c r="I20" s="62">
        <v>-2.5</v>
      </c>
      <c r="J20" s="58">
        <v>-2.5</v>
      </c>
      <c r="K20" s="58">
        <v>-0.4106858054226476</v>
      </c>
      <c r="L20" s="58">
        <v>-2.5</v>
      </c>
      <c r="M20" s="58">
        <v>-0.7637900000000197</v>
      </c>
      <c r="N20" s="67">
        <v>-0.33499999999999996</v>
      </c>
      <c r="O20" s="58">
        <v>0.39899999999999936</v>
      </c>
      <c r="P20" s="58">
        <v>0.0</v>
      </c>
      <c r="Q20" s="62">
        <v>0.0</v>
      </c>
      <c r="R20" s="60">
        <v>0.0</v>
      </c>
      <c r="S20" s="70"/>
    </row>
    <row r="21">
      <c r="A21" s="54">
        <v>7.0</v>
      </c>
      <c r="B21" s="55" t="s">
        <v>49</v>
      </c>
      <c r="C21" s="56"/>
      <c r="D21" s="57">
        <v>0.0</v>
      </c>
      <c r="E21" s="58"/>
      <c r="F21" s="60">
        <v>0.0</v>
      </c>
      <c r="G21" s="58">
        <v>-0.1621621621621605</v>
      </c>
      <c r="H21" s="58">
        <v>0.6192893401015229</v>
      </c>
      <c r="I21" s="62">
        <v>-2.5</v>
      </c>
      <c r="J21" s="58">
        <v>1.0000000000000009</v>
      </c>
      <c r="K21" s="58">
        <v>-0.21386430678466076</v>
      </c>
      <c r="L21" s="58">
        <v>-2.5</v>
      </c>
      <c r="M21" s="58">
        <v>-0.6708380000000069</v>
      </c>
      <c r="N21" s="67">
        <v>0.565</v>
      </c>
      <c r="O21" s="58">
        <v>0.6079999999999997</v>
      </c>
      <c r="P21" s="58">
        <v>0.0</v>
      </c>
      <c r="Q21" s="62">
        <v>0.0</v>
      </c>
      <c r="R21" s="60">
        <v>0.0</v>
      </c>
      <c r="S21" s="70"/>
    </row>
    <row r="22">
      <c r="A22" s="89"/>
      <c r="B22" s="90" t="s">
        <v>50</v>
      </c>
      <c r="C22" s="91"/>
      <c r="D22" s="92">
        <v>0.0</v>
      </c>
      <c r="E22" s="91"/>
      <c r="F22" s="94">
        <v>0.0</v>
      </c>
      <c r="G22" s="91">
        <v>-1.1493001555209936</v>
      </c>
      <c r="H22" s="91">
        <v>0.21993911719939124</v>
      </c>
      <c r="I22" s="95">
        <v>-2.5</v>
      </c>
      <c r="J22" s="91">
        <v>-2.5</v>
      </c>
      <c r="K22" s="91">
        <v>-0.233187134502924</v>
      </c>
      <c r="L22" s="91">
        <v>-2.5</v>
      </c>
      <c r="M22" s="91">
        <v>-0.5438199999999727</v>
      </c>
      <c r="N22" s="38">
        <v>-1.4849999999999999</v>
      </c>
      <c r="O22" s="91">
        <v>0.5859999999999999</v>
      </c>
      <c r="P22" s="91">
        <v>0.0</v>
      </c>
      <c r="Q22" s="95">
        <v>0.0</v>
      </c>
      <c r="R22" s="94">
        <v>0.0</v>
      </c>
      <c r="S22" s="96"/>
    </row>
    <row r="27">
      <c r="A27" s="1"/>
      <c r="B27" s="4"/>
      <c r="C27" s="5" t="s">
        <v>51</v>
      </c>
      <c r="D27" s="7"/>
      <c r="E27" s="7"/>
      <c r="F27" s="7"/>
      <c r="G27" s="7"/>
      <c r="H27" s="7"/>
      <c r="I27" s="7"/>
      <c r="J27" s="7"/>
      <c r="K27" s="7"/>
      <c r="L27" s="7"/>
      <c r="M27" s="7"/>
      <c r="N27" s="7"/>
      <c r="O27" s="7"/>
      <c r="P27" s="7"/>
      <c r="Q27" s="9"/>
      <c r="R27" s="10"/>
    </row>
    <row r="28">
      <c r="A28" s="11"/>
      <c r="B28" s="12" t="s">
        <v>2</v>
      </c>
      <c r="C28" s="13" t="s">
        <v>3</v>
      </c>
      <c r="D28" s="14" t="s">
        <v>4</v>
      </c>
      <c r="E28" s="14" t="s">
        <v>5</v>
      </c>
      <c r="F28" s="14" t="s">
        <v>6</v>
      </c>
      <c r="G28" s="14" t="s">
        <v>7</v>
      </c>
      <c r="H28" s="14" t="s">
        <v>8</v>
      </c>
      <c r="I28" s="14" t="s">
        <v>9</v>
      </c>
      <c r="J28" s="14" t="s">
        <v>10</v>
      </c>
      <c r="K28" s="14" t="s">
        <v>11</v>
      </c>
      <c r="L28" s="14" t="s">
        <v>12</v>
      </c>
      <c r="M28" s="14" t="s">
        <v>13</v>
      </c>
      <c r="N28" s="14" t="s">
        <v>14</v>
      </c>
      <c r="O28" s="14" t="s">
        <v>15</v>
      </c>
      <c r="P28" s="14" t="s">
        <v>16</v>
      </c>
      <c r="Q28" s="22" t="s">
        <v>40</v>
      </c>
      <c r="R28" s="25" t="s">
        <v>18</v>
      </c>
    </row>
    <row r="29">
      <c r="A29" s="26"/>
      <c r="B29" s="27" t="s">
        <v>20</v>
      </c>
      <c r="C29" s="29">
        <v>0.1</v>
      </c>
      <c r="D29" s="31">
        <v>0.05</v>
      </c>
      <c r="E29" s="33">
        <v>0.1</v>
      </c>
      <c r="F29" s="33">
        <v>0.05</v>
      </c>
      <c r="G29" s="33">
        <v>0.1</v>
      </c>
      <c r="H29" s="33">
        <v>0.05</v>
      </c>
      <c r="I29" s="33">
        <v>0.05</v>
      </c>
      <c r="J29" s="33">
        <v>0.05</v>
      </c>
      <c r="K29" s="33">
        <v>0.05</v>
      </c>
      <c r="L29" s="33">
        <v>0.05</v>
      </c>
      <c r="M29" s="33">
        <v>0.1</v>
      </c>
      <c r="N29" s="33">
        <v>0.1</v>
      </c>
      <c r="O29" s="33">
        <v>0.05</v>
      </c>
      <c r="P29" s="33">
        <v>0.1</v>
      </c>
      <c r="Q29" s="35">
        <v>0.0</v>
      </c>
      <c r="R29" s="36">
        <v>1.0000000000000002</v>
      </c>
    </row>
    <row r="30">
      <c r="B30" s="27" t="s">
        <v>22</v>
      </c>
      <c r="C30" s="38" t="s">
        <v>23</v>
      </c>
      <c r="D30" s="39" t="s">
        <v>23</v>
      </c>
      <c r="E30" s="40"/>
      <c r="F30" s="41"/>
      <c r="G30" s="40"/>
      <c r="H30" s="40"/>
      <c r="I30" s="42"/>
      <c r="J30" s="40"/>
      <c r="K30" s="44"/>
      <c r="L30" s="40"/>
      <c r="M30" s="40"/>
      <c r="N30" s="41"/>
      <c r="O30" s="40"/>
      <c r="P30" s="40"/>
      <c r="Q30" s="40"/>
      <c r="R30" s="4"/>
    </row>
    <row r="31">
      <c r="A31" s="26" t="s">
        <v>28</v>
      </c>
      <c r="B31" s="27" t="s">
        <v>30</v>
      </c>
      <c r="C31" s="78">
        <v>132695.0</v>
      </c>
      <c r="D31" s="49">
        <v>1397.147082</v>
      </c>
      <c r="E31" s="29">
        <v>0.98</v>
      </c>
      <c r="F31" s="38">
        <v>1.0</v>
      </c>
      <c r="G31" s="29">
        <v>0.98</v>
      </c>
      <c r="H31" s="29">
        <v>0.02</v>
      </c>
      <c r="I31" s="93">
        <v>4.6E-4</v>
      </c>
      <c r="J31" s="29">
        <v>0.998</v>
      </c>
      <c r="K31" s="35">
        <v>1.0</v>
      </c>
      <c r="L31" s="29">
        <v>0.005</v>
      </c>
      <c r="M31" s="29">
        <v>0.99</v>
      </c>
      <c r="N31" s="38">
        <v>3.0</v>
      </c>
      <c r="O31" s="29">
        <v>0.9</v>
      </c>
      <c r="P31" s="29">
        <v>1.0</v>
      </c>
      <c r="Q31" s="53">
        <v>1.0</v>
      </c>
      <c r="R31" s="4"/>
    </row>
    <row r="32">
      <c r="A32" s="54">
        <v>1.0</v>
      </c>
      <c r="B32" s="81" t="s">
        <v>42</v>
      </c>
      <c r="C32" s="103">
        <v>0.6432214356397958</v>
      </c>
      <c r="D32" s="104">
        <v>0.0</v>
      </c>
      <c r="E32" s="67">
        <v>0.383</v>
      </c>
      <c r="F32" s="60">
        <v>0.0</v>
      </c>
      <c r="G32" s="58">
        <v>-6.821428571428567</v>
      </c>
      <c r="H32" s="58">
        <v>0.9549418604651163</v>
      </c>
      <c r="I32" s="67">
        <v>-2.4375</v>
      </c>
      <c r="J32" s="58">
        <v>1.5000000000000016</v>
      </c>
      <c r="K32" s="62">
        <v>0.0014166666666666958</v>
      </c>
      <c r="L32" s="58">
        <v>-1.5</v>
      </c>
      <c r="M32" s="58">
        <v>-1.5988050000000364</v>
      </c>
      <c r="N32" s="58">
        <v>0.32499999999999996</v>
      </c>
      <c r="O32" s="58">
        <v>-0.4574999999999996</v>
      </c>
      <c r="P32" s="58">
        <v>0.0</v>
      </c>
      <c r="Q32" s="87">
        <v>0.0</v>
      </c>
      <c r="R32" s="105">
        <v>90.99234639134298</v>
      </c>
    </row>
    <row r="33">
      <c r="A33" s="54">
        <v>2.0</v>
      </c>
      <c r="B33" s="88" t="s">
        <v>43</v>
      </c>
      <c r="C33" s="103">
        <v>-0.34725093013642017</v>
      </c>
      <c r="D33" s="104">
        <v>0.0</v>
      </c>
      <c r="E33" s="67">
        <v>0.12900000000000023</v>
      </c>
      <c r="F33" s="60">
        <v>0.0</v>
      </c>
      <c r="G33" s="58">
        <v>-14.95366795366795</v>
      </c>
      <c r="H33" s="58">
        <v>-1.9883720930232558</v>
      </c>
      <c r="I33" s="67">
        <v>-5.6225000000000005</v>
      </c>
      <c r="J33" s="58">
        <v>1.5000000000000016</v>
      </c>
      <c r="K33" s="62">
        <v>-0.34341666666666665</v>
      </c>
      <c r="L33" s="58">
        <v>24.33</v>
      </c>
      <c r="M33" s="58">
        <v>-1.9878359999999873</v>
      </c>
      <c r="N33" s="58">
        <v>-1.835</v>
      </c>
      <c r="O33" s="58">
        <v>0.40349999999999886</v>
      </c>
      <c r="P33" s="58">
        <v>0.0</v>
      </c>
      <c r="Q33" s="87">
        <v>0.0</v>
      </c>
      <c r="R33" s="105">
        <v>99.28445635650571</v>
      </c>
    </row>
    <row r="34">
      <c r="A34" s="54">
        <v>3.0</v>
      </c>
      <c r="B34" s="88" t="s">
        <v>44</v>
      </c>
      <c r="C34" s="103">
        <v>-0.9844605782702831</v>
      </c>
      <c r="D34" s="104">
        <v>0.0</v>
      </c>
      <c r="E34" s="67">
        <v>0.7730000000000004</v>
      </c>
      <c r="F34" s="60">
        <v>0.0</v>
      </c>
      <c r="G34" s="58">
        <v>-6.621710526315794</v>
      </c>
      <c r="H34" s="58">
        <v>0.5131578947368421</v>
      </c>
      <c r="I34" s="67">
        <v>-8.9375</v>
      </c>
      <c r="J34" s="58">
        <v>1.5000000000000016</v>
      </c>
      <c r="K34" s="62">
        <v>0.46975</v>
      </c>
      <c r="L34" s="58">
        <v>-0.12000000000000006</v>
      </c>
      <c r="M34" s="58">
        <v>-2.0127690000000364</v>
      </c>
      <c r="N34" s="58">
        <v>-2.31</v>
      </c>
      <c r="O34" s="58">
        <v>-0.6435000000000007</v>
      </c>
      <c r="P34" s="58">
        <v>0.0</v>
      </c>
      <c r="Q34" s="87">
        <v>0.0</v>
      </c>
      <c r="R34" s="105">
        <v>81.62596779015072</v>
      </c>
    </row>
    <row r="35">
      <c r="A35" s="54">
        <v>4.0</v>
      </c>
      <c r="B35" s="88" t="s">
        <v>45</v>
      </c>
      <c r="C35" s="103">
        <v>-0.45578851412944377</v>
      </c>
      <c r="D35" s="104">
        <v>0.0</v>
      </c>
      <c r="E35" s="67">
        <v>2.907</v>
      </c>
      <c r="F35" s="60">
        <v>0.0</v>
      </c>
      <c r="G35" s="58">
        <v>-1.3032786885245837</v>
      </c>
      <c r="H35" s="58">
        <v>-5.246031746031746</v>
      </c>
      <c r="I35" s="67">
        <v>-5.1025</v>
      </c>
      <c r="J35" s="58">
        <v>1.5000000000000016</v>
      </c>
      <c r="K35" s="62">
        <v>-0.05558333333333332</v>
      </c>
      <c r="L35" s="58">
        <v>4.949999999999999</v>
      </c>
      <c r="M35" s="58">
        <v>-3.2168130000000077</v>
      </c>
      <c r="N35" s="58">
        <v>-0.17500000000000004</v>
      </c>
      <c r="O35" s="58">
        <v>-0.8354999999999996</v>
      </c>
      <c r="P35" s="58">
        <v>0.0</v>
      </c>
      <c r="Q35" s="87">
        <v>0.0</v>
      </c>
      <c r="R35" s="105">
        <v>92.96650471798088</v>
      </c>
    </row>
    <row r="36">
      <c r="A36" s="54">
        <v>5.0</v>
      </c>
      <c r="B36" s="88" t="s">
        <v>47</v>
      </c>
      <c r="C36" s="103">
        <v>1.3168594323609506</v>
      </c>
      <c r="D36" s="104">
        <v>0.0</v>
      </c>
      <c r="E36" s="67">
        <v>0.4579999999999995</v>
      </c>
      <c r="F36" s="60">
        <v>0.0</v>
      </c>
      <c r="G36" s="58">
        <v>-10.742690058479537</v>
      </c>
      <c r="H36" s="58">
        <v>-2.320375335120643</v>
      </c>
      <c r="I36" s="67">
        <v>-2.2424999999999997</v>
      </c>
      <c r="J36" s="58">
        <v>1.5000000000000016</v>
      </c>
      <c r="K36" s="62">
        <v>0.07324999999999998</v>
      </c>
      <c r="L36" s="58">
        <v>9.03</v>
      </c>
      <c r="M36" s="58">
        <v>-1.6229430000000544</v>
      </c>
      <c r="N36" s="58">
        <v>0.18500000000000005</v>
      </c>
      <c r="O36" s="58">
        <v>-0.3885000000000005</v>
      </c>
      <c r="P36" s="58">
        <v>0.0</v>
      </c>
      <c r="Q36" s="87">
        <v>0.0</v>
      </c>
      <c r="R36" s="105">
        <v>95.24610103876071</v>
      </c>
    </row>
    <row r="37">
      <c r="A37" s="54">
        <v>6.0</v>
      </c>
      <c r="B37" s="88" t="s">
        <v>48</v>
      </c>
      <c r="C37" s="103">
        <v>-0.3825857519788922</v>
      </c>
      <c r="D37" s="104">
        <v>0.0</v>
      </c>
      <c r="E37" s="67">
        <v>1.2719999999999998</v>
      </c>
      <c r="F37" s="60">
        <v>0.0</v>
      </c>
      <c r="G37" s="58">
        <v>-12.606936416184963</v>
      </c>
      <c r="H37" s="58">
        <v>0.40670553935860065</v>
      </c>
      <c r="I37" s="67">
        <v>-5.6225000000000005</v>
      </c>
      <c r="J37" s="58">
        <v>1.5000000000000016</v>
      </c>
      <c r="K37" s="62">
        <v>0.23525000000000001</v>
      </c>
      <c r="L37" s="58">
        <v>4.08</v>
      </c>
      <c r="M37" s="58">
        <v>-1.3387109999999813</v>
      </c>
      <c r="N37" s="58">
        <v>-0.7050000000000001</v>
      </c>
      <c r="O37" s="58">
        <v>-0.2790000000000009</v>
      </c>
      <c r="P37" s="58">
        <v>0.0</v>
      </c>
      <c r="Q37" s="87">
        <v>0.0</v>
      </c>
      <c r="R37" s="105">
        <v>86.55922237119476</v>
      </c>
    </row>
    <row r="38">
      <c r="A38" s="54">
        <v>7.0</v>
      </c>
      <c r="B38" s="114" t="s">
        <v>49</v>
      </c>
      <c r="C38" s="103">
        <v>-0.20068610634648376</v>
      </c>
      <c r="D38" s="104">
        <v>0.0</v>
      </c>
      <c r="E38" s="67">
        <v>3.9290000000000003</v>
      </c>
      <c r="F38" s="60">
        <v>0.0</v>
      </c>
      <c r="G38" s="58">
        <v>-0.5764375876577854</v>
      </c>
      <c r="H38" s="58">
        <v>1.036321483771252</v>
      </c>
      <c r="I38" s="67">
        <v>-4.5825</v>
      </c>
      <c r="J38" s="58">
        <v>1.5000000000000016</v>
      </c>
      <c r="K38" s="62">
        <v>0.1376666666666667</v>
      </c>
      <c r="L38" s="58">
        <v>-0.6300000000000001</v>
      </c>
      <c r="M38" s="58">
        <v>-0.9977489999999922</v>
      </c>
      <c r="N38" s="58">
        <v>-0.8700000000000001</v>
      </c>
      <c r="O38" s="58">
        <v>-1.5660000000000007</v>
      </c>
      <c r="P38" s="58">
        <v>0.0</v>
      </c>
      <c r="Q38" s="87">
        <v>0.0</v>
      </c>
      <c r="R38" s="105">
        <v>97.17961545643365</v>
      </c>
    </row>
    <row r="39">
      <c r="A39" s="115"/>
      <c r="B39" s="116" t="s">
        <v>50</v>
      </c>
      <c r="C39" s="117">
        <v>-0.1381958076137768</v>
      </c>
      <c r="D39" s="118">
        <v>0.0</v>
      </c>
      <c r="E39" s="118">
        <v>1.5949999999999998</v>
      </c>
      <c r="F39" s="119">
        <v>0.0</v>
      </c>
      <c r="G39" s="117">
        <v>-7.597619650544434</v>
      </c>
      <c r="H39" s="117">
        <v>-0.38929400066291014</v>
      </c>
      <c r="I39" s="118">
        <v>-4.517500000000001</v>
      </c>
      <c r="J39" s="117">
        <v>1.5000000000000016</v>
      </c>
      <c r="K39" s="120">
        <v>0.05558333333333332</v>
      </c>
      <c r="L39" s="117">
        <v>5.22</v>
      </c>
      <c r="M39" s="117">
        <v>-0.9661829999999538</v>
      </c>
      <c r="N39" s="117">
        <v>-0.8199999999999998</v>
      </c>
      <c r="O39" s="117">
        <v>-0.7485000000000008</v>
      </c>
      <c r="P39" s="117">
        <v>0.0</v>
      </c>
      <c r="Q39" s="121">
        <v>0.0</v>
      </c>
      <c r="R39" s="122">
        <v>93.19329087451226</v>
      </c>
    </row>
    <row r="40">
      <c r="B40" s="123" t="s">
        <v>63</v>
      </c>
      <c r="C40" s="124">
        <v>-0.141</v>
      </c>
      <c r="D40" s="125">
        <v>0.042</v>
      </c>
      <c r="E40" s="125">
        <v>1.604</v>
      </c>
      <c r="F40" s="125">
        <v>-0.002</v>
      </c>
      <c r="G40" s="125">
        <v>-5.0</v>
      </c>
      <c r="H40" s="125">
        <v>0.425</v>
      </c>
      <c r="I40" s="125">
        <v>-2.5</v>
      </c>
      <c r="J40" s="125">
        <v>1.0</v>
      </c>
      <c r="K40" s="125">
        <v>-0.049</v>
      </c>
      <c r="L40" s="126">
        <v>0.33</v>
      </c>
      <c r="M40" s="125">
        <v>-0.64</v>
      </c>
      <c r="N40" s="125">
        <v>-0.667</v>
      </c>
      <c r="O40" s="125">
        <v>-0.187</v>
      </c>
      <c r="P40" s="125">
        <v>0.0</v>
      </c>
      <c r="Q40" s="125">
        <v>0.0</v>
      </c>
      <c r="R40" s="128">
        <v>94.215</v>
      </c>
    </row>
    <row r="41">
      <c r="A41" s="129"/>
      <c r="B41" s="130" t="s">
        <v>64</v>
      </c>
      <c r="C41" s="131">
        <v>0.0028041923862231755</v>
      </c>
      <c r="D41" s="131">
        <v>0.042</v>
      </c>
      <c r="E41" s="131">
        <v>0.009000000000000341</v>
      </c>
      <c r="F41" s="131">
        <v>0.002</v>
      </c>
      <c r="G41" s="131">
        <v>2.5976196505444342</v>
      </c>
      <c r="H41" s="131">
        <v>0.8142940006629101</v>
      </c>
      <c r="I41" s="131">
        <v>2.017500000000001</v>
      </c>
      <c r="J41" s="131">
        <v>0.5000000000000016</v>
      </c>
      <c r="K41" s="131">
        <v>0.10458333333333332</v>
      </c>
      <c r="L41" s="131">
        <v>4.89</v>
      </c>
      <c r="M41" s="131">
        <v>0.3261829999999538</v>
      </c>
      <c r="N41" s="131">
        <v>0.1529999999999998</v>
      </c>
      <c r="O41" s="131">
        <v>0.5615000000000008</v>
      </c>
      <c r="P41" s="131">
        <v>0.0</v>
      </c>
      <c r="Q41" s="131">
        <v>0.0</v>
      </c>
      <c r="R41" s="131">
        <v>1.021709125487746</v>
      </c>
    </row>
    <row r="46">
      <c r="A46" s="1"/>
      <c r="B46" s="6"/>
      <c r="C46" s="8" t="s">
        <v>65</v>
      </c>
      <c r="D46" s="7"/>
      <c r="E46" s="7"/>
      <c r="F46" s="7"/>
      <c r="G46" s="7"/>
      <c r="H46" s="7"/>
      <c r="I46" s="7"/>
      <c r="J46" s="7"/>
      <c r="K46" s="7"/>
      <c r="L46" s="7"/>
      <c r="M46" s="7"/>
      <c r="N46" s="7"/>
      <c r="O46" s="7"/>
      <c r="P46" s="9"/>
      <c r="Q46" s="127"/>
    </row>
    <row r="47">
      <c r="A47" s="11"/>
      <c r="B47" s="15" t="s">
        <v>2</v>
      </c>
      <c r="C47" s="16" t="s">
        <v>3</v>
      </c>
      <c r="D47" s="18" t="s">
        <v>66</v>
      </c>
      <c r="E47" s="18" t="s">
        <v>67</v>
      </c>
      <c r="F47" s="18" t="s">
        <v>68</v>
      </c>
      <c r="G47" s="18" t="s">
        <v>69</v>
      </c>
      <c r="H47" s="18" t="s">
        <v>8</v>
      </c>
      <c r="I47" s="18" t="s">
        <v>9</v>
      </c>
      <c r="J47" s="18" t="s">
        <v>70</v>
      </c>
      <c r="K47" s="18" t="s">
        <v>71</v>
      </c>
      <c r="L47" s="18" t="s">
        <v>72</v>
      </c>
      <c r="M47" s="18" t="s">
        <v>13</v>
      </c>
      <c r="N47" s="18" t="s">
        <v>14</v>
      </c>
      <c r="O47" s="18" t="s">
        <v>73</v>
      </c>
      <c r="P47" s="18" t="s">
        <v>74</v>
      </c>
      <c r="Q47" s="135" t="s">
        <v>18</v>
      </c>
    </row>
    <row r="48">
      <c r="B48" s="72" t="s">
        <v>20</v>
      </c>
      <c r="C48" s="28">
        <v>0.15</v>
      </c>
      <c r="D48" s="136">
        <v>0.1</v>
      </c>
      <c r="E48" s="136">
        <v>0.05</v>
      </c>
      <c r="F48" s="136">
        <v>0.05</v>
      </c>
      <c r="G48" s="136">
        <v>0.05</v>
      </c>
      <c r="H48" s="136">
        <v>0.05</v>
      </c>
      <c r="I48" s="136">
        <v>0.05</v>
      </c>
      <c r="J48" s="136">
        <v>0.05</v>
      </c>
      <c r="K48" s="136">
        <v>0.05</v>
      </c>
      <c r="L48" s="136">
        <v>0.05</v>
      </c>
      <c r="M48" s="32">
        <v>0.1</v>
      </c>
      <c r="N48" s="136">
        <v>0.05</v>
      </c>
      <c r="O48" s="136">
        <v>0.2</v>
      </c>
      <c r="P48" s="136">
        <v>0.0</v>
      </c>
      <c r="Q48" s="138">
        <v>1.0</v>
      </c>
    </row>
    <row r="49">
      <c r="A49" s="26" t="s">
        <v>28</v>
      </c>
      <c r="B49" s="139" t="s">
        <v>30</v>
      </c>
      <c r="C49" s="140">
        <v>125315.22</v>
      </c>
      <c r="D49" s="141">
        <v>0.98</v>
      </c>
      <c r="E49" s="142">
        <v>1.0</v>
      </c>
      <c r="F49" s="141">
        <v>0.98</v>
      </c>
      <c r="G49" s="141">
        <v>0.99</v>
      </c>
      <c r="H49" s="141">
        <v>0.02</v>
      </c>
      <c r="I49" s="143">
        <v>5.5E-4</v>
      </c>
      <c r="J49" s="144" t="s">
        <v>75</v>
      </c>
      <c r="K49" s="141">
        <v>0.005</v>
      </c>
      <c r="L49" s="141">
        <v>0.98</v>
      </c>
      <c r="M49" s="141">
        <v>0.99</v>
      </c>
      <c r="N49" s="142">
        <v>3.0</v>
      </c>
      <c r="O49" s="145">
        <v>1.0</v>
      </c>
      <c r="P49" s="146">
        <v>1.0</v>
      </c>
      <c r="Q49" s="147"/>
    </row>
    <row r="50">
      <c r="A50" s="54">
        <v>1.0</v>
      </c>
      <c r="B50" s="148" t="s">
        <v>42</v>
      </c>
      <c r="C50" s="149">
        <v>-0.285949906025853</v>
      </c>
      <c r="D50" s="151">
        <v>-3.700000000000001</v>
      </c>
      <c r="E50" s="153">
        <v>0.0</v>
      </c>
      <c r="F50" s="151">
        <v>1.2224999999999984</v>
      </c>
      <c r="G50" s="151">
        <v>1.5000000000000016</v>
      </c>
      <c r="H50" s="151">
        <v>0.004983388704322446</v>
      </c>
      <c r="I50" s="151">
        <v>-0.6812500000000001</v>
      </c>
      <c r="J50" s="151">
        <v>-0.03908333333333329</v>
      </c>
      <c r="K50" s="151">
        <v>-10.62</v>
      </c>
      <c r="L50" s="151">
        <v>1.5000000000000016</v>
      </c>
      <c r="M50" s="151">
        <v>-1.042343999999984</v>
      </c>
      <c r="N50" s="151">
        <v>-4.175</v>
      </c>
      <c r="O50" s="151">
        <v>0.0</v>
      </c>
      <c r="P50" s="153">
        <v>0.0</v>
      </c>
      <c r="Q50" s="154">
        <v>83.68385614934516</v>
      </c>
    </row>
    <row r="51">
      <c r="A51" s="54">
        <v>2.0</v>
      </c>
      <c r="B51" s="156" t="s">
        <v>44</v>
      </c>
      <c r="C51" s="158">
        <v>-1.1634973660542203</v>
      </c>
      <c r="D51" s="159">
        <v>-6.558</v>
      </c>
      <c r="E51" s="160">
        <v>0.0</v>
      </c>
      <c r="F51" s="159">
        <v>0.764999999999999</v>
      </c>
      <c r="G51" s="159">
        <v>1.5000000000000016</v>
      </c>
      <c r="H51" s="159">
        <v>-1.4220779220779252</v>
      </c>
      <c r="I51" s="159">
        <v>-3.2700000000000005</v>
      </c>
      <c r="J51" s="159">
        <v>-0.4562500000000001</v>
      </c>
      <c r="K51" s="159">
        <v>1.5</v>
      </c>
      <c r="L51" s="159">
        <v>-3.855</v>
      </c>
      <c r="M51" s="159">
        <v>-1.116737999999995</v>
      </c>
      <c r="N51" s="159">
        <v>-7.195</v>
      </c>
      <c r="O51" s="159">
        <v>0.0</v>
      </c>
      <c r="P51" s="160">
        <v>0.0</v>
      </c>
      <c r="Q51" s="161">
        <v>78.72843671186786</v>
      </c>
    </row>
    <row r="52">
      <c r="A52" s="54">
        <v>3.0</v>
      </c>
      <c r="B52" s="156" t="s">
        <v>45</v>
      </c>
      <c r="C52" s="158">
        <v>-0.18652133865520393</v>
      </c>
      <c r="D52" s="159">
        <v>1.4390000000000003</v>
      </c>
      <c r="E52" s="160">
        <v>0.0</v>
      </c>
      <c r="F52" s="159">
        <v>0.7724999999999982</v>
      </c>
      <c r="G52" s="159">
        <v>1.5000000000000016</v>
      </c>
      <c r="H52" s="159">
        <v>-2.512345679012348</v>
      </c>
      <c r="I52" s="159">
        <v>-1.5260000000000002</v>
      </c>
      <c r="J52" s="159">
        <v>-0.6760833333333334</v>
      </c>
      <c r="K52" s="159">
        <v>-1.2899999999999998</v>
      </c>
      <c r="L52" s="159">
        <v>1.5000000000000016</v>
      </c>
      <c r="M52" s="159">
        <v>-1.844567999999991</v>
      </c>
      <c r="N52" s="159">
        <v>-0.6600000000000001</v>
      </c>
      <c r="O52" s="159">
        <v>0.0</v>
      </c>
      <c r="P52" s="160">
        <v>0.0</v>
      </c>
      <c r="Q52" s="161">
        <v>96.51598164899913</v>
      </c>
    </row>
    <row r="53">
      <c r="A53" s="54">
        <v>4.0</v>
      </c>
      <c r="B53" s="156" t="s">
        <v>47</v>
      </c>
      <c r="C53" s="158">
        <v>0.32541322314049603</v>
      </c>
      <c r="D53" s="159">
        <v>0.9650000000000003</v>
      </c>
      <c r="E53" s="160">
        <v>0.0</v>
      </c>
      <c r="F53" s="159">
        <v>0.8775000000000033</v>
      </c>
      <c r="G53" s="159">
        <v>1.5000000000000016</v>
      </c>
      <c r="H53" s="159">
        <v>0.3750000000000001</v>
      </c>
      <c r="I53" s="159">
        <v>-1.0355</v>
      </c>
      <c r="J53" s="159">
        <v>-0.09000000000000008</v>
      </c>
      <c r="K53" s="159">
        <v>1.5</v>
      </c>
      <c r="L53" s="159">
        <v>-23.497500000000002</v>
      </c>
      <c r="M53" s="159">
        <v>-1.1881739999999974</v>
      </c>
      <c r="N53" s="159">
        <v>0.565</v>
      </c>
      <c r="O53" s="159">
        <v>0.0</v>
      </c>
      <c r="P53" s="160">
        <v>0.0</v>
      </c>
      <c r="Q53" s="161">
        <v>80.2967392231405</v>
      </c>
    </row>
    <row r="54">
      <c r="A54" s="54">
        <v>5.0</v>
      </c>
      <c r="B54" s="156" t="s">
        <v>48</v>
      </c>
      <c r="C54" s="158">
        <v>-0.6237756010685647</v>
      </c>
      <c r="D54" s="159">
        <v>-2.058</v>
      </c>
      <c r="E54" s="160">
        <v>0.0</v>
      </c>
      <c r="F54" s="159">
        <v>0.9224999999999984</v>
      </c>
      <c r="G54" s="159">
        <v>1.5000000000000016</v>
      </c>
      <c r="H54" s="159">
        <v>-1.2591973244147177</v>
      </c>
      <c r="I54" s="159">
        <v>-5.531749999999999</v>
      </c>
      <c r="J54" s="159">
        <v>-0.405</v>
      </c>
      <c r="K54" s="159">
        <v>-1.0500000000000003</v>
      </c>
      <c r="L54" s="159">
        <v>1.5000000000000016</v>
      </c>
      <c r="M54" s="159">
        <v>-0.9753299999999854</v>
      </c>
      <c r="N54" s="159">
        <v>-3.5599999999999996</v>
      </c>
      <c r="O54" s="159">
        <v>0.0</v>
      </c>
      <c r="P54" s="160">
        <v>0.0</v>
      </c>
      <c r="Q54" s="161">
        <v>88.45944707451673</v>
      </c>
    </row>
    <row r="55">
      <c r="A55" s="54">
        <v>6.0</v>
      </c>
      <c r="B55" s="156" t="s">
        <v>49</v>
      </c>
      <c r="C55" s="158">
        <v>-0.7213791564382948</v>
      </c>
      <c r="D55" s="159">
        <v>-6.637</v>
      </c>
      <c r="E55" s="160">
        <v>0.0</v>
      </c>
      <c r="F55" s="159">
        <v>1.2375000000000054</v>
      </c>
      <c r="G55" s="159">
        <v>1.5000000000000016</v>
      </c>
      <c r="H55" s="159">
        <v>0.45348837209302495</v>
      </c>
      <c r="I55" s="159">
        <v>-1.4987500000000002</v>
      </c>
      <c r="J55" s="159">
        <v>-0.10449999999999998</v>
      </c>
      <c r="K55" s="159">
        <v>-0.23999999999999988</v>
      </c>
      <c r="L55" s="159">
        <v>1.5000000000000016</v>
      </c>
      <c r="M55" s="159">
        <v>-0.6228119999999837</v>
      </c>
      <c r="N55" s="159">
        <v>-1.4849999999999999</v>
      </c>
      <c r="O55" s="159">
        <v>0.0</v>
      </c>
      <c r="P55" s="160">
        <v>0.0</v>
      </c>
      <c r="Q55" s="161">
        <v>93.38154721565476</v>
      </c>
    </row>
    <row r="56">
      <c r="A56" s="54">
        <v>7.0</v>
      </c>
      <c r="B56" s="165" t="s">
        <v>43</v>
      </c>
      <c r="C56" s="166">
        <v>-0.382284797718766</v>
      </c>
      <c r="D56" s="167">
        <v>1.9109999999999994</v>
      </c>
      <c r="E56" s="168">
        <v>0.0</v>
      </c>
      <c r="F56" s="167">
        <v>1.2450000000000045</v>
      </c>
      <c r="G56" s="167">
        <v>1.5000000000000016</v>
      </c>
      <c r="H56" s="167">
        <v>-0.5881670533642724</v>
      </c>
      <c r="I56" s="167">
        <v>-2.3435</v>
      </c>
      <c r="J56" s="167">
        <v>-0.7076666666666667</v>
      </c>
      <c r="K56" s="167">
        <v>0.38999999999999996</v>
      </c>
      <c r="L56" s="167">
        <v>-13.499999999999995</v>
      </c>
      <c r="M56" s="167">
        <v>-1.5158459999999874</v>
      </c>
      <c r="N56" s="167">
        <v>-5.705</v>
      </c>
      <c r="O56" s="167">
        <v>0.0</v>
      </c>
      <c r="P56" s="168">
        <v>0.0</v>
      </c>
      <c r="Q56" s="170">
        <v>80.30353548225031</v>
      </c>
    </row>
    <row r="57">
      <c r="A57" s="89"/>
      <c r="B57" s="171" t="s">
        <v>50</v>
      </c>
      <c r="C57" s="172">
        <v>-0.45946590367191176</v>
      </c>
      <c r="D57" s="173">
        <v>-1.4460000000000006</v>
      </c>
      <c r="E57" s="174">
        <v>0.0</v>
      </c>
      <c r="F57" s="173">
        <v>0.9450000000000043</v>
      </c>
      <c r="G57" s="173">
        <v>1.5000000000000016</v>
      </c>
      <c r="H57" s="173">
        <v>-0.49041651308514755</v>
      </c>
      <c r="I57" s="173">
        <v>-2.0165</v>
      </c>
      <c r="J57" s="173">
        <v>-0.29675000000000007</v>
      </c>
      <c r="K57" s="173">
        <v>-2.3400000000000003</v>
      </c>
      <c r="L57" s="173">
        <v>-4.012499999999999</v>
      </c>
      <c r="M57" s="173">
        <v>-0.5470499999999934</v>
      </c>
      <c r="N57" s="173">
        <v>-3.3349999999999995</v>
      </c>
      <c r="O57" s="173">
        <v>0.0</v>
      </c>
      <c r="P57" s="174">
        <v>0.0</v>
      </c>
      <c r="Q57" s="177">
        <v>87.50131758324295</v>
      </c>
    </row>
    <row r="58">
      <c r="A58" s="89"/>
      <c r="B58" s="123" t="s">
        <v>63</v>
      </c>
      <c r="C58" s="178">
        <v>-0.565</v>
      </c>
      <c r="D58" s="180">
        <v>-1.757</v>
      </c>
      <c r="E58" s="181">
        <v>0.0</v>
      </c>
      <c r="F58" s="178">
        <v>1.11</v>
      </c>
      <c r="G58" s="181">
        <v>1.5</v>
      </c>
      <c r="H58" s="178">
        <v>-0.488</v>
      </c>
      <c r="I58" s="181">
        <v>-2.316</v>
      </c>
      <c r="J58" s="184">
        <v>-0.275</v>
      </c>
      <c r="K58" s="181">
        <v>0.93</v>
      </c>
      <c r="L58" s="181">
        <v>-3.315</v>
      </c>
      <c r="M58" s="181">
        <v>-0.99</v>
      </c>
      <c r="N58" s="181">
        <v>-1.644</v>
      </c>
      <c r="O58" s="181">
        <v>0.0</v>
      </c>
      <c r="P58" s="181">
        <v>0.0</v>
      </c>
      <c r="Q58" s="186">
        <v>92.19</v>
      </c>
    </row>
    <row r="59">
      <c r="A59" s="89"/>
      <c r="B59" s="130" t="s">
        <v>64</v>
      </c>
      <c r="C59" s="187">
        <v>0.10553409632808819</v>
      </c>
      <c r="D59" s="187">
        <v>0.3109999999999993</v>
      </c>
      <c r="E59" s="187">
        <v>0.0</v>
      </c>
      <c r="F59" s="187">
        <v>0.16499999999999582</v>
      </c>
      <c r="G59" s="187">
        <v>1.5543122344752192E-15</v>
      </c>
      <c r="H59" s="187">
        <v>0.0024165130851475647</v>
      </c>
      <c r="I59" s="187">
        <v>0.29949999999999966</v>
      </c>
      <c r="J59" s="187">
        <v>0.021750000000000047</v>
      </c>
      <c r="K59" s="187">
        <v>3.2700000000000005</v>
      </c>
      <c r="L59" s="187">
        <v>0.6974999999999993</v>
      </c>
      <c r="M59" s="187">
        <v>0.4429500000000066</v>
      </c>
      <c r="N59" s="187">
        <v>1.6909999999999996</v>
      </c>
      <c r="O59" s="187">
        <v>0.0</v>
      </c>
      <c r="P59" s="187">
        <v>0.0</v>
      </c>
      <c r="Q59" s="187">
        <v>4.688682416757047</v>
      </c>
    </row>
    <row r="64">
      <c r="A64" s="1"/>
      <c r="B64" s="6"/>
      <c r="C64" s="8" t="s">
        <v>77</v>
      </c>
      <c r="D64" s="7"/>
      <c r="E64" s="7"/>
      <c r="F64" s="7"/>
      <c r="G64" s="7"/>
      <c r="H64" s="7"/>
      <c r="I64" s="7"/>
      <c r="J64" s="7"/>
      <c r="K64" s="7"/>
      <c r="L64" s="7"/>
      <c r="M64" s="7"/>
      <c r="N64" s="7"/>
      <c r="O64" s="7"/>
      <c r="P64" s="9"/>
      <c r="Q64" s="127"/>
    </row>
    <row r="65">
      <c r="A65" s="11"/>
      <c r="B65" s="15" t="s">
        <v>2</v>
      </c>
      <c r="C65" s="16" t="s">
        <v>3</v>
      </c>
      <c r="D65" s="18" t="s">
        <v>66</v>
      </c>
      <c r="E65" s="18" t="s">
        <v>67</v>
      </c>
      <c r="F65" s="18" t="s">
        <v>68</v>
      </c>
      <c r="G65" s="21" t="s">
        <v>69</v>
      </c>
      <c r="H65" s="21" t="s">
        <v>8</v>
      </c>
      <c r="I65" s="21" t="s">
        <v>9</v>
      </c>
      <c r="J65" s="18" t="s">
        <v>70</v>
      </c>
      <c r="K65" s="18" t="s">
        <v>71</v>
      </c>
      <c r="L65" s="21" t="s">
        <v>72</v>
      </c>
      <c r="M65" s="18" t="s">
        <v>13</v>
      </c>
      <c r="N65" s="18" t="s">
        <v>14</v>
      </c>
      <c r="O65" s="18" t="s">
        <v>73</v>
      </c>
      <c r="P65" s="18" t="s">
        <v>74</v>
      </c>
      <c r="Q65" s="135" t="s">
        <v>18</v>
      </c>
    </row>
    <row r="66">
      <c r="B66" s="72" t="s">
        <v>20</v>
      </c>
      <c r="C66" s="193">
        <v>0.15</v>
      </c>
      <c r="D66" s="136">
        <v>0.1</v>
      </c>
      <c r="E66" s="136">
        <v>0.05</v>
      </c>
      <c r="F66" s="136">
        <v>0.05</v>
      </c>
      <c r="G66" s="136">
        <v>0.05</v>
      </c>
      <c r="H66" s="136">
        <v>0.05</v>
      </c>
      <c r="I66" s="136">
        <v>0.05</v>
      </c>
      <c r="J66" s="136">
        <v>0.05</v>
      </c>
      <c r="K66" s="136">
        <v>0.05</v>
      </c>
      <c r="L66" s="136">
        <v>0.05</v>
      </c>
      <c r="M66" s="32">
        <v>0.1</v>
      </c>
      <c r="N66" s="136">
        <v>0.05</v>
      </c>
      <c r="O66" s="136">
        <v>0.2</v>
      </c>
      <c r="P66" s="136">
        <v>0.0</v>
      </c>
      <c r="Q66" s="138">
        <v>1.0</v>
      </c>
    </row>
    <row r="67">
      <c r="A67" s="26" t="s">
        <v>28</v>
      </c>
      <c r="B67" s="139" t="s">
        <v>30</v>
      </c>
      <c r="C67" s="196">
        <v>126.175</v>
      </c>
      <c r="D67" s="53">
        <v>0.98</v>
      </c>
      <c r="E67" s="74">
        <v>1.0</v>
      </c>
      <c r="F67" s="141">
        <v>0.98</v>
      </c>
      <c r="G67" s="53">
        <v>0.99</v>
      </c>
      <c r="H67" s="53">
        <v>0.02</v>
      </c>
      <c r="I67" s="50">
        <v>6.5E-4</v>
      </c>
      <c r="J67" s="199" t="s">
        <v>79</v>
      </c>
      <c r="K67" s="53">
        <v>0.005</v>
      </c>
      <c r="L67" s="53">
        <v>0.98</v>
      </c>
      <c r="M67" s="141">
        <v>0.99</v>
      </c>
      <c r="N67" s="74">
        <v>3.0</v>
      </c>
      <c r="O67" s="35">
        <v>1.0</v>
      </c>
      <c r="P67" s="202"/>
      <c r="Q67" s="147"/>
    </row>
    <row r="68">
      <c r="A68" s="54">
        <v>1.0</v>
      </c>
      <c r="B68" s="148" t="s">
        <v>42</v>
      </c>
      <c r="C68" s="149">
        <v>-0.7316069889524435</v>
      </c>
      <c r="D68" s="151">
        <v>-0.056000000000000494</v>
      </c>
      <c r="E68" s="153">
        <v>0.0</v>
      </c>
      <c r="F68" s="151">
        <v>0.9750000000000008</v>
      </c>
      <c r="G68" s="151">
        <v>0.025000000000000022</v>
      </c>
      <c r="H68" s="151">
        <v>-1.5</v>
      </c>
      <c r="I68" s="151">
        <v>-0.11500000000000005</v>
      </c>
      <c r="J68" s="151">
        <v>-0.09366666666666673</v>
      </c>
      <c r="K68" s="151">
        <v>-1.5</v>
      </c>
      <c r="L68" s="151">
        <v>-1.5</v>
      </c>
      <c r="M68" s="151">
        <v>-0.761130000000021</v>
      </c>
      <c r="N68" s="151">
        <v>-1.38</v>
      </c>
      <c r="O68" s="151">
        <v>0.0</v>
      </c>
      <c r="P68" s="153">
        <v>0.0</v>
      </c>
      <c r="Q68" s="154">
        <v>93.36259634438088</v>
      </c>
    </row>
    <row r="69">
      <c r="A69" s="54">
        <v>2.0</v>
      </c>
      <c r="B69" s="156" t="s">
        <v>44</v>
      </c>
      <c r="C69" s="158">
        <v>-1.6230124694860433</v>
      </c>
      <c r="D69" s="159">
        <v>-0.25800000000000045</v>
      </c>
      <c r="E69" s="160">
        <v>0.0</v>
      </c>
      <c r="F69" s="159">
        <v>0.4050000000000054</v>
      </c>
      <c r="G69" s="159">
        <v>0.025000000000000022</v>
      </c>
      <c r="H69" s="159">
        <v>-1.5</v>
      </c>
      <c r="I69" s="159">
        <v>-1.5</v>
      </c>
      <c r="J69" s="159">
        <v>-0.038166666666666724</v>
      </c>
      <c r="K69" s="159">
        <v>-1.35</v>
      </c>
      <c r="L69" s="159">
        <v>0.7500000000000008</v>
      </c>
      <c r="M69" s="159">
        <v>-1.121394000000009</v>
      </c>
      <c r="N69" s="159">
        <v>-1.5</v>
      </c>
      <c r="O69" s="159">
        <v>0.0</v>
      </c>
      <c r="P69" s="160">
        <v>0.0</v>
      </c>
      <c r="Q69" s="161">
        <v>92.28942686384728</v>
      </c>
    </row>
    <row r="70">
      <c r="A70" s="54">
        <v>3.0</v>
      </c>
      <c r="B70" s="156" t="s">
        <v>45</v>
      </c>
      <c r="C70" s="158">
        <v>1.6110494610019064</v>
      </c>
      <c r="D70" s="159">
        <v>2.502</v>
      </c>
      <c r="E70" s="160">
        <v>0.0</v>
      </c>
      <c r="F70" s="159">
        <v>0.9075</v>
      </c>
      <c r="G70" s="159">
        <v>0.025000000000000022</v>
      </c>
      <c r="H70" s="159">
        <v>-1.5</v>
      </c>
      <c r="I70" s="159">
        <v>0.18399999999999997</v>
      </c>
      <c r="J70" s="159">
        <v>-0.1861666666666667</v>
      </c>
      <c r="K70" s="159">
        <v>-1.5</v>
      </c>
      <c r="L70" s="159">
        <v>1.5</v>
      </c>
      <c r="M70" s="159">
        <v>-1.333236000000049</v>
      </c>
      <c r="N70" s="159">
        <v>0.62</v>
      </c>
      <c r="O70" s="159">
        <v>0.0</v>
      </c>
      <c r="P70" s="160">
        <v>0.0</v>
      </c>
      <c r="Q70" s="161">
        <v>102.83014679433519</v>
      </c>
    </row>
    <row r="71">
      <c r="A71" s="54">
        <v>4.0</v>
      </c>
      <c r="B71" s="156" t="s">
        <v>47</v>
      </c>
      <c r="C71" s="158">
        <v>1.2983706720977595</v>
      </c>
      <c r="D71" s="159">
        <v>1.3939999999999997</v>
      </c>
      <c r="E71" s="160">
        <v>0.0</v>
      </c>
      <c r="F71" s="159">
        <v>1.1025000000000034</v>
      </c>
      <c r="G71" s="159">
        <v>0.025000000000000022</v>
      </c>
      <c r="H71" s="159">
        <v>-1.5</v>
      </c>
      <c r="I71" s="159">
        <v>0.2529999999999999</v>
      </c>
      <c r="J71" s="159">
        <v>-0.15808333333333335</v>
      </c>
      <c r="K71" s="159">
        <v>-1.5</v>
      </c>
      <c r="L71" s="159">
        <v>-1.5</v>
      </c>
      <c r="M71" s="159">
        <v>-0.9501300000000268</v>
      </c>
      <c r="N71" s="159">
        <v>-0.5750000000000002</v>
      </c>
      <c r="O71" s="159">
        <v>0.0</v>
      </c>
      <c r="P71" s="160">
        <v>0.0</v>
      </c>
      <c r="Q71" s="161">
        <v>97.88965733876441</v>
      </c>
    </row>
    <row r="72">
      <c r="A72" s="54">
        <v>5.0</v>
      </c>
      <c r="B72" s="156" t="s">
        <v>48</v>
      </c>
      <c r="C72" s="158">
        <v>0.3776089344562472</v>
      </c>
      <c r="D72" s="159">
        <v>3.0</v>
      </c>
      <c r="E72" s="160">
        <v>0.0</v>
      </c>
      <c r="F72" s="159">
        <v>1.5</v>
      </c>
      <c r="G72" s="159">
        <v>0.025000000000000022</v>
      </c>
      <c r="H72" s="159">
        <v>-1.5</v>
      </c>
      <c r="I72" s="159">
        <v>-1.5</v>
      </c>
      <c r="J72" s="159">
        <v>-0.6280000000000001</v>
      </c>
      <c r="K72" s="159">
        <v>-1.5</v>
      </c>
      <c r="L72" s="159">
        <v>-1.5</v>
      </c>
      <c r="M72" s="159">
        <v>-1.0381080000000489</v>
      </c>
      <c r="N72" s="159">
        <v>0.43999999999999995</v>
      </c>
      <c r="O72" s="159">
        <v>0.0</v>
      </c>
      <c r="P72" s="160">
        <v>0.0</v>
      </c>
      <c r="Q72" s="161">
        <v>97.6765009344562</v>
      </c>
    </row>
    <row r="73">
      <c r="A73" s="54">
        <v>6.0</v>
      </c>
      <c r="B73" s="156" t="s">
        <v>49</v>
      </c>
      <c r="C73" s="158">
        <v>0.9739702517162496</v>
      </c>
      <c r="D73" s="159">
        <v>2.555999999999999</v>
      </c>
      <c r="E73" s="160">
        <v>0.0</v>
      </c>
      <c r="F73" s="159">
        <v>1.5</v>
      </c>
      <c r="G73" s="159">
        <v>0.025000000000000022</v>
      </c>
      <c r="H73" s="159">
        <v>-1.5</v>
      </c>
      <c r="I73" s="159">
        <v>-0.8740000000000002</v>
      </c>
      <c r="J73" s="159">
        <v>-0.39199999999999996</v>
      </c>
      <c r="K73" s="159">
        <v>-1.5</v>
      </c>
      <c r="L73" s="159">
        <v>-1.5</v>
      </c>
      <c r="M73" s="159">
        <v>-3.0</v>
      </c>
      <c r="N73" s="159">
        <v>-0.585</v>
      </c>
      <c r="O73" s="159">
        <v>0.0</v>
      </c>
      <c r="P73" s="160">
        <v>0.0</v>
      </c>
      <c r="Q73" s="161">
        <v>95.70397025171624</v>
      </c>
    </row>
    <row r="74">
      <c r="A74" s="54">
        <v>7.0</v>
      </c>
      <c r="B74" s="165" t="s">
        <v>43</v>
      </c>
      <c r="C74" s="206">
        <v>-1.0792349726775978</v>
      </c>
      <c r="D74" s="207">
        <v>0.9160000000000003</v>
      </c>
      <c r="E74" s="208">
        <v>0.0</v>
      </c>
      <c r="F74" s="207">
        <v>0.7350000000000023</v>
      </c>
      <c r="G74" s="207">
        <v>0.025000000000000022</v>
      </c>
      <c r="H74" s="207">
        <v>-1.5</v>
      </c>
      <c r="I74" s="207">
        <v>-0.34500000000000014</v>
      </c>
      <c r="J74" s="207">
        <v>-0.6361666666666668</v>
      </c>
      <c r="K74" s="207">
        <v>1.5</v>
      </c>
      <c r="L74" s="207">
        <v>-1.5</v>
      </c>
      <c r="M74" s="207">
        <v>-1.0551600000000327</v>
      </c>
      <c r="N74" s="207">
        <v>-1.5</v>
      </c>
      <c r="O74" s="207">
        <v>0.0</v>
      </c>
      <c r="P74" s="168">
        <v>0.0</v>
      </c>
      <c r="Q74" s="170">
        <v>95.56043836065571</v>
      </c>
    </row>
    <row r="75">
      <c r="A75" s="89"/>
      <c r="B75" s="209" t="s">
        <v>50</v>
      </c>
      <c r="C75" s="210">
        <v>0.10022571156181326</v>
      </c>
      <c r="D75" s="211">
        <v>1.6479999999999995</v>
      </c>
      <c r="E75" s="212">
        <v>0.0</v>
      </c>
      <c r="F75" s="211">
        <v>1.1025000000000034</v>
      </c>
      <c r="G75" s="211">
        <v>0.025000000000000022</v>
      </c>
      <c r="H75" s="211">
        <v>-1.5</v>
      </c>
      <c r="I75" s="211">
        <v>-1.173</v>
      </c>
      <c r="J75" s="211">
        <v>-0.2733333333333334</v>
      </c>
      <c r="K75" s="211">
        <v>-0.12000000000000006</v>
      </c>
      <c r="L75" s="213">
        <v>-0.20000000000000018</v>
      </c>
      <c r="M75" s="211">
        <v>-0.4697880000000265</v>
      </c>
      <c r="N75" s="211">
        <v>-1.5</v>
      </c>
      <c r="O75" s="211">
        <v>0.0</v>
      </c>
      <c r="P75" s="153">
        <v>0.0</v>
      </c>
      <c r="Q75" s="214">
        <v>97.63960437822846</v>
      </c>
    </row>
    <row r="76">
      <c r="A76" s="89"/>
      <c r="B76" s="215" t="s">
        <v>63</v>
      </c>
      <c r="C76" s="216">
        <v>-1.184</v>
      </c>
      <c r="D76" s="216">
        <v>1.439</v>
      </c>
      <c r="E76" s="217">
        <v>0.0</v>
      </c>
      <c r="F76" s="216">
        <v>0.9</v>
      </c>
      <c r="G76" s="216">
        <v>0.025</v>
      </c>
      <c r="H76" s="216">
        <v>-0.015</v>
      </c>
      <c r="I76" s="216">
        <v>-1.265</v>
      </c>
      <c r="J76" s="216">
        <v>-0.261</v>
      </c>
      <c r="K76" s="216">
        <v>0.03</v>
      </c>
      <c r="L76" s="216">
        <v>-0.2</v>
      </c>
      <c r="M76" s="216">
        <v>-0.45</v>
      </c>
      <c r="N76" s="216">
        <v>-1.5</v>
      </c>
      <c r="O76" s="216">
        <v>0.0</v>
      </c>
      <c r="P76" s="216">
        <v>0.0</v>
      </c>
      <c r="Q76" s="218">
        <v>97.519</v>
      </c>
    </row>
    <row r="77">
      <c r="B77" s="219" t="s">
        <v>64</v>
      </c>
      <c r="C77" s="131">
        <v>1.2842257115618132</v>
      </c>
      <c r="D77" s="131">
        <v>0.2089999999999994</v>
      </c>
      <c r="E77" s="131">
        <v>0.0</v>
      </c>
      <c r="F77" s="131">
        <v>0.20250000000000334</v>
      </c>
      <c r="G77" s="131">
        <v>2.0816681711721685E-17</v>
      </c>
      <c r="H77" s="131">
        <v>1.485</v>
      </c>
      <c r="I77" s="131">
        <v>0.09199999999999986</v>
      </c>
      <c r="J77" s="131">
        <v>0.012333333333333363</v>
      </c>
      <c r="K77" s="131">
        <v>0.15000000000000008</v>
      </c>
      <c r="L77" s="131">
        <v>1.6653345369377348E-16</v>
      </c>
      <c r="M77" s="131">
        <v>0.019788000000026507</v>
      </c>
      <c r="N77" s="131">
        <v>0.0</v>
      </c>
      <c r="O77" s="131">
        <v>0.0</v>
      </c>
      <c r="P77" s="131">
        <v>0.0</v>
      </c>
      <c r="Q77" s="131">
        <v>0.1206043782284496</v>
      </c>
    </row>
    <row r="82">
      <c r="A82" s="1"/>
      <c r="B82" s="6"/>
      <c r="C82" s="8" t="s">
        <v>83</v>
      </c>
      <c r="D82" s="7"/>
      <c r="E82" s="7"/>
      <c r="F82" s="7"/>
      <c r="G82" s="7"/>
      <c r="H82" s="7"/>
      <c r="I82" s="7"/>
      <c r="J82" s="7"/>
      <c r="K82" s="7"/>
      <c r="L82" s="7"/>
      <c r="M82" s="7"/>
      <c r="N82" s="7"/>
      <c r="O82" s="7"/>
      <c r="P82" s="9"/>
      <c r="Q82" s="127"/>
    </row>
    <row r="83">
      <c r="A83" s="11"/>
      <c r="B83" s="15" t="s">
        <v>2</v>
      </c>
      <c r="C83" s="16" t="s">
        <v>3</v>
      </c>
      <c r="D83" s="18" t="s">
        <v>66</v>
      </c>
      <c r="E83" s="18" t="s">
        <v>67</v>
      </c>
      <c r="F83" s="18" t="s">
        <v>68</v>
      </c>
      <c r="G83" s="18" t="s">
        <v>69</v>
      </c>
      <c r="H83" s="18" t="s">
        <v>8</v>
      </c>
      <c r="I83" s="18" t="s">
        <v>9</v>
      </c>
      <c r="J83" s="18" t="s">
        <v>70</v>
      </c>
      <c r="K83" s="18" t="s">
        <v>71</v>
      </c>
      <c r="L83" s="18" t="s">
        <v>72</v>
      </c>
      <c r="M83" s="18" t="s">
        <v>13</v>
      </c>
      <c r="N83" s="18" t="s">
        <v>14</v>
      </c>
      <c r="O83" s="18" t="s">
        <v>73</v>
      </c>
      <c r="P83" s="18" t="s">
        <v>74</v>
      </c>
      <c r="Q83" s="135" t="s">
        <v>18</v>
      </c>
    </row>
    <row r="84">
      <c r="B84" s="72" t="s">
        <v>20</v>
      </c>
      <c r="C84" s="193">
        <v>0.15</v>
      </c>
      <c r="D84" s="136">
        <v>0.1</v>
      </c>
      <c r="E84" s="136">
        <v>0.05</v>
      </c>
      <c r="F84" s="136">
        <v>0.05</v>
      </c>
      <c r="G84" s="136">
        <v>0.05</v>
      </c>
      <c r="H84" s="136">
        <v>0.05</v>
      </c>
      <c r="I84" s="136">
        <v>0.05</v>
      </c>
      <c r="J84" s="136">
        <v>0.05</v>
      </c>
      <c r="K84" s="136">
        <v>0.05</v>
      </c>
      <c r="L84" s="136">
        <v>0.05</v>
      </c>
      <c r="M84" s="32">
        <v>0.1</v>
      </c>
      <c r="N84" s="136">
        <v>0.05</v>
      </c>
      <c r="O84" s="136">
        <v>0.2</v>
      </c>
      <c r="P84" s="136">
        <v>0.0</v>
      </c>
      <c r="Q84" s="229">
        <v>1.0</v>
      </c>
    </row>
    <row r="85">
      <c r="A85" s="26" t="s">
        <v>28</v>
      </c>
      <c r="B85" s="139" t="s">
        <v>30</v>
      </c>
      <c r="C85" s="230">
        <v>125.672</v>
      </c>
      <c r="D85" s="231">
        <v>0.98</v>
      </c>
      <c r="E85" s="232">
        <v>1.0</v>
      </c>
      <c r="F85" s="233">
        <v>0.98</v>
      </c>
      <c r="G85" s="233">
        <v>0.99</v>
      </c>
      <c r="H85" s="233">
        <v>0.02</v>
      </c>
      <c r="I85" s="234">
        <v>7.5E-4</v>
      </c>
      <c r="J85" s="235" t="s">
        <v>84</v>
      </c>
      <c r="K85" s="231">
        <v>0.005</v>
      </c>
      <c r="L85" s="236">
        <v>0.98</v>
      </c>
      <c r="M85" s="237">
        <v>0.99</v>
      </c>
      <c r="N85" s="238">
        <v>3.0</v>
      </c>
      <c r="O85" s="239">
        <v>1.0</v>
      </c>
      <c r="P85" s="240"/>
      <c r="Q85" s="147"/>
    </row>
    <row r="86">
      <c r="A86" s="54">
        <v>1.0</v>
      </c>
      <c r="B86" s="148" t="s">
        <v>42</v>
      </c>
      <c r="C86" s="149">
        <v>1.0315202992285444</v>
      </c>
      <c r="D86" s="151">
        <v>0.9329999999999994</v>
      </c>
      <c r="E86" s="153">
        <v>0.0</v>
      </c>
      <c r="F86" s="151">
        <v>0.17100000000000004</v>
      </c>
      <c r="G86" s="151">
        <v>0.025000000000000022</v>
      </c>
      <c r="H86" s="151">
        <v>0.020000000000000004</v>
      </c>
      <c r="I86" s="151">
        <v>-0.07500000000000001</v>
      </c>
      <c r="J86" s="151">
        <v>-0.20975000000000008</v>
      </c>
      <c r="K86" s="151">
        <v>-0.125</v>
      </c>
      <c r="L86" s="151">
        <v>0.10000000000000009</v>
      </c>
      <c r="M86" s="151">
        <v>-0.04074160000000049</v>
      </c>
      <c r="N86" s="151">
        <v>0.026499999999999992</v>
      </c>
      <c r="O86" s="151">
        <v>0.0</v>
      </c>
      <c r="P86" s="153">
        <v>0.0</v>
      </c>
      <c r="Q86" s="154">
        <v>101.85652869922855</v>
      </c>
    </row>
    <row r="87">
      <c r="A87" s="54">
        <v>2.0</v>
      </c>
      <c r="B87" s="156" t="s">
        <v>44</v>
      </c>
      <c r="C87" s="158">
        <v>-4.7761048103245995</v>
      </c>
      <c r="D87" s="159">
        <v>0.5230000000000001</v>
      </c>
      <c r="E87" s="160">
        <v>0.0</v>
      </c>
      <c r="F87" s="159">
        <v>0.1650000000000007</v>
      </c>
      <c r="G87" s="159">
        <v>0.025000000000000022</v>
      </c>
      <c r="H87" s="159">
        <v>0.020000000000000004</v>
      </c>
      <c r="I87" s="159">
        <v>0.4174999999999999</v>
      </c>
      <c r="J87" s="159">
        <v>-1.416666666666667</v>
      </c>
      <c r="K87" s="159">
        <v>-0.125</v>
      </c>
      <c r="L87" s="159">
        <v>-0.24999999999999967</v>
      </c>
      <c r="M87" s="159">
        <v>-0.0724632000000014</v>
      </c>
      <c r="N87" s="159">
        <v>-0.15800000000000003</v>
      </c>
      <c r="O87" s="159">
        <v>0.0</v>
      </c>
      <c r="P87" s="160">
        <v>0.0</v>
      </c>
      <c r="Q87" s="161">
        <v>94.35226532300874</v>
      </c>
    </row>
    <row r="88">
      <c r="A88" s="54">
        <v>3.0</v>
      </c>
      <c r="B88" s="156" t="s">
        <v>45</v>
      </c>
      <c r="C88" s="158">
        <v>14.166340508806263</v>
      </c>
      <c r="D88" s="159">
        <v>2.661</v>
      </c>
      <c r="E88" s="160">
        <v>0.0</v>
      </c>
      <c r="F88" s="159">
        <v>0.1660000000000006</v>
      </c>
      <c r="G88" s="159">
        <v>0.025000000000000022</v>
      </c>
      <c r="H88" s="159">
        <v>0.020000000000000004</v>
      </c>
      <c r="I88" s="159">
        <v>-0.049999999999999996</v>
      </c>
      <c r="J88" s="159">
        <v>-0.7262500000000001</v>
      </c>
      <c r="K88" s="159">
        <v>0.032499999999999994</v>
      </c>
      <c r="L88" s="159">
        <v>0.10000000000000009</v>
      </c>
      <c r="M88" s="159">
        <v>-0.08438879999999926</v>
      </c>
      <c r="N88" s="159">
        <v>-0.09350000000000001</v>
      </c>
      <c r="O88" s="159">
        <v>0.0</v>
      </c>
      <c r="P88" s="160">
        <v>0.0</v>
      </c>
      <c r="Q88" s="161">
        <v>116.21670170880626</v>
      </c>
    </row>
    <row r="89">
      <c r="A89" s="54">
        <v>4.0</v>
      </c>
      <c r="B89" s="156" t="s">
        <v>47</v>
      </c>
      <c r="C89" s="158">
        <v>1.9198261289543606</v>
      </c>
      <c r="D89" s="159">
        <v>2.4299999999999997</v>
      </c>
      <c r="E89" s="160">
        <v>0.0</v>
      </c>
      <c r="F89" s="159">
        <v>0.1760000000000006</v>
      </c>
      <c r="G89" s="159">
        <v>0.025000000000000022</v>
      </c>
      <c r="H89" s="159">
        <v>0.020000000000000004</v>
      </c>
      <c r="I89" s="159">
        <v>-0.0925</v>
      </c>
      <c r="J89" s="159">
        <v>-0.3255833333333334</v>
      </c>
      <c r="K89" s="159">
        <v>-0.125</v>
      </c>
      <c r="L89" s="159">
        <v>-0.7000000000000002</v>
      </c>
      <c r="M89" s="159">
        <v>-0.049126399999999126</v>
      </c>
      <c r="N89" s="159">
        <v>-0.37649999999999995</v>
      </c>
      <c r="O89" s="159">
        <v>0.0</v>
      </c>
      <c r="P89" s="160">
        <v>0.0</v>
      </c>
      <c r="Q89" s="161">
        <v>102.90211639562102</v>
      </c>
    </row>
    <row r="90">
      <c r="A90" s="54">
        <v>5.0</v>
      </c>
      <c r="B90" s="156" t="s">
        <v>48</v>
      </c>
      <c r="C90" s="158">
        <v>-5.304612311603413</v>
      </c>
      <c r="D90" s="159">
        <v>1.1529999999999996</v>
      </c>
      <c r="E90" s="160">
        <v>0.0</v>
      </c>
      <c r="F90" s="159">
        <v>0.032999999999999696</v>
      </c>
      <c r="G90" s="159">
        <v>0.025000000000000022</v>
      </c>
      <c r="H90" s="159">
        <v>0.020000000000000004</v>
      </c>
      <c r="I90" s="159">
        <v>0.4225</v>
      </c>
      <c r="J90" s="159">
        <v>-1.9974999999999998</v>
      </c>
      <c r="K90" s="159">
        <v>-0.125</v>
      </c>
      <c r="L90" s="159">
        <v>-0.6000000000000001</v>
      </c>
      <c r="M90" s="159">
        <v>-0.05653240000000226</v>
      </c>
      <c r="N90" s="159">
        <v>-0.04350000000000001</v>
      </c>
      <c r="O90" s="159">
        <v>0.0</v>
      </c>
      <c r="P90" s="160">
        <v>0.0</v>
      </c>
      <c r="Q90" s="161">
        <v>93.52635528839659</v>
      </c>
    </row>
    <row r="91">
      <c r="A91" s="54">
        <v>6.0</v>
      </c>
      <c r="B91" s="156" t="s">
        <v>49</v>
      </c>
      <c r="C91" s="158">
        <v>-3.0393932533393673</v>
      </c>
      <c r="D91" s="159">
        <v>3.3440000000000007</v>
      </c>
      <c r="E91" s="160">
        <v>0.0</v>
      </c>
      <c r="F91" s="159">
        <v>0.20000000000000018</v>
      </c>
      <c r="G91" s="159">
        <v>0.025000000000000022</v>
      </c>
      <c r="H91" s="159">
        <v>0.020000000000000004</v>
      </c>
      <c r="I91" s="159">
        <v>0.09749999999999998</v>
      </c>
      <c r="J91" s="159">
        <v>-1.0680000000000003</v>
      </c>
      <c r="K91" s="159">
        <v>0.029999999999999995</v>
      </c>
      <c r="L91" s="159">
        <v>-0.8000000000000003</v>
      </c>
      <c r="M91" s="159">
        <v>-0.03466320000000023</v>
      </c>
      <c r="N91" s="159">
        <v>-0.227</v>
      </c>
      <c r="O91" s="159">
        <v>0.0</v>
      </c>
      <c r="P91" s="160">
        <v>0.0</v>
      </c>
      <c r="Q91" s="161">
        <v>98.54744354666063</v>
      </c>
    </row>
    <row r="92">
      <c r="A92" s="54">
        <v>7.0</v>
      </c>
      <c r="B92" s="165" t="s">
        <v>43</v>
      </c>
      <c r="C92" s="166">
        <v>7.096600107933087</v>
      </c>
      <c r="D92" s="167">
        <v>2.0719999999999996</v>
      </c>
      <c r="E92" s="168">
        <v>0.0</v>
      </c>
      <c r="F92" s="167">
        <v>0.09500000000000064</v>
      </c>
      <c r="G92" s="167">
        <v>0.025000000000000022</v>
      </c>
      <c r="H92" s="167">
        <v>0.020000000000000004</v>
      </c>
      <c r="I92" s="167">
        <v>0.01</v>
      </c>
      <c r="J92" s="167">
        <v>-0.50775</v>
      </c>
      <c r="K92" s="167">
        <v>1.1475000000000002</v>
      </c>
      <c r="L92" s="167">
        <v>-0.2999999999999997</v>
      </c>
      <c r="M92" s="167">
        <v>-0.08481720000000248</v>
      </c>
      <c r="N92" s="167">
        <v>0.033499999999999995</v>
      </c>
      <c r="O92" s="167">
        <v>0.0</v>
      </c>
      <c r="P92" s="168">
        <v>0.0</v>
      </c>
      <c r="Q92" s="170">
        <v>109.60703290793309</v>
      </c>
    </row>
    <row r="93">
      <c r="A93" s="89"/>
      <c r="B93" s="209" t="s">
        <v>50</v>
      </c>
      <c r="C93" s="149">
        <v>1.5170822982869314</v>
      </c>
      <c r="D93" s="151">
        <v>1.9699999999999998</v>
      </c>
      <c r="E93" s="153">
        <v>0.0</v>
      </c>
      <c r="F93" s="151">
        <v>0.14399999999999968</v>
      </c>
      <c r="G93" s="151">
        <v>0.025000000000000022</v>
      </c>
      <c r="H93" s="151">
        <v>0.020000000000000004</v>
      </c>
      <c r="I93" s="151">
        <v>0.07499999999999998</v>
      </c>
      <c r="J93" s="151">
        <v>-0.7413333333333334</v>
      </c>
      <c r="K93" s="151">
        <v>0.08000000000000002</v>
      </c>
      <c r="L93" s="151">
        <v>-0.34999999999999976</v>
      </c>
      <c r="M93" s="151">
        <v>-0.027776800000001156</v>
      </c>
      <c r="N93" s="151">
        <v>-0.11699999999999999</v>
      </c>
      <c r="O93" s="151">
        <v>0.0</v>
      </c>
      <c r="P93" s="153">
        <v>0.0</v>
      </c>
      <c r="Q93" s="154">
        <v>102.5949721649536</v>
      </c>
    </row>
    <row r="94">
      <c r="A94" s="89"/>
      <c r="B94" s="215" t="s">
        <v>63</v>
      </c>
      <c r="C94" s="241">
        <v>1.719</v>
      </c>
      <c r="D94" s="241">
        <v>1.32</v>
      </c>
      <c r="E94" s="242">
        <v>0.0</v>
      </c>
      <c r="F94" s="241">
        <v>0.04</v>
      </c>
      <c r="G94" s="241">
        <v>0.03</v>
      </c>
      <c r="H94" s="241">
        <v>0.004</v>
      </c>
      <c r="I94" s="241">
        <v>-0.088</v>
      </c>
      <c r="J94" s="241">
        <v>-0.73</v>
      </c>
      <c r="K94" s="241">
        <v>0.002</v>
      </c>
      <c r="L94" s="241">
        <v>-0.33</v>
      </c>
      <c r="M94" s="241">
        <v>-0.036</v>
      </c>
      <c r="N94" s="241">
        <v>-0.759</v>
      </c>
      <c r="O94" s="241">
        <v>0.0</v>
      </c>
      <c r="P94" s="241">
        <v>0.0</v>
      </c>
      <c r="Q94" s="243">
        <v>101.172</v>
      </c>
    </row>
    <row r="95">
      <c r="B95" s="219" t="s">
        <v>64</v>
      </c>
      <c r="C95" s="131">
        <v>0.20191770171306866</v>
      </c>
      <c r="D95" s="131">
        <v>0.6499999999999997</v>
      </c>
      <c r="E95" s="131">
        <v>0.0</v>
      </c>
      <c r="F95" s="131">
        <v>0.10399999999999968</v>
      </c>
      <c r="G95" s="131">
        <v>0.004999999999999977</v>
      </c>
      <c r="H95" s="131">
        <v>0.016000000000000004</v>
      </c>
      <c r="I95" s="131">
        <v>0.16299999999999998</v>
      </c>
      <c r="J95" s="131">
        <v>0.011333333333333417</v>
      </c>
      <c r="K95" s="131">
        <v>0.07800000000000001</v>
      </c>
      <c r="L95" s="131">
        <v>0.01999999999999974</v>
      </c>
      <c r="M95" s="131">
        <v>0.008223199999998841</v>
      </c>
      <c r="N95" s="131">
        <v>0.642</v>
      </c>
      <c r="O95" s="131">
        <v>0.0</v>
      </c>
      <c r="P95" s="131">
        <v>0.0</v>
      </c>
      <c r="Q95" s="131">
        <v>1.422972164953606</v>
      </c>
    </row>
    <row r="100">
      <c r="A100" s="1"/>
      <c r="B100" s="6"/>
      <c r="C100" s="8" t="s">
        <v>85</v>
      </c>
      <c r="D100" s="7"/>
      <c r="E100" s="7"/>
      <c r="F100" s="7"/>
      <c r="G100" s="7"/>
      <c r="H100" s="7"/>
      <c r="I100" s="7"/>
      <c r="J100" s="7"/>
      <c r="K100" s="7"/>
      <c r="L100" s="7"/>
      <c r="M100" s="7"/>
      <c r="N100" s="7"/>
      <c r="O100" s="7"/>
      <c r="P100" s="7"/>
      <c r="Q100" s="7"/>
      <c r="R100" s="7"/>
      <c r="S100" s="7"/>
      <c r="T100" s="7"/>
      <c r="U100" s="7"/>
      <c r="V100" s="7"/>
      <c r="W100" s="9"/>
    </row>
    <row r="101">
      <c r="A101" s="11"/>
      <c r="B101" s="15" t="s">
        <v>2</v>
      </c>
      <c r="C101" s="244" t="s">
        <v>3</v>
      </c>
      <c r="D101" s="245" t="s">
        <v>66</v>
      </c>
      <c r="E101" s="245" t="s">
        <v>67</v>
      </c>
      <c r="F101" s="245" t="s">
        <v>68</v>
      </c>
      <c r="G101" s="245" t="s">
        <v>86</v>
      </c>
      <c r="H101" s="24" t="s">
        <v>87</v>
      </c>
      <c r="I101" s="24" t="s">
        <v>88</v>
      </c>
      <c r="J101" s="245" t="s">
        <v>70</v>
      </c>
      <c r="K101" s="245" t="s">
        <v>71</v>
      </c>
      <c r="L101" s="245" t="s">
        <v>72</v>
      </c>
      <c r="M101" s="24" t="s">
        <v>89</v>
      </c>
      <c r="N101" s="245" t="s">
        <v>14</v>
      </c>
      <c r="O101" s="246" t="s">
        <v>90</v>
      </c>
      <c r="P101" s="246" t="s">
        <v>91</v>
      </c>
      <c r="Q101" s="247" t="s">
        <v>92</v>
      </c>
      <c r="R101" s="247" t="s">
        <v>93</v>
      </c>
      <c r="S101" s="247" t="s">
        <v>94</v>
      </c>
      <c r="T101" s="247" t="s">
        <v>95</v>
      </c>
      <c r="U101" s="247" t="s">
        <v>96</v>
      </c>
      <c r="V101" s="247" t="s">
        <v>97</v>
      </c>
      <c r="W101" s="135" t="s">
        <v>18</v>
      </c>
    </row>
    <row r="102">
      <c r="B102" s="250" t="s">
        <v>20</v>
      </c>
      <c r="C102" s="251">
        <v>0.1</v>
      </c>
      <c r="D102" s="252">
        <v>0.05</v>
      </c>
      <c r="E102" s="252">
        <v>0.02</v>
      </c>
      <c r="F102" s="252">
        <v>0.06</v>
      </c>
      <c r="G102" s="252">
        <v>0.06</v>
      </c>
      <c r="H102" s="252">
        <v>0.05</v>
      </c>
      <c r="I102" s="252">
        <v>0.03</v>
      </c>
      <c r="J102" s="252">
        <v>0.05</v>
      </c>
      <c r="K102" s="252">
        <v>0.07</v>
      </c>
      <c r="L102" s="252">
        <v>0.07</v>
      </c>
      <c r="M102" s="255">
        <v>0.04</v>
      </c>
      <c r="N102" s="252">
        <v>0.07</v>
      </c>
      <c r="O102" s="252">
        <v>0.04</v>
      </c>
      <c r="P102" s="252">
        <v>0.02</v>
      </c>
      <c r="Q102" s="257">
        <v>0.02</v>
      </c>
      <c r="R102" s="257">
        <v>0.05</v>
      </c>
      <c r="S102" s="257">
        <v>0.03</v>
      </c>
      <c r="T102" s="257">
        <v>0.02</v>
      </c>
      <c r="U102" s="257">
        <v>0.05</v>
      </c>
      <c r="V102" s="257">
        <v>0.1</v>
      </c>
      <c r="W102" s="258">
        <v>1.0000000000000004</v>
      </c>
    </row>
    <row r="103">
      <c r="A103" s="26" t="s">
        <v>28</v>
      </c>
      <c r="B103" s="260" t="s">
        <v>30</v>
      </c>
      <c r="C103" s="261">
        <v>119599.0</v>
      </c>
      <c r="D103" s="141">
        <v>0.98</v>
      </c>
      <c r="E103" s="142">
        <v>1.0</v>
      </c>
      <c r="F103" s="141">
        <v>0.98</v>
      </c>
      <c r="G103" s="141">
        <v>0.99</v>
      </c>
      <c r="H103" s="264">
        <v>46151.0</v>
      </c>
      <c r="I103" s="143">
        <v>0.998</v>
      </c>
      <c r="J103" s="144" t="s">
        <v>98</v>
      </c>
      <c r="K103" s="141">
        <v>0.005</v>
      </c>
      <c r="L103" s="141">
        <v>0.98</v>
      </c>
      <c r="M103" s="141">
        <v>0.98</v>
      </c>
      <c r="N103" s="142">
        <v>3.0</v>
      </c>
      <c r="O103" s="145">
        <v>0.98</v>
      </c>
      <c r="P103" s="146">
        <v>0.03</v>
      </c>
      <c r="Q103" s="267">
        <v>0.99</v>
      </c>
      <c r="R103" s="267">
        <v>0.98</v>
      </c>
      <c r="S103" s="268">
        <v>33723.0</v>
      </c>
      <c r="T103" s="268">
        <v>10965.0</v>
      </c>
      <c r="U103" s="267">
        <v>1.0</v>
      </c>
      <c r="V103" s="267">
        <v>1.0</v>
      </c>
      <c r="W103" s="147"/>
    </row>
    <row r="104">
      <c r="A104" s="54">
        <v>1.0</v>
      </c>
      <c r="B104" s="148" t="s">
        <v>42</v>
      </c>
      <c r="C104" s="269">
        <v>0.05360070626813096</v>
      </c>
      <c r="D104" s="270">
        <v>0.4664999999999997</v>
      </c>
      <c r="E104" s="271">
        <v>0.0</v>
      </c>
      <c r="F104" s="270">
        <v>0.2400000000000002</v>
      </c>
      <c r="G104" s="270">
        <v>0.030000000000000027</v>
      </c>
      <c r="H104" s="270"/>
      <c r="I104" s="270"/>
      <c r="J104" s="270">
        <v>-0.8333333333333335</v>
      </c>
      <c r="K104" s="270">
        <v>0.17500000000000002</v>
      </c>
      <c r="L104" s="270">
        <v>-6.86</v>
      </c>
      <c r="M104" s="270"/>
      <c r="N104" s="270">
        <v>0.21000000000000002</v>
      </c>
      <c r="O104" s="270"/>
      <c r="P104" s="271"/>
      <c r="Q104" s="274"/>
      <c r="R104" s="274"/>
      <c r="S104" s="274"/>
      <c r="T104" s="274"/>
      <c r="U104" s="274">
        <v>0.0</v>
      </c>
      <c r="V104" s="274">
        <v>0.0</v>
      </c>
      <c r="W104" s="276"/>
    </row>
    <row r="105">
      <c r="A105" s="54">
        <v>2.0</v>
      </c>
      <c r="B105" s="156" t="s">
        <v>44</v>
      </c>
      <c r="C105" s="269">
        <v>-3.0157854828703368</v>
      </c>
      <c r="D105" s="270">
        <v>0.26150000000000007</v>
      </c>
      <c r="E105" s="271">
        <v>0.0</v>
      </c>
      <c r="F105" s="270">
        <v>-0.5963999999999995</v>
      </c>
      <c r="G105" s="270">
        <v>0.030000000000000027</v>
      </c>
      <c r="H105" s="270"/>
      <c r="I105" s="270"/>
      <c r="J105" s="270">
        <v>-0.8333333333333335</v>
      </c>
      <c r="K105" s="270">
        <v>0.17500000000000002</v>
      </c>
      <c r="L105" s="270">
        <v>-6.86</v>
      </c>
      <c r="M105" s="270"/>
      <c r="N105" s="270">
        <v>0.21000000000000002</v>
      </c>
      <c r="O105" s="270"/>
      <c r="P105" s="271"/>
      <c r="Q105" s="274"/>
      <c r="R105" s="274"/>
      <c r="S105" s="274"/>
      <c r="T105" s="274"/>
      <c r="U105" s="274">
        <v>0.0</v>
      </c>
      <c r="V105" s="274">
        <v>0.0</v>
      </c>
      <c r="W105" s="276"/>
    </row>
    <row r="106">
      <c r="A106" s="54">
        <v>3.0</v>
      </c>
      <c r="B106" s="156" t="s">
        <v>45</v>
      </c>
      <c r="C106" s="269">
        <v>3.552554315913093</v>
      </c>
      <c r="D106" s="270">
        <v>1.3305</v>
      </c>
      <c r="E106" s="271">
        <v>0.0</v>
      </c>
      <c r="F106" s="270">
        <v>0.20040000000000058</v>
      </c>
      <c r="G106" s="270">
        <v>0.030000000000000027</v>
      </c>
      <c r="H106" s="270"/>
      <c r="I106" s="270"/>
      <c r="J106" s="270">
        <v>-0.8333333333333335</v>
      </c>
      <c r="K106" s="270">
        <v>0.17500000000000002</v>
      </c>
      <c r="L106" s="270">
        <v>-6.86</v>
      </c>
      <c r="M106" s="270"/>
      <c r="N106" s="270">
        <v>0.21000000000000002</v>
      </c>
      <c r="O106" s="270"/>
      <c r="P106" s="271"/>
      <c r="Q106" s="274"/>
      <c r="R106" s="274"/>
      <c r="S106" s="274"/>
      <c r="T106" s="274"/>
      <c r="U106" s="274">
        <v>0.0</v>
      </c>
      <c r="V106" s="274">
        <v>0.0</v>
      </c>
      <c r="W106" s="276"/>
    </row>
    <row r="107">
      <c r="A107" s="54">
        <v>4.0</v>
      </c>
      <c r="B107" s="156" t="s">
        <v>47</v>
      </c>
      <c r="C107" s="269">
        <v>3.368040798980021</v>
      </c>
      <c r="D107" s="270">
        <v>1.2149999999999999</v>
      </c>
      <c r="E107" s="271">
        <v>0.0</v>
      </c>
      <c r="F107" s="270">
        <v>0.20400000000000018</v>
      </c>
      <c r="G107" s="270">
        <v>0.030000000000000027</v>
      </c>
      <c r="H107" s="270"/>
      <c r="I107" s="270"/>
      <c r="J107" s="270">
        <v>-0.8333333333333335</v>
      </c>
      <c r="K107" s="270">
        <v>0.17500000000000002</v>
      </c>
      <c r="L107" s="270">
        <v>-6.86</v>
      </c>
      <c r="M107" s="270"/>
      <c r="N107" s="270">
        <v>0.21000000000000002</v>
      </c>
      <c r="O107" s="270"/>
      <c r="P107" s="271"/>
      <c r="Q107" s="274"/>
      <c r="R107" s="274"/>
      <c r="S107" s="274"/>
      <c r="T107" s="274"/>
      <c r="U107" s="274">
        <v>0.0</v>
      </c>
      <c r="V107" s="274">
        <v>0.0</v>
      </c>
      <c r="W107" s="276"/>
    </row>
    <row r="108">
      <c r="A108" s="54">
        <v>5.0</v>
      </c>
      <c r="B108" s="156" t="s">
        <v>48</v>
      </c>
      <c r="C108" s="269">
        <v>-1.2668593448940282</v>
      </c>
      <c r="D108" s="270">
        <v>0.5764999999999998</v>
      </c>
      <c r="E108" s="271">
        <v>0.0</v>
      </c>
      <c r="F108" s="270">
        <v>0.2400000000000002</v>
      </c>
      <c r="G108" s="270">
        <v>0.030000000000000027</v>
      </c>
      <c r="H108" s="270"/>
      <c r="I108" s="270"/>
      <c r="J108" s="270">
        <v>-0.8333333333333335</v>
      </c>
      <c r="K108" s="270">
        <v>0.17500000000000002</v>
      </c>
      <c r="L108" s="270">
        <v>-6.86</v>
      </c>
      <c r="M108" s="270"/>
      <c r="N108" s="270">
        <v>0.21000000000000002</v>
      </c>
      <c r="O108" s="270"/>
      <c r="P108" s="271"/>
      <c r="Q108" s="274"/>
      <c r="R108" s="274"/>
      <c r="S108" s="274"/>
      <c r="T108" s="274"/>
      <c r="U108" s="274">
        <v>0.0</v>
      </c>
      <c r="V108" s="274">
        <v>0.0</v>
      </c>
      <c r="W108" s="276"/>
    </row>
    <row r="109">
      <c r="A109" s="54">
        <v>6.0</v>
      </c>
      <c r="B109" s="156" t="s">
        <v>49</v>
      </c>
      <c r="C109" s="269">
        <v>-0.2665947759405707</v>
      </c>
      <c r="D109" s="270">
        <v>1.6720000000000004</v>
      </c>
      <c r="E109" s="271">
        <v>0.0</v>
      </c>
      <c r="F109" s="270">
        <v>0.2400000000000002</v>
      </c>
      <c r="G109" s="270">
        <v>0.030000000000000027</v>
      </c>
      <c r="H109" s="270"/>
      <c r="I109" s="270"/>
      <c r="J109" s="270">
        <v>-0.8333333333333335</v>
      </c>
      <c r="K109" s="270">
        <v>0.17500000000000002</v>
      </c>
      <c r="L109" s="270">
        <v>-6.86</v>
      </c>
      <c r="M109" s="270"/>
      <c r="N109" s="270">
        <v>0.21000000000000002</v>
      </c>
      <c r="O109" s="270"/>
      <c r="P109" s="271"/>
      <c r="Q109" s="274"/>
      <c r="R109" s="274"/>
      <c r="S109" s="274"/>
      <c r="T109" s="274"/>
      <c r="U109" s="274">
        <v>0.0</v>
      </c>
      <c r="V109" s="274">
        <v>0.0</v>
      </c>
      <c r="W109" s="276"/>
    </row>
    <row r="110">
      <c r="A110" s="54">
        <v>7.0</v>
      </c>
      <c r="B110" s="165" t="s">
        <v>43</v>
      </c>
      <c r="C110" s="269">
        <v>0.05360070626813096</v>
      </c>
      <c r="D110" s="270">
        <v>1.0359999999999998</v>
      </c>
      <c r="E110" s="271">
        <v>0.0</v>
      </c>
      <c r="F110" s="270">
        <v>0.09839999999999982</v>
      </c>
      <c r="G110" s="270">
        <v>0.030000000000000027</v>
      </c>
      <c r="H110" s="270"/>
      <c r="I110" s="270"/>
      <c r="J110" s="270">
        <v>-0.8333333333333335</v>
      </c>
      <c r="K110" s="270">
        <v>0.17500000000000002</v>
      </c>
      <c r="L110" s="270">
        <v>-6.86</v>
      </c>
      <c r="M110" s="270"/>
      <c r="N110" s="270">
        <v>0.21000000000000002</v>
      </c>
      <c r="O110" s="270"/>
      <c r="P110" s="271"/>
      <c r="Q110" s="274"/>
      <c r="R110" s="274"/>
      <c r="S110" s="274"/>
      <c r="T110" s="274"/>
      <c r="U110" s="274">
        <v>0.0</v>
      </c>
      <c r="V110" s="274">
        <v>0.0</v>
      </c>
      <c r="W110" s="276"/>
    </row>
    <row r="111">
      <c r="A111" s="89"/>
      <c r="B111" s="277" t="s">
        <v>50</v>
      </c>
      <c r="C111" s="269">
        <v>0.8508410514846076</v>
      </c>
      <c r="D111" s="270">
        <v>0.9849999999999999</v>
      </c>
      <c r="E111" s="271">
        <v>0.0</v>
      </c>
      <c r="F111" s="270">
        <v>0.18000000000000016</v>
      </c>
      <c r="G111" s="270">
        <v>0.030000000000000027</v>
      </c>
      <c r="H111" s="270"/>
      <c r="I111" s="270"/>
      <c r="J111" s="270">
        <v>-0.8333333333333335</v>
      </c>
      <c r="K111" s="270">
        <v>0.17500000000000002</v>
      </c>
      <c r="L111" s="270">
        <v>-6.86</v>
      </c>
      <c r="M111" s="270"/>
      <c r="N111" s="270">
        <v>0.21000000000000002</v>
      </c>
      <c r="O111" s="270"/>
      <c r="P111" s="271"/>
      <c r="Q111" s="274"/>
      <c r="R111" s="274"/>
      <c r="S111" s="274"/>
      <c r="T111" s="274"/>
      <c r="U111" s="274">
        <v>0.0</v>
      </c>
      <c r="V111" s="274">
        <v>0.0</v>
      </c>
      <c r="W111" s="276"/>
    </row>
    <row r="112">
      <c r="A112" s="89"/>
      <c r="B112" s="215" t="s">
        <v>63</v>
      </c>
      <c r="C112" s="216">
        <v>0.58</v>
      </c>
      <c r="D112" s="216">
        <v>0.93</v>
      </c>
      <c r="E112" s="217">
        <v>0.0</v>
      </c>
      <c r="F112" s="216">
        <v>0.04</v>
      </c>
      <c r="G112" s="216">
        <v>0.03</v>
      </c>
      <c r="H112" s="216">
        <v>0.3</v>
      </c>
      <c r="I112" s="216">
        <v>0.01</v>
      </c>
      <c r="J112" s="216">
        <v>-1.05</v>
      </c>
      <c r="K112" s="216">
        <v>0.02</v>
      </c>
      <c r="L112" s="216">
        <v>-0.35</v>
      </c>
      <c r="M112" s="216">
        <v>-0.45</v>
      </c>
      <c r="N112" s="216">
        <v>-1.83</v>
      </c>
      <c r="O112" s="216">
        <v>0.08</v>
      </c>
      <c r="P112" s="216">
        <v>-0.04</v>
      </c>
      <c r="Q112" s="216">
        <v>0.04</v>
      </c>
      <c r="R112" s="216">
        <v>-0.83</v>
      </c>
      <c r="S112" s="216">
        <v>0.23</v>
      </c>
      <c r="T112" s="216">
        <v>0.03</v>
      </c>
      <c r="U112" s="216">
        <v>0.0</v>
      </c>
      <c r="V112" s="216">
        <v>0.0</v>
      </c>
      <c r="W112" s="218">
        <v>97.74</v>
      </c>
    </row>
    <row r="113">
      <c r="B113" s="219" t="s">
        <v>64</v>
      </c>
      <c r="C113" s="278"/>
      <c r="D113" s="278"/>
      <c r="E113" s="278"/>
      <c r="F113" s="278"/>
      <c r="G113" s="278"/>
      <c r="H113" s="278"/>
      <c r="I113" s="278"/>
      <c r="J113" s="278"/>
      <c r="K113" s="278"/>
      <c r="L113" s="278"/>
      <c r="M113" s="278"/>
      <c r="N113" s="278"/>
      <c r="O113" s="278"/>
      <c r="P113" s="278"/>
      <c r="Q113" s="278"/>
      <c r="R113" s="278"/>
      <c r="S113" s="278"/>
      <c r="T113" s="278"/>
      <c r="U113" s="278"/>
      <c r="V113" s="278"/>
      <c r="W113" s="278"/>
    </row>
  </sheetData>
  <mergeCells count="6">
    <mergeCell ref="C10:R10"/>
    <mergeCell ref="C27:Q27"/>
    <mergeCell ref="C46:P46"/>
    <mergeCell ref="C64:P64"/>
    <mergeCell ref="C82:P82"/>
    <mergeCell ref="C100:W10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12.88"/>
    <col customWidth="1" min="3" max="3" width="13.63"/>
    <col customWidth="1" min="4" max="4" width="12.0"/>
    <col customWidth="1" min="5" max="5" width="13.0"/>
    <col customWidth="1" min="6" max="6" width="10.25"/>
    <col customWidth="1" min="7" max="7" width="12.63"/>
    <col customWidth="1" min="8" max="8" width="13.38"/>
    <col customWidth="1" min="9" max="9" width="13.5"/>
    <col customWidth="1" min="10" max="10" width="13.13"/>
    <col customWidth="1" min="11" max="11" width="11.75"/>
    <col customWidth="1" min="12" max="12" width="14.25"/>
    <col customWidth="1" min="13" max="13" width="13.0"/>
    <col customWidth="1" min="14" max="14" width="16.25"/>
    <col customWidth="1" min="15" max="15" width="15.63"/>
    <col customWidth="1" min="16" max="16" width="17.25"/>
    <col customWidth="1" min="17" max="17" width="17.75"/>
  </cols>
  <sheetData>
    <row r="1">
      <c r="B1" s="1"/>
      <c r="C1" s="2"/>
      <c r="D1" s="2"/>
      <c r="E1" s="2"/>
      <c r="F1" s="2"/>
      <c r="G1" s="2"/>
      <c r="H1" s="2"/>
      <c r="I1" s="2"/>
      <c r="J1" s="2"/>
      <c r="K1" s="2"/>
      <c r="L1" s="2"/>
      <c r="M1" s="2"/>
      <c r="N1" s="2"/>
      <c r="O1" s="2"/>
      <c r="P1" s="2"/>
      <c r="Q1" s="2"/>
      <c r="R1" s="3"/>
      <c r="S1" s="3"/>
      <c r="T1" s="3"/>
      <c r="U1" s="3"/>
      <c r="V1" s="3"/>
      <c r="W1" s="3"/>
      <c r="X1" s="3"/>
      <c r="Y1" s="3"/>
      <c r="Z1" s="3"/>
      <c r="AA1" s="3"/>
      <c r="AB1" s="3"/>
      <c r="AC1" s="3"/>
      <c r="AD1" s="3"/>
      <c r="AE1" s="3"/>
      <c r="AF1" s="3"/>
      <c r="AG1" s="3"/>
      <c r="AH1" s="3"/>
      <c r="AI1" s="3"/>
      <c r="AJ1" s="3"/>
      <c r="AK1" s="3"/>
      <c r="AL1" s="3"/>
      <c r="AM1" s="3"/>
      <c r="AN1" s="3"/>
      <c r="AO1" s="3"/>
      <c r="AP1" s="3"/>
      <c r="AQ1" s="3"/>
    </row>
    <row r="2">
      <c r="B2" s="1"/>
      <c r="C2" s="2"/>
      <c r="D2" s="2"/>
      <c r="E2" s="2"/>
      <c r="F2" s="2"/>
      <c r="G2" s="2"/>
      <c r="H2" s="2"/>
      <c r="I2" s="2"/>
      <c r="J2" s="2"/>
      <c r="K2" s="2"/>
      <c r="L2" s="2"/>
      <c r="M2" s="2"/>
      <c r="N2" s="2"/>
      <c r="O2" s="2"/>
      <c r="P2" s="2"/>
      <c r="Q2" s="2"/>
      <c r="R2" s="3"/>
      <c r="S2" s="3"/>
      <c r="T2" s="3"/>
      <c r="U2" s="3"/>
      <c r="V2" s="3"/>
      <c r="W2" s="3"/>
      <c r="X2" s="3"/>
      <c r="Y2" s="3"/>
      <c r="Z2" s="3"/>
      <c r="AA2" s="3"/>
      <c r="AB2" s="3"/>
      <c r="AC2" s="3"/>
      <c r="AD2" s="3"/>
      <c r="AE2" s="3"/>
      <c r="AF2" s="3"/>
      <c r="AG2" s="3"/>
      <c r="AH2" s="3"/>
      <c r="AI2" s="3"/>
      <c r="AJ2" s="3"/>
      <c r="AK2" s="3"/>
      <c r="AL2" s="3"/>
      <c r="AM2" s="3"/>
      <c r="AN2" s="3"/>
      <c r="AO2" s="3"/>
      <c r="AP2" s="3"/>
      <c r="AQ2" s="3"/>
    </row>
    <row r="3">
      <c r="B3" s="1"/>
      <c r="C3" s="2"/>
      <c r="D3" s="2"/>
      <c r="E3" s="2"/>
      <c r="F3" s="2"/>
      <c r="G3" s="2"/>
      <c r="H3" s="2"/>
      <c r="I3" s="2"/>
      <c r="J3" s="2"/>
      <c r="K3" s="2"/>
      <c r="L3" s="2"/>
      <c r="M3" s="2"/>
      <c r="N3" s="2"/>
      <c r="O3" s="2"/>
      <c r="P3" s="2"/>
      <c r="Q3" s="2"/>
      <c r="R3" s="3"/>
      <c r="S3" s="3"/>
      <c r="T3" s="3"/>
      <c r="U3" s="3"/>
      <c r="V3" s="3"/>
      <c r="W3" s="3"/>
      <c r="X3" s="3"/>
      <c r="Y3" s="3"/>
      <c r="Z3" s="3"/>
      <c r="AA3" s="3"/>
      <c r="AB3" s="3"/>
      <c r="AC3" s="3"/>
      <c r="AD3" s="3"/>
      <c r="AE3" s="3"/>
      <c r="AF3" s="3"/>
      <c r="AG3" s="3"/>
      <c r="AH3" s="3"/>
      <c r="AI3" s="3"/>
      <c r="AJ3" s="3"/>
      <c r="AK3" s="3"/>
      <c r="AL3" s="3"/>
      <c r="AM3" s="3"/>
      <c r="AN3" s="3"/>
      <c r="AO3" s="3"/>
      <c r="AP3" s="3"/>
      <c r="AQ3" s="3"/>
    </row>
    <row r="4">
      <c r="B4" s="1"/>
      <c r="C4" s="2"/>
      <c r="D4" s="2"/>
      <c r="E4" s="2"/>
      <c r="F4" s="2"/>
      <c r="G4" s="2"/>
      <c r="H4" s="2"/>
      <c r="I4" s="2"/>
      <c r="J4" s="2"/>
      <c r="K4" s="2"/>
      <c r="L4" s="2"/>
      <c r="M4" s="2"/>
      <c r="N4" s="2"/>
      <c r="O4" s="2"/>
      <c r="P4" s="2"/>
      <c r="Q4" s="2"/>
      <c r="R4" s="3"/>
      <c r="S4" s="3"/>
      <c r="T4" s="3"/>
      <c r="U4" s="3"/>
      <c r="V4" s="3"/>
      <c r="W4" s="3"/>
      <c r="X4" s="3"/>
      <c r="Y4" s="3"/>
      <c r="Z4" s="3"/>
      <c r="AA4" s="3"/>
      <c r="AB4" s="3"/>
      <c r="AC4" s="3"/>
      <c r="AD4" s="3"/>
      <c r="AE4" s="3"/>
      <c r="AF4" s="3"/>
      <c r="AG4" s="3"/>
      <c r="AH4" s="3"/>
      <c r="AI4" s="3"/>
      <c r="AJ4" s="3"/>
      <c r="AK4" s="3"/>
      <c r="AL4" s="3"/>
      <c r="AM4" s="3"/>
      <c r="AN4" s="3"/>
      <c r="AO4" s="3"/>
      <c r="AP4" s="3"/>
      <c r="AQ4" s="3"/>
    </row>
    <row r="5">
      <c r="B5" s="1"/>
      <c r="C5" s="2"/>
      <c r="D5" s="2"/>
      <c r="E5" s="2"/>
      <c r="F5" s="2"/>
      <c r="G5" s="2"/>
      <c r="H5" s="2"/>
      <c r="I5" s="2"/>
      <c r="J5" s="2"/>
      <c r="K5" s="2"/>
      <c r="L5" s="2"/>
      <c r="M5" s="2"/>
      <c r="N5" s="2"/>
      <c r="O5" s="2"/>
      <c r="P5" s="2"/>
      <c r="Q5" s="2"/>
      <c r="R5" s="3"/>
      <c r="S5" s="3"/>
      <c r="T5" s="3"/>
      <c r="U5" s="3"/>
      <c r="V5" s="3"/>
      <c r="W5" s="3"/>
      <c r="X5" s="3"/>
      <c r="Y5" s="3"/>
      <c r="Z5" s="3"/>
      <c r="AA5" s="3"/>
      <c r="AB5" s="3"/>
      <c r="AC5" s="3"/>
      <c r="AD5" s="3"/>
      <c r="AE5" s="3"/>
      <c r="AF5" s="3"/>
      <c r="AG5" s="3"/>
      <c r="AH5" s="3"/>
      <c r="AI5" s="3"/>
      <c r="AJ5" s="3"/>
      <c r="AK5" s="3"/>
      <c r="AL5" s="3"/>
      <c r="AM5" s="3"/>
      <c r="AN5" s="3"/>
      <c r="AO5" s="3"/>
      <c r="AP5" s="3"/>
      <c r="AQ5" s="3"/>
    </row>
    <row r="6">
      <c r="A6" s="1"/>
      <c r="B6" s="4"/>
      <c r="C6" s="5" t="s">
        <v>21</v>
      </c>
      <c r="D6" s="7"/>
      <c r="E6" s="7"/>
      <c r="F6" s="7"/>
      <c r="G6" s="7"/>
      <c r="H6" s="7"/>
      <c r="I6" s="7"/>
      <c r="J6" s="7"/>
      <c r="K6" s="7"/>
      <c r="L6" s="7"/>
      <c r="M6" s="7"/>
      <c r="N6" s="7"/>
      <c r="O6" s="7"/>
      <c r="P6" s="7"/>
      <c r="Q6" s="9"/>
      <c r="R6" s="10"/>
      <c r="S6" s="3"/>
      <c r="T6" s="3"/>
      <c r="U6" s="3"/>
      <c r="V6" s="3"/>
      <c r="W6" s="3"/>
      <c r="X6" s="3"/>
      <c r="Y6" s="3"/>
      <c r="Z6" s="3"/>
      <c r="AA6" s="3"/>
      <c r="AB6" s="3"/>
      <c r="AC6" s="3"/>
      <c r="AD6" s="3"/>
      <c r="AE6" s="3"/>
      <c r="AF6" s="3"/>
      <c r="AG6" s="3"/>
      <c r="AH6" s="3"/>
      <c r="AI6" s="3"/>
      <c r="AJ6" s="3"/>
      <c r="AK6" s="3"/>
      <c r="AL6" s="3"/>
      <c r="AM6" s="3"/>
      <c r="AN6" s="3"/>
      <c r="AO6" s="3"/>
      <c r="AP6" s="3"/>
      <c r="AQ6" s="3"/>
    </row>
    <row r="7">
      <c r="A7" s="11"/>
      <c r="B7" s="12" t="s">
        <v>2</v>
      </c>
      <c r="C7" s="13" t="s">
        <v>3</v>
      </c>
      <c r="D7" s="14" t="s">
        <v>4</v>
      </c>
      <c r="E7" s="14" t="s">
        <v>5</v>
      </c>
      <c r="F7" s="14" t="s">
        <v>6</v>
      </c>
      <c r="G7" s="14" t="s">
        <v>7</v>
      </c>
      <c r="H7" s="14" t="s">
        <v>8</v>
      </c>
      <c r="I7" s="14" t="s">
        <v>9</v>
      </c>
      <c r="J7" s="14" t="s">
        <v>10</v>
      </c>
      <c r="K7" s="14" t="s">
        <v>11</v>
      </c>
      <c r="L7" s="14" t="s">
        <v>12</v>
      </c>
      <c r="M7" s="14" t="s">
        <v>13</v>
      </c>
      <c r="N7" s="14" t="s">
        <v>14</v>
      </c>
      <c r="O7" s="14" t="s">
        <v>15</v>
      </c>
      <c r="P7" s="14" t="s">
        <v>16</v>
      </c>
      <c r="Q7" s="22" t="s">
        <v>40</v>
      </c>
      <c r="R7" s="25" t="s">
        <v>18</v>
      </c>
      <c r="S7" s="3"/>
      <c r="T7" s="3"/>
      <c r="U7" s="3"/>
      <c r="V7" s="3"/>
      <c r="W7" s="3"/>
      <c r="X7" s="3"/>
      <c r="Y7" s="3"/>
      <c r="Z7" s="3"/>
      <c r="AA7" s="3"/>
      <c r="AB7" s="3"/>
      <c r="AC7" s="3"/>
      <c r="AD7" s="3"/>
      <c r="AE7" s="3"/>
      <c r="AF7" s="3"/>
      <c r="AG7" s="3"/>
      <c r="AH7" s="3"/>
      <c r="AI7" s="3"/>
      <c r="AJ7" s="3"/>
      <c r="AK7" s="3"/>
      <c r="AL7" s="3"/>
      <c r="AM7" s="3"/>
      <c r="AN7" s="3"/>
      <c r="AO7" s="3"/>
      <c r="AP7" s="3"/>
      <c r="AQ7" s="3"/>
    </row>
    <row r="8">
      <c r="A8" s="26"/>
      <c r="B8" s="27" t="s">
        <v>20</v>
      </c>
      <c r="C8" s="29">
        <v>0.1</v>
      </c>
      <c r="D8" s="31">
        <v>0.05</v>
      </c>
      <c r="E8" s="33">
        <v>0.1</v>
      </c>
      <c r="F8" s="33">
        <v>0.05</v>
      </c>
      <c r="G8" s="33">
        <v>0.1</v>
      </c>
      <c r="H8" s="33">
        <v>0.05</v>
      </c>
      <c r="I8" s="33">
        <v>0.05</v>
      </c>
      <c r="J8" s="33">
        <v>0.05</v>
      </c>
      <c r="K8" s="33">
        <v>0.05</v>
      </c>
      <c r="L8" s="33">
        <v>0.05</v>
      </c>
      <c r="M8" s="33">
        <v>0.1</v>
      </c>
      <c r="N8" s="33">
        <v>0.1</v>
      </c>
      <c r="O8" s="33">
        <v>0.05</v>
      </c>
      <c r="P8" s="33">
        <v>0.1</v>
      </c>
      <c r="Q8" s="35">
        <v>0.0</v>
      </c>
      <c r="R8" s="68">
        <f>sum(C8:Q8)</f>
        <v>1</v>
      </c>
      <c r="S8" s="3"/>
      <c r="T8" s="3"/>
      <c r="U8" s="3"/>
      <c r="V8" s="3"/>
      <c r="W8" s="3"/>
      <c r="X8" s="3"/>
      <c r="Y8" s="3"/>
      <c r="Z8" s="3"/>
      <c r="AA8" s="3"/>
      <c r="AB8" s="3"/>
      <c r="AC8" s="3"/>
      <c r="AD8" s="3"/>
      <c r="AE8" s="3"/>
      <c r="AF8" s="3"/>
      <c r="AG8" s="3"/>
      <c r="AH8" s="3"/>
      <c r="AI8" s="3"/>
      <c r="AJ8" s="3"/>
      <c r="AK8" s="3"/>
      <c r="AL8" s="3"/>
      <c r="AM8" s="3"/>
      <c r="AN8" s="3"/>
      <c r="AO8" s="3"/>
      <c r="AP8" s="3"/>
      <c r="AQ8" s="3"/>
    </row>
    <row r="9">
      <c r="A9" s="71"/>
      <c r="B9" s="73" t="s">
        <v>24</v>
      </c>
      <c r="C9" s="75" t="s">
        <v>25</v>
      </c>
      <c r="D9" s="76" t="s">
        <v>25</v>
      </c>
      <c r="E9" s="77" t="s">
        <v>26</v>
      </c>
      <c r="F9" s="77" t="s">
        <v>27</v>
      </c>
      <c r="G9" s="77" t="s">
        <v>29</v>
      </c>
      <c r="H9" s="77" t="s">
        <v>31</v>
      </c>
      <c r="I9" s="77" t="s">
        <v>32</v>
      </c>
      <c r="J9" s="77" t="s">
        <v>33</v>
      </c>
      <c r="K9" s="77" t="s">
        <v>34</v>
      </c>
      <c r="L9" s="77" t="s">
        <v>35</v>
      </c>
      <c r="M9" s="77" t="s">
        <v>36</v>
      </c>
      <c r="N9" s="77" t="s">
        <v>37</v>
      </c>
      <c r="O9" s="77" t="s">
        <v>38</v>
      </c>
      <c r="P9" s="77" t="s">
        <v>39</v>
      </c>
      <c r="Q9" s="79" t="s">
        <v>46</v>
      </c>
      <c r="R9" s="80"/>
      <c r="S9" s="3"/>
      <c r="T9" s="3"/>
      <c r="U9" s="3"/>
      <c r="V9" s="3"/>
      <c r="W9" s="3"/>
      <c r="X9" s="3"/>
      <c r="Y9" s="3"/>
      <c r="Z9" s="3"/>
      <c r="AA9" s="3"/>
      <c r="AB9" s="3"/>
      <c r="AC9" s="3"/>
      <c r="AD9" s="3"/>
      <c r="AE9" s="3"/>
      <c r="AF9" s="3"/>
      <c r="AG9" s="3"/>
      <c r="AH9" s="3"/>
      <c r="AI9" s="3"/>
      <c r="AJ9" s="3"/>
      <c r="AK9" s="3"/>
      <c r="AL9" s="3"/>
      <c r="AM9" s="3"/>
      <c r="AN9" s="3"/>
      <c r="AO9" s="3"/>
      <c r="AP9" s="3"/>
      <c r="AQ9" s="3"/>
    </row>
    <row r="10">
      <c r="B10" s="27" t="s">
        <v>22</v>
      </c>
      <c r="C10" s="38" t="s">
        <v>23</v>
      </c>
      <c r="D10" s="85" t="s">
        <v>23</v>
      </c>
      <c r="E10" s="40"/>
      <c r="F10" s="41"/>
      <c r="G10" s="40"/>
      <c r="H10" s="40"/>
      <c r="I10" s="42"/>
      <c r="J10" s="40"/>
      <c r="K10" s="44"/>
      <c r="L10" s="40"/>
      <c r="M10" s="40"/>
      <c r="N10" s="41"/>
      <c r="O10" s="40"/>
      <c r="P10" s="40"/>
      <c r="Q10" s="40"/>
      <c r="R10" s="4"/>
      <c r="S10" s="3"/>
      <c r="T10" s="3"/>
      <c r="U10" s="3"/>
      <c r="V10" s="3"/>
      <c r="W10" s="3"/>
      <c r="X10" s="3"/>
      <c r="Y10" s="3"/>
      <c r="Z10" s="3"/>
      <c r="AA10" s="3"/>
      <c r="AB10" s="3"/>
      <c r="AC10" s="3"/>
      <c r="AD10" s="3"/>
      <c r="AE10" s="3"/>
      <c r="AF10" s="3"/>
      <c r="AG10" s="3"/>
      <c r="AH10" s="3"/>
      <c r="AI10" s="3"/>
      <c r="AJ10" s="3"/>
      <c r="AK10" s="3"/>
      <c r="AL10" s="3"/>
      <c r="AM10" s="3"/>
      <c r="AN10" s="3"/>
      <c r="AO10" s="3"/>
      <c r="AP10" s="3"/>
      <c r="AQ10" s="3"/>
    </row>
    <row r="11">
      <c r="A11" s="26" t="s">
        <v>28</v>
      </c>
      <c r="B11" s="27" t="s">
        <v>30</v>
      </c>
      <c r="C11" s="78">
        <v>132695.0</v>
      </c>
      <c r="D11" s="49">
        <v>1.397147082E9</v>
      </c>
      <c r="E11" s="29">
        <v>0.98</v>
      </c>
      <c r="F11" s="38">
        <v>1.0</v>
      </c>
      <c r="G11" s="29">
        <v>0.98</v>
      </c>
      <c r="H11" s="29">
        <v>0.02</v>
      </c>
      <c r="I11" s="93">
        <v>4.6E-4</v>
      </c>
      <c r="J11" s="29">
        <v>0.998</v>
      </c>
      <c r="K11" s="51" t="s">
        <v>41</v>
      </c>
      <c r="L11" s="29">
        <v>0.005</v>
      </c>
      <c r="M11" s="29">
        <v>0.99</v>
      </c>
      <c r="N11" s="38">
        <v>3.0</v>
      </c>
      <c r="O11" s="29">
        <v>0.9</v>
      </c>
      <c r="P11" s="29">
        <v>1.0</v>
      </c>
      <c r="Q11" s="53">
        <v>1.0</v>
      </c>
      <c r="R11" s="4"/>
      <c r="S11" s="3"/>
      <c r="T11" s="3"/>
      <c r="U11" s="3"/>
      <c r="V11" s="3"/>
      <c r="W11" s="3"/>
      <c r="X11" s="3"/>
      <c r="Y11" s="3"/>
      <c r="Z11" s="3"/>
      <c r="AA11" s="3"/>
      <c r="AB11" s="3"/>
      <c r="AC11" s="3"/>
      <c r="AD11" s="3"/>
      <c r="AE11" s="3"/>
      <c r="AF11" s="3"/>
      <c r="AG11" s="3"/>
      <c r="AH11" s="3"/>
      <c r="AI11" s="3"/>
      <c r="AJ11" s="3"/>
      <c r="AK11" s="3"/>
      <c r="AL11" s="3"/>
      <c r="AM11" s="3"/>
      <c r="AN11" s="3"/>
      <c r="AO11" s="3"/>
      <c r="AP11" s="3"/>
      <c r="AQ11" s="3"/>
    </row>
    <row r="12">
      <c r="A12" s="54">
        <v>1.0</v>
      </c>
      <c r="B12" s="55" t="s">
        <v>42</v>
      </c>
      <c r="C12" s="97">
        <f>'1. Tổng doanh thu'!S12</f>
        <v>27374</v>
      </c>
      <c r="D12" s="98">
        <f>'2. Doanh thu cho thuê HT'!H56</f>
        <v>154407642</v>
      </c>
      <c r="E12" s="99">
        <f>'2. SD Điện tiết kiệm'!Y13</f>
        <v>0.9417</v>
      </c>
      <c r="F12" s="87">
        <v>1.0</v>
      </c>
      <c r="G12" s="99">
        <f>'5. TL phiếu thực hiện XLSC đúng'!E12</f>
        <v>0.9345238095</v>
      </c>
      <c r="H12" s="99">
        <f>'6. Đảm bảo năng lực hạ tầng mạn'!T12</f>
        <v>0.00726744186</v>
      </c>
      <c r="I12" s="100">
        <f>'7.  TLTB BRCĐMyTVTSLC'!N12</f>
        <v>0.00121</v>
      </c>
      <c r="J12" s="84">
        <v>1.0</v>
      </c>
      <c r="K12" s="99">
        <f>'8. SLTB hủy'!I13</f>
        <v>0.9983</v>
      </c>
      <c r="L12" s="84">
        <v>0.0</v>
      </c>
      <c r="M12" s="99">
        <f>'11. CLHT VT-CNTT (QoSQoE)'!AE27%</f>
        <v>0.98467065</v>
      </c>
      <c r="N12" s="67">
        <f>'12. TG MLL TBDĐ'!T13</f>
        <v>2.35</v>
      </c>
      <c r="O12" s="99">
        <f>'13. TL CC và cấu hình DVTĐ BRCĐ'!E12</f>
        <v>0.8695</v>
      </c>
      <c r="P12" s="84">
        <v>1.0</v>
      </c>
      <c r="Q12" s="84">
        <v>1.0</v>
      </c>
      <c r="R12" s="102"/>
      <c r="S12" s="3"/>
      <c r="T12" s="3"/>
      <c r="U12" s="3"/>
      <c r="V12" s="3"/>
      <c r="W12" s="3"/>
      <c r="X12" s="3"/>
      <c r="Y12" s="3"/>
      <c r="Z12" s="3"/>
      <c r="AA12" s="3"/>
      <c r="AB12" s="3"/>
      <c r="AC12" s="3"/>
      <c r="AD12" s="3"/>
      <c r="AE12" s="3"/>
      <c r="AF12" s="3"/>
      <c r="AG12" s="3"/>
      <c r="AH12" s="3"/>
      <c r="AI12" s="3"/>
      <c r="AJ12" s="3"/>
      <c r="AK12" s="3"/>
      <c r="AL12" s="3"/>
      <c r="AM12" s="3"/>
      <c r="AN12" s="3"/>
      <c r="AO12" s="3"/>
      <c r="AP12" s="3"/>
      <c r="AQ12" s="3"/>
    </row>
    <row r="13">
      <c r="A13" s="54">
        <v>2.0</v>
      </c>
      <c r="B13" s="55" t="s">
        <v>43</v>
      </c>
      <c r="C13" s="97">
        <f>'1. Tổng doanh thu'!S13</f>
        <v>16473</v>
      </c>
      <c r="D13" s="98">
        <f>'2. Doanh thu cho thuê HT'!H57</f>
        <v>206349522</v>
      </c>
      <c r="E13" s="99">
        <f>'2. SD Điện tiết kiệm'!Y19</f>
        <v>0.9671</v>
      </c>
      <c r="F13" s="87">
        <v>1.0</v>
      </c>
      <c r="G13" s="99">
        <f>'5. TL phiếu thực hiện XLSC đúng'!E13</f>
        <v>0.8803088803</v>
      </c>
      <c r="H13" s="99">
        <f>'6. Đảm bảo năng lực hạ tầng mạn'!T13</f>
        <v>0.04651162791</v>
      </c>
      <c r="I13" s="100">
        <f>'7.  TLTB BRCĐMyTVTSLC'!N13</f>
        <v>0.00219</v>
      </c>
      <c r="J13" s="84">
        <v>1.0</v>
      </c>
      <c r="K13" s="99">
        <f>'8. SLTB hủy'!I14</f>
        <v>1.4121</v>
      </c>
      <c r="L13" s="99">
        <v>0.0861</v>
      </c>
      <c r="M13" s="99">
        <f>'11. CLHT VT-CNTT (QoSQoE)'!AE28%</f>
        <v>0.98337388</v>
      </c>
      <c r="N13" s="67">
        <f>'12. TG MLL TBDĐ'!T14</f>
        <v>6.67</v>
      </c>
      <c r="O13" s="99">
        <f>'13. TL CC và cấu hình DVTĐ BRCĐ'!E13</f>
        <v>0.9269</v>
      </c>
      <c r="P13" s="84">
        <v>1.0</v>
      </c>
      <c r="Q13" s="84">
        <v>1.0</v>
      </c>
      <c r="R13" s="102"/>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c r="A14" s="54">
        <v>3.0</v>
      </c>
      <c r="B14" s="55" t="s">
        <v>44</v>
      </c>
      <c r="C14" s="97">
        <f>'1. Tổng doanh thu'!S14</f>
        <v>14269</v>
      </c>
      <c r="D14" s="98">
        <f>'2. Doanh thu cho thuê HT'!H58</f>
        <v>141882864</v>
      </c>
      <c r="E14" s="99">
        <f>'2. SD Điện tiết kiệm'!Y14</f>
        <v>0.9027</v>
      </c>
      <c r="F14" s="87">
        <v>1.0</v>
      </c>
      <c r="G14" s="99">
        <f>'5. TL phiếu thực hiện XLSC đúng'!E14</f>
        <v>0.9358552632</v>
      </c>
      <c r="H14" s="99">
        <f>'6. Đảm bảo năng lực hạ tầng mạn'!T14</f>
        <v>0.01315789474</v>
      </c>
      <c r="I14" s="100">
        <f>'7.  TLTB BRCĐMyTVTSLC'!N14</f>
        <v>0.00321</v>
      </c>
      <c r="J14" s="84">
        <v>1.0</v>
      </c>
      <c r="K14" s="99">
        <f>'8. SLTB hủy'!I15</f>
        <v>0.4363</v>
      </c>
      <c r="L14" s="99">
        <v>0.0046</v>
      </c>
      <c r="M14" s="99">
        <f>'11. CLHT VT-CNTT (QoSQoE)'!AE29%</f>
        <v>0.98329077</v>
      </c>
      <c r="N14" s="67">
        <f>'12. TG MLL TBDĐ'!T15</f>
        <v>7.62</v>
      </c>
      <c r="O14" s="99">
        <f>'13. TL CC và cấu hình DVTĐ BRCĐ'!E14</f>
        <v>0.8571</v>
      </c>
      <c r="P14" s="84">
        <v>1.0</v>
      </c>
      <c r="Q14" s="84">
        <v>1.0</v>
      </c>
      <c r="R14" s="102"/>
      <c r="S14" s="3"/>
      <c r="T14" s="3"/>
      <c r="U14" s="3"/>
      <c r="V14" s="3"/>
      <c r="W14" s="3"/>
      <c r="X14" s="3"/>
      <c r="Y14" s="3"/>
      <c r="Z14" s="3"/>
      <c r="AA14" s="3"/>
      <c r="AB14" s="3"/>
      <c r="AC14" s="3"/>
      <c r="AD14" s="3"/>
      <c r="AE14" s="3"/>
      <c r="AF14" s="3"/>
      <c r="AG14" s="3"/>
      <c r="AH14" s="3"/>
      <c r="AI14" s="3"/>
      <c r="AJ14" s="3"/>
      <c r="AK14" s="3"/>
      <c r="AL14" s="3"/>
      <c r="AM14" s="3"/>
      <c r="AN14" s="3"/>
      <c r="AO14" s="3"/>
      <c r="AP14" s="3"/>
      <c r="AQ14" s="3"/>
    </row>
    <row r="15">
      <c r="A15" s="54">
        <v>4.0</v>
      </c>
      <c r="B15" s="55" t="s">
        <v>45</v>
      </c>
      <c r="C15" s="97">
        <f>'1. Tổng doanh thu'!S15</f>
        <v>12715</v>
      </c>
      <c r="D15" s="98">
        <f>'2. Doanh thu cho thuê HT'!H59</f>
        <v>568606111</v>
      </c>
      <c r="E15" s="99">
        <f>'2. SD Điện tiết kiệm'!Y15</f>
        <v>0.6893</v>
      </c>
      <c r="F15" s="87">
        <v>1.0</v>
      </c>
      <c r="G15" s="99">
        <f>'5. TL phiếu thực hiện XLSC đúng'!E15</f>
        <v>0.9713114754</v>
      </c>
      <c r="H15" s="99">
        <f>'6. Đảm bảo năng lực hạ tầng mạn'!T15</f>
        <v>0.08994708995</v>
      </c>
      <c r="I15" s="100">
        <f>'7.  TLTB BRCĐMyTVTSLC'!N15</f>
        <v>0.00203</v>
      </c>
      <c r="J15" s="84">
        <v>1.0</v>
      </c>
      <c r="K15" s="99">
        <f>'8. SLTB hủy'!I16</f>
        <v>1.0667</v>
      </c>
      <c r="L15" s="99">
        <v>0.0215</v>
      </c>
      <c r="M15" s="99">
        <f>'11. CLHT VT-CNTT (QoSQoE)'!AE30%</f>
        <v>0.97927729</v>
      </c>
      <c r="N15" s="67">
        <f>'12. TG MLL TBDĐ'!T16</f>
        <v>3.35</v>
      </c>
      <c r="O15" s="99">
        <f>'13. TL CC và cấu hình DVTĐ BRCĐ'!E15</f>
        <v>0.8443</v>
      </c>
      <c r="P15" s="84">
        <v>1.0</v>
      </c>
      <c r="Q15" s="84">
        <v>1.0</v>
      </c>
      <c r="R15" s="102"/>
      <c r="S15" s="3"/>
      <c r="T15" s="3"/>
      <c r="U15" s="3"/>
      <c r="V15" s="3"/>
      <c r="W15" s="3"/>
      <c r="X15" s="3"/>
      <c r="Y15" s="3"/>
      <c r="Z15" s="3"/>
      <c r="AA15" s="3"/>
      <c r="AB15" s="3"/>
      <c r="AC15" s="3"/>
      <c r="AD15" s="3"/>
      <c r="AE15" s="3"/>
      <c r="AF15" s="3"/>
      <c r="AG15" s="3"/>
      <c r="AH15" s="3"/>
      <c r="AI15" s="3"/>
      <c r="AJ15" s="3"/>
      <c r="AK15" s="3"/>
      <c r="AL15" s="3"/>
      <c r="AM15" s="3"/>
      <c r="AN15" s="3"/>
      <c r="AO15" s="3"/>
      <c r="AP15" s="3"/>
      <c r="AQ15" s="3"/>
    </row>
    <row r="16">
      <c r="A16" s="54">
        <v>5.0</v>
      </c>
      <c r="B16" s="55" t="s">
        <v>47</v>
      </c>
      <c r="C16" s="97">
        <f>'1. Tổng doanh thu'!S16</f>
        <v>27304</v>
      </c>
      <c r="D16" s="98">
        <f>'2. Doanh thu cho thuê HT'!H60</f>
        <v>124514844</v>
      </c>
      <c r="E16" s="99">
        <f>'2. SD Điện tiết kiệm'!Y16</f>
        <v>0.9342</v>
      </c>
      <c r="F16" s="87">
        <v>1.0</v>
      </c>
      <c r="G16" s="99">
        <f>'5. TL phiếu thực hiện XLSC đúng'!E16</f>
        <v>0.9083820663</v>
      </c>
      <c r="H16" s="99">
        <f>'6. Đảm bảo năng lực hạ tầng mạn'!T16</f>
        <v>0.0509383378</v>
      </c>
      <c r="I16" s="100">
        <f>'7.  TLTB BRCĐMyTVTSLC'!N16</f>
        <v>0.00115</v>
      </c>
      <c r="J16" s="84">
        <v>1.0</v>
      </c>
      <c r="K16" s="99">
        <f>'8. SLTB hủy'!I17</f>
        <v>0.9121</v>
      </c>
      <c r="L16" s="99">
        <v>0.0351</v>
      </c>
      <c r="M16" s="99">
        <f>'11. CLHT VT-CNTT (QoSQoE)'!AE31%</f>
        <v>0.98459019</v>
      </c>
      <c r="N16" s="67">
        <f>'12. TG MLL TBDĐ'!T17</f>
        <v>2.63</v>
      </c>
      <c r="O16" s="99">
        <f>'13. TL CC và cấu hình DVTĐ BRCĐ'!E16</f>
        <v>0.8741</v>
      </c>
      <c r="P16" s="84">
        <v>1.0</v>
      </c>
      <c r="Q16" s="84">
        <v>1.0</v>
      </c>
      <c r="R16" s="102"/>
      <c r="S16" s="3"/>
      <c r="T16" s="3"/>
      <c r="U16" s="3"/>
      <c r="V16" s="3"/>
      <c r="W16" s="3"/>
      <c r="X16" s="3"/>
      <c r="Y16" s="3"/>
      <c r="Z16" s="3"/>
      <c r="AA16" s="3"/>
      <c r="AB16" s="3"/>
      <c r="AC16" s="3"/>
      <c r="AD16" s="3"/>
      <c r="AE16" s="3"/>
      <c r="AF16" s="3"/>
      <c r="AG16" s="3"/>
      <c r="AH16" s="3"/>
      <c r="AI16" s="3"/>
      <c r="AJ16" s="3"/>
      <c r="AK16" s="3"/>
      <c r="AL16" s="3"/>
      <c r="AM16" s="3"/>
      <c r="AN16" s="3"/>
      <c r="AO16" s="3"/>
      <c r="AP16" s="3"/>
      <c r="AQ16" s="3"/>
    </row>
    <row r="17">
      <c r="A17" s="54">
        <v>6.0</v>
      </c>
      <c r="B17" s="55" t="s">
        <v>48</v>
      </c>
      <c r="C17" s="97">
        <f>'1. Tổng doanh thu'!S17</f>
        <v>11047</v>
      </c>
      <c r="D17" s="98">
        <f>'2. Doanh thu cho thuê HT'!H61</f>
        <v>202578170</v>
      </c>
      <c r="E17" s="99">
        <f>'2. SD Điện tiết kiệm'!Y17</f>
        <v>0.8528</v>
      </c>
      <c r="F17" s="87">
        <v>1.0</v>
      </c>
      <c r="G17" s="99">
        <f>'5. TL phiếu thực hiện XLSC đúng'!E17</f>
        <v>0.8959537572</v>
      </c>
      <c r="H17" s="99">
        <f>'6. Đảm bảo năng lực hạ tầng mạn'!T17</f>
        <v>0.01457725948</v>
      </c>
      <c r="I17" s="100">
        <f>'7.  TLTB BRCĐMyTVTSLC'!N17</f>
        <v>0.00219</v>
      </c>
      <c r="J17" s="84">
        <v>1.0</v>
      </c>
      <c r="K17" s="99">
        <f>'8. SLTB hủy'!I18</f>
        <v>0.7177</v>
      </c>
      <c r="L17" s="99">
        <v>0.0186</v>
      </c>
      <c r="M17" s="99">
        <f>'11. CLHT VT-CNTT (QoSQoE)'!AE32%</f>
        <v>0.98553763</v>
      </c>
      <c r="N17" s="67">
        <f>'12. TG MLL TBDĐ'!T18</f>
        <v>4.41</v>
      </c>
      <c r="O17" s="99">
        <f>'13. TL CC và cấu hình DVTĐ BRCĐ'!E17</f>
        <v>0.8814</v>
      </c>
      <c r="P17" s="84">
        <v>1.0</v>
      </c>
      <c r="Q17" s="84">
        <v>1.0</v>
      </c>
      <c r="R17" s="102"/>
      <c r="S17" s="3"/>
      <c r="T17" s="3"/>
      <c r="U17" s="3"/>
      <c r="V17" s="3"/>
      <c r="W17" s="3"/>
      <c r="X17" s="3"/>
      <c r="Y17" s="3"/>
      <c r="Z17" s="3"/>
      <c r="AA17" s="3"/>
      <c r="AB17" s="3"/>
      <c r="AC17" s="3"/>
      <c r="AD17" s="3"/>
      <c r="AE17" s="3"/>
      <c r="AF17" s="3"/>
      <c r="AG17" s="3"/>
      <c r="AH17" s="3"/>
      <c r="AI17" s="3"/>
      <c r="AJ17" s="3"/>
      <c r="AK17" s="3"/>
      <c r="AL17" s="3"/>
      <c r="AM17" s="3"/>
      <c r="AN17" s="3"/>
      <c r="AO17" s="3"/>
      <c r="AP17" s="3"/>
      <c r="AQ17" s="3"/>
    </row>
    <row r="18">
      <c r="A18" s="54">
        <v>7.0</v>
      </c>
      <c r="B18" s="55" t="s">
        <v>49</v>
      </c>
      <c r="C18" s="97">
        <f>'1. Tổng doanh thu'!S18</f>
        <v>17148</v>
      </c>
      <c r="D18" s="98">
        <f>'2. Doanh thu cho thuê HT'!H62</f>
        <v>141191165</v>
      </c>
      <c r="E18" s="163">
        <f>'2. SD Điện tiết kiệm'!Y18</f>
        <v>0.5871</v>
      </c>
      <c r="F18" s="87">
        <v>1.0</v>
      </c>
      <c r="G18" s="99">
        <f>'5. TL phiếu thực hiện XLSC đúng'!E18</f>
        <v>0.9761570827</v>
      </c>
      <c r="H18" s="99">
        <f>'6. Đảm bảo năng lực hạ tầng mạn'!T18</f>
        <v>0.006182380216</v>
      </c>
      <c r="I18" s="100">
        <f>'7.  TLTB BRCĐMyTVTSLC'!N18</f>
        <v>0.00187</v>
      </c>
      <c r="J18" s="84">
        <v>1.0</v>
      </c>
      <c r="K18" s="99">
        <f>'8. SLTB hủy'!I19</f>
        <v>0.8348</v>
      </c>
      <c r="L18" s="99">
        <v>0.0029</v>
      </c>
      <c r="M18" s="99">
        <f>'11. CLHT VT-CNTT (QoSQoE)'!AE33%</f>
        <v>0.98667417</v>
      </c>
      <c r="N18" s="67">
        <f>'12. TG MLL TBDĐ'!T19</f>
        <v>4.74</v>
      </c>
      <c r="O18" s="99">
        <f>'13. TL CC và cấu hình DVTĐ BRCĐ'!E18</f>
        <v>0.7956</v>
      </c>
      <c r="P18" s="84">
        <v>1.0</v>
      </c>
      <c r="Q18" s="84">
        <v>1.0</v>
      </c>
      <c r="R18" s="169"/>
      <c r="S18" s="3"/>
      <c r="T18" s="3"/>
      <c r="U18" s="3"/>
      <c r="V18" s="3"/>
      <c r="W18" s="3"/>
      <c r="X18" s="3"/>
      <c r="Y18" s="3"/>
      <c r="Z18" s="3"/>
      <c r="AA18" s="3"/>
      <c r="AB18" s="3"/>
      <c r="AC18" s="3"/>
      <c r="AD18" s="3"/>
      <c r="AE18" s="3"/>
      <c r="AF18" s="3"/>
      <c r="AG18" s="3"/>
      <c r="AH18" s="3"/>
      <c r="AI18" s="3"/>
      <c r="AJ18" s="3"/>
      <c r="AK18" s="3"/>
      <c r="AL18" s="3"/>
      <c r="AM18" s="3"/>
      <c r="AN18" s="3"/>
      <c r="AO18" s="3"/>
      <c r="AP18" s="3"/>
      <c r="AQ18" s="3"/>
    </row>
    <row r="19">
      <c r="A19" s="115"/>
      <c r="B19" s="175" t="s">
        <v>50</v>
      </c>
      <c r="C19" s="176">
        <f>'1. Tổng doanh thu'!S19</f>
        <v>126330</v>
      </c>
      <c r="D19" s="179">
        <f>'2. Doanh thu cho thuê HT'!H63</f>
        <v>1539530318</v>
      </c>
      <c r="E19" s="182">
        <f>'2. SD Điện tiết kiệm'!Y20</f>
        <v>0.8205</v>
      </c>
      <c r="F19" s="183">
        <v>1.0</v>
      </c>
      <c r="G19" s="185">
        <f>'5. TL phiếu thực hiện XLSC đúng'!E19</f>
        <v>0.9293492023</v>
      </c>
      <c r="H19" s="185">
        <f>'6. Đảm bảo năng lực hạ tầng mạn'!T19</f>
        <v>0.02519058668</v>
      </c>
      <c r="I19" s="188">
        <f>'7.  TLTB BRCĐMyTVTSLC'!N19</f>
        <v>0.00185</v>
      </c>
      <c r="J19" s="189">
        <v>1.0</v>
      </c>
      <c r="K19" s="182">
        <f>'8. SLTB hủy'!I12</f>
        <v>0.9333</v>
      </c>
      <c r="L19" s="190">
        <v>0.0224</v>
      </c>
      <c r="M19" s="185">
        <f>'11. CLHT VT-CNTT (QoSQoE)'!AE34%</f>
        <v>0.98677939</v>
      </c>
      <c r="N19" s="191">
        <f>'12. TG MLL TBDĐ'!T12</f>
        <v>4.64</v>
      </c>
      <c r="O19" s="185">
        <f>'13. TL CC và cấu hình DVTĐ BRCĐ'!E19</f>
        <v>0.8501</v>
      </c>
      <c r="P19" s="192">
        <v>1.0</v>
      </c>
      <c r="Q19" s="53">
        <v>1.0</v>
      </c>
      <c r="R19" s="194"/>
      <c r="S19" s="195"/>
      <c r="T19" s="195"/>
      <c r="U19" s="195"/>
      <c r="V19" s="195"/>
      <c r="W19" s="195"/>
      <c r="X19" s="195"/>
      <c r="Y19" s="195"/>
      <c r="Z19" s="195"/>
      <c r="AA19" s="195"/>
      <c r="AB19" s="195"/>
      <c r="AC19" s="195"/>
      <c r="AD19" s="195"/>
      <c r="AE19" s="195"/>
      <c r="AF19" s="195"/>
      <c r="AG19" s="195"/>
      <c r="AH19" s="195"/>
      <c r="AI19" s="195"/>
      <c r="AJ19" s="195"/>
      <c r="AK19" s="195"/>
      <c r="AL19" s="195"/>
      <c r="AM19" s="195"/>
      <c r="AN19" s="195"/>
      <c r="AO19" s="195"/>
      <c r="AP19" s="195"/>
      <c r="AQ19" s="195"/>
    </row>
    <row r="20">
      <c r="B20" s="198" t="s">
        <v>78</v>
      </c>
      <c r="C20" s="200">
        <v>128944.55</v>
      </c>
      <c r="D20" s="200">
        <v>1403.0</v>
      </c>
      <c r="E20" s="201"/>
      <c r="F20" s="201"/>
      <c r="G20" s="201"/>
      <c r="H20" s="201"/>
      <c r="I20" s="201"/>
      <c r="J20" s="201"/>
      <c r="K20" s="201"/>
      <c r="L20" s="201"/>
      <c r="M20" s="201"/>
      <c r="N20" s="201"/>
      <c r="O20" s="201"/>
      <c r="P20" s="201"/>
      <c r="Q20" s="201"/>
      <c r="R20" s="204"/>
      <c r="S20" s="3"/>
      <c r="T20" s="3"/>
      <c r="U20" s="3"/>
      <c r="V20" s="3"/>
      <c r="W20" s="3"/>
      <c r="X20" s="3"/>
      <c r="Y20" s="3"/>
      <c r="Z20" s="3"/>
      <c r="AA20" s="3"/>
      <c r="AB20" s="3"/>
      <c r="AC20" s="3"/>
      <c r="AD20" s="3"/>
      <c r="AE20" s="3"/>
      <c r="AF20" s="3"/>
      <c r="AG20" s="3"/>
      <c r="AH20" s="3"/>
      <c r="AI20" s="3"/>
      <c r="AJ20" s="3"/>
      <c r="AK20" s="3"/>
      <c r="AL20" s="3"/>
      <c r="AM20" s="3"/>
      <c r="AN20" s="3"/>
      <c r="AO20" s="3"/>
      <c r="AP20" s="3"/>
      <c r="AQ20" s="3"/>
    </row>
    <row r="21">
      <c r="A21" s="205">
        <v>8.0</v>
      </c>
      <c r="B21" s="198" t="s">
        <v>80</v>
      </c>
      <c r="C21" s="201"/>
      <c r="D21" s="201"/>
      <c r="E21" s="201"/>
      <c r="F21" s="201"/>
      <c r="G21" s="201"/>
      <c r="H21" s="201"/>
      <c r="I21" s="201"/>
      <c r="J21" s="201"/>
      <c r="K21" s="201"/>
      <c r="L21" s="201"/>
      <c r="M21" s="201"/>
      <c r="N21" s="201"/>
      <c r="O21" s="201"/>
      <c r="P21" s="201"/>
      <c r="Q21" s="201"/>
      <c r="R21" s="204"/>
      <c r="S21" s="3"/>
      <c r="T21" s="3"/>
      <c r="U21" s="3"/>
      <c r="V21" s="3"/>
      <c r="W21" s="3"/>
      <c r="X21" s="3"/>
      <c r="Y21" s="3"/>
      <c r="Z21" s="3"/>
      <c r="AA21" s="3"/>
      <c r="AB21" s="3"/>
      <c r="AC21" s="3"/>
      <c r="AD21" s="3"/>
      <c r="AE21" s="3"/>
      <c r="AF21" s="3"/>
      <c r="AG21" s="3"/>
      <c r="AH21" s="3"/>
      <c r="AI21" s="3"/>
      <c r="AJ21" s="3"/>
      <c r="AK21" s="3"/>
      <c r="AL21" s="3"/>
      <c r="AM21" s="3"/>
      <c r="AN21" s="3"/>
      <c r="AO21" s="3"/>
      <c r="AP21" s="3"/>
      <c r="AQ21" s="3"/>
    </row>
    <row r="22">
      <c r="A22" s="205">
        <v>9.0</v>
      </c>
      <c r="B22" s="198" t="s">
        <v>81</v>
      </c>
      <c r="C22" s="201"/>
      <c r="D22" s="201"/>
      <c r="E22" s="201"/>
      <c r="F22" s="201"/>
      <c r="G22" s="201"/>
      <c r="H22" s="201"/>
      <c r="I22" s="201"/>
      <c r="J22" s="201"/>
      <c r="K22" s="201"/>
      <c r="L22" s="201"/>
      <c r="M22" s="201"/>
      <c r="N22" s="201"/>
      <c r="O22" s="201"/>
      <c r="P22" s="201"/>
      <c r="Q22" s="201"/>
      <c r="R22" s="204"/>
      <c r="S22" s="3"/>
      <c r="T22" s="3"/>
      <c r="U22" s="3"/>
      <c r="V22" s="3"/>
      <c r="W22" s="3"/>
      <c r="X22" s="3"/>
      <c r="Y22" s="3"/>
      <c r="Z22" s="3"/>
      <c r="AA22" s="3"/>
      <c r="AB22" s="3"/>
      <c r="AC22" s="3"/>
      <c r="AD22" s="3"/>
      <c r="AE22" s="3"/>
      <c r="AF22" s="3"/>
      <c r="AG22" s="3"/>
      <c r="AH22" s="3"/>
      <c r="AI22" s="3"/>
      <c r="AJ22" s="3"/>
      <c r="AK22" s="3"/>
      <c r="AL22" s="3"/>
      <c r="AM22" s="3"/>
      <c r="AN22" s="3"/>
      <c r="AO22" s="3"/>
      <c r="AP22" s="3"/>
      <c r="AQ22" s="3"/>
    </row>
    <row r="23">
      <c r="B23" s="1"/>
      <c r="C23" s="2"/>
      <c r="D23" s="2"/>
      <c r="E23" s="2"/>
      <c r="F23" s="2"/>
      <c r="G23" s="2"/>
      <c r="H23" s="2"/>
      <c r="I23" s="2"/>
      <c r="J23" s="2"/>
      <c r="K23" s="2"/>
      <c r="L23" s="2"/>
      <c r="M23" s="2"/>
      <c r="N23" s="2"/>
      <c r="O23" s="2"/>
      <c r="P23" s="2"/>
      <c r="Q23" s="2"/>
      <c r="R23" s="3"/>
      <c r="S23" s="3"/>
      <c r="T23" s="3"/>
      <c r="U23" s="3"/>
      <c r="V23" s="3"/>
      <c r="W23" s="3"/>
      <c r="X23" s="3"/>
      <c r="Y23" s="3"/>
      <c r="Z23" s="3"/>
      <c r="AA23" s="3"/>
      <c r="AB23" s="3"/>
      <c r="AC23" s="3"/>
      <c r="AD23" s="3"/>
      <c r="AE23" s="3"/>
      <c r="AF23" s="3"/>
      <c r="AG23" s="3"/>
      <c r="AH23" s="3"/>
      <c r="AI23" s="3"/>
      <c r="AJ23" s="3"/>
      <c r="AK23" s="3"/>
      <c r="AL23" s="3"/>
      <c r="AM23" s="3"/>
      <c r="AN23" s="3"/>
      <c r="AO23" s="3"/>
      <c r="AP23" s="3"/>
      <c r="AQ23" s="3"/>
    </row>
    <row r="24">
      <c r="B24" s="1"/>
      <c r="C24" s="2"/>
      <c r="D24" s="2"/>
      <c r="E24" s="2"/>
      <c r="F24" s="2"/>
      <c r="G24" s="2"/>
      <c r="H24" s="2"/>
      <c r="I24" s="2"/>
      <c r="J24" s="2"/>
      <c r="K24" s="2"/>
      <c r="L24" s="2"/>
      <c r="M24" s="2"/>
      <c r="N24" s="2"/>
      <c r="O24" s="2"/>
      <c r="P24" s="2"/>
      <c r="Q24" s="2"/>
      <c r="R24" s="3"/>
      <c r="S24" s="3"/>
      <c r="T24" s="3"/>
      <c r="U24" s="3"/>
      <c r="V24" s="3"/>
      <c r="W24" s="3"/>
      <c r="X24" s="3"/>
      <c r="Y24" s="3"/>
      <c r="Z24" s="3"/>
      <c r="AA24" s="3"/>
      <c r="AB24" s="3"/>
      <c r="AC24" s="3"/>
      <c r="AD24" s="3"/>
      <c r="AE24" s="3"/>
      <c r="AF24" s="3"/>
      <c r="AG24" s="3"/>
      <c r="AH24" s="3"/>
      <c r="AI24" s="3"/>
      <c r="AJ24" s="3"/>
      <c r="AK24" s="3"/>
      <c r="AL24" s="3"/>
      <c r="AM24" s="3"/>
      <c r="AN24" s="3"/>
      <c r="AO24" s="3"/>
      <c r="AP24" s="3"/>
      <c r="AQ24" s="3"/>
    </row>
    <row r="26">
      <c r="A26" s="1"/>
      <c r="B26" s="4"/>
      <c r="C26" s="5" t="s">
        <v>82</v>
      </c>
      <c r="D26" s="7"/>
      <c r="E26" s="7"/>
      <c r="F26" s="7"/>
      <c r="G26" s="7"/>
      <c r="H26" s="7"/>
      <c r="I26" s="7"/>
      <c r="J26" s="7"/>
      <c r="K26" s="7"/>
      <c r="L26" s="7"/>
      <c r="M26" s="7"/>
      <c r="N26" s="7"/>
      <c r="O26" s="7"/>
      <c r="P26" s="7"/>
      <c r="Q26" s="9"/>
      <c r="R26" s="10"/>
    </row>
    <row r="27">
      <c r="A27" s="11"/>
      <c r="B27" s="12" t="s">
        <v>2</v>
      </c>
      <c r="C27" s="13" t="s">
        <v>3</v>
      </c>
      <c r="D27" s="14" t="s">
        <v>4</v>
      </c>
      <c r="E27" s="14" t="s">
        <v>5</v>
      </c>
      <c r="F27" s="14" t="s">
        <v>6</v>
      </c>
      <c r="G27" s="14" t="s">
        <v>7</v>
      </c>
      <c r="H27" s="14" t="s">
        <v>8</v>
      </c>
      <c r="I27" s="14" t="s">
        <v>9</v>
      </c>
      <c r="J27" s="14" t="s">
        <v>10</v>
      </c>
      <c r="K27" s="14" t="s">
        <v>11</v>
      </c>
      <c r="L27" s="14" t="s">
        <v>12</v>
      </c>
      <c r="M27" s="14" t="s">
        <v>13</v>
      </c>
      <c r="N27" s="14" t="s">
        <v>14</v>
      </c>
      <c r="O27" s="14" t="s">
        <v>15</v>
      </c>
      <c r="P27" s="14" t="s">
        <v>16</v>
      </c>
      <c r="Q27" s="22" t="s">
        <v>40</v>
      </c>
      <c r="R27" s="25" t="s">
        <v>18</v>
      </c>
    </row>
    <row r="28">
      <c r="A28" s="26"/>
      <c r="B28" s="27" t="s">
        <v>20</v>
      </c>
      <c r="C28" s="29">
        <v>0.1</v>
      </c>
      <c r="D28" s="31">
        <v>0.05</v>
      </c>
      <c r="E28" s="33">
        <v>0.1</v>
      </c>
      <c r="F28" s="33">
        <v>0.05</v>
      </c>
      <c r="G28" s="33">
        <v>0.1</v>
      </c>
      <c r="H28" s="33">
        <v>0.05</v>
      </c>
      <c r="I28" s="33">
        <v>0.05</v>
      </c>
      <c r="J28" s="33">
        <v>0.05</v>
      </c>
      <c r="K28" s="33">
        <v>0.05</v>
      </c>
      <c r="L28" s="33">
        <v>0.05</v>
      </c>
      <c r="M28" s="33">
        <v>0.1</v>
      </c>
      <c r="N28" s="33">
        <v>0.1</v>
      </c>
      <c r="O28" s="33">
        <v>0.05</v>
      </c>
      <c r="P28" s="33">
        <v>0.1</v>
      </c>
      <c r="Q28" s="35">
        <v>0.0</v>
      </c>
      <c r="R28" s="68">
        <f>sum(C28:P28)</f>
        <v>1</v>
      </c>
    </row>
    <row r="29">
      <c r="A29" s="71"/>
      <c r="B29" s="220" t="s">
        <v>24</v>
      </c>
      <c r="C29" s="221" t="s">
        <v>25</v>
      </c>
      <c r="D29" s="76" t="s">
        <v>25</v>
      </c>
      <c r="E29" s="77" t="s">
        <v>26</v>
      </c>
      <c r="F29" s="77" t="s">
        <v>27</v>
      </c>
      <c r="G29" s="77" t="s">
        <v>29</v>
      </c>
      <c r="H29" s="77" t="s">
        <v>31</v>
      </c>
      <c r="I29" s="77" t="s">
        <v>32</v>
      </c>
      <c r="J29" s="77" t="s">
        <v>33</v>
      </c>
      <c r="K29" s="77" t="s">
        <v>34</v>
      </c>
      <c r="L29" s="77" t="s">
        <v>35</v>
      </c>
      <c r="M29" s="77" t="s">
        <v>36</v>
      </c>
      <c r="N29" s="77" t="s">
        <v>37</v>
      </c>
      <c r="O29" s="77" t="s">
        <v>38</v>
      </c>
      <c r="P29" s="77" t="s">
        <v>39</v>
      </c>
      <c r="Q29" s="79" t="s">
        <v>46</v>
      </c>
      <c r="R29" s="80"/>
    </row>
    <row r="30">
      <c r="B30" s="27" t="s">
        <v>22</v>
      </c>
      <c r="C30" s="222" t="s">
        <v>23</v>
      </c>
      <c r="D30" s="223" t="s">
        <v>23</v>
      </c>
      <c r="E30" s="224"/>
      <c r="F30" s="225"/>
      <c r="G30" s="224"/>
      <c r="H30" s="224"/>
      <c r="I30" s="227"/>
      <c r="J30" s="224"/>
      <c r="K30" s="228"/>
      <c r="L30" s="224"/>
      <c r="M30" s="224"/>
      <c r="N30" s="225"/>
      <c r="O30" s="224"/>
      <c r="P30" s="224"/>
      <c r="Q30" s="224"/>
      <c r="R30" s="102"/>
    </row>
    <row r="31">
      <c r="A31" s="26" t="s">
        <v>28</v>
      </c>
      <c r="B31" s="27" t="s">
        <v>30</v>
      </c>
      <c r="C31" s="78">
        <v>132695.0</v>
      </c>
      <c r="D31" s="49">
        <v>1397.147082</v>
      </c>
      <c r="E31" s="29">
        <v>0.98</v>
      </c>
      <c r="F31" s="38">
        <v>1.0</v>
      </c>
      <c r="G31" s="29">
        <v>0.98</v>
      </c>
      <c r="H31" s="29">
        <v>0.02</v>
      </c>
      <c r="I31" s="93">
        <v>4.6E-4</v>
      </c>
      <c r="J31" s="29">
        <v>0.998</v>
      </c>
      <c r="K31" s="51" t="s">
        <v>41</v>
      </c>
      <c r="L31" s="29">
        <v>0.005</v>
      </c>
      <c r="M31" s="29">
        <v>0.99</v>
      </c>
      <c r="N31" s="38">
        <v>3.0</v>
      </c>
      <c r="O31" s="29">
        <v>0.9</v>
      </c>
      <c r="P31" s="29">
        <v>1.0</v>
      </c>
      <c r="Q31" s="53">
        <v>1.0</v>
      </c>
      <c r="R31" s="4"/>
    </row>
    <row r="32">
      <c r="A32" s="54">
        <v>1.0</v>
      </c>
      <c r="B32" s="81" t="s">
        <v>42</v>
      </c>
      <c r="C32" s="82">
        <f>'1. Tổng doanh thu'!T12</f>
        <v>1.028054231</v>
      </c>
      <c r="D32" s="83">
        <v>1.0</v>
      </c>
      <c r="E32" s="84">
        <f t="shared" ref="E32:Q32" si="1">E12</f>
        <v>0.9417</v>
      </c>
      <c r="F32" s="87">
        <f t="shared" si="1"/>
        <v>1</v>
      </c>
      <c r="G32" s="84">
        <f t="shared" si="1"/>
        <v>0.9345238095</v>
      </c>
      <c r="H32" s="84">
        <f t="shared" si="1"/>
        <v>0.00726744186</v>
      </c>
      <c r="I32" s="86">
        <f t="shared" si="1"/>
        <v>0.00121</v>
      </c>
      <c r="J32" s="84">
        <f t="shared" si="1"/>
        <v>1</v>
      </c>
      <c r="K32" s="84">
        <f t="shared" si="1"/>
        <v>0.9983</v>
      </c>
      <c r="L32" s="84">
        <f t="shared" si="1"/>
        <v>0</v>
      </c>
      <c r="M32" s="84">
        <f t="shared" si="1"/>
        <v>0.98467065</v>
      </c>
      <c r="N32" s="87">
        <f t="shared" si="1"/>
        <v>2.35</v>
      </c>
      <c r="O32" s="84">
        <f t="shared" si="1"/>
        <v>0.8695</v>
      </c>
      <c r="P32" s="84">
        <f t="shared" si="1"/>
        <v>1</v>
      </c>
      <c r="Q32" s="99">
        <f t="shared" si="1"/>
        <v>1</v>
      </c>
      <c r="R32" s="102"/>
    </row>
    <row r="33">
      <c r="A33" s="54">
        <v>2.0</v>
      </c>
      <c r="B33" s="88" t="s">
        <v>43</v>
      </c>
      <c r="C33" s="82">
        <f>'1. Tổng doanh thu'!T13</f>
        <v>0.9627703098</v>
      </c>
      <c r="D33" s="83">
        <v>1.0</v>
      </c>
      <c r="E33" s="99">
        <f t="shared" ref="E33:Q33" si="2">E13</f>
        <v>0.9671</v>
      </c>
      <c r="F33" s="87">
        <f t="shared" si="2"/>
        <v>1</v>
      </c>
      <c r="G33" s="84">
        <f t="shared" si="2"/>
        <v>0.8803088803</v>
      </c>
      <c r="H33" s="84">
        <f t="shared" si="2"/>
        <v>0.04651162791</v>
      </c>
      <c r="I33" s="86">
        <f t="shared" si="2"/>
        <v>0.00219</v>
      </c>
      <c r="J33" s="84">
        <f t="shared" si="2"/>
        <v>1</v>
      </c>
      <c r="K33" s="84">
        <f t="shared" si="2"/>
        <v>1.4121</v>
      </c>
      <c r="L33" s="84">
        <f t="shared" si="2"/>
        <v>0.0861</v>
      </c>
      <c r="M33" s="84">
        <f t="shared" si="2"/>
        <v>0.98337388</v>
      </c>
      <c r="N33" s="87">
        <f t="shared" si="2"/>
        <v>6.67</v>
      </c>
      <c r="O33" s="84">
        <f t="shared" si="2"/>
        <v>0.9269</v>
      </c>
      <c r="P33" s="84">
        <f t="shared" si="2"/>
        <v>1</v>
      </c>
      <c r="Q33" s="99">
        <f t="shared" si="2"/>
        <v>1</v>
      </c>
      <c r="R33" s="102"/>
    </row>
    <row r="34">
      <c r="A34" s="54">
        <v>3.0</v>
      </c>
      <c r="B34" s="88" t="s">
        <v>44</v>
      </c>
      <c r="C34" s="82">
        <f>'1. Tổng doanh thu'!T14</f>
        <v>0.8995145937</v>
      </c>
      <c r="D34" s="83">
        <v>1.0</v>
      </c>
      <c r="E34" s="99">
        <f t="shared" ref="E34:Q34" si="3">E14</f>
        <v>0.9027</v>
      </c>
      <c r="F34" s="87">
        <f t="shared" si="3"/>
        <v>1</v>
      </c>
      <c r="G34" s="84">
        <f t="shared" si="3"/>
        <v>0.9358552632</v>
      </c>
      <c r="H34" s="84">
        <f t="shared" si="3"/>
        <v>0.01315789474</v>
      </c>
      <c r="I34" s="86">
        <f t="shared" si="3"/>
        <v>0.00321</v>
      </c>
      <c r="J34" s="84">
        <f t="shared" si="3"/>
        <v>1</v>
      </c>
      <c r="K34" s="84">
        <f t="shared" si="3"/>
        <v>0.4363</v>
      </c>
      <c r="L34" s="84">
        <f t="shared" si="3"/>
        <v>0.0046</v>
      </c>
      <c r="M34" s="84">
        <f t="shared" si="3"/>
        <v>0.98329077</v>
      </c>
      <c r="N34" s="87">
        <f t="shared" si="3"/>
        <v>7.62</v>
      </c>
      <c r="O34" s="84">
        <f t="shared" si="3"/>
        <v>0.8571</v>
      </c>
      <c r="P34" s="84">
        <f t="shared" si="3"/>
        <v>1</v>
      </c>
      <c r="Q34" s="99">
        <f t="shared" si="3"/>
        <v>1</v>
      </c>
      <c r="R34" s="102"/>
    </row>
    <row r="35">
      <c r="A35" s="54">
        <v>4.0</v>
      </c>
      <c r="B35" s="88" t="s">
        <v>45</v>
      </c>
      <c r="C35" s="82">
        <f>'1. Tổng doanh thu'!T15</f>
        <v>0.9524344569</v>
      </c>
      <c r="D35" s="83">
        <v>1.0</v>
      </c>
      <c r="E35" s="99">
        <f t="shared" ref="E35:Q35" si="4">E15</f>
        <v>0.6893</v>
      </c>
      <c r="F35" s="87">
        <f t="shared" si="4"/>
        <v>1</v>
      </c>
      <c r="G35" s="84">
        <f t="shared" si="4"/>
        <v>0.9713114754</v>
      </c>
      <c r="H35" s="84">
        <f t="shared" si="4"/>
        <v>0.08994708995</v>
      </c>
      <c r="I35" s="86">
        <f t="shared" si="4"/>
        <v>0.00203</v>
      </c>
      <c r="J35" s="84">
        <f t="shared" si="4"/>
        <v>1</v>
      </c>
      <c r="K35" s="84">
        <f t="shared" si="4"/>
        <v>1.0667</v>
      </c>
      <c r="L35" s="84">
        <f t="shared" si="4"/>
        <v>0.0215</v>
      </c>
      <c r="M35" s="84">
        <f t="shared" si="4"/>
        <v>0.97927729</v>
      </c>
      <c r="N35" s="87">
        <f t="shared" si="4"/>
        <v>3.35</v>
      </c>
      <c r="O35" s="84">
        <f t="shared" si="4"/>
        <v>0.8443</v>
      </c>
      <c r="P35" s="84">
        <f t="shared" si="4"/>
        <v>1</v>
      </c>
      <c r="Q35" s="99">
        <f t="shared" si="4"/>
        <v>1</v>
      </c>
      <c r="R35" s="102"/>
    </row>
    <row r="36">
      <c r="A36" s="54">
        <v>5.0</v>
      </c>
      <c r="B36" s="88" t="s">
        <v>47</v>
      </c>
      <c r="C36" s="82">
        <f>'1. Tổng doanh thu'!T16</f>
        <v>1.06232978</v>
      </c>
      <c r="D36" s="83">
        <v>1.0</v>
      </c>
      <c r="E36" s="99">
        <f t="shared" ref="E36:Q36" si="5">E16</f>
        <v>0.9342</v>
      </c>
      <c r="F36" s="87">
        <f t="shared" si="5"/>
        <v>1</v>
      </c>
      <c r="G36" s="84">
        <f t="shared" si="5"/>
        <v>0.9083820663</v>
      </c>
      <c r="H36" s="84">
        <f t="shared" si="5"/>
        <v>0.0509383378</v>
      </c>
      <c r="I36" s="86">
        <f t="shared" si="5"/>
        <v>0.00115</v>
      </c>
      <c r="J36" s="84">
        <f t="shared" si="5"/>
        <v>1</v>
      </c>
      <c r="K36" s="84">
        <f t="shared" si="5"/>
        <v>0.9121</v>
      </c>
      <c r="L36" s="84">
        <f t="shared" si="5"/>
        <v>0.0351</v>
      </c>
      <c r="M36" s="84">
        <f t="shared" si="5"/>
        <v>0.98459019</v>
      </c>
      <c r="N36" s="87">
        <f t="shared" si="5"/>
        <v>2.63</v>
      </c>
      <c r="O36" s="84">
        <f t="shared" si="5"/>
        <v>0.8741</v>
      </c>
      <c r="P36" s="84">
        <f t="shared" si="5"/>
        <v>1</v>
      </c>
      <c r="Q36" s="99">
        <f t="shared" si="5"/>
        <v>1</v>
      </c>
      <c r="R36" s="102"/>
    </row>
    <row r="37">
      <c r="A37" s="54">
        <v>6.0</v>
      </c>
      <c r="B37" s="88" t="s">
        <v>48</v>
      </c>
      <c r="C37" s="82">
        <f>'1. Tổng doanh thu'!T17</f>
        <v>0.9605251717</v>
      </c>
      <c r="D37" s="83">
        <v>1.0</v>
      </c>
      <c r="E37" s="99">
        <f t="shared" ref="E37:Q37" si="6">E17</f>
        <v>0.8528</v>
      </c>
      <c r="F37" s="87">
        <f t="shared" si="6"/>
        <v>1</v>
      </c>
      <c r="G37" s="84">
        <f t="shared" si="6"/>
        <v>0.8959537572</v>
      </c>
      <c r="H37" s="84">
        <f t="shared" si="6"/>
        <v>0.01457725948</v>
      </c>
      <c r="I37" s="86">
        <f t="shared" si="6"/>
        <v>0.00219</v>
      </c>
      <c r="J37" s="84">
        <f t="shared" si="6"/>
        <v>1</v>
      </c>
      <c r="K37" s="84">
        <f t="shared" si="6"/>
        <v>0.7177</v>
      </c>
      <c r="L37" s="84">
        <f t="shared" si="6"/>
        <v>0.0186</v>
      </c>
      <c r="M37" s="84">
        <f t="shared" si="6"/>
        <v>0.98553763</v>
      </c>
      <c r="N37" s="87">
        <f t="shared" si="6"/>
        <v>4.41</v>
      </c>
      <c r="O37" s="84">
        <f t="shared" si="6"/>
        <v>0.8814</v>
      </c>
      <c r="P37" s="84">
        <f t="shared" si="6"/>
        <v>1</v>
      </c>
      <c r="Q37" s="99">
        <f t="shared" si="6"/>
        <v>1</v>
      </c>
      <c r="R37" s="102"/>
    </row>
    <row r="38">
      <c r="A38" s="54">
        <v>7.0</v>
      </c>
      <c r="B38" s="114" t="s">
        <v>49</v>
      </c>
      <c r="C38" s="82">
        <f>'1. Tổng doanh thu'!T18</f>
        <v>0.9383310534</v>
      </c>
      <c r="D38" s="108">
        <v>1.0</v>
      </c>
      <c r="E38" s="99">
        <f t="shared" ref="E38:Q38" si="7">E18</f>
        <v>0.5871</v>
      </c>
      <c r="F38" s="87">
        <f t="shared" si="7"/>
        <v>1</v>
      </c>
      <c r="G38" s="84">
        <f t="shared" si="7"/>
        <v>0.9761570827</v>
      </c>
      <c r="H38" s="84">
        <f t="shared" si="7"/>
        <v>0.006182380216</v>
      </c>
      <c r="I38" s="86">
        <f t="shared" si="7"/>
        <v>0.00187</v>
      </c>
      <c r="J38" s="84">
        <f t="shared" si="7"/>
        <v>1</v>
      </c>
      <c r="K38" s="84">
        <f t="shared" si="7"/>
        <v>0.8348</v>
      </c>
      <c r="L38" s="84">
        <f t="shared" si="7"/>
        <v>0.0029</v>
      </c>
      <c r="M38" s="84">
        <f t="shared" si="7"/>
        <v>0.98667417</v>
      </c>
      <c r="N38" s="87">
        <f t="shared" si="7"/>
        <v>4.74</v>
      </c>
      <c r="O38" s="84">
        <f t="shared" si="7"/>
        <v>0.7956</v>
      </c>
      <c r="P38" s="84">
        <f t="shared" si="7"/>
        <v>1</v>
      </c>
      <c r="Q38" s="99">
        <f t="shared" si="7"/>
        <v>1</v>
      </c>
      <c r="R38" s="169"/>
    </row>
    <row r="39">
      <c r="A39" s="115"/>
      <c r="B39" s="175" t="s">
        <v>50</v>
      </c>
      <c r="C39" s="248">
        <f>'1. Tổng doanh thu'!T19</f>
        <v>0.9836639985</v>
      </c>
      <c r="D39" s="249">
        <v>1.0</v>
      </c>
      <c r="E39" s="185">
        <f t="shared" ref="E39:Q39" si="8">E19</f>
        <v>0.8205</v>
      </c>
      <c r="F39" s="253">
        <f t="shared" si="8"/>
        <v>1</v>
      </c>
      <c r="G39" s="254">
        <f t="shared" si="8"/>
        <v>0.9293492023</v>
      </c>
      <c r="H39" s="254">
        <f t="shared" si="8"/>
        <v>0.02519058668</v>
      </c>
      <c r="I39" s="256">
        <f t="shared" si="8"/>
        <v>0.00185</v>
      </c>
      <c r="J39" s="254">
        <f t="shared" si="8"/>
        <v>1</v>
      </c>
      <c r="K39" s="254">
        <f t="shared" si="8"/>
        <v>0.9333</v>
      </c>
      <c r="L39" s="254">
        <f t="shared" si="8"/>
        <v>0.0224</v>
      </c>
      <c r="M39" s="254">
        <f t="shared" si="8"/>
        <v>0.98677939</v>
      </c>
      <c r="N39" s="259">
        <f t="shared" si="8"/>
        <v>4.64</v>
      </c>
      <c r="O39" s="254">
        <f t="shared" si="8"/>
        <v>0.8501</v>
      </c>
      <c r="P39" s="262">
        <f t="shared" si="8"/>
        <v>1</v>
      </c>
      <c r="Q39" s="263">
        <f t="shared" si="8"/>
        <v>1</v>
      </c>
      <c r="R39" s="265"/>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row>
    <row r="40">
      <c r="B40" s="205" t="s">
        <v>78</v>
      </c>
      <c r="C40" s="272">
        <v>0.97173</v>
      </c>
      <c r="D40" s="272">
        <v>1.00419</v>
      </c>
      <c r="E40" s="272">
        <v>0.8196</v>
      </c>
      <c r="F40" s="205">
        <v>1.46</v>
      </c>
      <c r="G40" s="272">
        <v>0.9279</v>
      </c>
      <c r="H40" s="272">
        <v>0.0115</v>
      </c>
      <c r="I40" s="273">
        <v>0.00192</v>
      </c>
      <c r="J40" s="272">
        <v>1.0</v>
      </c>
      <c r="K40" s="272">
        <v>1.0588</v>
      </c>
      <c r="L40" s="272">
        <v>0.0039</v>
      </c>
      <c r="M40" s="272">
        <v>0.9868</v>
      </c>
      <c r="N40" s="205">
        <v>4.33</v>
      </c>
      <c r="O40" s="272">
        <v>0.8813</v>
      </c>
      <c r="P40" s="272">
        <v>1.0</v>
      </c>
      <c r="Q40" s="275"/>
    </row>
    <row r="41">
      <c r="A41" s="205">
        <v>8.0</v>
      </c>
      <c r="B41" s="205" t="s">
        <v>80</v>
      </c>
    </row>
    <row r="42">
      <c r="A42" s="205">
        <v>9.0</v>
      </c>
      <c r="B42" s="205" t="s">
        <v>81</v>
      </c>
    </row>
    <row r="47">
      <c r="A47" s="1"/>
      <c r="B47" s="4"/>
      <c r="C47" s="5" t="s">
        <v>62</v>
      </c>
      <c r="D47" s="7"/>
      <c r="E47" s="7"/>
      <c r="F47" s="7"/>
      <c r="G47" s="7"/>
      <c r="H47" s="7"/>
      <c r="I47" s="7"/>
      <c r="J47" s="7"/>
      <c r="K47" s="7"/>
      <c r="L47" s="7"/>
      <c r="M47" s="7"/>
      <c r="N47" s="7"/>
      <c r="O47" s="7"/>
      <c r="P47" s="7"/>
      <c r="Q47" s="9"/>
      <c r="R47" s="10"/>
    </row>
    <row r="48">
      <c r="A48" s="11"/>
      <c r="B48" s="12" t="s">
        <v>2</v>
      </c>
      <c r="C48" s="13" t="s">
        <v>3</v>
      </c>
      <c r="D48" s="14" t="s">
        <v>4</v>
      </c>
      <c r="E48" s="14" t="s">
        <v>5</v>
      </c>
      <c r="F48" s="14" t="s">
        <v>6</v>
      </c>
      <c r="G48" s="14" t="s">
        <v>7</v>
      </c>
      <c r="H48" s="14" t="s">
        <v>8</v>
      </c>
      <c r="I48" s="14" t="s">
        <v>9</v>
      </c>
      <c r="J48" s="14" t="s">
        <v>10</v>
      </c>
      <c r="K48" s="14" t="s">
        <v>11</v>
      </c>
      <c r="L48" s="14" t="s">
        <v>12</v>
      </c>
      <c r="M48" s="14" t="s">
        <v>13</v>
      </c>
      <c r="N48" s="14" t="s">
        <v>14</v>
      </c>
      <c r="O48" s="14" t="s">
        <v>15</v>
      </c>
      <c r="P48" s="14" t="s">
        <v>16</v>
      </c>
      <c r="Q48" s="22" t="s">
        <v>40</v>
      </c>
      <c r="R48" s="25" t="s">
        <v>18</v>
      </c>
    </row>
    <row r="49">
      <c r="A49" s="26"/>
      <c r="B49" s="27" t="s">
        <v>20</v>
      </c>
      <c r="C49" s="29">
        <v>0.1</v>
      </c>
      <c r="D49" s="31">
        <v>0.05</v>
      </c>
      <c r="E49" s="34">
        <v>0.15</v>
      </c>
      <c r="F49" s="33">
        <v>0.05</v>
      </c>
      <c r="G49" s="33">
        <v>0.1</v>
      </c>
      <c r="H49" s="34">
        <v>0.0</v>
      </c>
      <c r="I49" s="34">
        <v>0.0</v>
      </c>
      <c r="J49" s="34">
        <v>0.1</v>
      </c>
      <c r="K49" s="33">
        <v>0.05</v>
      </c>
      <c r="L49" s="34">
        <v>0.1</v>
      </c>
      <c r="M49" s="33">
        <v>0.1</v>
      </c>
      <c r="N49" s="33">
        <v>0.1</v>
      </c>
      <c r="O49" s="34">
        <v>0.0</v>
      </c>
      <c r="P49" s="33">
        <v>0.1</v>
      </c>
      <c r="Q49" s="35">
        <v>0.0</v>
      </c>
      <c r="R49" s="36">
        <f>sum(C49:P49)</f>
        <v>1</v>
      </c>
    </row>
    <row r="50">
      <c r="B50" s="27" t="s">
        <v>22</v>
      </c>
      <c r="C50" s="38" t="s">
        <v>23</v>
      </c>
      <c r="D50" s="39" t="s">
        <v>23</v>
      </c>
      <c r="E50" s="40"/>
      <c r="F50" s="41"/>
      <c r="G50" s="40"/>
      <c r="H50" s="40"/>
      <c r="I50" s="42"/>
      <c r="J50" s="40"/>
      <c r="K50" s="44"/>
      <c r="L50" s="40"/>
      <c r="M50" s="40"/>
      <c r="N50" s="41"/>
      <c r="O50" s="40"/>
      <c r="P50" s="40"/>
      <c r="Q50" s="40"/>
      <c r="R50" s="4"/>
    </row>
    <row r="51">
      <c r="A51" s="26" t="s">
        <v>28</v>
      </c>
      <c r="B51" s="27" t="s">
        <v>30</v>
      </c>
      <c r="C51" s="78">
        <v>132695.0</v>
      </c>
      <c r="D51" s="49">
        <v>1397.147082</v>
      </c>
      <c r="E51" s="29">
        <v>0.98</v>
      </c>
      <c r="F51" s="38">
        <v>1.0</v>
      </c>
      <c r="G51" s="29">
        <v>0.98</v>
      </c>
      <c r="H51" s="29">
        <v>0.02</v>
      </c>
      <c r="I51" s="93">
        <v>4.6E-4</v>
      </c>
      <c r="J51" s="29">
        <v>0.998</v>
      </c>
      <c r="K51" s="35">
        <v>1.0</v>
      </c>
      <c r="L51" s="29">
        <v>0.005</v>
      </c>
      <c r="M51" s="29">
        <v>0.99</v>
      </c>
      <c r="N51" s="38">
        <v>3.0</v>
      </c>
      <c r="O51" s="29">
        <v>0.9</v>
      </c>
      <c r="P51" s="29">
        <v>1.0</v>
      </c>
      <c r="Q51" s="53">
        <v>1.0</v>
      </c>
      <c r="R51" s="4"/>
    </row>
    <row r="52">
      <c r="A52" s="54">
        <v>1.0</v>
      </c>
      <c r="B52" s="81" t="s">
        <v>42</v>
      </c>
      <c r="C52" s="103">
        <f t="shared" ref="C52:C60" si="9">IF(C32&lt;95%,
MAX(-10,((C32-95%)/0.5%)*$C$49),
IF(C32&lt;100%,
((C32-100%)/0.5%)*0.5*$C$49,
MIN(10,((C32-100%)/0.5%)*$C$49)))</f>
        <v>0.5610846134</v>
      </c>
      <c r="D52" s="104">
        <f t="shared" ref="D52:D60" si="10">IF(D32&lt;95%,
MAX(-10,((D32-95%)/0.5%)*$D$49),
IF(D32&lt;100%,
((D32-100%)/0.5%)*0.5*$D$49,
MIN(10,((D32-100%)/0.5%)*$D$49)))</f>
        <v>0</v>
      </c>
      <c r="E52" s="67">
        <f t="shared" ref="E52:E60" si="11">((98%-E32)/1%)*$E$49</f>
        <v>0.5745</v>
      </c>
      <c r="F52" s="60">
        <f t="shared" ref="F52:F60" si="12">MIN(3,MAX(-5,((F32-1)/0.01)*0.1))*$F$49</f>
        <v>0</v>
      </c>
      <c r="G52" s="58">
        <f t="shared" ref="G52:G60" si="13">((G32-98%)/0.1%*1.5)*$G$49</f>
        <v>-6.821428571</v>
      </c>
      <c r="H52" s="58">
        <f t="shared" ref="H52:H60" si="14">((2%-H32)/0.1%*1.5)*$H$49</f>
        <v>0</v>
      </c>
      <c r="I52" s="67">
        <f t="shared" ref="I52:I60" si="15">((0.046%-I32)/0.001%*0.65)*$I$49</f>
        <v>0</v>
      </c>
      <c r="J52" s="58">
        <f t="shared" ref="J52:J60" si="16">IF(J32&gt;=99.8%,
     ((J32-99.8%)/0.01%*1.5)*$J$49,
     MAX(-2,((J32-99.8%)/0.01%*1.5)*$J$49))</f>
        <v>3</v>
      </c>
      <c r="K52" s="62">
        <f t="shared" ref="K52:K60" si="17">(-(K32-100%)/3%*0.5)*$K$49</f>
        <v>0.001416666667</v>
      </c>
      <c r="L52" s="58">
        <f t="shared" ref="L52:L60" si="18">((L32-0.5%)/0.1%*6)*$L$49</f>
        <v>-3</v>
      </c>
      <c r="M52" s="58">
        <f t="shared" ref="M52:M60" si="19">((M32-99%)/0.1%*3)*$M$49</f>
        <v>-1.598805</v>
      </c>
      <c r="N52" s="58">
        <f t="shared" ref="N52:N60" si="20">((3-N32)/0.1*0.5)*$N$49</f>
        <v>0.325</v>
      </c>
      <c r="O52" s="58">
        <f t="shared" ref="O52:O60" si="21">IF(O32&gt;=90%,((O32-90%)/1%*3)*$O$49,MAX(-3,((O32-90%)/1%*3)*$O$49))</f>
        <v>0</v>
      </c>
      <c r="P52" s="58">
        <f t="shared" ref="P52:P60" si="22">IF(P32&gt;=100%,0,((P32-100%)/2%)*$P$49)</f>
        <v>0</v>
      </c>
      <c r="Q52" s="87">
        <v>0.0</v>
      </c>
      <c r="R52" s="105">
        <f t="shared" ref="R52:R59" si="23">100+sum(C52:Q52)</f>
        <v>93.04176771</v>
      </c>
    </row>
    <row r="53">
      <c r="A53" s="54">
        <v>2.0</v>
      </c>
      <c r="B53" s="88" t="s">
        <v>43</v>
      </c>
      <c r="C53" s="103">
        <f t="shared" si="9"/>
        <v>-0.3722969024</v>
      </c>
      <c r="D53" s="104">
        <f t="shared" si="10"/>
        <v>0</v>
      </c>
      <c r="E53" s="67">
        <f t="shared" si="11"/>
        <v>0.1935</v>
      </c>
      <c r="F53" s="60">
        <f t="shared" si="12"/>
        <v>0</v>
      </c>
      <c r="G53" s="58">
        <f t="shared" si="13"/>
        <v>-14.95366795</v>
      </c>
      <c r="H53" s="58">
        <f t="shared" si="14"/>
        <v>0</v>
      </c>
      <c r="I53" s="67">
        <f t="shared" si="15"/>
        <v>0</v>
      </c>
      <c r="J53" s="58">
        <f t="shared" si="16"/>
        <v>3</v>
      </c>
      <c r="K53" s="62">
        <f t="shared" si="17"/>
        <v>-0.3434166667</v>
      </c>
      <c r="L53" s="58">
        <f t="shared" si="18"/>
        <v>48.66</v>
      </c>
      <c r="M53" s="58">
        <f t="shared" si="19"/>
        <v>-1.987836</v>
      </c>
      <c r="N53" s="58">
        <f t="shared" si="20"/>
        <v>-1.835</v>
      </c>
      <c r="O53" s="58">
        <f t="shared" si="21"/>
        <v>0</v>
      </c>
      <c r="P53" s="58">
        <f t="shared" si="22"/>
        <v>0</v>
      </c>
      <c r="Q53" s="87">
        <v>0.0</v>
      </c>
      <c r="R53" s="105">
        <f t="shared" si="23"/>
        <v>132.3612825</v>
      </c>
    </row>
    <row r="54">
      <c r="A54" s="54">
        <v>3.0</v>
      </c>
      <c r="B54" s="88" t="s">
        <v>44</v>
      </c>
      <c r="C54" s="103">
        <f t="shared" si="9"/>
        <v>-1.009708126</v>
      </c>
      <c r="D54" s="104">
        <f t="shared" si="10"/>
        <v>0</v>
      </c>
      <c r="E54" s="67">
        <f t="shared" si="11"/>
        <v>1.1595</v>
      </c>
      <c r="F54" s="60">
        <f t="shared" si="12"/>
        <v>0</v>
      </c>
      <c r="G54" s="58">
        <f t="shared" si="13"/>
        <v>-6.621710526</v>
      </c>
      <c r="H54" s="58">
        <f t="shared" si="14"/>
        <v>0</v>
      </c>
      <c r="I54" s="67">
        <f t="shared" si="15"/>
        <v>0</v>
      </c>
      <c r="J54" s="58">
        <f t="shared" si="16"/>
        <v>3</v>
      </c>
      <c r="K54" s="62">
        <f t="shared" si="17"/>
        <v>0.46975</v>
      </c>
      <c r="L54" s="58">
        <f t="shared" si="18"/>
        <v>-0.24</v>
      </c>
      <c r="M54" s="58">
        <f t="shared" si="19"/>
        <v>-2.012769</v>
      </c>
      <c r="N54" s="58">
        <f t="shared" si="20"/>
        <v>-2.31</v>
      </c>
      <c r="O54" s="58">
        <f t="shared" si="21"/>
        <v>0</v>
      </c>
      <c r="P54" s="58">
        <f t="shared" si="22"/>
        <v>0</v>
      </c>
      <c r="Q54" s="87">
        <v>0.0</v>
      </c>
      <c r="R54" s="105">
        <f t="shared" si="23"/>
        <v>92.43506235</v>
      </c>
    </row>
    <row r="55">
      <c r="A55" s="54">
        <v>4.0</v>
      </c>
      <c r="B55" s="88" t="s">
        <v>45</v>
      </c>
      <c r="C55" s="103">
        <f t="shared" si="9"/>
        <v>-0.4756554307</v>
      </c>
      <c r="D55" s="104">
        <f t="shared" si="10"/>
        <v>0</v>
      </c>
      <c r="E55" s="67">
        <f t="shared" si="11"/>
        <v>4.3605</v>
      </c>
      <c r="F55" s="60">
        <f t="shared" si="12"/>
        <v>0</v>
      </c>
      <c r="G55" s="58">
        <f t="shared" si="13"/>
        <v>-1.303278689</v>
      </c>
      <c r="H55" s="58">
        <f t="shared" si="14"/>
        <v>0</v>
      </c>
      <c r="I55" s="67">
        <f t="shared" si="15"/>
        <v>0</v>
      </c>
      <c r="J55" s="58">
        <f t="shared" si="16"/>
        <v>3</v>
      </c>
      <c r="K55" s="62">
        <f t="shared" si="17"/>
        <v>-0.05558333333</v>
      </c>
      <c r="L55" s="58">
        <f t="shared" si="18"/>
        <v>9.9</v>
      </c>
      <c r="M55" s="58">
        <f t="shared" si="19"/>
        <v>-3.216813</v>
      </c>
      <c r="N55" s="58">
        <f t="shared" si="20"/>
        <v>-0.175</v>
      </c>
      <c r="O55" s="58">
        <f t="shared" si="21"/>
        <v>0</v>
      </c>
      <c r="P55" s="58">
        <f t="shared" si="22"/>
        <v>0</v>
      </c>
      <c r="Q55" s="87">
        <v>0.0</v>
      </c>
      <c r="R55" s="105">
        <f t="shared" si="23"/>
        <v>112.0341695</v>
      </c>
    </row>
    <row r="56">
      <c r="A56" s="54">
        <v>5.0</v>
      </c>
      <c r="B56" s="88" t="s">
        <v>47</v>
      </c>
      <c r="C56" s="103">
        <f t="shared" si="9"/>
        <v>1.246595596</v>
      </c>
      <c r="D56" s="104">
        <f t="shared" si="10"/>
        <v>0</v>
      </c>
      <c r="E56" s="67">
        <f t="shared" si="11"/>
        <v>0.687</v>
      </c>
      <c r="F56" s="60">
        <f t="shared" si="12"/>
        <v>0</v>
      </c>
      <c r="G56" s="58">
        <f t="shared" si="13"/>
        <v>-10.74269006</v>
      </c>
      <c r="H56" s="58">
        <f t="shared" si="14"/>
        <v>0</v>
      </c>
      <c r="I56" s="67">
        <f t="shared" si="15"/>
        <v>0</v>
      </c>
      <c r="J56" s="58">
        <f t="shared" si="16"/>
        <v>3</v>
      </c>
      <c r="K56" s="62">
        <f t="shared" si="17"/>
        <v>0.07325</v>
      </c>
      <c r="L56" s="58">
        <f t="shared" si="18"/>
        <v>18.06</v>
      </c>
      <c r="M56" s="58">
        <f t="shared" si="19"/>
        <v>-1.622943</v>
      </c>
      <c r="N56" s="58">
        <f t="shared" si="20"/>
        <v>0.185</v>
      </c>
      <c r="O56" s="58">
        <f t="shared" si="21"/>
        <v>0</v>
      </c>
      <c r="P56" s="58">
        <f t="shared" si="22"/>
        <v>0</v>
      </c>
      <c r="Q56" s="87">
        <v>0.0</v>
      </c>
      <c r="R56" s="105">
        <f t="shared" si="23"/>
        <v>110.8862125</v>
      </c>
    </row>
    <row r="57">
      <c r="A57" s="54">
        <v>6.0</v>
      </c>
      <c r="B57" s="88" t="s">
        <v>48</v>
      </c>
      <c r="C57" s="103">
        <f t="shared" si="9"/>
        <v>-0.3947482828</v>
      </c>
      <c r="D57" s="104">
        <f t="shared" si="10"/>
        <v>0</v>
      </c>
      <c r="E57" s="67">
        <f t="shared" si="11"/>
        <v>1.908</v>
      </c>
      <c r="F57" s="60">
        <f t="shared" si="12"/>
        <v>0</v>
      </c>
      <c r="G57" s="58">
        <f t="shared" si="13"/>
        <v>-12.60693642</v>
      </c>
      <c r="H57" s="58">
        <f t="shared" si="14"/>
        <v>0</v>
      </c>
      <c r="I57" s="67">
        <f t="shared" si="15"/>
        <v>0</v>
      </c>
      <c r="J57" s="58">
        <f t="shared" si="16"/>
        <v>3</v>
      </c>
      <c r="K57" s="62">
        <f t="shared" si="17"/>
        <v>0.23525</v>
      </c>
      <c r="L57" s="58">
        <f t="shared" si="18"/>
        <v>8.16</v>
      </c>
      <c r="M57" s="58">
        <f t="shared" si="19"/>
        <v>-1.338711</v>
      </c>
      <c r="N57" s="58">
        <f t="shared" si="20"/>
        <v>-0.705</v>
      </c>
      <c r="O57" s="58">
        <f t="shared" si="21"/>
        <v>0</v>
      </c>
      <c r="P57" s="58">
        <f t="shared" si="22"/>
        <v>0</v>
      </c>
      <c r="Q57" s="87">
        <v>0.0</v>
      </c>
      <c r="R57" s="105">
        <f t="shared" si="23"/>
        <v>98.2578543</v>
      </c>
    </row>
    <row r="58">
      <c r="A58" s="54">
        <v>7.0</v>
      </c>
      <c r="B58" s="114" t="s">
        <v>49</v>
      </c>
      <c r="C58" s="103">
        <f t="shared" si="9"/>
        <v>-0.233378933</v>
      </c>
      <c r="D58" s="104">
        <f t="shared" si="10"/>
        <v>0</v>
      </c>
      <c r="E58" s="67">
        <f t="shared" si="11"/>
        <v>5.8935</v>
      </c>
      <c r="F58" s="60">
        <f t="shared" si="12"/>
        <v>0</v>
      </c>
      <c r="G58" s="58">
        <f t="shared" si="13"/>
        <v>-0.5764375877</v>
      </c>
      <c r="H58" s="58">
        <f t="shared" si="14"/>
        <v>0</v>
      </c>
      <c r="I58" s="67">
        <f t="shared" si="15"/>
        <v>0</v>
      </c>
      <c r="J58" s="58">
        <f t="shared" si="16"/>
        <v>3</v>
      </c>
      <c r="K58" s="62">
        <f t="shared" si="17"/>
        <v>0.1376666667</v>
      </c>
      <c r="L58" s="58">
        <f t="shared" si="18"/>
        <v>-1.26</v>
      </c>
      <c r="M58" s="58">
        <f t="shared" si="19"/>
        <v>-0.997749</v>
      </c>
      <c r="N58" s="58">
        <f t="shared" si="20"/>
        <v>-0.87</v>
      </c>
      <c r="O58" s="58">
        <f t="shared" si="21"/>
        <v>0</v>
      </c>
      <c r="P58" s="58">
        <f t="shared" si="22"/>
        <v>0</v>
      </c>
      <c r="Q58" s="87">
        <v>0.0</v>
      </c>
      <c r="R58" s="105">
        <f t="shared" si="23"/>
        <v>105.0936011</v>
      </c>
    </row>
    <row r="59">
      <c r="A59" s="115"/>
      <c r="B59" s="116" t="s">
        <v>50</v>
      </c>
      <c r="C59" s="117">
        <f t="shared" si="9"/>
        <v>-0.163360015</v>
      </c>
      <c r="D59" s="118">
        <f t="shared" si="10"/>
        <v>0</v>
      </c>
      <c r="E59" s="118">
        <f t="shared" si="11"/>
        <v>2.3925</v>
      </c>
      <c r="F59" s="119">
        <f t="shared" si="12"/>
        <v>0</v>
      </c>
      <c r="G59" s="117">
        <f t="shared" si="13"/>
        <v>-7.597619651</v>
      </c>
      <c r="H59" s="117">
        <f t="shared" si="14"/>
        <v>0</v>
      </c>
      <c r="I59" s="118">
        <f t="shared" si="15"/>
        <v>0</v>
      </c>
      <c r="J59" s="117">
        <f t="shared" si="16"/>
        <v>3</v>
      </c>
      <c r="K59" s="120">
        <f t="shared" si="17"/>
        <v>0.05558333333</v>
      </c>
      <c r="L59" s="117">
        <f t="shared" si="18"/>
        <v>10.44</v>
      </c>
      <c r="M59" s="117">
        <f t="shared" si="19"/>
        <v>-0.966183</v>
      </c>
      <c r="N59" s="117">
        <f t="shared" si="20"/>
        <v>-0.82</v>
      </c>
      <c r="O59" s="117">
        <f t="shared" si="21"/>
        <v>0</v>
      </c>
      <c r="P59" s="117">
        <f t="shared" si="22"/>
        <v>0</v>
      </c>
      <c r="Q59" s="121">
        <v>0.0</v>
      </c>
      <c r="R59" s="122">
        <f t="shared" si="23"/>
        <v>106.3409207</v>
      </c>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row>
    <row r="60">
      <c r="A60" s="129"/>
      <c r="B60" s="295" t="s">
        <v>147</v>
      </c>
      <c r="C60" s="296">
        <f t="shared" si="9"/>
        <v>-0.2827</v>
      </c>
      <c r="D60" s="120">
        <f t="shared" si="10"/>
        <v>0.0419</v>
      </c>
      <c r="E60" s="120">
        <f t="shared" si="11"/>
        <v>2.406</v>
      </c>
      <c r="F60" s="297">
        <f t="shared" si="12"/>
        <v>0.15</v>
      </c>
      <c r="G60" s="296">
        <f t="shared" si="13"/>
        <v>-7.815</v>
      </c>
      <c r="H60" s="296">
        <f t="shared" si="14"/>
        <v>0</v>
      </c>
      <c r="I60" s="296">
        <f t="shared" si="15"/>
        <v>0</v>
      </c>
      <c r="J60" s="296">
        <f t="shared" si="16"/>
        <v>3</v>
      </c>
      <c r="K60" s="120">
        <f t="shared" si="17"/>
        <v>-0.049</v>
      </c>
      <c r="L60" s="120">
        <f t="shared" si="18"/>
        <v>-0.66</v>
      </c>
      <c r="M60" s="296">
        <f t="shared" si="19"/>
        <v>-0.96</v>
      </c>
      <c r="N60" s="120">
        <f t="shared" si="20"/>
        <v>-0.665</v>
      </c>
      <c r="O60" s="296">
        <f t="shared" si="21"/>
        <v>0</v>
      </c>
      <c r="P60" s="120">
        <f t="shared" si="22"/>
        <v>0</v>
      </c>
      <c r="Q60" s="298"/>
      <c r="R60" s="299"/>
      <c r="S60" s="129"/>
      <c r="T60" s="129"/>
      <c r="U60" s="129"/>
      <c r="V60" s="129"/>
      <c r="W60" s="129"/>
      <c r="X60" s="129"/>
      <c r="Y60" s="129"/>
      <c r="Z60" s="129"/>
      <c r="AA60" s="129"/>
      <c r="AB60" s="129"/>
      <c r="AC60" s="129"/>
      <c r="AD60" s="129"/>
      <c r="AE60" s="129"/>
      <c r="AF60" s="129"/>
      <c r="AG60" s="129"/>
      <c r="AH60" s="129"/>
      <c r="AI60" s="129"/>
      <c r="AJ60" s="129"/>
      <c r="AK60" s="129"/>
      <c r="AL60" s="129"/>
      <c r="AM60" s="129"/>
      <c r="AN60" s="129"/>
      <c r="AO60" s="129"/>
      <c r="AP60" s="129"/>
      <c r="AQ60" s="129"/>
    </row>
    <row r="61">
      <c r="B61" s="123" t="s">
        <v>63</v>
      </c>
      <c r="C61" s="124">
        <v>-0.141</v>
      </c>
      <c r="D61" s="125">
        <v>0.042</v>
      </c>
      <c r="E61" s="125">
        <v>1.604</v>
      </c>
      <c r="F61" s="125">
        <v>-0.002</v>
      </c>
      <c r="G61" s="125">
        <v>-5.0</v>
      </c>
      <c r="H61" s="125">
        <v>0.425</v>
      </c>
      <c r="I61" s="125">
        <v>-2.5</v>
      </c>
      <c r="J61" s="125">
        <v>1.0</v>
      </c>
      <c r="K61" s="125">
        <v>-0.049</v>
      </c>
      <c r="L61" s="126">
        <v>0.33</v>
      </c>
      <c r="M61" s="125">
        <v>-0.64</v>
      </c>
      <c r="N61" s="125">
        <v>-0.667</v>
      </c>
      <c r="O61" s="125">
        <v>-0.187</v>
      </c>
      <c r="P61" s="125">
        <v>0.0</v>
      </c>
      <c r="Q61" s="125">
        <v>0.0</v>
      </c>
      <c r="R61" s="128">
        <f>100+sum(C61:Q61)</f>
        <v>94.215</v>
      </c>
    </row>
    <row r="62">
      <c r="A62" s="129"/>
      <c r="B62" s="130" t="s">
        <v>64</v>
      </c>
      <c r="C62" s="131">
        <f t="shared" ref="C62:R62" si="24">abs(C59-C61)</f>
        <v>0.02236001495</v>
      </c>
      <c r="D62" s="131">
        <f t="shared" si="24"/>
        <v>0.042</v>
      </c>
      <c r="E62" s="131">
        <f t="shared" si="24"/>
        <v>0.7885</v>
      </c>
      <c r="F62" s="131">
        <f t="shared" si="24"/>
        <v>0.002</v>
      </c>
      <c r="G62" s="131">
        <f t="shared" si="24"/>
        <v>2.597619651</v>
      </c>
      <c r="H62" s="131">
        <f t="shared" si="24"/>
        <v>0.425</v>
      </c>
      <c r="I62" s="131">
        <f t="shared" si="24"/>
        <v>2.5</v>
      </c>
      <c r="J62" s="131">
        <f t="shared" si="24"/>
        <v>2</v>
      </c>
      <c r="K62" s="131">
        <f t="shared" si="24"/>
        <v>0.1045833333</v>
      </c>
      <c r="L62" s="131">
        <f t="shared" si="24"/>
        <v>10.11</v>
      </c>
      <c r="M62" s="131">
        <f t="shared" si="24"/>
        <v>0.326183</v>
      </c>
      <c r="N62" s="131">
        <f t="shared" si="24"/>
        <v>0.153</v>
      </c>
      <c r="O62" s="131">
        <f t="shared" si="24"/>
        <v>0.187</v>
      </c>
      <c r="P62" s="131">
        <f t="shared" si="24"/>
        <v>0</v>
      </c>
      <c r="Q62" s="131">
        <f t="shared" si="24"/>
        <v>0</v>
      </c>
      <c r="R62" s="131">
        <f t="shared" si="24"/>
        <v>12.12592067</v>
      </c>
      <c r="S62" s="129"/>
      <c r="T62" s="129"/>
      <c r="U62" s="129"/>
      <c r="V62" s="129"/>
      <c r="W62" s="129"/>
      <c r="X62" s="129"/>
      <c r="Y62" s="129"/>
      <c r="Z62" s="129"/>
      <c r="AA62" s="129"/>
      <c r="AB62" s="129"/>
      <c r="AC62" s="129"/>
      <c r="AD62" s="129"/>
      <c r="AE62" s="129"/>
      <c r="AF62" s="129"/>
      <c r="AG62" s="129"/>
      <c r="AH62" s="129"/>
      <c r="AI62" s="129"/>
      <c r="AJ62" s="129"/>
      <c r="AK62" s="129"/>
      <c r="AL62" s="129"/>
      <c r="AM62" s="129"/>
      <c r="AN62" s="129"/>
      <c r="AO62" s="129"/>
      <c r="AP62" s="129"/>
      <c r="AQ62" s="129"/>
    </row>
    <row r="63">
      <c r="A63" s="308"/>
      <c r="B63" s="309" t="s">
        <v>170</v>
      </c>
      <c r="C63" s="308">
        <f>IF(C40&lt;95%,
MAX(-5,((C40-95%)/1%)*$C$49),
IF(C40&lt;100%,
((C40-100%)/1%)*0.5*$C$49,
MIN(5,((C40-100%)/0.5%)*$C$49)))</f>
        <v>-0.14135</v>
      </c>
      <c r="D63" s="308">
        <f>IF(D40&lt;95%,
MAX(-5,((D40-95%)/1%)*$D$49),
IF(D40&lt;100%,
((D40-100%)/1%)*0.5*$D$49,
MIN(5,((D40-100%)/0.5%)*$D$49)))</f>
        <v>0.0419</v>
      </c>
      <c r="E63" s="308">
        <f>IF(E40="","",((-(E40-98%)/1%)*1)*$E$49)</f>
        <v>2.406</v>
      </c>
      <c r="F63" s="328">
        <f>IF(F40="","",MIN(MAX(-(F40-1)*10*$F$49,-5),3))</f>
        <v>-0.23</v>
      </c>
      <c r="G63" s="308">
        <f>IF(G40="","",MAX((((G40-98%)/0.1%)*1)*$G$49,-5))</f>
        <v>-5</v>
      </c>
      <c r="H63" s="308">
        <f>IF(H40="","",MAX((((2%-H40)/0.1%)*1)*$H$49,-2.5))</f>
        <v>0</v>
      </c>
      <c r="I63" s="308">
        <f>IF(I40="","",MAX((((0.046%-I40)/0.001%)*0.65)*$I$49,-2.5))</f>
        <v>0</v>
      </c>
      <c r="J63" s="308">
        <f>IF(J40="","",MAX((((J40-99.8%)/0.01%)*1)*$J$49,-2.5))</f>
        <v>2</v>
      </c>
      <c r="K63" s="308">
        <f>IF(K40="","",((-(K40-100%)/3%)*0.5)*$K$49)</f>
        <v>-0.049</v>
      </c>
      <c r="L63" s="308">
        <f>IF(L40="","",MAX((((0.5%-L40)/0.1%)*6)*$L$49,-2.5))</f>
        <v>0.66</v>
      </c>
      <c r="M63" s="308">
        <f>IF(M40="","",MAX((((M40-99%)/0.1%)*2)*$M$49,-5))</f>
        <v>-0.64</v>
      </c>
      <c r="N63" s="308">
        <f>IF(N40="","",MAX((((3-N40)/0.1)*0.5)*$N$49,-2.5))</f>
        <v>-0.665</v>
      </c>
      <c r="O63" s="308">
        <f>IF(O40="","",MAX((((O40-90%)/1%)*2)*$O$49,-2.5))</f>
        <v>0</v>
      </c>
      <c r="P63" s="308">
        <f>IF(P40&gt;=100%,0,((P40-100%)/2%)*$P$49)</f>
        <v>0</v>
      </c>
      <c r="Q63" s="308"/>
      <c r="R63" s="308">
        <f>100+sum(C63:Q63)</f>
        <v>98.38255</v>
      </c>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row>
    <row r="64">
      <c r="A64" s="205">
        <v>8.0</v>
      </c>
      <c r="B64" s="205" t="s">
        <v>80</v>
      </c>
    </row>
    <row r="65">
      <c r="A65" s="205">
        <v>9.0</v>
      </c>
      <c r="B65" s="205" t="s">
        <v>81</v>
      </c>
    </row>
    <row r="68">
      <c r="C68" s="335" t="s">
        <v>172</v>
      </c>
      <c r="D68" s="7"/>
      <c r="E68" s="9"/>
      <c r="F68" s="336" t="s">
        <v>99</v>
      </c>
      <c r="G68" s="7"/>
      <c r="H68" s="7"/>
      <c r="I68" s="7"/>
      <c r="J68" s="7"/>
      <c r="K68" s="9"/>
      <c r="L68" s="336" t="s">
        <v>173</v>
      </c>
      <c r="M68" s="7"/>
      <c r="N68" s="9"/>
    </row>
    <row r="69">
      <c r="C69" s="341" t="s">
        <v>174</v>
      </c>
      <c r="D69" s="343" t="s">
        <v>175</v>
      </c>
      <c r="E69" s="343" t="s">
        <v>176</v>
      </c>
      <c r="F69" s="346" t="s">
        <v>2</v>
      </c>
      <c r="G69" s="346" t="s">
        <v>101</v>
      </c>
      <c r="H69" s="346" t="s">
        <v>20</v>
      </c>
      <c r="I69" s="346" t="s">
        <v>30</v>
      </c>
      <c r="J69" s="346" t="s">
        <v>102</v>
      </c>
      <c r="K69" s="346" t="s">
        <v>103</v>
      </c>
      <c r="L69" s="346" t="s">
        <v>173</v>
      </c>
      <c r="M69" s="350" t="s">
        <v>177</v>
      </c>
      <c r="N69" s="350" t="s">
        <v>178</v>
      </c>
    </row>
    <row r="70">
      <c r="C70" s="352" t="s">
        <v>179</v>
      </c>
      <c r="D70" s="353" t="s">
        <v>180</v>
      </c>
      <c r="E70" s="355">
        <v>0.3</v>
      </c>
      <c r="F70" s="357"/>
      <c r="G70" s="358"/>
      <c r="H70" s="359"/>
      <c r="I70" s="359"/>
      <c r="J70" s="357"/>
      <c r="K70" s="357"/>
      <c r="L70" s="360"/>
      <c r="M70" s="361"/>
      <c r="N70" s="361"/>
    </row>
    <row r="71">
      <c r="C71" s="362">
        <v>1.0</v>
      </c>
      <c r="D71" s="362" t="s">
        <v>183</v>
      </c>
      <c r="E71" s="363">
        <v>0.1</v>
      </c>
      <c r="F71" s="364" t="s">
        <v>184</v>
      </c>
      <c r="G71" s="365" t="s">
        <v>185</v>
      </c>
      <c r="H71" s="366">
        <v>0.1</v>
      </c>
      <c r="I71" s="362">
        <v>132.695</v>
      </c>
      <c r="J71" s="367" t="s">
        <v>148</v>
      </c>
      <c r="K71" s="368" t="s">
        <v>186</v>
      </c>
      <c r="L71" s="365" t="s">
        <v>187</v>
      </c>
      <c r="M71" s="369" t="s">
        <v>188</v>
      </c>
      <c r="N71" s="369" t="s">
        <v>189</v>
      </c>
    </row>
    <row r="72">
      <c r="C72" s="370">
        <v>2.0</v>
      </c>
      <c r="D72" s="371" t="s">
        <v>190</v>
      </c>
      <c r="E72" s="372">
        <v>0.05</v>
      </c>
      <c r="F72" s="373" t="s">
        <v>107</v>
      </c>
      <c r="G72" s="365" t="s">
        <v>185</v>
      </c>
      <c r="H72" s="366">
        <v>0.05</v>
      </c>
      <c r="I72" s="374">
        <v>1.397</v>
      </c>
      <c r="J72" s="375" t="s">
        <v>191</v>
      </c>
      <c r="K72" s="376" t="s">
        <v>186</v>
      </c>
      <c r="L72" s="377" t="s">
        <v>192</v>
      </c>
      <c r="M72" s="378" t="s">
        <v>193</v>
      </c>
      <c r="N72" s="378" t="s">
        <v>194</v>
      </c>
    </row>
    <row r="73">
      <c r="C73" s="379">
        <v>3.0</v>
      </c>
      <c r="D73" s="379" t="s">
        <v>195</v>
      </c>
      <c r="E73" s="380">
        <v>0.15</v>
      </c>
      <c r="F73" s="364" t="s">
        <v>196</v>
      </c>
      <c r="G73" s="381"/>
      <c r="H73" s="360"/>
      <c r="I73" s="382"/>
      <c r="J73" s="383"/>
      <c r="K73" s="384"/>
      <c r="L73" s="381"/>
      <c r="M73" s="361"/>
      <c r="N73" s="361"/>
    </row>
    <row r="74">
      <c r="C74" s="385"/>
      <c r="D74" s="385"/>
      <c r="E74" s="385"/>
      <c r="F74" s="387" t="s">
        <v>198</v>
      </c>
      <c r="G74" s="365" t="s">
        <v>166</v>
      </c>
      <c r="H74" s="366">
        <v>0.1</v>
      </c>
      <c r="I74" s="363">
        <v>0.98</v>
      </c>
      <c r="J74" s="368" t="s">
        <v>199</v>
      </c>
      <c r="K74" s="368" t="s">
        <v>200</v>
      </c>
      <c r="L74" s="365" t="s">
        <v>187</v>
      </c>
      <c r="M74" s="369" t="s">
        <v>188</v>
      </c>
      <c r="N74" s="369" t="s">
        <v>201</v>
      </c>
    </row>
    <row r="75">
      <c r="C75" s="388"/>
      <c r="D75" s="388"/>
      <c r="E75" s="388"/>
      <c r="F75" s="389" t="s">
        <v>202</v>
      </c>
      <c r="G75" s="365" t="s">
        <v>166</v>
      </c>
      <c r="H75" s="366">
        <v>0.05</v>
      </c>
      <c r="I75" s="362">
        <v>1.0</v>
      </c>
      <c r="J75" s="368" t="s">
        <v>203</v>
      </c>
      <c r="K75" s="383" t="str">
        <f>+/-0,1 điểm/1% vượt/không đạt tỷ lệ hoàn thành KH. Thưởng tối đa 3 điểm, trừ tối đa 5 điểm.</f>
        <v>#ERROR!</v>
      </c>
      <c r="L75" s="365" t="s">
        <v>187</v>
      </c>
      <c r="M75" s="369" t="s">
        <v>188</v>
      </c>
      <c r="N75" s="369" t="s">
        <v>201</v>
      </c>
    </row>
    <row r="76">
      <c r="C76" s="352" t="s">
        <v>204</v>
      </c>
      <c r="D76" s="353" t="s">
        <v>205</v>
      </c>
      <c r="E76" s="355">
        <v>0.3</v>
      </c>
      <c r="F76" s="360"/>
      <c r="G76" s="360"/>
      <c r="H76" s="359"/>
      <c r="I76" s="359"/>
      <c r="J76" s="393"/>
      <c r="K76" s="393"/>
      <c r="L76" s="360"/>
      <c r="M76" s="361"/>
      <c r="N76" s="361"/>
    </row>
    <row r="77">
      <c r="C77" s="394">
        <v>4.0</v>
      </c>
      <c r="D77" s="379" t="s">
        <v>207</v>
      </c>
      <c r="E77" s="380">
        <v>0.25</v>
      </c>
      <c r="F77" s="395" t="s">
        <v>208</v>
      </c>
      <c r="G77" s="381"/>
      <c r="H77" s="360"/>
      <c r="I77" s="382"/>
      <c r="J77" s="383"/>
      <c r="K77" s="383"/>
      <c r="L77" s="381"/>
      <c r="M77" s="361"/>
      <c r="N77" s="361"/>
    </row>
    <row r="78">
      <c r="C78" s="385"/>
      <c r="D78" s="385"/>
      <c r="E78" s="385"/>
      <c r="F78" s="376" t="s">
        <v>213</v>
      </c>
      <c r="G78" s="365" t="s">
        <v>166</v>
      </c>
      <c r="H78" s="366">
        <v>0.1</v>
      </c>
      <c r="I78" s="363">
        <v>0.98</v>
      </c>
      <c r="J78" s="368" t="s">
        <v>214</v>
      </c>
      <c r="K78" s="383" t="str">
        <f>+/-1.5 điểm/0.1% vượt/không đạt so với KH</f>
        <v>#ERROR!</v>
      </c>
      <c r="L78" s="365" t="s">
        <v>215</v>
      </c>
      <c r="M78" s="369" t="s">
        <v>216</v>
      </c>
      <c r="N78" s="369" t="s">
        <v>217</v>
      </c>
    </row>
    <row r="79">
      <c r="C79" s="385"/>
      <c r="D79" s="385"/>
      <c r="E79" s="385"/>
      <c r="F79" s="376" t="s">
        <v>118</v>
      </c>
      <c r="G79" s="377" t="s">
        <v>166</v>
      </c>
      <c r="H79" s="366">
        <v>0.05</v>
      </c>
      <c r="I79" s="396">
        <v>0.02</v>
      </c>
      <c r="J79" s="376" t="s">
        <v>218</v>
      </c>
      <c r="K79" s="398" t="str">
        <f>+/-1.5 điểm/0.1% giảm/tăng so với KH</f>
        <v>#ERROR!</v>
      </c>
      <c r="L79" s="365" t="s">
        <v>215</v>
      </c>
      <c r="M79" s="369" t="s">
        <v>216</v>
      </c>
      <c r="N79" s="369" t="s">
        <v>219</v>
      </c>
    </row>
    <row r="80">
      <c r="C80" s="385"/>
      <c r="D80" s="385"/>
      <c r="E80" s="385"/>
      <c r="F80" s="376" t="s">
        <v>220</v>
      </c>
      <c r="G80" s="377" t="s">
        <v>166</v>
      </c>
      <c r="H80" s="366">
        <v>0.05</v>
      </c>
      <c r="I80" s="396">
        <v>0.46</v>
      </c>
      <c r="J80" s="376" t="s">
        <v>221</v>
      </c>
      <c r="K80" s="398" t="str">
        <f>+/-0.65 điểm/0.001% giảm/tăng so với KH</f>
        <v>#ERROR!</v>
      </c>
      <c r="L80" s="365" t="s">
        <v>215</v>
      </c>
      <c r="M80" s="369" t="s">
        <v>216</v>
      </c>
      <c r="N80" s="369" t="s">
        <v>222</v>
      </c>
    </row>
    <row r="81">
      <c r="C81" s="388"/>
      <c r="D81" s="388"/>
      <c r="E81" s="388"/>
      <c r="F81" s="376" t="s">
        <v>223</v>
      </c>
      <c r="G81" s="377" t="s">
        <v>166</v>
      </c>
      <c r="H81" s="366">
        <v>0.05</v>
      </c>
      <c r="I81" s="374" t="s">
        <v>224</v>
      </c>
      <c r="J81" s="376" t="s">
        <v>225</v>
      </c>
      <c r="K81" s="401" t="str">
        <f>+/- 1.5 điểm/0.01% tăng so với kế hoạch
 Điểm trừ tối đa 2 điểm(đã nhân với trọng số KPI)</f>
        <v>#ERROR!</v>
      </c>
      <c r="L81" s="365" t="s">
        <v>215</v>
      </c>
      <c r="M81" s="369" t="s">
        <v>216</v>
      </c>
      <c r="N81" s="369" t="s">
        <v>226</v>
      </c>
    </row>
    <row r="82">
      <c r="C82" s="403">
        <v>5.0</v>
      </c>
      <c r="D82" s="404" t="s">
        <v>227</v>
      </c>
      <c r="E82" s="405">
        <v>0.05</v>
      </c>
      <c r="F82" s="395" t="s">
        <v>228</v>
      </c>
      <c r="G82" s="381"/>
      <c r="H82" s="360"/>
      <c r="I82" s="382"/>
      <c r="J82" s="383"/>
      <c r="K82" s="383"/>
      <c r="L82" s="381"/>
      <c r="M82" s="361"/>
      <c r="N82" s="361"/>
    </row>
    <row r="83">
      <c r="C83" s="385"/>
      <c r="D83" s="385"/>
      <c r="E83" s="385"/>
      <c r="F83" s="395" t="s">
        <v>229</v>
      </c>
      <c r="G83" s="381"/>
      <c r="H83" s="360"/>
      <c r="I83" s="382"/>
      <c r="J83" s="383"/>
      <c r="K83" s="383"/>
      <c r="L83" s="381"/>
      <c r="M83" s="361"/>
      <c r="N83" s="361"/>
    </row>
    <row r="84">
      <c r="C84" s="385"/>
      <c r="D84" s="385"/>
      <c r="E84" s="385"/>
      <c r="F84" s="376" t="s">
        <v>230</v>
      </c>
      <c r="G84" s="365" t="s">
        <v>167</v>
      </c>
      <c r="H84" s="366">
        <v>0.05</v>
      </c>
      <c r="I84" s="362">
        <v>2.28</v>
      </c>
      <c r="J84" s="368" t="s">
        <v>231</v>
      </c>
      <c r="K84" s="383" t="str">
        <f>+/-0.5 điểm/3% vượt/không đạt KH</f>
        <v>#ERROR!</v>
      </c>
      <c r="L84" s="365" t="s">
        <v>192</v>
      </c>
      <c r="M84" s="369" t="s">
        <v>232</v>
      </c>
      <c r="N84" s="369" t="s">
        <v>233</v>
      </c>
    </row>
    <row r="85">
      <c r="C85" s="352" t="s">
        <v>234</v>
      </c>
      <c r="D85" s="409" t="s">
        <v>235</v>
      </c>
      <c r="E85" s="410">
        <v>0.4</v>
      </c>
      <c r="F85" s="360"/>
      <c r="G85" s="360"/>
      <c r="H85" s="359"/>
      <c r="I85" s="359"/>
      <c r="J85" s="393"/>
      <c r="K85" s="393"/>
      <c r="L85" s="360"/>
      <c r="M85" s="361"/>
      <c r="N85" s="361"/>
    </row>
    <row r="86">
      <c r="C86" s="394">
        <v>6.0</v>
      </c>
      <c r="D86" s="379" t="s">
        <v>236</v>
      </c>
      <c r="E86" s="380">
        <v>0.3</v>
      </c>
      <c r="F86" s="368" t="s">
        <v>130</v>
      </c>
      <c r="G86" s="365" t="s">
        <v>166</v>
      </c>
      <c r="H86" s="366">
        <v>0.05</v>
      </c>
      <c r="I86" s="362" t="s">
        <v>237</v>
      </c>
      <c r="J86" s="368" t="s">
        <v>156</v>
      </c>
      <c r="K86" s="376" t="s">
        <v>238</v>
      </c>
      <c r="L86" s="365" t="s">
        <v>215</v>
      </c>
      <c r="M86" s="369" t="s">
        <v>216</v>
      </c>
      <c r="N86" s="369" t="s">
        <v>219</v>
      </c>
    </row>
    <row r="87">
      <c r="C87" s="385"/>
      <c r="D87" s="385"/>
      <c r="E87" s="385"/>
      <c r="F87" s="368" t="s">
        <v>133</v>
      </c>
      <c r="G87" s="365" t="s">
        <v>166</v>
      </c>
      <c r="H87" s="366">
        <v>0.1</v>
      </c>
      <c r="I87" s="396">
        <v>0.99</v>
      </c>
      <c r="J87" s="383"/>
      <c r="K87" s="398" t="str">
        <f>+/-3 điểm/0.1% vượt/không đạt so với KH</f>
        <v>#ERROR!</v>
      </c>
      <c r="L87" s="365" t="s">
        <v>215</v>
      </c>
      <c r="M87" s="369" t="s">
        <v>216</v>
      </c>
      <c r="N87" s="369" t="s">
        <v>219</v>
      </c>
    </row>
    <row r="88">
      <c r="C88" s="385"/>
      <c r="D88" s="385"/>
      <c r="E88" s="385"/>
      <c r="F88" s="368" t="s">
        <v>135</v>
      </c>
      <c r="G88" s="365" t="s">
        <v>168</v>
      </c>
      <c r="H88" s="366">
        <v>0.1</v>
      </c>
      <c r="I88" s="362">
        <v>3.0</v>
      </c>
      <c r="J88" s="368" t="s">
        <v>159</v>
      </c>
      <c r="K88" s="398" t="str">
        <f>+/- 0,5 điểm/0,1 phút giảm/tăng so KH</f>
        <v>#ERROR!</v>
      </c>
      <c r="L88" s="365" t="s">
        <v>215</v>
      </c>
      <c r="M88" s="369" t="s">
        <v>216</v>
      </c>
      <c r="N88" s="369" t="s">
        <v>217</v>
      </c>
    </row>
    <row r="89">
      <c r="C89" s="388"/>
      <c r="D89" s="388"/>
      <c r="E89" s="388"/>
      <c r="F89" s="368" t="s">
        <v>239</v>
      </c>
      <c r="G89" s="365" t="s">
        <v>166</v>
      </c>
      <c r="H89" s="366">
        <v>0.05</v>
      </c>
      <c r="I89" s="363">
        <v>0.9</v>
      </c>
      <c r="J89" s="368" t="s">
        <v>240</v>
      </c>
      <c r="K89" s="414" t="s">
        <v>241</v>
      </c>
      <c r="L89" s="365" t="s">
        <v>215</v>
      </c>
      <c r="M89" s="369" t="s">
        <v>216</v>
      </c>
      <c r="N89" s="369" t="s">
        <v>222</v>
      </c>
    </row>
    <row r="90">
      <c r="C90" s="415">
        <v>7.0</v>
      </c>
      <c r="D90" s="362" t="s">
        <v>242</v>
      </c>
      <c r="E90" s="363">
        <v>0.1</v>
      </c>
      <c r="F90" s="368" t="s">
        <v>243</v>
      </c>
      <c r="G90" s="365" t="s">
        <v>166</v>
      </c>
      <c r="H90" s="366">
        <v>0.1</v>
      </c>
      <c r="I90" s="363">
        <v>1.0</v>
      </c>
      <c r="J90" s="368" t="s">
        <v>244</v>
      </c>
      <c r="K90" s="376" t="s">
        <v>245</v>
      </c>
      <c r="L90" s="365" t="s">
        <v>246</v>
      </c>
      <c r="M90" s="369" t="s">
        <v>247</v>
      </c>
      <c r="N90" s="369" t="s">
        <v>248</v>
      </c>
    </row>
    <row r="91">
      <c r="C91" s="415">
        <v>8.0</v>
      </c>
      <c r="D91" s="362" t="s">
        <v>249</v>
      </c>
      <c r="E91" s="362" t="s">
        <v>250</v>
      </c>
      <c r="F91" s="368" t="s">
        <v>251</v>
      </c>
      <c r="G91" s="384"/>
      <c r="H91" s="366">
        <v>0.0</v>
      </c>
      <c r="I91" s="382"/>
      <c r="J91" s="368" t="s">
        <v>46</v>
      </c>
      <c r="K91" s="376" t="s">
        <v>252</v>
      </c>
      <c r="L91" s="365" t="s">
        <v>246</v>
      </c>
      <c r="M91" s="369" t="s">
        <v>247</v>
      </c>
      <c r="N91" s="369" t="s">
        <v>248</v>
      </c>
    </row>
    <row r="92">
      <c r="C92" s="417"/>
      <c r="D92" s="395" t="s">
        <v>253</v>
      </c>
      <c r="E92" s="363">
        <v>1.0</v>
      </c>
      <c r="F92" s="418"/>
      <c r="G92" s="419"/>
      <c r="H92" s="410">
        <v>1.0</v>
      </c>
      <c r="I92" s="382"/>
      <c r="J92" s="418"/>
      <c r="K92" s="418"/>
      <c r="L92" s="381"/>
      <c r="M92" s="361"/>
      <c r="N92" s="361"/>
    </row>
    <row r="93">
      <c r="C93" s="417"/>
      <c r="D93" s="395" t="s">
        <v>254</v>
      </c>
      <c r="E93" s="362">
        <v>8.0</v>
      </c>
      <c r="F93" s="418"/>
      <c r="G93" s="419"/>
      <c r="H93" s="420">
        <v>14.0</v>
      </c>
      <c r="I93" s="374">
        <v>14.0</v>
      </c>
      <c r="J93" s="418"/>
      <c r="K93" s="418"/>
      <c r="L93" s="381"/>
      <c r="M93" s="361"/>
      <c r="N93" s="361"/>
    </row>
  </sheetData>
  <mergeCells count="18">
    <mergeCell ref="C6:Q6"/>
    <mergeCell ref="C26:Q26"/>
    <mergeCell ref="C47:Q47"/>
    <mergeCell ref="C68:E68"/>
    <mergeCell ref="F68:K68"/>
    <mergeCell ref="L68:N68"/>
    <mergeCell ref="C73:C75"/>
    <mergeCell ref="C82:C84"/>
    <mergeCell ref="C86:C89"/>
    <mergeCell ref="D86:D89"/>
    <mergeCell ref="E86:E89"/>
    <mergeCell ref="D73:D75"/>
    <mergeCell ref="E73:E75"/>
    <mergeCell ref="C77:C81"/>
    <mergeCell ref="D77:D81"/>
    <mergeCell ref="E77:E81"/>
    <mergeCell ref="D82:D84"/>
    <mergeCell ref="E82:E84"/>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12.88"/>
    <col customWidth="1" min="3" max="3" width="13.63"/>
    <col customWidth="1" min="4" max="4" width="12.0"/>
    <col customWidth="1" min="5" max="5" width="13.0"/>
    <col customWidth="1" min="6" max="6" width="10.25"/>
    <col customWidth="1" min="7" max="7" width="12.63"/>
    <col customWidth="1" min="8" max="8" width="13.38"/>
    <col customWidth="1" min="9" max="9" width="13.5"/>
    <col customWidth="1" min="10" max="10" width="13.13"/>
    <col customWidth="1" min="11" max="11" width="11.75"/>
    <col customWidth="1" min="12" max="12" width="14.25"/>
    <col customWidth="1" min="13" max="13" width="13.0"/>
    <col customWidth="1" min="14" max="14" width="16.25"/>
    <col customWidth="1" min="15" max="15" width="15.63"/>
    <col customWidth="1" min="16" max="16" width="17.25"/>
    <col customWidth="1" min="17" max="17" width="17.75"/>
  </cols>
  <sheetData>
    <row r="1">
      <c r="B1" s="1"/>
      <c r="C1" s="2"/>
      <c r="D1" s="2"/>
      <c r="E1" s="2"/>
      <c r="F1" s="2"/>
      <c r="G1" s="2"/>
      <c r="H1" s="2"/>
      <c r="I1" s="2"/>
      <c r="J1" s="2"/>
      <c r="K1" s="2"/>
      <c r="L1" s="2"/>
      <c r="M1" s="2"/>
      <c r="N1" s="2"/>
      <c r="O1" s="2"/>
      <c r="P1" s="2"/>
      <c r="Q1" s="2"/>
      <c r="R1" s="3"/>
      <c r="S1" s="3"/>
      <c r="T1" s="3"/>
      <c r="U1" s="3"/>
      <c r="V1" s="3"/>
      <c r="W1" s="3"/>
      <c r="X1" s="3"/>
      <c r="Y1" s="3"/>
      <c r="Z1" s="3"/>
      <c r="AA1" s="3"/>
      <c r="AB1" s="3"/>
      <c r="AC1" s="3"/>
      <c r="AD1" s="3"/>
      <c r="AE1" s="3"/>
      <c r="AF1" s="3"/>
      <c r="AG1" s="3"/>
      <c r="AH1" s="3"/>
      <c r="AI1" s="3"/>
      <c r="AJ1" s="3"/>
      <c r="AK1" s="3"/>
      <c r="AL1" s="3"/>
      <c r="AM1" s="3"/>
      <c r="AN1" s="3"/>
      <c r="AO1" s="3"/>
      <c r="AP1" s="3"/>
      <c r="AQ1" s="3"/>
    </row>
    <row r="2">
      <c r="B2" s="1"/>
      <c r="C2" s="2"/>
      <c r="D2" s="2"/>
      <c r="E2" s="2"/>
      <c r="F2" s="2"/>
      <c r="G2" s="2"/>
      <c r="H2" s="2"/>
      <c r="I2" s="2"/>
      <c r="J2" s="2"/>
      <c r="K2" s="2"/>
      <c r="L2" s="2"/>
      <c r="M2" s="2"/>
      <c r="N2" s="2"/>
      <c r="O2" s="2"/>
      <c r="P2" s="2"/>
      <c r="Q2" s="2"/>
      <c r="R2" s="3"/>
      <c r="S2" s="3"/>
      <c r="T2" s="3"/>
      <c r="U2" s="3"/>
      <c r="V2" s="3"/>
      <c r="W2" s="3"/>
      <c r="X2" s="3"/>
      <c r="Y2" s="3"/>
      <c r="Z2" s="3"/>
      <c r="AA2" s="3"/>
      <c r="AB2" s="3"/>
      <c r="AC2" s="3"/>
      <c r="AD2" s="3"/>
      <c r="AE2" s="3"/>
      <c r="AF2" s="3"/>
      <c r="AG2" s="3"/>
      <c r="AH2" s="3"/>
      <c r="AI2" s="3"/>
      <c r="AJ2" s="3"/>
      <c r="AK2" s="3"/>
      <c r="AL2" s="3"/>
      <c r="AM2" s="3"/>
      <c r="AN2" s="3"/>
      <c r="AO2" s="3"/>
      <c r="AP2" s="3"/>
      <c r="AQ2" s="3"/>
    </row>
    <row r="3">
      <c r="B3" s="1"/>
      <c r="C3" s="2"/>
      <c r="D3" s="2"/>
      <c r="E3" s="2"/>
      <c r="F3" s="2"/>
      <c r="G3" s="2"/>
      <c r="H3" s="2"/>
      <c r="I3" s="2"/>
      <c r="J3" s="2"/>
      <c r="K3" s="2"/>
      <c r="L3" s="2"/>
      <c r="M3" s="2"/>
      <c r="N3" s="2"/>
      <c r="O3" s="2"/>
      <c r="P3" s="2"/>
      <c r="Q3" s="2"/>
      <c r="R3" s="3"/>
      <c r="S3" s="3"/>
      <c r="T3" s="3"/>
      <c r="U3" s="3"/>
      <c r="V3" s="3"/>
      <c r="W3" s="3"/>
      <c r="X3" s="3"/>
      <c r="Y3" s="3"/>
      <c r="Z3" s="3"/>
      <c r="AA3" s="3"/>
      <c r="AB3" s="3"/>
      <c r="AC3" s="3"/>
      <c r="AD3" s="3"/>
      <c r="AE3" s="3"/>
      <c r="AF3" s="3"/>
      <c r="AG3" s="3"/>
      <c r="AH3" s="3"/>
      <c r="AI3" s="3"/>
      <c r="AJ3" s="3"/>
      <c r="AK3" s="3"/>
      <c r="AL3" s="3"/>
      <c r="AM3" s="3"/>
      <c r="AN3" s="3"/>
      <c r="AO3" s="3"/>
      <c r="AP3" s="3"/>
      <c r="AQ3" s="3"/>
    </row>
    <row r="4">
      <c r="B4" s="1"/>
      <c r="C4" s="2"/>
      <c r="D4" s="2"/>
      <c r="E4" s="2"/>
      <c r="F4" s="2"/>
      <c r="G4" s="2"/>
      <c r="H4" s="2"/>
      <c r="I4" s="2"/>
      <c r="J4" s="2"/>
      <c r="K4" s="2"/>
      <c r="L4" s="2"/>
      <c r="M4" s="2"/>
      <c r="N4" s="2"/>
      <c r="O4" s="2"/>
      <c r="P4" s="2"/>
      <c r="Q4" s="2"/>
      <c r="R4" s="3"/>
      <c r="S4" s="3"/>
      <c r="T4" s="3"/>
      <c r="U4" s="3"/>
      <c r="V4" s="3"/>
      <c r="W4" s="3"/>
      <c r="X4" s="3"/>
      <c r="Y4" s="3"/>
      <c r="Z4" s="3"/>
      <c r="AA4" s="3"/>
      <c r="AB4" s="3"/>
      <c r="AC4" s="3"/>
      <c r="AD4" s="3"/>
      <c r="AE4" s="3"/>
      <c r="AF4" s="3"/>
      <c r="AG4" s="3"/>
      <c r="AH4" s="3"/>
      <c r="AI4" s="3"/>
      <c r="AJ4" s="3"/>
      <c r="AK4" s="3"/>
      <c r="AL4" s="3"/>
      <c r="AM4" s="3"/>
      <c r="AN4" s="3"/>
      <c r="AO4" s="3"/>
      <c r="AP4" s="3"/>
      <c r="AQ4" s="3"/>
    </row>
    <row r="5">
      <c r="B5" s="1"/>
      <c r="C5" s="2"/>
      <c r="D5" s="2"/>
      <c r="E5" s="2"/>
      <c r="F5" s="2"/>
      <c r="G5" s="2"/>
      <c r="H5" s="2"/>
      <c r="I5" s="2"/>
      <c r="J5" s="2"/>
      <c r="K5" s="2"/>
      <c r="L5" s="2"/>
      <c r="M5" s="2"/>
      <c r="N5" s="2"/>
      <c r="O5" s="2"/>
      <c r="P5" s="2"/>
      <c r="Q5" s="2"/>
      <c r="R5" s="3"/>
      <c r="S5" s="3"/>
      <c r="T5" s="3"/>
      <c r="U5" s="3"/>
      <c r="V5" s="3"/>
      <c r="W5" s="3"/>
      <c r="X5" s="3"/>
      <c r="Y5" s="3"/>
      <c r="Z5" s="3"/>
      <c r="AA5" s="3"/>
      <c r="AB5" s="3"/>
      <c r="AC5" s="3"/>
      <c r="AD5" s="3"/>
      <c r="AE5" s="3"/>
      <c r="AF5" s="3"/>
      <c r="AG5" s="3"/>
      <c r="AH5" s="3"/>
      <c r="AI5" s="3"/>
      <c r="AJ5" s="3"/>
      <c r="AK5" s="3"/>
      <c r="AL5" s="3"/>
      <c r="AM5" s="3"/>
      <c r="AN5" s="3"/>
      <c r="AO5" s="3"/>
      <c r="AP5" s="3"/>
      <c r="AQ5" s="3"/>
    </row>
    <row r="6">
      <c r="A6" s="1"/>
      <c r="B6" s="4"/>
      <c r="C6" s="5" t="s">
        <v>21</v>
      </c>
      <c r="D6" s="7"/>
      <c r="E6" s="7"/>
      <c r="F6" s="7"/>
      <c r="G6" s="7"/>
      <c r="H6" s="7"/>
      <c r="I6" s="7"/>
      <c r="J6" s="7"/>
      <c r="K6" s="7"/>
      <c r="L6" s="7"/>
      <c r="M6" s="7"/>
      <c r="N6" s="7"/>
      <c r="O6" s="7"/>
      <c r="P6" s="7"/>
      <c r="Q6" s="9"/>
      <c r="R6" s="10"/>
      <c r="S6" s="3"/>
      <c r="T6" s="3"/>
      <c r="U6" s="3"/>
      <c r="V6" s="3"/>
      <c r="W6" s="3"/>
      <c r="X6" s="3"/>
      <c r="Y6" s="3"/>
      <c r="Z6" s="3"/>
      <c r="AA6" s="3"/>
      <c r="AB6" s="3"/>
      <c r="AC6" s="3"/>
      <c r="AD6" s="3"/>
      <c r="AE6" s="3"/>
      <c r="AF6" s="3"/>
      <c r="AG6" s="3"/>
      <c r="AH6" s="3"/>
      <c r="AI6" s="3"/>
      <c r="AJ6" s="3"/>
      <c r="AK6" s="3"/>
      <c r="AL6" s="3"/>
      <c r="AM6" s="3"/>
      <c r="AN6" s="3"/>
      <c r="AO6" s="3"/>
      <c r="AP6" s="3"/>
      <c r="AQ6" s="3"/>
    </row>
    <row r="7">
      <c r="A7" s="11"/>
      <c r="B7" s="12" t="s">
        <v>2</v>
      </c>
      <c r="C7" s="13" t="s">
        <v>3</v>
      </c>
      <c r="D7" s="14" t="s">
        <v>4</v>
      </c>
      <c r="E7" s="14" t="s">
        <v>5</v>
      </c>
      <c r="F7" s="14" t="s">
        <v>6</v>
      </c>
      <c r="G7" s="14" t="s">
        <v>7</v>
      </c>
      <c r="H7" s="14" t="s">
        <v>8</v>
      </c>
      <c r="I7" s="14" t="s">
        <v>9</v>
      </c>
      <c r="J7" s="14" t="s">
        <v>10</v>
      </c>
      <c r="K7" s="14" t="s">
        <v>11</v>
      </c>
      <c r="L7" s="14" t="s">
        <v>12</v>
      </c>
      <c r="M7" s="14" t="s">
        <v>13</v>
      </c>
      <c r="N7" s="14" t="s">
        <v>14</v>
      </c>
      <c r="O7" s="14" t="s">
        <v>15</v>
      </c>
      <c r="P7" s="14" t="s">
        <v>16</v>
      </c>
      <c r="Q7" s="22" t="s">
        <v>40</v>
      </c>
      <c r="R7" s="25" t="s">
        <v>18</v>
      </c>
      <c r="S7" s="3"/>
      <c r="T7" s="3"/>
      <c r="U7" s="3"/>
      <c r="V7" s="3"/>
      <c r="W7" s="3"/>
      <c r="X7" s="3"/>
      <c r="Y7" s="3"/>
      <c r="Z7" s="3"/>
      <c r="AA7" s="3"/>
      <c r="AB7" s="3"/>
      <c r="AC7" s="3"/>
      <c r="AD7" s="3"/>
      <c r="AE7" s="3"/>
      <c r="AF7" s="3"/>
      <c r="AG7" s="3"/>
      <c r="AH7" s="3"/>
      <c r="AI7" s="3"/>
      <c r="AJ7" s="3"/>
      <c r="AK7" s="3"/>
      <c r="AL7" s="3"/>
      <c r="AM7" s="3"/>
      <c r="AN7" s="3"/>
      <c r="AO7" s="3"/>
      <c r="AP7" s="3"/>
      <c r="AQ7" s="3"/>
    </row>
    <row r="8">
      <c r="A8" s="26"/>
      <c r="B8" s="27" t="s">
        <v>20</v>
      </c>
      <c r="C8" s="29">
        <v>0.1</v>
      </c>
      <c r="D8" s="31">
        <v>0.05</v>
      </c>
      <c r="E8" s="33">
        <v>0.1</v>
      </c>
      <c r="F8" s="33">
        <v>0.05</v>
      </c>
      <c r="G8" s="33">
        <v>0.1</v>
      </c>
      <c r="H8" s="33">
        <v>0.05</v>
      </c>
      <c r="I8" s="33">
        <v>0.05</v>
      </c>
      <c r="J8" s="33">
        <v>0.05</v>
      </c>
      <c r="K8" s="33">
        <v>0.05</v>
      </c>
      <c r="L8" s="33">
        <v>0.05</v>
      </c>
      <c r="M8" s="33">
        <v>0.1</v>
      </c>
      <c r="N8" s="33">
        <v>0.1</v>
      </c>
      <c r="O8" s="33">
        <v>0.05</v>
      </c>
      <c r="P8" s="33">
        <v>0.1</v>
      </c>
      <c r="Q8" s="35">
        <v>0.0</v>
      </c>
      <c r="R8" s="68">
        <f>sum(C8:Q8)</f>
        <v>1</v>
      </c>
      <c r="S8" s="3"/>
      <c r="T8" s="3"/>
      <c r="U8" s="3"/>
      <c r="V8" s="3"/>
      <c r="W8" s="3"/>
      <c r="X8" s="3"/>
      <c r="Y8" s="3"/>
      <c r="Z8" s="3"/>
      <c r="AA8" s="3"/>
      <c r="AB8" s="3"/>
      <c r="AC8" s="3"/>
      <c r="AD8" s="3"/>
      <c r="AE8" s="3"/>
      <c r="AF8" s="3"/>
      <c r="AG8" s="3"/>
      <c r="AH8" s="3"/>
      <c r="AI8" s="3"/>
      <c r="AJ8" s="3"/>
      <c r="AK8" s="3"/>
      <c r="AL8" s="3"/>
      <c r="AM8" s="3"/>
      <c r="AN8" s="3"/>
      <c r="AO8" s="3"/>
      <c r="AP8" s="3"/>
      <c r="AQ8" s="3"/>
    </row>
    <row r="9">
      <c r="A9" s="71"/>
      <c r="B9" s="73" t="s">
        <v>24</v>
      </c>
      <c r="C9" s="75" t="s">
        <v>25</v>
      </c>
      <c r="D9" s="76" t="s">
        <v>25</v>
      </c>
      <c r="E9" s="77" t="s">
        <v>26</v>
      </c>
      <c r="F9" s="77" t="s">
        <v>27</v>
      </c>
      <c r="G9" s="77" t="s">
        <v>29</v>
      </c>
      <c r="H9" s="77" t="s">
        <v>31</v>
      </c>
      <c r="I9" s="77" t="s">
        <v>32</v>
      </c>
      <c r="J9" s="77" t="s">
        <v>33</v>
      </c>
      <c r="K9" s="77" t="s">
        <v>34</v>
      </c>
      <c r="L9" s="77" t="s">
        <v>35</v>
      </c>
      <c r="M9" s="77" t="s">
        <v>36</v>
      </c>
      <c r="N9" s="77" t="s">
        <v>37</v>
      </c>
      <c r="O9" s="77" t="s">
        <v>38</v>
      </c>
      <c r="P9" s="77" t="s">
        <v>39</v>
      </c>
      <c r="Q9" s="79" t="s">
        <v>46</v>
      </c>
      <c r="R9" s="80"/>
      <c r="S9" s="3"/>
      <c r="T9" s="3"/>
      <c r="U9" s="3"/>
      <c r="V9" s="3"/>
      <c r="W9" s="3"/>
      <c r="X9" s="3"/>
      <c r="Y9" s="3"/>
      <c r="Z9" s="3"/>
      <c r="AA9" s="3"/>
      <c r="AB9" s="3"/>
      <c r="AC9" s="3"/>
      <c r="AD9" s="3"/>
      <c r="AE9" s="3"/>
      <c r="AF9" s="3"/>
      <c r="AG9" s="3"/>
      <c r="AH9" s="3"/>
      <c r="AI9" s="3"/>
      <c r="AJ9" s="3"/>
      <c r="AK9" s="3"/>
      <c r="AL9" s="3"/>
      <c r="AM9" s="3"/>
      <c r="AN9" s="3"/>
      <c r="AO9" s="3"/>
      <c r="AP9" s="3"/>
      <c r="AQ9" s="3"/>
    </row>
    <row r="10">
      <c r="B10" s="27" t="s">
        <v>22</v>
      </c>
      <c r="C10" s="38" t="s">
        <v>23</v>
      </c>
      <c r="D10" s="85" t="s">
        <v>23</v>
      </c>
      <c r="E10" s="40"/>
      <c r="F10" s="41"/>
      <c r="G10" s="40"/>
      <c r="H10" s="40"/>
      <c r="I10" s="42"/>
      <c r="J10" s="40"/>
      <c r="K10" s="44"/>
      <c r="L10" s="40"/>
      <c r="M10" s="40"/>
      <c r="N10" s="41"/>
      <c r="O10" s="40"/>
      <c r="P10" s="40"/>
      <c r="Q10" s="40"/>
      <c r="R10" s="4"/>
      <c r="S10" s="3"/>
      <c r="T10" s="3"/>
      <c r="U10" s="3"/>
      <c r="V10" s="3"/>
      <c r="W10" s="3"/>
      <c r="X10" s="3"/>
      <c r="Y10" s="3"/>
      <c r="Z10" s="3"/>
      <c r="AA10" s="3"/>
      <c r="AB10" s="3"/>
      <c r="AC10" s="3"/>
      <c r="AD10" s="3"/>
      <c r="AE10" s="3"/>
      <c r="AF10" s="3"/>
      <c r="AG10" s="3"/>
      <c r="AH10" s="3"/>
      <c r="AI10" s="3"/>
      <c r="AJ10" s="3"/>
      <c r="AK10" s="3"/>
      <c r="AL10" s="3"/>
      <c r="AM10" s="3"/>
      <c r="AN10" s="3"/>
      <c r="AO10" s="3"/>
      <c r="AP10" s="3"/>
      <c r="AQ10" s="3"/>
    </row>
    <row r="11">
      <c r="A11" s="26" t="s">
        <v>28</v>
      </c>
      <c r="B11" s="27" t="s">
        <v>30</v>
      </c>
      <c r="C11" s="78">
        <v>132695.0</v>
      </c>
      <c r="D11" s="49">
        <v>1.397147082E9</v>
      </c>
      <c r="E11" s="29">
        <v>0.98</v>
      </c>
      <c r="F11" s="38">
        <v>1.0</v>
      </c>
      <c r="G11" s="29">
        <v>0.98</v>
      </c>
      <c r="H11" s="29">
        <v>0.02</v>
      </c>
      <c r="I11" s="93">
        <v>4.6E-4</v>
      </c>
      <c r="J11" s="29">
        <v>0.998</v>
      </c>
      <c r="K11" s="51" t="s">
        <v>41</v>
      </c>
      <c r="L11" s="29">
        <v>0.005</v>
      </c>
      <c r="M11" s="29">
        <v>0.99</v>
      </c>
      <c r="N11" s="38">
        <v>3.0</v>
      </c>
      <c r="O11" s="29">
        <v>0.9</v>
      </c>
      <c r="P11" s="29">
        <v>1.0</v>
      </c>
      <c r="Q11" s="53">
        <v>1.0</v>
      </c>
      <c r="R11" s="4"/>
      <c r="S11" s="3"/>
      <c r="T11" s="3"/>
      <c r="U11" s="3"/>
      <c r="V11" s="3"/>
      <c r="W11" s="3"/>
      <c r="X11" s="3"/>
      <c r="Y11" s="3"/>
      <c r="Z11" s="3"/>
      <c r="AA11" s="3"/>
      <c r="AB11" s="3"/>
      <c r="AC11" s="3"/>
      <c r="AD11" s="3"/>
      <c r="AE11" s="3"/>
      <c r="AF11" s="3"/>
      <c r="AG11" s="3"/>
      <c r="AH11" s="3"/>
      <c r="AI11" s="3"/>
      <c r="AJ11" s="3"/>
      <c r="AK11" s="3"/>
      <c r="AL11" s="3"/>
      <c r="AM11" s="3"/>
      <c r="AN11" s="3"/>
      <c r="AO11" s="3"/>
      <c r="AP11" s="3"/>
      <c r="AQ11" s="3"/>
    </row>
    <row r="12">
      <c r="A12" s="54">
        <v>1.0</v>
      </c>
      <c r="B12" s="55" t="s">
        <v>42</v>
      </c>
      <c r="C12" s="97">
        <f>'1. Tổng doanh thu'!S12</f>
        <v>27374</v>
      </c>
      <c r="D12" s="98">
        <f>'2. Doanh thu cho thuê HT'!H56</f>
        <v>154407642</v>
      </c>
      <c r="E12" s="99">
        <f>'2. SD Điện tiết kiệm'!Y13</f>
        <v>0.9417</v>
      </c>
      <c r="F12" s="87">
        <v>1.0</v>
      </c>
      <c r="G12" s="99">
        <f>'5. TL phiếu thực hiện XLSC đúng'!E12</f>
        <v>0.9345238095</v>
      </c>
      <c r="H12" s="99">
        <f>'6. Đảm bảo năng lực hạ tầng mạn'!T12</f>
        <v>0.00726744186</v>
      </c>
      <c r="I12" s="100">
        <f>'7.  TLTB BRCĐMyTVTSLC'!N12</f>
        <v>0.00121</v>
      </c>
      <c r="J12" s="84">
        <v>1.0</v>
      </c>
      <c r="K12" s="99">
        <f>'8. SLTB hủy'!I13</f>
        <v>0.9983</v>
      </c>
      <c r="L12" s="84">
        <v>0.0</v>
      </c>
      <c r="M12" s="99">
        <f>'11. CLHT VT-CNTT (QoSQoE)'!AE27%</f>
        <v>0.98467065</v>
      </c>
      <c r="N12" s="67">
        <f>'12. TG MLL TBDĐ'!T13</f>
        <v>2.35</v>
      </c>
      <c r="O12" s="99">
        <f>'13. TL CC và cấu hình DVTĐ BRCĐ'!E12</f>
        <v>0.8695</v>
      </c>
      <c r="P12" s="84">
        <v>1.0</v>
      </c>
      <c r="Q12" s="84">
        <v>1.0</v>
      </c>
      <c r="R12" s="102"/>
      <c r="S12" s="3"/>
      <c r="T12" s="3"/>
      <c r="U12" s="3"/>
      <c r="V12" s="3"/>
      <c r="W12" s="3"/>
      <c r="X12" s="3"/>
      <c r="Y12" s="3"/>
      <c r="Z12" s="3"/>
      <c r="AA12" s="3"/>
      <c r="AB12" s="3"/>
      <c r="AC12" s="3"/>
      <c r="AD12" s="3"/>
      <c r="AE12" s="3"/>
      <c r="AF12" s="3"/>
      <c r="AG12" s="3"/>
      <c r="AH12" s="3"/>
      <c r="AI12" s="3"/>
      <c r="AJ12" s="3"/>
      <c r="AK12" s="3"/>
      <c r="AL12" s="3"/>
      <c r="AM12" s="3"/>
      <c r="AN12" s="3"/>
      <c r="AO12" s="3"/>
      <c r="AP12" s="3"/>
      <c r="AQ12" s="3"/>
    </row>
    <row r="13">
      <c r="A13" s="54">
        <v>2.0</v>
      </c>
      <c r="B13" s="55" t="s">
        <v>43</v>
      </c>
      <c r="C13" s="97">
        <f>'1. Tổng doanh thu'!S13</f>
        <v>16473</v>
      </c>
      <c r="D13" s="98">
        <f>'2. Doanh thu cho thuê HT'!H57</f>
        <v>206349522</v>
      </c>
      <c r="E13" s="99">
        <f>'2. SD Điện tiết kiệm'!Y19</f>
        <v>0.9671</v>
      </c>
      <c r="F13" s="87">
        <v>1.0</v>
      </c>
      <c r="G13" s="99">
        <f>'5. TL phiếu thực hiện XLSC đúng'!E13</f>
        <v>0.8803088803</v>
      </c>
      <c r="H13" s="99">
        <f>'6. Đảm bảo năng lực hạ tầng mạn'!T13</f>
        <v>0.04651162791</v>
      </c>
      <c r="I13" s="100">
        <f>'7.  TLTB BRCĐMyTVTSLC'!N13</f>
        <v>0.00219</v>
      </c>
      <c r="J13" s="84">
        <v>1.0</v>
      </c>
      <c r="K13" s="99">
        <f>'8. SLTB hủy'!I14</f>
        <v>1.4121</v>
      </c>
      <c r="L13" s="99">
        <v>0.0861</v>
      </c>
      <c r="M13" s="99">
        <f>'11. CLHT VT-CNTT (QoSQoE)'!AE28%</f>
        <v>0.98337388</v>
      </c>
      <c r="N13" s="67">
        <f>'12. TG MLL TBDĐ'!T14</f>
        <v>6.67</v>
      </c>
      <c r="O13" s="99">
        <f>'13. TL CC và cấu hình DVTĐ BRCĐ'!E13</f>
        <v>0.9269</v>
      </c>
      <c r="P13" s="84">
        <v>1.0</v>
      </c>
      <c r="Q13" s="84">
        <v>1.0</v>
      </c>
      <c r="R13" s="102"/>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c r="A14" s="54">
        <v>3.0</v>
      </c>
      <c r="B14" s="55" t="s">
        <v>44</v>
      </c>
      <c r="C14" s="97">
        <f>'1. Tổng doanh thu'!S14</f>
        <v>14269</v>
      </c>
      <c r="D14" s="98">
        <f>'2. Doanh thu cho thuê HT'!H58</f>
        <v>141882864</v>
      </c>
      <c r="E14" s="99">
        <f>'2. SD Điện tiết kiệm'!Y14</f>
        <v>0.9027</v>
      </c>
      <c r="F14" s="87">
        <v>1.0</v>
      </c>
      <c r="G14" s="99">
        <f>'5. TL phiếu thực hiện XLSC đúng'!E14</f>
        <v>0.9358552632</v>
      </c>
      <c r="H14" s="99">
        <f>'6. Đảm bảo năng lực hạ tầng mạn'!T14</f>
        <v>0.01315789474</v>
      </c>
      <c r="I14" s="100">
        <f>'7.  TLTB BRCĐMyTVTSLC'!N14</f>
        <v>0.00321</v>
      </c>
      <c r="J14" s="84">
        <v>1.0</v>
      </c>
      <c r="K14" s="99">
        <f>'8. SLTB hủy'!I15</f>
        <v>0.4363</v>
      </c>
      <c r="L14" s="99">
        <v>0.0046</v>
      </c>
      <c r="M14" s="99">
        <f>'11. CLHT VT-CNTT (QoSQoE)'!AE29%</f>
        <v>0.98329077</v>
      </c>
      <c r="N14" s="67">
        <f>'12. TG MLL TBDĐ'!T15</f>
        <v>7.62</v>
      </c>
      <c r="O14" s="99">
        <f>'13. TL CC và cấu hình DVTĐ BRCĐ'!E14</f>
        <v>0.8571</v>
      </c>
      <c r="P14" s="84">
        <v>1.0</v>
      </c>
      <c r="Q14" s="84">
        <v>1.0</v>
      </c>
      <c r="R14" s="102"/>
      <c r="S14" s="3"/>
      <c r="T14" s="3"/>
      <c r="U14" s="3"/>
      <c r="V14" s="3"/>
      <c r="W14" s="3"/>
      <c r="X14" s="3"/>
      <c r="Y14" s="3"/>
      <c r="Z14" s="3"/>
      <c r="AA14" s="3"/>
      <c r="AB14" s="3"/>
      <c r="AC14" s="3"/>
      <c r="AD14" s="3"/>
      <c r="AE14" s="3"/>
      <c r="AF14" s="3"/>
      <c r="AG14" s="3"/>
      <c r="AH14" s="3"/>
      <c r="AI14" s="3"/>
      <c r="AJ14" s="3"/>
      <c r="AK14" s="3"/>
      <c r="AL14" s="3"/>
      <c r="AM14" s="3"/>
      <c r="AN14" s="3"/>
      <c r="AO14" s="3"/>
      <c r="AP14" s="3"/>
      <c r="AQ14" s="3"/>
    </row>
    <row r="15">
      <c r="A15" s="54">
        <v>4.0</v>
      </c>
      <c r="B15" s="55" t="s">
        <v>45</v>
      </c>
      <c r="C15" s="97">
        <f>'1. Tổng doanh thu'!S15</f>
        <v>12715</v>
      </c>
      <c r="D15" s="98">
        <f>'2. Doanh thu cho thuê HT'!H59</f>
        <v>568606111</v>
      </c>
      <c r="E15" s="99">
        <f>'2. SD Điện tiết kiệm'!Y15</f>
        <v>0.6893</v>
      </c>
      <c r="F15" s="87">
        <v>1.0</v>
      </c>
      <c r="G15" s="99">
        <f>'5. TL phiếu thực hiện XLSC đúng'!E15</f>
        <v>0.9713114754</v>
      </c>
      <c r="H15" s="99">
        <f>'6. Đảm bảo năng lực hạ tầng mạn'!T15</f>
        <v>0.08994708995</v>
      </c>
      <c r="I15" s="100">
        <f>'7.  TLTB BRCĐMyTVTSLC'!N15</f>
        <v>0.00203</v>
      </c>
      <c r="J15" s="84">
        <v>1.0</v>
      </c>
      <c r="K15" s="99">
        <f>'8. SLTB hủy'!I16</f>
        <v>1.0667</v>
      </c>
      <c r="L15" s="99">
        <v>0.0215</v>
      </c>
      <c r="M15" s="99">
        <f>'11. CLHT VT-CNTT (QoSQoE)'!AE30%</f>
        <v>0.97927729</v>
      </c>
      <c r="N15" s="67">
        <f>'12. TG MLL TBDĐ'!T16</f>
        <v>3.35</v>
      </c>
      <c r="O15" s="99">
        <f>'13. TL CC và cấu hình DVTĐ BRCĐ'!E15</f>
        <v>0.8443</v>
      </c>
      <c r="P15" s="84">
        <v>1.0</v>
      </c>
      <c r="Q15" s="84">
        <v>1.0</v>
      </c>
      <c r="R15" s="102"/>
      <c r="S15" s="3"/>
      <c r="T15" s="3"/>
      <c r="U15" s="3"/>
      <c r="V15" s="3"/>
      <c r="W15" s="3"/>
      <c r="X15" s="3"/>
      <c r="Y15" s="3"/>
      <c r="Z15" s="3"/>
      <c r="AA15" s="3"/>
      <c r="AB15" s="3"/>
      <c r="AC15" s="3"/>
      <c r="AD15" s="3"/>
      <c r="AE15" s="3"/>
      <c r="AF15" s="3"/>
      <c r="AG15" s="3"/>
      <c r="AH15" s="3"/>
      <c r="AI15" s="3"/>
      <c r="AJ15" s="3"/>
      <c r="AK15" s="3"/>
      <c r="AL15" s="3"/>
      <c r="AM15" s="3"/>
      <c r="AN15" s="3"/>
      <c r="AO15" s="3"/>
      <c r="AP15" s="3"/>
      <c r="AQ15" s="3"/>
    </row>
    <row r="16">
      <c r="A16" s="54">
        <v>5.0</v>
      </c>
      <c r="B16" s="55" t="s">
        <v>47</v>
      </c>
      <c r="C16" s="97">
        <f>'1. Tổng doanh thu'!S16</f>
        <v>27304</v>
      </c>
      <c r="D16" s="98">
        <f>'2. Doanh thu cho thuê HT'!H60</f>
        <v>124514844</v>
      </c>
      <c r="E16" s="99">
        <f>'2. SD Điện tiết kiệm'!Y16</f>
        <v>0.9342</v>
      </c>
      <c r="F16" s="87">
        <v>1.0</v>
      </c>
      <c r="G16" s="99">
        <f>'5. TL phiếu thực hiện XLSC đúng'!E16</f>
        <v>0.9083820663</v>
      </c>
      <c r="H16" s="99">
        <f>'6. Đảm bảo năng lực hạ tầng mạn'!T16</f>
        <v>0.0509383378</v>
      </c>
      <c r="I16" s="100">
        <f>'7.  TLTB BRCĐMyTVTSLC'!N16</f>
        <v>0.00115</v>
      </c>
      <c r="J16" s="84">
        <v>1.0</v>
      </c>
      <c r="K16" s="99">
        <f>'8. SLTB hủy'!I17</f>
        <v>0.9121</v>
      </c>
      <c r="L16" s="99">
        <v>0.0351</v>
      </c>
      <c r="M16" s="99">
        <f>'11. CLHT VT-CNTT (QoSQoE)'!AE31%</f>
        <v>0.98459019</v>
      </c>
      <c r="N16" s="67">
        <f>'12. TG MLL TBDĐ'!T17</f>
        <v>2.63</v>
      </c>
      <c r="O16" s="99">
        <f>'13. TL CC và cấu hình DVTĐ BRCĐ'!E16</f>
        <v>0.8741</v>
      </c>
      <c r="P16" s="84">
        <v>1.0</v>
      </c>
      <c r="Q16" s="84">
        <v>1.0</v>
      </c>
      <c r="R16" s="102"/>
      <c r="S16" s="3"/>
      <c r="T16" s="3"/>
      <c r="U16" s="3"/>
      <c r="V16" s="3"/>
      <c r="W16" s="3"/>
      <c r="X16" s="3"/>
      <c r="Y16" s="3"/>
      <c r="Z16" s="3"/>
      <c r="AA16" s="3"/>
      <c r="AB16" s="3"/>
      <c r="AC16" s="3"/>
      <c r="AD16" s="3"/>
      <c r="AE16" s="3"/>
      <c r="AF16" s="3"/>
      <c r="AG16" s="3"/>
      <c r="AH16" s="3"/>
      <c r="AI16" s="3"/>
      <c r="AJ16" s="3"/>
      <c r="AK16" s="3"/>
      <c r="AL16" s="3"/>
      <c r="AM16" s="3"/>
      <c r="AN16" s="3"/>
      <c r="AO16" s="3"/>
      <c r="AP16" s="3"/>
      <c r="AQ16" s="3"/>
    </row>
    <row r="17">
      <c r="A17" s="54">
        <v>6.0</v>
      </c>
      <c r="B17" s="55" t="s">
        <v>48</v>
      </c>
      <c r="C17" s="97">
        <f>'1. Tổng doanh thu'!S17</f>
        <v>11047</v>
      </c>
      <c r="D17" s="98">
        <f>'2. Doanh thu cho thuê HT'!H61</f>
        <v>202578170</v>
      </c>
      <c r="E17" s="99">
        <f>'2. SD Điện tiết kiệm'!Y17</f>
        <v>0.8528</v>
      </c>
      <c r="F17" s="87">
        <v>1.0</v>
      </c>
      <c r="G17" s="99">
        <f>'5. TL phiếu thực hiện XLSC đúng'!E17</f>
        <v>0.8959537572</v>
      </c>
      <c r="H17" s="99">
        <f>'6. Đảm bảo năng lực hạ tầng mạn'!T17</f>
        <v>0.01457725948</v>
      </c>
      <c r="I17" s="100">
        <f>'7.  TLTB BRCĐMyTVTSLC'!N17</f>
        <v>0.00219</v>
      </c>
      <c r="J17" s="84">
        <v>1.0</v>
      </c>
      <c r="K17" s="99">
        <f>'8. SLTB hủy'!I18</f>
        <v>0.7177</v>
      </c>
      <c r="L17" s="99">
        <v>0.0186</v>
      </c>
      <c r="M17" s="99">
        <f>'11. CLHT VT-CNTT (QoSQoE)'!AE32%</f>
        <v>0.98553763</v>
      </c>
      <c r="N17" s="67">
        <f>'12. TG MLL TBDĐ'!T18</f>
        <v>4.41</v>
      </c>
      <c r="O17" s="99">
        <f>'13. TL CC và cấu hình DVTĐ BRCĐ'!E17</f>
        <v>0.8814</v>
      </c>
      <c r="P17" s="84">
        <v>1.0</v>
      </c>
      <c r="Q17" s="84">
        <v>1.0</v>
      </c>
      <c r="R17" s="102"/>
      <c r="S17" s="3"/>
      <c r="T17" s="3"/>
      <c r="U17" s="3"/>
      <c r="V17" s="3"/>
      <c r="W17" s="3"/>
      <c r="X17" s="3"/>
      <c r="Y17" s="3"/>
      <c r="Z17" s="3"/>
      <c r="AA17" s="3"/>
      <c r="AB17" s="3"/>
      <c r="AC17" s="3"/>
      <c r="AD17" s="3"/>
      <c r="AE17" s="3"/>
      <c r="AF17" s="3"/>
      <c r="AG17" s="3"/>
      <c r="AH17" s="3"/>
      <c r="AI17" s="3"/>
      <c r="AJ17" s="3"/>
      <c r="AK17" s="3"/>
      <c r="AL17" s="3"/>
      <c r="AM17" s="3"/>
      <c r="AN17" s="3"/>
      <c r="AO17" s="3"/>
      <c r="AP17" s="3"/>
      <c r="AQ17" s="3"/>
    </row>
    <row r="18">
      <c r="A18" s="54">
        <v>7.0</v>
      </c>
      <c r="B18" s="55" t="s">
        <v>49</v>
      </c>
      <c r="C18" s="97">
        <f>'1. Tổng doanh thu'!S18</f>
        <v>17148</v>
      </c>
      <c r="D18" s="98">
        <f>'2. Doanh thu cho thuê HT'!H62</f>
        <v>141191165</v>
      </c>
      <c r="E18" s="163">
        <f>'2. SD Điện tiết kiệm'!Y18</f>
        <v>0.5871</v>
      </c>
      <c r="F18" s="87">
        <v>1.0</v>
      </c>
      <c r="G18" s="99">
        <f>'5. TL phiếu thực hiện XLSC đúng'!E18</f>
        <v>0.9761570827</v>
      </c>
      <c r="H18" s="99">
        <f>'6. Đảm bảo năng lực hạ tầng mạn'!T18</f>
        <v>0.006182380216</v>
      </c>
      <c r="I18" s="100">
        <f>'7.  TLTB BRCĐMyTVTSLC'!N18</f>
        <v>0.00187</v>
      </c>
      <c r="J18" s="84">
        <v>1.0</v>
      </c>
      <c r="K18" s="99">
        <f>'8. SLTB hủy'!I19</f>
        <v>0.8348</v>
      </c>
      <c r="L18" s="99">
        <v>0.0029</v>
      </c>
      <c r="M18" s="99">
        <f>'11. CLHT VT-CNTT (QoSQoE)'!AE33%</f>
        <v>0.98667417</v>
      </c>
      <c r="N18" s="67">
        <f>'12. TG MLL TBDĐ'!T19</f>
        <v>4.74</v>
      </c>
      <c r="O18" s="99">
        <f>'13. TL CC và cấu hình DVTĐ BRCĐ'!E18</f>
        <v>0.7956</v>
      </c>
      <c r="P18" s="84">
        <v>1.0</v>
      </c>
      <c r="Q18" s="84">
        <v>1.0</v>
      </c>
      <c r="R18" s="169"/>
      <c r="S18" s="3"/>
      <c r="T18" s="3"/>
      <c r="U18" s="3"/>
      <c r="V18" s="3"/>
      <c r="W18" s="3"/>
      <c r="X18" s="3"/>
      <c r="Y18" s="3"/>
      <c r="Z18" s="3"/>
      <c r="AA18" s="3"/>
      <c r="AB18" s="3"/>
      <c r="AC18" s="3"/>
      <c r="AD18" s="3"/>
      <c r="AE18" s="3"/>
      <c r="AF18" s="3"/>
      <c r="AG18" s="3"/>
      <c r="AH18" s="3"/>
      <c r="AI18" s="3"/>
      <c r="AJ18" s="3"/>
      <c r="AK18" s="3"/>
      <c r="AL18" s="3"/>
      <c r="AM18" s="3"/>
      <c r="AN18" s="3"/>
      <c r="AO18" s="3"/>
      <c r="AP18" s="3"/>
      <c r="AQ18" s="3"/>
    </row>
    <row r="19">
      <c r="A19" s="115"/>
      <c r="B19" s="175" t="s">
        <v>50</v>
      </c>
      <c r="C19" s="176">
        <f>'1. Tổng doanh thu'!S19</f>
        <v>126330</v>
      </c>
      <c r="D19" s="179">
        <f>'2. Doanh thu cho thuê HT'!H63</f>
        <v>1539530318</v>
      </c>
      <c r="E19" s="182">
        <f>'2. SD Điện tiết kiệm'!Y20</f>
        <v>0.8205</v>
      </c>
      <c r="F19" s="183">
        <v>1.0</v>
      </c>
      <c r="G19" s="185">
        <f>'5. TL phiếu thực hiện XLSC đúng'!E19</f>
        <v>0.9293492023</v>
      </c>
      <c r="H19" s="185">
        <f>'6. Đảm bảo năng lực hạ tầng mạn'!T19</f>
        <v>0.02519058668</v>
      </c>
      <c r="I19" s="188">
        <f>'7.  TLTB BRCĐMyTVTSLC'!N19</f>
        <v>0.00185</v>
      </c>
      <c r="J19" s="189">
        <v>1.0</v>
      </c>
      <c r="K19" s="182">
        <f>'8. SLTB hủy'!I12</f>
        <v>0.9333</v>
      </c>
      <c r="L19" s="190">
        <v>0.0224</v>
      </c>
      <c r="M19" s="185">
        <f>'11. CLHT VT-CNTT (QoSQoE)'!AE34%</f>
        <v>0.98677939</v>
      </c>
      <c r="N19" s="191">
        <f>'12. TG MLL TBDĐ'!T12</f>
        <v>4.64</v>
      </c>
      <c r="O19" s="185">
        <f>'13. TL CC và cấu hình DVTĐ BRCĐ'!E19</f>
        <v>0.8501</v>
      </c>
      <c r="P19" s="192">
        <v>1.0</v>
      </c>
      <c r="Q19" s="53">
        <v>1.0</v>
      </c>
      <c r="R19" s="194"/>
      <c r="S19" s="195"/>
      <c r="T19" s="195"/>
      <c r="U19" s="195"/>
      <c r="V19" s="195"/>
      <c r="W19" s="195"/>
      <c r="X19" s="195"/>
      <c r="Y19" s="195"/>
      <c r="Z19" s="195"/>
      <c r="AA19" s="195"/>
      <c r="AB19" s="195"/>
      <c r="AC19" s="195"/>
      <c r="AD19" s="195"/>
      <c r="AE19" s="195"/>
      <c r="AF19" s="195"/>
      <c r="AG19" s="195"/>
      <c r="AH19" s="195"/>
      <c r="AI19" s="195"/>
      <c r="AJ19" s="195"/>
      <c r="AK19" s="195"/>
      <c r="AL19" s="195"/>
      <c r="AM19" s="195"/>
      <c r="AN19" s="195"/>
      <c r="AO19" s="195"/>
      <c r="AP19" s="195"/>
      <c r="AQ19" s="195"/>
    </row>
    <row r="20">
      <c r="B20" s="198" t="s">
        <v>78</v>
      </c>
      <c r="C20" s="200">
        <v>128944.55</v>
      </c>
      <c r="D20" s="200">
        <v>1403.0</v>
      </c>
      <c r="E20" s="201"/>
      <c r="F20" s="201"/>
      <c r="G20" s="201"/>
      <c r="H20" s="201"/>
      <c r="I20" s="201"/>
      <c r="J20" s="201"/>
      <c r="K20" s="201"/>
      <c r="L20" s="201"/>
      <c r="M20" s="201"/>
      <c r="N20" s="201"/>
      <c r="O20" s="201"/>
      <c r="P20" s="201"/>
      <c r="Q20" s="201"/>
      <c r="R20" s="204"/>
      <c r="S20" s="3"/>
      <c r="T20" s="3"/>
      <c r="U20" s="3"/>
      <c r="V20" s="3"/>
      <c r="W20" s="3"/>
      <c r="X20" s="3"/>
      <c r="Y20" s="3"/>
      <c r="Z20" s="3"/>
      <c r="AA20" s="3"/>
      <c r="AB20" s="3"/>
      <c r="AC20" s="3"/>
      <c r="AD20" s="3"/>
      <c r="AE20" s="3"/>
      <c r="AF20" s="3"/>
      <c r="AG20" s="3"/>
      <c r="AH20" s="3"/>
      <c r="AI20" s="3"/>
      <c r="AJ20" s="3"/>
      <c r="AK20" s="3"/>
      <c r="AL20" s="3"/>
      <c r="AM20" s="3"/>
      <c r="AN20" s="3"/>
      <c r="AO20" s="3"/>
      <c r="AP20" s="3"/>
      <c r="AQ20" s="3"/>
    </row>
    <row r="21">
      <c r="A21" s="205">
        <v>8.0</v>
      </c>
      <c r="B21" s="198" t="s">
        <v>80</v>
      </c>
      <c r="C21" s="201"/>
      <c r="D21" s="201"/>
      <c r="E21" s="201"/>
      <c r="F21" s="201"/>
      <c r="G21" s="201"/>
      <c r="H21" s="201"/>
      <c r="I21" s="201"/>
      <c r="J21" s="201"/>
      <c r="K21" s="201"/>
      <c r="L21" s="201"/>
      <c r="M21" s="201"/>
      <c r="N21" s="201"/>
      <c r="O21" s="201"/>
      <c r="P21" s="201"/>
      <c r="Q21" s="201"/>
      <c r="R21" s="204"/>
      <c r="S21" s="3"/>
      <c r="T21" s="3"/>
      <c r="U21" s="3"/>
      <c r="V21" s="3"/>
      <c r="W21" s="3"/>
      <c r="X21" s="3"/>
      <c r="Y21" s="3"/>
      <c r="Z21" s="3"/>
      <c r="AA21" s="3"/>
      <c r="AB21" s="3"/>
      <c r="AC21" s="3"/>
      <c r="AD21" s="3"/>
      <c r="AE21" s="3"/>
      <c r="AF21" s="3"/>
      <c r="AG21" s="3"/>
      <c r="AH21" s="3"/>
      <c r="AI21" s="3"/>
      <c r="AJ21" s="3"/>
      <c r="AK21" s="3"/>
      <c r="AL21" s="3"/>
      <c r="AM21" s="3"/>
      <c r="AN21" s="3"/>
      <c r="AO21" s="3"/>
      <c r="AP21" s="3"/>
      <c r="AQ21" s="3"/>
    </row>
    <row r="22">
      <c r="A22" s="205">
        <v>9.0</v>
      </c>
      <c r="B22" s="198" t="s">
        <v>81</v>
      </c>
      <c r="C22" s="201"/>
      <c r="D22" s="201"/>
      <c r="E22" s="201"/>
      <c r="F22" s="201"/>
      <c r="G22" s="201"/>
      <c r="H22" s="201"/>
      <c r="I22" s="201"/>
      <c r="J22" s="201"/>
      <c r="K22" s="201"/>
      <c r="L22" s="201"/>
      <c r="M22" s="201"/>
      <c r="N22" s="201"/>
      <c r="O22" s="201"/>
      <c r="P22" s="201"/>
      <c r="Q22" s="201"/>
      <c r="R22" s="204"/>
      <c r="S22" s="3"/>
      <c r="T22" s="3"/>
      <c r="U22" s="3"/>
      <c r="V22" s="3"/>
      <c r="W22" s="3"/>
      <c r="X22" s="3"/>
      <c r="Y22" s="3"/>
      <c r="Z22" s="3"/>
      <c r="AA22" s="3"/>
      <c r="AB22" s="3"/>
      <c r="AC22" s="3"/>
      <c r="AD22" s="3"/>
      <c r="AE22" s="3"/>
      <c r="AF22" s="3"/>
      <c r="AG22" s="3"/>
      <c r="AH22" s="3"/>
      <c r="AI22" s="3"/>
      <c r="AJ22" s="3"/>
      <c r="AK22" s="3"/>
      <c r="AL22" s="3"/>
      <c r="AM22" s="3"/>
      <c r="AN22" s="3"/>
      <c r="AO22" s="3"/>
      <c r="AP22" s="3"/>
      <c r="AQ22" s="3"/>
    </row>
    <row r="23">
      <c r="B23" s="1"/>
      <c r="C23" s="2"/>
      <c r="D23" s="2"/>
      <c r="E23" s="2"/>
      <c r="F23" s="2"/>
      <c r="G23" s="2"/>
      <c r="H23" s="2"/>
      <c r="I23" s="2"/>
      <c r="J23" s="2"/>
      <c r="K23" s="2"/>
      <c r="L23" s="2"/>
      <c r="M23" s="2"/>
      <c r="N23" s="2"/>
      <c r="O23" s="2"/>
      <c r="P23" s="2"/>
      <c r="Q23" s="2"/>
      <c r="R23" s="3"/>
      <c r="S23" s="3"/>
      <c r="T23" s="3"/>
      <c r="U23" s="3"/>
      <c r="V23" s="3"/>
      <c r="W23" s="3"/>
      <c r="X23" s="3"/>
      <c r="Y23" s="3"/>
      <c r="Z23" s="3"/>
      <c r="AA23" s="3"/>
      <c r="AB23" s="3"/>
      <c r="AC23" s="3"/>
      <c r="AD23" s="3"/>
      <c r="AE23" s="3"/>
      <c r="AF23" s="3"/>
      <c r="AG23" s="3"/>
      <c r="AH23" s="3"/>
      <c r="AI23" s="3"/>
      <c r="AJ23" s="3"/>
      <c r="AK23" s="3"/>
      <c r="AL23" s="3"/>
      <c r="AM23" s="3"/>
      <c r="AN23" s="3"/>
      <c r="AO23" s="3"/>
      <c r="AP23" s="3"/>
      <c r="AQ23" s="3"/>
    </row>
    <row r="24">
      <c r="B24" s="1"/>
      <c r="C24" s="2"/>
      <c r="D24" s="2"/>
      <c r="E24" s="2"/>
      <c r="F24" s="2"/>
      <c r="G24" s="2"/>
      <c r="H24" s="2"/>
      <c r="I24" s="2"/>
      <c r="J24" s="2"/>
      <c r="K24" s="2"/>
      <c r="L24" s="2"/>
      <c r="M24" s="2"/>
      <c r="N24" s="2"/>
      <c r="O24" s="2"/>
      <c r="P24" s="2"/>
      <c r="Q24" s="2"/>
      <c r="R24" s="3"/>
      <c r="S24" s="3"/>
      <c r="T24" s="3"/>
      <c r="U24" s="3"/>
      <c r="V24" s="3"/>
      <c r="W24" s="3"/>
      <c r="X24" s="3"/>
      <c r="Y24" s="3"/>
      <c r="Z24" s="3"/>
      <c r="AA24" s="3"/>
      <c r="AB24" s="3"/>
      <c r="AC24" s="3"/>
      <c r="AD24" s="3"/>
      <c r="AE24" s="3"/>
      <c r="AF24" s="3"/>
      <c r="AG24" s="3"/>
      <c r="AH24" s="3"/>
      <c r="AI24" s="3"/>
      <c r="AJ24" s="3"/>
      <c r="AK24" s="3"/>
      <c r="AL24" s="3"/>
      <c r="AM24" s="3"/>
      <c r="AN24" s="3"/>
      <c r="AO24" s="3"/>
      <c r="AP24" s="3"/>
      <c r="AQ24" s="3"/>
    </row>
    <row r="26">
      <c r="A26" s="1"/>
      <c r="B26" s="4"/>
      <c r="C26" s="5" t="s">
        <v>82</v>
      </c>
      <c r="D26" s="7"/>
      <c r="E26" s="7"/>
      <c r="F26" s="7"/>
      <c r="G26" s="7"/>
      <c r="H26" s="7"/>
      <c r="I26" s="7"/>
      <c r="J26" s="7"/>
      <c r="K26" s="7"/>
      <c r="L26" s="7"/>
      <c r="M26" s="7"/>
      <c r="N26" s="7"/>
      <c r="O26" s="7"/>
      <c r="P26" s="7"/>
      <c r="Q26" s="9"/>
      <c r="R26" s="10"/>
    </row>
    <row r="27">
      <c r="A27" s="11"/>
      <c r="B27" s="12" t="s">
        <v>2</v>
      </c>
      <c r="C27" s="13" t="s">
        <v>3</v>
      </c>
      <c r="D27" s="14" t="s">
        <v>4</v>
      </c>
      <c r="E27" s="14" t="s">
        <v>5</v>
      </c>
      <c r="F27" s="14" t="s">
        <v>6</v>
      </c>
      <c r="G27" s="14" t="s">
        <v>7</v>
      </c>
      <c r="H27" s="14" t="s">
        <v>8</v>
      </c>
      <c r="I27" s="14" t="s">
        <v>9</v>
      </c>
      <c r="J27" s="14" t="s">
        <v>10</v>
      </c>
      <c r="K27" s="14" t="s">
        <v>11</v>
      </c>
      <c r="L27" s="14" t="s">
        <v>12</v>
      </c>
      <c r="M27" s="14" t="s">
        <v>13</v>
      </c>
      <c r="N27" s="14" t="s">
        <v>14</v>
      </c>
      <c r="O27" s="14" t="s">
        <v>15</v>
      </c>
      <c r="P27" s="14" t="s">
        <v>16</v>
      </c>
      <c r="Q27" s="22" t="s">
        <v>40</v>
      </c>
      <c r="R27" s="25" t="s">
        <v>18</v>
      </c>
    </row>
    <row r="28">
      <c r="A28" s="26"/>
      <c r="B28" s="27" t="s">
        <v>20</v>
      </c>
      <c r="C28" s="29">
        <v>0.1</v>
      </c>
      <c r="D28" s="31">
        <v>0.05</v>
      </c>
      <c r="E28" s="33">
        <v>0.1</v>
      </c>
      <c r="F28" s="33">
        <v>0.05</v>
      </c>
      <c r="G28" s="33">
        <v>0.1</v>
      </c>
      <c r="H28" s="33">
        <v>0.05</v>
      </c>
      <c r="I28" s="33">
        <v>0.05</v>
      </c>
      <c r="J28" s="33">
        <v>0.05</v>
      </c>
      <c r="K28" s="33">
        <v>0.05</v>
      </c>
      <c r="L28" s="33">
        <v>0.05</v>
      </c>
      <c r="M28" s="33">
        <v>0.1</v>
      </c>
      <c r="N28" s="33">
        <v>0.1</v>
      </c>
      <c r="O28" s="33">
        <v>0.05</v>
      </c>
      <c r="P28" s="33">
        <v>0.1</v>
      </c>
      <c r="Q28" s="35">
        <v>0.0</v>
      </c>
      <c r="R28" s="68">
        <f>sum(C28:P28)</f>
        <v>1</v>
      </c>
    </row>
    <row r="29">
      <c r="A29" s="71"/>
      <c r="B29" s="220" t="s">
        <v>24</v>
      </c>
      <c r="C29" s="221" t="s">
        <v>25</v>
      </c>
      <c r="D29" s="76" t="s">
        <v>25</v>
      </c>
      <c r="E29" s="77" t="s">
        <v>26</v>
      </c>
      <c r="F29" s="77" t="s">
        <v>27</v>
      </c>
      <c r="G29" s="77" t="s">
        <v>29</v>
      </c>
      <c r="H29" s="77" t="s">
        <v>31</v>
      </c>
      <c r="I29" s="77" t="s">
        <v>32</v>
      </c>
      <c r="J29" s="77" t="s">
        <v>33</v>
      </c>
      <c r="K29" s="77" t="s">
        <v>34</v>
      </c>
      <c r="L29" s="77" t="s">
        <v>35</v>
      </c>
      <c r="M29" s="77" t="s">
        <v>36</v>
      </c>
      <c r="N29" s="77" t="s">
        <v>37</v>
      </c>
      <c r="O29" s="77" t="s">
        <v>38</v>
      </c>
      <c r="P29" s="77" t="s">
        <v>39</v>
      </c>
      <c r="Q29" s="79" t="s">
        <v>46</v>
      </c>
      <c r="R29" s="80"/>
    </row>
    <row r="30">
      <c r="B30" s="27" t="s">
        <v>22</v>
      </c>
      <c r="C30" s="222" t="s">
        <v>23</v>
      </c>
      <c r="D30" s="223" t="s">
        <v>23</v>
      </c>
      <c r="E30" s="224"/>
      <c r="F30" s="225"/>
      <c r="G30" s="224"/>
      <c r="H30" s="224"/>
      <c r="I30" s="227"/>
      <c r="J30" s="224"/>
      <c r="K30" s="228"/>
      <c r="L30" s="224"/>
      <c r="M30" s="224"/>
      <c r="N30" s="225"/>
      <c r="O30" s="224"/>
      <c r="P30" s="224"/>
      <c r="Q30" s="224"/>
      <c r="R30" s="102"/>
    </row>
    <row r="31">
      <c r="A31" s="26" t="s">
        <v>28</v>
      </c>
      <c r="B31" s="27" t="s">
        <v>30</v>
      </c>
      <c r="C31" s="78">
        <v>132695.0</v>
      </c>
      <c r="D31" s="49">
        <v>1397.147082</v>
      </c>
      <c r="E31" s="29">
        <v>0.98</v>
      </c>
      <c r="F31" s="38">
        <v>1.0</v>
      </c>
      <c r="G31" s="29">
        <v>0.98</v>
      </c>
      <c r="H31" s="29">
        <v>0.02</v>
      </c>
      <c r="I31" s="93">
        <v>4.6E-4</v>
      </c>
      <c r="J31" s="29">
        <v>0.998</v>
      </c>
      <c r="K31" s="51" t="s">
        <v>41</v>
      </c>
      <c r="L31" s="29">
        <v>0.005</v>
      </c>
      <c r="M31" s="29">
        <v>0.99</v>
      </c>
      <c r="N31" s="38">
        <v>3.0</v>
      </c>
      <c r="O31" s="29">
        <v>0.9</v>
      </c>
      <c r="P31" s="29">
        <v>1.0</v>
      </c>
      <c r="Q31" s="53">
        <v>1.0</v>
      </c>
      <c r="R31" s="4"/>
    </row>
    <row r="32">
      <c r="A32" s="54">
        <v>1.0</v>
      </c>
      <c r="B32" s="81" t="s">
        <v>42</v>
      </c>
      <c r="C32" s="82">
        <f>'1. Tổng doanh thu'!T12</f>
        <v>1.028054231</v>
      </c>
      <c r="D32" s="83">
        <v>1.0</v>
      </c>
      <c r="E32" s="84">
        <f t="shared" ref="E32:Q32" si="1">E12</f>
        <v>0.9417</v>
      </c>
      <c r="F32" s="87">
        <f t="shared" si="1"/>
        <v>1</v>
      </c>
      <c r="G32" s="84">
        <f t="shared" si="1"/>
        <v>0.9345238095</v>
      </c>
      <c r="H32" s="84">
        <f t="shared" si="1"/>
        <v>0.00726744186</v>
      </c>
      <c r="I32" s="86">
        <f t="shared" si="1"/>
        <v>0.00121</v>
      </c>
      <c r="J32" s="84">
        <f t="shared" si="1"/>
        <v>1</v>
      </c>
      <c r="K32" s="84">
        <f t="shared" si="1"/>
        <v>0.9983</v>
      </c>
      <c r="L32" s="84">
        <f t="shared" si="1"/>
        <v>0</v>
      </c>
      <c r="M32" s="84">
        <f t="shared" si="1"/>
        <v>0.98467065</v>
      </c>
      <c r="N32" s="87">
        <f t="shared" si="1"/>
        <v>2.35</v>
      </c>
      <c r="O32" s="84">
        <f t="shared" si="1"/>
        <v>0.8695</v>
      </c>
      <c r="P32" s="84">
        <f t="shared" si="1"/>
        <v>1</v>
      </c>
      <c r="Q32" s="99">
        <f t="shared" si="1"/>
        <v>1</v>
      </c>
      <c r="R32" s="102"/>
    </row>
    <row r="33">
      <c r="A33" s="54">
        <v>2.0</v>
      </c>
      <c r="B33" s="88" t="s">
        <v>43</v>
      </c>
      <c r="C33" s="82">
        <f>'1. Tổng doanh thu'!T13</f>
        <v>0.9627703098</v>
      </c>
      <c r="D33" s="83">
        <v>1.0</v>
      </c>
      <c r="E33" s="99">
        <f t="shared" ref="E33:Q33" si="2">E13</f>
        <v>0.9671</v>
      </c>
      <c r="F33" s="87">
        <f t="shared" si="2"/>
        <v>1</v>
      </c>
      <c r="G33" s="84">
        <f t="shared" si="2"/>
        <v>0.8803088803</v>
      </c>
      <c r="H33" s="84">
        <f t="shared" si="2"/>
        <v>0.04651162791</v>
      </c>
      <c r="I33" s="86">
        <f t="shared" si="2"/>
        <v>0.00219</v>
      </c>
      <c r="J33" s="84">
        <f t="shared" si="2"/>
        <v>1</v>
      </c>
      <c r="K33" s="84">
        <f t="shared" si="2"/>
        <v>1.4121</v>
      </c>
      <c r="L33" s="84">
        <f t="shared" si="2"/>
        <v>0.0861</v>
      </c>
      <c r="M33" s="84">
        <f t="shared" si="2"/>
        <v>0.98337388</v>
      </c>
      <c r="N33" s="87">
        <f t="shared" si="2"/>
        <v>6.67</v>
      </c>
      <c r="O33" s="84">
        <f t="shared" si="2"/>
        <v>0.9269</v>
      </c>
      <c r="P33" s="84">
        <f t="shared" si="2"/>
        <v>1</v>
      </c>
      <c r="Q33" s="99">
        <f t="shared" si="2"/>
        <v>1</v>
      </c>
      <c r="R33" s="102"/>
    </row>
    <row r="34">
      <c r="A34" s="54">
        <v>3.0</v>
      </c>
      <c r="B34" s="88" t="s">
        <v>44</v>
      </c>
      <c r="C34" s="82">
        <f>'1. Tổng doanh thu'!T14</f>
        <v>0.8995145937</v>
      </c>
      <c r="D34" s="83">
        <v>1.0</v>
      </c>
      <c r="E34" s="99">
        <f t="shared" ref="E34:Q34" si="3">E14</f>
        <v>0.9027</v>
      </c>
      <c r="F34" s="87">
        <f t="shared" si="3"/>
        <v>1</v>
      </c>
      <c r="G34" s="84">
        <f t="shared" si="3"/>
        <v>0.9358552632</v>
      </c>
      <c r="H34" s="84">
        <f t="shared" si="3"/>
        <v>0.01315789474</v>
      </c>
      <c r="I34" s="86">
        <f t="shared" si="3"/>
        <v>0.00321</v>
      </c>
      <c r="J34" s="84">
        <f t="shared" si="3"/>
        <v>1</v>
      </c>
      <c r="K34" s="84">
        <f t="shared" si="3"/>
        <v>0.4363</v>
      </c>
      <c r="L34" s="84">
        <f t="shared" si="3"/>
        <v>0.0046</v>
      </c>
      <c r="M34" s="84">
        <f t="shared" si="3"/>
        <v>0.98329077</v>
      </c>
      <c r="N34" s="87">
        <f t="shared" si="3"/>
        <v>7.62</v>
      </c>
      <c r="O34" s="84">
        <f t="shared" si="3"/>
        <v>0.8571</v>
      </c>
      <c r="P34" s="84">
        <f t="shared" si="3"/>
        <v>1</v>
      </c>
      <c r="Q34" s="99">
        <f t="shared" si="3"/>
        <v>1</v>
      </c>
      <c r="R34" s="102"/>
    </row>
    <row r="35">
      <c r="A35" s="54">
        <v>4.0</v>
      </c>
      <c r="B35" s="88" t="s">
        <v>45</v>
      </c>
      <c r="C35" s="82">
        <f>'1. Tổng doanh thu'!T15</f>
        <v>0.9524344569</v>
      </c>
      <c r="D35" s="83">
        <v>1.0</v>
      </c>
      <c r="E35" s="99">
        <f t="shared" ref="E35:Q35" si="4">E15</f>
        <v>0.6893</v>
      </c>
      <c r="F35" s="87">
        <f t="shared" si="4"/>
        <v>1</v>
      </c>
      <c r="G35" s="84">
        <f t="shared" si="4"/>
        <v>0.9713114754</v>
      </c>
      <c r="H35" s="84">
        <f t="shared" si="4"/>
        <v>0.08994708995</v>
      </c>
      <c r="I35" s="86">
        <f t="shared" si="4"/>
        <v>0.00203</v>
      </c>
      <c r="J35" s="84">
        <f t="shared" si="4"/>
        <v>1</v>
      </c>
      <c r="K35" s="84">
        <f t="shared" si="4"/>
        <v>1.0667</v>
      </c>
      <c r="L35" s="84">
        <f t="shared" si="4"/>
        <v>0.0215</v>
      </c>
      <c r="M35" s="84">
        <f t="shared" si="4"/>
        <v>0.97927729</v>
      </c>
      <c r="N35" s="87">
        <f t="shared" si="4"/>
        <v>3.35</v>
      </c>
      <c r="O35" s="84">
        <f t="shared" si="4"/>
        <v>0.8443</v>
      </c>
      <c r="P35" s="84">
        <f t="shared" si="4"/>
        <v>1</v>
      </c>
      <c r="Q35" s="99">
        <f t="shared" si="4"/>
        <v>1</v>
      </c>
      <c r="R35" s="102"/>
    </row>
    <row r="36">
      <c r="A36" s="54">
        <v>5.0</v>
      </c>
      <c r="B36" s="88" t="s">
        <v>47</v>
      </c>
      <c r="C36" s="82">
        <f>'1. Tổng doanh thu'!T16</f>
        <v>1.06232978</v>
      </c>
      <c r="D36" s="83">
        <v>1.0</v>
      </c>
      <c r="E36" s="99">
        <f t="shared" ref="E36:Q36" si="5">E16</f>
        <v>0.9342</v>
      </c>
      <c r="F36" s="87">
        <f t="shared" si="5"/>
        <v>1</v>
      </c>
      <c r="G36" s="84">
        <f t="shared" si="5"/>
        <v>0.9083820663</v>
      </c>
      <c r="H36" s="84">
        <f t="shared" si="5"/>
        <v>0.0509383378</v>
      </c>
      <c r="I36" s="86">
        <f t="shared" si="5"/>
        <v>0.00115</v>
      </c>
      <c r="J36" s="84">
        <f t="shared" si="5"/>
        <v>1</v>
      </c>
      <c r="K36" s="84">
        <f t="shared" si="5"/>
        <v>0.9121</v>
      </c>
      <c r="L36" s="84">
        <f t="shared" si="5"/>
        <v>0.0351</v>
      </c>
      <c r="M36" s="84">
        <f t="shared" si="5"/>
        <v>0.98459019</v>
      </c>
      <c r="N36" s="87">
        <f t="shared" si="5"/>
        <v>2.63</v>
      </c>
      <c r="O36" s="84">
        <f t="shared" si="5"/>
        <v>0.8741</v>
      </c>
      <c r="P36" s="84">
        <f t="shared" si="5"/>
        <v>1</v>
      </c>
      <c r="Q36" s="99">
        <f t="shared" si="5"/>
        <v>1</v>
      </c>
      <c r="R36" s="102"/>
    </row>
    <row r="37">
      <c r="A37" s="54">
        <v>6.0</v>
      </c>
      <c r="B37" s="88" t="s">
        <v>48</v>
      </c>
      <c r="C37" s="82">
        <f>'1. Tổng doanh thu'!T17</f>
        <v>0.9605251717</v>
      </c>
      <c r="D37" s="83">
        <v>1.0</v>
      </c>
      <c r="E37" s="99">
        <f t="shared" ref="E37:Q37" si="6">E17</f>
        <v>0.8528</v>
      </c>
      <c r="F37" s="87">
        <f t="shared" si="6"/>
        <v>1</v>
      </c>
      <c r="G37" s="84">
        <f t="shared" si="6"/>
        <v>0.8959537572</v>
      </c>
      <c r="H37" s="84">
        <f t="shared" si="6"/>
        <v>0.01457725948</v>
      </c>
      <c r="I37" s="86">
        <f t="shared" si="6"/>
        <v>0.00219</v>
      </c>
      <c r="J37" s="84">
        <f t="shared" si="6"/>
        <v>1</v>
      </c>
      <c r="K37" s="84">
        <f t="shared" si="6"/>
        <v>0.7177</v>
      </c>
      <c r="L37" s="84">
        <f t="shared" si="6"/>
        <v>0.0186</v>
      </c>
      <c r="M37" s="84">
        <f t="shared" si="6"/>
        <v>0.98553763</v>
      </c>
      <c r="N37" s="87">
        <f t="shared" si="6"/>
        <v>4.41</v>
      </c>
      <c r="O37" s="84">
        <f t="shared" si="6"/>
        <v>0.8814</v>
      </c>
      <c r="P37" s="84">
        <f t="shared" si="6"/>
        <v>1</v>
      </c>
      <c r="Q37" s="99">
        <f t="shared" si="6"/>
        <v>1</v>
      </c>
      <c r="R37" s="102"/>
    </row>
    <row r="38">
      <c r="A38" s="54">
        <v>7.0</v>
      </c>
      <c r="B38" s="114" t="s">
        <v>49</v>
      </c>
      <c r="C38" s="82">
        <f>'1. Tổng doanh thu'!T18</f>
        <v>0.9383310534</v>
      </c>
      <c r="D38" s="108">
        <v>1.0</v>
      </c>
      <c r="E38" s="99">
        <f t="shared" ref="E38:Q38" si="7">E18</f>
        <v>0.5871</v>
      </c>
      <c r="F38" s="87">
        <f t="shared" si="7"/>
        <v>1</v>
      </c>
      <c r="G38" s="84">
        <f t="shared" si="7"/>
        <v>0.9761570827</v>
      </c>
      <c r="H38" s="84">
        <f t="shared" si="7"/>
        <v>0.006182380216</v>
      </c>
      <c r="I38" s="86">
        <f t="shared" si="7"/>
        <v>0.00187</v>
      </c>
      <c r="J38" s="84">
        <f t="shared" si="7"/>
        <v>1</v>
      </c>
      <c r="K38" s="84">
        <f t="shared" si="7"/>
        <v>0.8348</v>
      </c>
      <c r="L38" s="84">
        <f t="shared" si="7"/>
        <v>0.0029</v>
      </c>
      <c r="M38" s="84">
        <f t="shared" si="7"/>
        <v>0.98667417</v>
      </c>
      <c r="N38" s="87">
        <f t="shared" si="7"/>
        <v>4.74</v>
      </c>
      <c r="O38" s="84">
        <f t="shared" si="7"/>
        <v>0.7956</v>
      </c>
      <c r="P38" s="84">
        <f t="shared" si="7"/>
        <v>1</v>
      </c>
      <c r="Q38" s="99">
        <f t="shared" si="7"/>
        <v>1</v>
      </c>
      <c r="R38" s="169"/>
    </row>
    <row r="39">
      <c r="A39" s="115"/>
      <c r="B39" s="175" t="s">
        <v>50</v>
      </c>
      <c r="C39" s="248">
        <f>'1. Tổng doanh thu'!T19</f>
        <v>0.9836639985</v>
      </c>
      <c r="D39" s="249">
        <v>1.0</v>
      </c>
      <c r="E39" s="185">
        <f t="shared" ref="E39:Q39" si="8">E19</f>
        <v>0.8205</v>
      </c>
      <c r="F39" s="253">
        <f t="shared" si="8"/>
        <v>1</v>
      </c>
      <c r="G39" s="254">
        <f t="shared" si="8"/>
        <v>0.9293492023</v>
      </c>
      <c r="H39" s="254">
        <f t="shared" si="8"/>
        <v>0.02519058668</v>
      </c>
      <c r="I39" s="256">
        <f t="shared" si="8"/>
        <v>0.00185</v>
      </c>
      <c r="J39" s="254">
        <f t="shared" si="8"/>
        <v>1</v>
      </c>
      <c r="K39" s="254">
        <f t="shared" si="8"/>
        <v>0.9333</v>
      </c>
      <c r="L39" s="254">
        <f t="shared" si="8"/>
        <v>0.0224</v>
      </c>
      <c r="M39" s="254">
        <f t="shared" si="8"/>
        <v>0.98677939</v>
      </c>
      <c r="N39" s="259">
        <f t="shared" si="8"/>
        <v>4.64</v>
      </c>
      <c r="O39" s="254">
        <f t="shared" si="8"/>
        <v>0.8501</v>
      </c>
      <c r="P39" s="262">
        <f t="shared" si="8"/>
        <v>1</v>
      </c>
      <c r="Q39" s="263">
        <f t="shared" si="8"/>
        <v>1</v>
      </c>
      <c r="R39" s="265"/>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row>
    <row r="40">
      <c r="B40" s="205" t="s">
        <v>78</v>
      </c>
      <c r="C40" s="272">
        <v>0.97173</v>
      </c>
      <c r="D40" s="272">
        <v>1.00419</v>
      </c>
      <c r="E40" s="272">
        <v>0.8196</v>
      </c>
      <c r="F40" s="205">
        <v>1.46</v>
      </c>
      <c r="G40" s="272">
        <v>0.9279</v>
      </c>
      <c r="H40" s="272">
        <v>0.0115</v>
      </c>
      <c r="I40" s="273">
        <v>0.00192</v>
      </c>
      <c r="J40" s="272">
        <v>1.0</v>
      </c>
      <c r="K40" s="272">
        <v>1.0588</v>
      </c>
      <c r="L40" s="272">
        <v>0.0039</v>
      </c>
      <c r="M40" s="272">
        <v>0.9868</v>
      </c>
      <c r="N40" s="205">
        <v>4.33</v>
      </c>
      <c r="O40" s="272">
        <v>0.8813</v>
      </c>
      <c r="P40" s="272">
        <v>1.0</v>
      </c>
      <c r="Q40" s="275"/>
    </row>
    <row r="41">
      <c r="A41" s="205">
        <v>8.0</v>
      </c>
      <c r="B41" s="205" t="s">
        <v>80</v>
      </c>
    </row>
    <row r="42">
      <c r="A42" s="205">
        <v>9.0</v>
      </c>
      <c r="B42" s="205" t="s">
        <v>81</v>
      </c>
    </row>
    <row r="47">
      <c r="A47" s="1"/>
      <c r="B47" s="4"/>
      <c r="C47" s="5" t="s">
        <v>62</v>
      </c>
      <c r="D47" s="7"/>
      <c r="E47" s="7"/>
      <c r="F47" s="7"/>
      <c r="G47" s="7"/>
      <c r="H47" s="7"/>
      <c r="I47" s="7"/>
      <c r="J47" s="7"/>
      <c r="K47" s="7"/>
      <c r="L47" s="7"/>
      <c r="M47" s="7"/>
      <c r="N47" s="7"/>
      <c r="O47" s="7"/>
      <c r="P47" s="7"/>
      <c r="Q47" s="9"/>
      <c r="R47" s="10"/>
    </row>
    <row r="48">
      <c r="A48" s="11"/>
      <c r="B48" s="12" t="s">
        <v>2</v>
      </c>
      <c r="C48" s="13" t="s">
        <v>3</v>
      </c>
      <c r="D48" s="14" t="s">
        <v>4</v>
      </c>
      <c r="E48" s="14" t="s">
        <v>5</v>
      </c>
      <c r="F48" s="14" t="s">
        <v>6</v>
      </c>
      <c r="G48" s="14" t="s">
        <v>7</v>
      </c>
      <c r="H48" s="14" t="s">
        <v>8</v>
      </c>
      <c r="I48" s="14" t="s">
        <v>9</v>
      </c>
      <c r="J48" s="14" t="s">
        <v>10</v>
      </c>
      <c r="K48" s="14" t="s">
        <v>11</v>
      </c>
      <c r="L48" s="14" t="s">
        <v>12</v>
      </c>
      <c r="M48" s="14" t="s">
        <v>13</v>
      </c>
      <c r="N48" s="14" t="s">
        <v>14</v>
      </c>
      <c r="O48" s="14" t="s">
        <v>15</v>
      </c>
      <c r="P48" s="14" t="s">
        <v>16</v>
      </c>
      <c r="Q48" s="22" t="s">
        <v>40</v>
      </c>
      <c r="R48" s="25" t="s">
        <v>18</v>
      </c>
    </row>
    <row r="49">
      <c r="A49" s="26"/>
      <c r="B49" s="27" t="s">
        <v>20</v>
      </c>
      <c r="C49" s="29">
        <v>0.1</v>
      </c>
      <c r="D49" s="31">
        <v>0.05</v>
      </c>
      <c r="E49" s="34">
        <v>0.1</v>
      </c>
      <c r="F49" s="33">
        <v>0.05</v>
      </c>
      <c r="G49" s="33">
        <v>0.1</v>
      </c>
      <c r="H49" s="34">
        <v>0.05</v>
      </c>
      <c r="I49" s="34">
        <v>0.1</v>
      </c>
      <c r="J49" s="34">
        <v>0.0</v>
      </c>
      <c r="K49" s="33">
        <v>0.05</v>
      </c>
      <c r="L49" s="34">
        <v>0.1</v>
      </c>
      <c r="M49" s="33">
        <v>0.1</v>
      </c>
      <c r="N49" s="33">
        <v>0.1</v>
      </c>
      <c r="O49" s="34">
        <v>0.0</v>
      </c>
      <c r="P49" s="33">
        <v>0.1</v>
      </c>
      <c r="Q49" s="35">
        <v>0.0</v>
      </c>
      <c r="R49" s="36">
        <f>sum(C49:P49)</f>
        <v>1</v>
      </c>
    </row>
    <row r="50">
      <c r="B50" s="27" t="s">
        <v>22</v>
      </c>
      <c r="C50" s="38" t="s">
        <v>23</v>
      </c>
      <c r="D50" s="39" t="s">
        <v>23</v>
      </c>
      <c r="E50" s="40"/>
      <c r="F50" s="41"/>
      <c r="G50" s="40"/>
      <c r="H50" s="40"/>
      <c r="I50" s="42"/>
      <c r="J50" s="40"/>
      <c r="K50" s="44"/>
      <c r="L50" s="40"/>
      <c r="M50" s="40"/>
      <c r="N50" s="41"/>
      <c r="O50" s="40"/>
      <c r="P50" s="40"/>
      <c r="Q50" s="40"/>
      <c r="R50" s="4"/>
    </row>
    <row r="51">
      <c r="A51" s="26" t="s">
        <v>28</v>
      </c>
      <c r="B51" s="27" t="s">
        <v>30</v>
      </c>
      <c r="C51" s="78">
        <v>132695.0</v>
      </c>
      <c r="D51" s="49">
        <v>1397.147082</v>
      </c>
      <c r="E51" s="29">
        <v>0.98</v>
      </c>
      <c r="F51" s="38">
        <v>1.0</v>
      </c>
      <c r="G51" s="29">
        <v>0.98</v>
      </c>
      <c r="H51" s="29">
        <v>0.02</v>
      </c>
      <c r="I51" s="93">
        <v>4.6E-4</v>
      </c>
      <c r="J51" s="29">
        <v>0.998</v>
      </c>
      <c r="K51" s="35">
        <v>1.0</v>
      </c>
      <c r="L51" s="29">
        <v>0.005</v>
      </c>
      <c r="M51" s="29">
        <v>0.99</v>
      </c>
      <c r="N51" s="38">
        <v>3.0</v>
      </c>
      <c r="O51" s="29">
        <v>0.9</v>
      </c>
      <c r="P51" s="29">
        <v>1.0</v>
      </c>
      <c r="Q51" s="53">
        <v>1.0</v>
      </c>
      <c r="R51" s="4"/>
    </row>
    <row r="52">
      <c r="A52" s="54">
        <v>1.0</v>
      </c>
      <c r="B52" s="81" t="s">
        <v>42</v>
      </c>
      <c r="C52" s="103">
        <f t="shared" ref="C52:C60" si="9">IF(C32&lt;95%,
MAX(-10,((C32-95%)/0.5%)*$C$49),
IF(C32&lt;100%,
((C32-100%)/0.5%)*0.5*$C$49,
MIN(10,((C32-100%)/0.5%)*$C$49)))</f>
        <v>0.5610846134</v>
      </c>
      <c r="D52" s="104">
        <f t="shared" ref="D52:D60" si="10">IF(D32&lt;95%,
MAX(-10,((D32-95%)/0.5%)*$D$49),
IF(D32&lt;100%,
((D32-100%)/0.5%)*0.5*$D$49,
MIN(10,((D32-100%)/0.5%)*$D$49)))</f>
        <v>0</v>
      </c>
      <c r="E52" s="67">
        <f t="shared" ref="E52:E60" si="11">((98%-E32)/1%)*$E$49</f>
        <v>0.383</v>
      </c>
      <c r="F52" s="60">
        <f t="shared" ref="F52:F60" si="12">MIN(3,MAX(-5,((F32-1)/0.01)*0.1))*$F$49</f>
        <v>0</v>
      </c>
      <c r="G52" s="58">
        <f t="shared" ref="G52:G60" si="13">((G32-98%)/0.1%*1.5)*$G$49</f>
        <v>-6.821428571</v>
      </c>
      <c r="H52" s="58">
        <f t="shared" ref="H52:H60" si="14">((2%-H32)/0.1%*1.5)*$H$49</f>
        <v>0.9549418605</v>
      </c>
      <c r="I52" s="67">
        <f t="shared" ref="I52:I60" si="15">((0.046%-I32)/0.001%*0.65)*$I$49</f>
        <v>-4.875</v>
      </c>
      <c r="J52" s="58">
        <f t="shared" ref="J52:J60" si="16">IF(J32&gt;=99.8%,
     ((J32-99.8%)/0.01%*1.5)*$J$49,
     MAX(-2,((J32-99.8%)/0.01%*1.5)*$J$49))</f>
        <v>0</v>
      </c>
      <c r="K52" s="62">
        <f t="shared" ref="K52:K60" si="17">(-(K32-100%)/3%*0.5)*$K$49</f>
        <v>0.001416666667</v>
      </c>
      <c r="L52" s="58">
        <f t="shared" ref="L52:L60" si="18">((L32-0.5%)/0.1%*6)*$L$49</f>
        <v>-3</v>
      </c>
      <c r="M52" s="58">
        <f t="shared" ref="M52:M60" si="19">((M32-99%)/0.1%*3)*$M$49</f>
        <v>-1.598805</v>
      </c>
      <c r="N52" s="58">
        <f t="shared" ref="N52:N60" si="20">((3-N32)/0.1*0.5)*$N$49</f>
        <v>0.325</v>
      </c>
      <c r="O52" s="58">
        <f t="shared" ref="O52:O60" si="21">IF(O32&gt;=90%,((O32-90%)/1%*3)*$O$49,MAX(-3,((O32-90%)/1%*3)*$O$49))</f>
        <v>0</v>
      </c>
      <c r="P52" s="58">
        <f t="shared" ref="P52:P60" si="22">IF(P32&gt;=100%,0,((P32-100%)/2%)*$P$49)</f>
        <v>0</v>
      </c>
      <c r="Q52" s="87">
        <v>0.0</v>
      </c>
      <c r="R52" s="105">
        <f t="shared" ref="R52:R59" si="23">100+sum(C52:Q52)</f>
        <v>85.93020957</v>
      </c>
    </row>
    <row r="53">
      <c r="A53" s="54">
        <v>2.0</v>
      </c>
      <c r="B53" s="88" t="s">
        <v>43</v>
      </c>
      <c r="C53" s="103">
        <f t="shared" si="9"/>
        <v>-0.3722969024</v>
      </c>
      <c r="D53" s="104">
        <f t="shared" si="10"/>
        <v>0</v>
      </c>
      <c r="E53" s="67">
        <f t="shared" si="11"/>
        <v>0.129</v>
      </c>
      <c r="F53" s="60">
        <f t="shared" si="12"/>
        <v>0</v>
      </c>
      <c r="G53" s="58">
        <f t="shared" si="13"/>
        <v>-14.95366795</v>
      </c>
      <c r="H53" s="58">
        <f t="shared" si="14"/>
        <v>-1.988372093</v>
      </c>
      <c r="I53" s="67">
        <f t="shared" si="15"/>
        <v>-11.245</v>
      </c>
      <c r="J53" s="58">
        <f t="shared" si="16"/>
        <v>0</v>
      </c>
      <c r="K53" s="62">
        <f t="shared" si="17"/>
        <v>-0.3434166667</v>
      </c>
      <c r="L53" s="58">
        <f t="shared" si="18"/>
        <v>48.66</v>
      </c>
      <c r="M53" s="58">
        <f t="shared" si="19"/>
        <v>-1.987836</v>
      </c>
      <c r="N53" s="58">
        <f t="shared" si="20"/>
        <v>-1.835</v>
      </c>
      <c r="O53" s="58">
        <f t="shared" si="21"/>
        <v>0</v>
      </c>
      <c r="P53" s="58">
        <f t="shared" si="22"/>
        <v>0</v>
      </c>
      <c r="Q53" s="87">
        <v>0.0</v>
      </c>
      <c r="R53" s="105">
        <f t="shared" si="23"/>
        <v>116.0634104</v>
      </c>
    </row>
    <row r="54">
      <c r="A54" s="54">
        <v>3.0</v>
      </c>
      <c r="B54" s="88" t="s">
        <v>44</v>
      </c>
      <c r="C54" s="103">
        <f t="shared" si="9"/>
        <v>-1.009708126</v>
      </c>
      <c r="D54" s="104">
        <f t="shared" si="10"/>
        <v>0</v>
      </c>
      <c r="E54" s="67">
        <f t="shared" si="11"/>
        <v>0.773</v>
      </c>
      <c r="F54" s="60">
        <f t="shared" si="12"/>
        <v>0</v>
      </c>
      <c r="G54" s="58">
        <f t="shared" si="13"/>
        <v>-6.621710526</v>
      </c>
      <c r="H54" s="58">
        <f t="shared" si="14"/>
        <v>0.5131578947</v>
      </c>
      <c r="I54" s="67">
        <f t="shared" si="15"/>
        <v>-17.875</v>
      </c>
      <c r="J54" s="58">
        <f t="shared" si="16"/>
        <v>0</v>
      </c>
      <c r="K54" s="62">
        <f t="shared" si="17"/>
        <v>0.46975</v>
      </c>
      <c r="L54" s="58">
        <f t="shared" si="18"/>
        <v>-0.24</v>
      </c>
      <c r="M54" s="58">
        <f t="shared" si="19"/>
        <v>-2.012769</v>
      </c>
      <c r="N54" s="58">
        <f t="shared" si="20"/>
        <v>-2.31</v>
      </c>
      <c r="O54" s="58">
        <f t="shared" si="21"/>
        <v>0</v>
      </c>
      <c r="P54" s="58">
        <f t="shared" si="22"/>
        <v>0</v>
      </c>
      <c r="Q54" s="87">
        <v>0.0</v>
      </c>
      <c r="R54" s="105">
        <f t="shared" si="23"/>
        <v>71.68672024</v>
      </c>
    </row>
    <row r="55">
      <c r="A55" s="54">
        <v>4.0</v>
      </c>
      <c r="B55" s="88" t="s">
        <v>45</v>
      </c>
      <c r="C55" s="103">
        <f t="shared" si="9"/>
        <v>-0.4756554307</v>
      </c>
      <c r="D55" s="104">
        <f t="shared" si="10"/>
        <v>0</v>
      </c>
      <c r="E55" s="67">
        <f t="shared" si="11"/>
        <v>2.907</v>
      </c>
      <c r="F55" s="60">
        <f t="shared" si="12"/>
        <v>0</v>
      </c>
      <c r="G55" s="58">
        <f t="shared" si="13"/>
        <v>-1.303278689</v>
      </c>
      <c r="H55" s="58">
        <f t="shared" si="14"/>
        <v>-5.246031746</v>
      </c>
      <c r="I55" s="67">
        <f t="shared" si="15"/>
        <v>-10.205</v>
      </c>
      <c r="J55" s="58">
        <f t="shared" si="16"/>
        <v>0</v>
      </c>
      <c r="K55" s="62">
        <f t="shared" si="17"/>
        <v>-0.05558333333</v>
      </c>
      <c r="L55" s="58">
        <f t="shared" si="18"/>
        <v>9.9</v>
      </c>
      <c r="M55" s="58">
        <f t="shared" si="19"/>
        <v>-3.216813</v>
      </c>
      <c r="N55" s="58">
        <f t="shared" si="20"/>
        <v>-0.175</v>
      </c>
      <c r="O55" s="58">
        <f t="shared" si="21"/>
        <v>0</v>
      </c>
      <c r="P55" s="58">
        <f t="shared" si="22"/>
        <v>0</v>
      </c>
      <c r="Q55" s="87">
        <v>0.0</v>
      </c>
      <c r="R55" s="105">
        <f t="shared" si="23"/>
        <v>92.1296378</v>
      </c>
    </row>
    <row r="56">
      <c r="A56" s="54">
        <v>5.0</v>
      </c>
      <c r="B56" s="88" t="s">
        <v>47</v>
      </c>
      <c r="C56" s="103">
        <f t="shared" si="9"/>
        <v>1.246595596</v>
      </c>
      <c r="D56" s="104">
        <f t="shared" si="10"/>
        <v>0</v>
      </c>
      <c r="E56" s="67">
        <f t="shared" si="11"/>
        <v>0.458</v>
      </c>
      <c r="F56" s="60">
        <f t="shared" si="12"/>
        <v>0</v>
      </c>
      <c r="G56" s="58">
        <f t="shared" si="13"/>
        <v>-10.74269006</v>
      </c>
      <c r="H56" s="58">
        <f t="shared" si="14"/>
        <v>-2.320375335</v>
      </c>
      <c r="I56" s="67">
        <f t="shared" si="15"/>
        <v>-4.485</v>
      </c>
      <c r="J56" s="58">
        <f t="shared" si="16"/>
        <v>0</v>
      </c>
      <c r="K56" s="62">
        <f t="shared" si="17"/>
        <v>0.07325</v>
      </c>
      <c r="L56" s="58">
        <f t="shared" si="18"/>
        <v>18.06</v>
      </c>
      <c r="M56" s="58">
        <f t="shared" si="19"/>
        <v>-1.622943</v>
      </c>
      <c r="N56" s="58">
        <f t="shared" si="20"/>
        <v>0.185</v>
      </c>
      <c r="O56" s="58">
        <f t="shared" si="21"/>
        <v>0</v>
      </c>
      <c r="P56" s="58">
        <f t="shared" si="22"/>
        <v>0</v>
      </c>
      <c r="Q56" s="87">
        <v>0.0</v>
      </c>
      <c r="R56" s="105">
        <f t="shared" si="23"/>
        <v>100.8518372</v>
      </c>
    </row>
    <row r="57">
      <c r="A57" s="54">
        <v>6.0</v>
      </c>
      <c r="B57" s="88" t="s">
        <v>48</v>
      </c>
      <c r="C57" s="103">
        <f t="shared" si="9"/>
        <v>-0.3947482828</v>
      </c>
      <c r="D57" s="104">
        <f t="shared" si="10"/>
        <v>0</v>
      </c>
      <c r="E57" s="67">
        <f t="shared" si="11"/>
        <v>1.272</v>
      </c>
      <c r="F57" s="60">
        <f t="shared" si="12"/>
        <v>0</v>
      </c>
      <c r="G57" s="58">
        <f t="shared" si="13"/>
        <v>-12.60693642</v>
      </c>
      <c r="H57" s="58">
        <f t="shared" si="14"/>
        <v>0.4067055394</v>
      </c>
      <c r="I57" s="67">
        <f t="shared" si="15"/>
        <v>-11.245</v>
      </c>
      <c r="J57" s="58">
        <f t="shared" si="16"/>
        <v>0</v>
      </c>
      <c r="K57" s="62">
        <f t="shared" si="17"/>
        <v>0.23525</v>
      </c>
      <c r="L57" s="58">
        <f t="shared" si="18"/>
        <v>8.16</v>
      </c>
      <c r="M57" s="58">
        <f t="shared" si="19"/>
        <v>-1.338711</v>
      </c>
      <c r="N57" s="58">
        <f t="shared" si="20"/>
        <v>-0.705</v>
      </c>
      <c r="O57" s="58">
        <f t="shared" si="21"/>
        <v>0</v>
      </c>
      <c r="P57" s="58">
        <f t="shared" si="22"/>
        <v>0</v>
      </c>
      <c r="Q57" s="87">
        <v>0.0</v>
      </c>
      <c r="R57" s="105">
        <f t="shared" si="23"/>
        <v>83.78355984</v>
      </c>
    </row>
    <row r="58">
      <c r="A58" s="54">
        <v>7.0</v>
      </c>
      <c r="B58" s="114" t="s">
        <v>49</v>
      </c>
      <c r="C58" s="103">
        <f t="shared" si="9"/>
        <v>-0.233378933</v>
      </c>
      <c r="D58" s="104">
        <f t="shared" si="10"/>
        <v>0</v>
      </c>
      <c r="E58" s="67">
        <f t="shared" si="11"/>
        <v>3.929</v>
      </c>
      <c r="F58" s="60">
        <f t="shared" si="12"/>
        <v>0</v>
      </c>
      <c r="G58" s="58">
        <f t="shared" si="13"/>
        <v>-0.5764375877</v>
      </c>
      <c r="H58" s="58">
        <f t="shared" si="14"/>
        <v>1.036321484</v>
      </c>
      <c r="I58" s="67">
        <f t="shared" si="15"/>
        <v>-9.165</v>
      </c>
      <c r="J58" s="58">
        <f t="shared" si="16"/>
        <v>0</v>
      </c>
      <c r="K58" s="62">
        <f t="shared" si="17"/>
        <v>0.1376666667</v>
      </c>
      <c r="L58" s="58">
        <f t="shared" si="18"/>
        <v>-1.26</v>
      </c>
      <c r="M58" s="58">
        <f t="shared" si="19"/>
        <v>-0.997749</v>
      </c>
      <c r="N58" s="58">
        <f t="shared" si="20"/>
        <v>-0.87</v>
      </c>
      <c r="O58" s="58">
        <f t="shared" si="21"/>
        <v>0</v>
      </c>
      <c r="P58" s="58">
        <f t="shared" si="22"/>
        <v>0</v>
      </c>
      <c r="Q58" s="87">
        <v>0.0</v>
      </c>
      <c r="R58" s="105">
        <f t="shared" si="23"/>
        <v>92.00042263</v>
      </c>
    </row>
    <row r="59">
      <c r="A59" s="115"/>
      <c r="B59" s="116" t="s">
        <v>50</v>
      </c>
      <c r="C59" s="117">
        <f t="shared" si="9"/>
        <v>-0.163360015</v>
      </c>
      <c r="D59" s="118">
        <f t="shared" si="10"/>
        <v>0</v>
      </c>
      <c r="E59" s="118">
        <f t="shared" si="11"/>
        <v>1.595</v>
      </c>
      <c r="F59" s="119">
        <f t="shared" si="12"/>
        <v>0</v>
      </c>
      <c r="G59" s="117">
        <f t="shared" si="13"/>
        <v>-7.597619651</v>
      </c>
      <c r="H59" s="117">
        <f t="shared" si="14"/>
        <v>-0.3892940007</v>
      </c>
      <c r="I59" s="118">
        <f t="shared" si="15"/>
        <v>-9.035</v>
      </c>
      <c r="J59" s="117">
        <f t="shared" si="16"/>
        <v>0</v>
      </c>
      <c r="K59" s="120">
        <f t="shared" si="17"/>
        <v>0.05558333333</v>
      </c>
      <c r="L59" s="117">
        <f t="shared" si="18"/>
        <v>10.44</v>
      </c>
      <c r="M59" s="117">
        <f t="shared" si="19"/>
        <v>-0.966183</v>
      </c>
      <c r="N59" s="117">
        <f t="shared" si="20"/>
        <v>-0.82</v>
      </c>
      <c r="O59" s="117">
        <f t="shared" si="21"/>
        <v>0</v>
      </c>
      <c r="P59" s="117">
        <f t="shared" si="22"/>
        <v>0</v>
      </c>
      <c r="Q59" s="121">
        <v>0.0</v>
      </c>
      <c r="R59" s="122">
        <f t="shared" si="23"/>
        <v>93.11912667</v>
      </c>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row>
    <row r="60">
      <c r="A60" s="129"/>
      <c r="B60" s="295" t="s">
        <v>147</v>
      </c>
      <c r="C60" s="296">
        <f t="shared" si="9"/>
        <v>-0.2827</v>
      </c>
      <c r="D60" s="120">
        <f t="shared" si="10"/>
        <v>0.0419</v>
      </c>
      <c r="E60" s="120">
        <f t="shared" si="11"/>
        <v>1.604</v>
      </c>
      <c r="F60" s="297">
        <f t="shared" si="12"/>
        <v>0.15</v>
      </c>
      <c r="G60" s="296">
        <f t="shared" si="13"/>
        <v>-7.815</v>
      </c>
      <c r="H60" s="296">
        <f t="shared" si="14"/>
        <v>0.6375</v>
      </c>
      <c r="I60" s="296">
        <f t="shared" si="15"/>
        <v>-9.49</v>
      </c>
      <c r="J60" s="296">
        <f t="shared" si="16"/>
        <v>0</v>
      </c>
      <c r="K60" s="120">
        <f t="shared" si="17"/>
        <v>-0.049</v>
      </c>
      <c r="L60" s="120">
        <f t="shared" si="18"/>
        <v>-0.66</v>
      </c>
      <c r="M60" s="296">
        <f t="shared" si="19"/>
        <v>-0.96</v>
      </c>
      <c r="N60" s="120">
        <f t="shared" si="20"/>
        <v>-0.665</v>
      </c>
      <c r="O60" s="296">
        <f t="shared" si="21"/>
        <v>0</v>
      </c>
      <c r="P60" s="120">
        <f t="shared" si="22"/>
        <v>0</v>
      </c>
      <c r="Q60" s="298"/>
      <c r="R60" s="299"/>
      <c r="S60" s="129"/>
      <c r="T60" s="129"/>
      <c r="U60" s="129"/>
      <c r="V60" s="129"/>
      <c r="W60" s="129"/>
      <c r="X60" s="129"/>
      <c r="Y60" s="129"/>
      <c r="Z60" s="129"/>
      <c r="AA60" s="129"/>
      <c r="AB60" s="129"/>
      <c r="AC60" s="129"/>
      <c r="AD60" s="129"/>
      <c r="AE60" s="129"/>
      <c r="AF60" s="129"/>
      <c r="AG60" s="129"/>
      <c r="AH60" s="129"/>
      <c r="AI60" s="129"/>
      <c r="AJ60" s="129"/>
      <c r="AK60" s="129"/>
      <c r="AL60" s="129"/>
      <c r="AM60" s="129"/>
      <c r="AN60" s="129"/>
      <c r="AO60" s="129"/>
      <c r="AP60" s="129"/>
      <c r="AQ60" s="129"/>
    </row>
    <row r="61">
      <c r="B61" s="123" t="s">
        <v>63</v>
      </c>
      <c r="C61" s="124">
        <v>-0.141</v>
      </c>
      <c r="D61" s="125">
        <v>0.042</v>
      </c>
      <c r="E61" s="125">
        <v>1.604</v>
      </c>
      <c r="F61" s="125">
        <v>-0.002</v>
      </c>
      <c r="G61" s="303">
        <v>-5.0</v>
      </c>
      <c r="H61" s="125">
        <v>0.425</v>
      </c>
      <c r="I61" s="125">
        <v>-2.5</v>
      </c>
      <c r="J61" s="125">
        <v>1.0</v>
      </c>
      <c r="K61" s="125">
        <v>-0.049</v>
      </c>
      <c r="L61" s="126">
        <v>0.33</v>
      </c>
      <c r="M61" s="125">
        <v>-0.64</v>
      </c>
      <c r="N61" s="125">
        <v>-0.667</v>
      </c>
      <c r="O61" s="125">
        <v>-0.187</v>
      </c>
      <c r="P61" s="125">
        <v>0.0</v>
      </c>
      <c r="Q61" s="125">
        <v>0.0</v>
      </c>
      <c r="R61" s="128">
        <f>100+sum(C61:Q61)</f>
        <v>94.215</v>
      </c>
    </row>
    <row r="62">
      <c r="A62" s="129"/>
      <c r="B62" s="130" t="s">
        <v>64</v>
      </c>
      <c r="C62" s="131">
        <f t="shared" ref="C62:R62" si="24">abs(C59-C61)</f>
        <v>0.02236001495</v>
      </c>
      <c r="D62" s="131">
        <f t="shared" si="24"/>
        <v>0.042</v>
      </c>
      <c r="E62" s="131">
        <f t="shared" si="24"/>
        <v>0.009</v>
      </c>
      <c r="F62" s="131">
        <f t="shared" si="24"/>
        <v>0.002</v>
      </c>
      <c r="G62" s="131">
        <f t="shared" si="24"/>
        <v>2.597619651</v>
      </c>
      <c r="H62" s="131">
        <f t="shared" si="24"/>
        <v>0.8142940007</v>
      </c>
      <c r="I62" s="131">
        <f t="shared" si="24"/>
        <v>6.535</v>
      </c>
      <c r="J62" s="131">
        <f t="shared" si="24"/>
        <v>1</v>
      </c>
      <c r="K62" s="131">
        <f t="shared" si="24"/>
        <v>0.1045833333</v>
      </c>
      <c r="L62" s="131">
        <f t="shared" si="24"/>
        <v>10.11</v>
      </c>
      <c r="M62" s="131">
        <f t="shared" si="24"/>
        <v>0.326183</v>
      </c>
      <c r="N62" s="131">
        <f t="shared" si="24"/>
        <v>0.153</v>
      </c>
      <c r="O62" s="131">
        <f t="shared" si="24"/>
        <v>0.187</v>
      </c>
      <c r="P62" s="131">
        <f t="shared" si="24"/>
        <v>0</v>
      </c>
      <c r="Q62" s="131">
        <f t="shared" si="24"/>
        <v>0</v>
      </c>
      <c r="R62" s="131">
        <f t="shared" si="24"/>
        <v>1.095873333</v>
      </c>
      <c r="S62" s="129"/>
      <c r="T62" s="129"/>
      <c r="U62" s="129"/>
      <c r="V62" s="129"/>
      <c r="W62" s="129"/>
      <c r="X62" s="129"/>
      <c r="Y62" s="129"/>
      <c r="Z62" s="129"/>
      <c r="AA62" s="129"/>
      <c r="AB62" s="129"/>
      <c r="AC62" s="129"/>
      <c r="AD62" s="129"/>
      <c r="AE62" s="129"/>
      <c r="AF62" s="129"/>
      <c r="AG62" s="129"/>
      <c r="AH62" s="129"/>
      <c r="AI62" s="129"/>
      <c r="AJ62" s="129"/>
      <c r="AK62" s="129"/>
      <c r="AL62" s="129"/>
      <c r="AM62" s="129"/>
      <c r="AN62" s="129"/>
      <c r="AO62" s="129"/>
      <c r="AP62" s="129"/>
      <c r="AQ62" s="129"/>
    </row>
    <row r="63">
      <c r="A63" s="308"/>
      <c r="B63" s="309" t="s">
        <v>170</v>
      </c>
      <c r="C63" s="308">
        <f>IF(C40&lt;95%,
MAX(-5,((C40-95%)/1%)*$C$49),
IF(C40&lt;100%,
((C40-100%)/1%)*0.5*$C$49,
MIN(5,((C40-100%)/0.5%)*$C$49)))</f>
        <v>-0.14135</v>
      </c>
      <c r="D63" s="308">
        <f>IF(D40&lt;95%,
MAX(-5,((D40-95%)/1%)*$D$49),
IF(D40&lt;100%,
((D40-100%)/1%)*0.5*$D$49,
MIN(5,((D40-100%)/0.5%)*$D$49)))</f>
        <v>0.0419</v>
      </c>
      <c r="E63" s="308">
        <f>IF(E40="","",((-(E40-98%)/1%)*1)*$E$49)</f>
        <v>1.604</v>
      </c>
      <c r="F63" s="328">
        <f>IF(F40="","",MIN(MAX(-(F40-1)*10*$F$49,-5),3))</f>
        <v>-0.23</v>
      </c>
      <c r="G63" s="308">
        <f>IF(G40="","",MAX((((G40-98%)/0.1%)*1)*$G$49,-5))</f>
        <v>-5</v>
      </c>
      <c r="H63" s="308">
        <f>IF(H40="","",MAX((((2%-H40)/0.1%)*1)*$H$49,-2.5))</f>
        <v>0.425</v>
      </c>
      <c r="I63" s="308">
        <f>IF(I40="","",MAX((((0.046%-I40)/0.001%)*0.65)*$I$49,-2.5))</f>
        <v>-2.5</v>
      </c>
      <c r="J63" s="308">
        <f>IF(J40="","",MAX((((J40-99.8%)/0.01%)*1)*$J$49,-2.5))</f>
        <v>0</v>
      </c>
      <c r="K63" s="308">
        <f>IF(K40="","",((-(K40-100%)/3%)*0.5)*$K$49)</f>
        <v>-0.049</v>
      </c>
      <c r="L63" s="308">
        <f>IF(L40="","",MAX((((0.5%-L40)/0.1%)*6)*$L$49,-2.5))</f>
        <v>0.66</v>
      </c>
      <c r="M63" s="308">
        <f>IF(M40="","",MAX((((M40-99%)/0.1%)*2)*$M$49,-5))</f>
        <v>-0.64</v>
      </c>
      <c r="N63" s="308">
        <f>IF(N40="","",MAX((((3-N40)/0.1)*0.5)*$N$49,-2.5))</f>
        <v>-0.665</v>
      </c>
      <c r="O63" s="308">
        <f>IF(O40="","",MAX((((O40-90%)/1%)*2)*$O$49,-2.5))</f>
        <v>0</v>
      </c>
      <c r="P63" s="308">
        <f>IF(P40&gt;=100%,0,((P40-100%)/2%)*$P$49)</f>
        <v>0</v>
      </c>
      <c r="Q63" s="308"/>
      <c r="R63" s="308">
        <f>100+sum(C63:Q63)</f>
        <v>93.50555</v>
      </c>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row>
    <row r="64">
      <c r="A64" s="205">
        <v>8.0</v>
      </c>
      <c r="B64" s="205" t="s">
        <v>80</v>
      </c>
    </row>
    <row r="65">
      <c r="A65" s="205">
        <v>9.0</v>
      </c>
      <c r="B65" s="205" t="s">
        <v>81</v>
      </c>
    </row>
    <row r="68">
      <c r="C68" s="335" t="s">
        <v>172</v>
      </c>
      <c r="D68" s="7"/>
      <c r="E68" s="9"/>
      <c r="F68" s="336" t="s">
        <v>99</v>
      </c>
      <c r="G68" s="7"/>
      <c r="H68" s="7"/>
      <c r="I68" s="7"/>
      <c r="J68" s="7"/>
      <c r="K68" s="9"/>
      <c r="L68" s="336" t="s">
        <v>173</v>
      </c>
      <c r="M68" s="7"/>
      <c r="N68" s="9"/>
    </row>
    <row r="69">
      <c r="C69" s="341" t="s">
        <v>174</v>
      </c>
      <c r="D69" s="343" t="s">
        <v>175</v>
      </c>
      <c r="E69" s="343" t="s">
        <v>176</v>
      </c>
      <c r="F69" s="346" t="s">
        <v>2</v>
      </c>
      <c r="G69" s="346" t="s">
        <v>101</v>
      </c>
      <c r="H69" s="346" t="s">
        <v>20</v>
      </c>
      <c r="I69" s="346" t="s">
        <v>30</v>
      </c>
      <c r="J69" s="346" t="s">
        <v>102</v>
      </c>
      <c r="K69" s="346" t="s">
        <v>103</v>
      </c>
      <c r="L69" s="346" t="s">
        <v>173</v>
      </c>
      <c r="M69" s="350" t="s">
        <v>177</v>
      </c>
      <c r="N69" s="350" t="s">
        <v>178</v>
      </c>
    </row>
    <row r="70">
      <c r="C70" s="352" t="s">
        <v>179</v>
      </c>
      <c r="D70" s="353" t="s">
        <v>180</v>
      </c>
      <c r="E70" s="355">
        <v>0.3</v>
      </c>
      <c r="F70" s="357"/>
      <c r="G70" s="358"/>
      <c r="H70" s="359"/>
      <c r="I70" s="359"/>
      <c r="J70" s="357"/>
      <c r="K70" s="357"/>
      <c r="L70" s="360"/>
      <c r="M70" s="361"/>
      <c r="N70" s="361"/>
    </row>
    <row r="71">
      <c r="C71" s="362">
        <v>1.0</v>
      </c>
      <c r="D71" s="362" t="s">
        <v>183</v>
      </c>
      <c r="E71" s="363">
        <v>0.1</v>
      </c>
      <c r="F71" s="364" t="s">
        <v>184</v>
      </c>
      <c r="G71" s="365" t="s">
        <v>185</v>
      </c>
      <c r="H71" s="366">
        <v>0.1</v>
      </c>
      <c r="I71" s="362">
        <v>132.695</v>
      </c>
      <c r="J71" s="367" t="s">
        <v>148</v>
      </c>
      <c r="K71" s="368" t="s">
        <v>186</v>
      </c>
      <c r="L71" s="365" t="s">
        <v>187</v>
      </c>
      <c r="M71" s="369" t="s">
        <v>188</v>
      </c>
      <c r="N71" s="369" t="s">
        <v>189</v>
      </c>
    </row>
    <row r="72">
      <c r="C72" s="370">
        <v>2.0</v>
      </c>
      <c r="D72" s="371" t="s">
        <v>190</v>
      </c>
      <c r="E72" s="372">
        <v>0.05</v>
      </c>
      <c r="F72" s="373" t="s">
        <v>107</v>
      </c>
      <c r="G72" s="365" t="s">
        <v>185</v>
      </c>
      <c r="H72" s="366">
        <v>0.05</v>
      </c>
      <c r="I72" s="374">
        <v>1.397</v>
      </c>
      <c r="J72" s="375" t="s">
        <v>191</v>
      </c>
      <c r="K72" s="376" t="s">
        <v>186</v>
      </c>
      <c r="L72" s="377" t="s">
        <v>192</v>
      </c>
      <c r="M72" s="378" t="s">
        <v>193</v>
      </c>
      <c r="N72" s="378" t="s">
        <v>194</v>
      </c>
    </row>
    <row r="73">
      <c r="C73" s="379">
        <v>3.0</v>
      </c>
      <c r="D73" s="379" t="s">
        <v>195</v>
      </c>
      <c r="E73" s="380">
        <v>0.15</v>
      </c>
      <c r="F73" s="364" t="s">
        <v>196</v>
      </c>
      <c r="G73" s="381"/>
      <c r="H73" s="360"/>
      <c r="I73" s="382"/>
      <c r="J73" s="383"/>
      <c r="K73" s="384"/>
      <c r="L73" s="381"/>
      <c r="M73" s="361"/>
      <c r="N73" s="361"/>
    </row>
    <row r="74">
      <c r="C74" s="385"/>
      <c r="D74" s="385"/>
      <c r="E74" s="385"/>
      <c r="F74" s="387" t="s">
        <v>198</v>
      </c>
      <c r="G74" s="365" t="s">
        <v>166</v>
      </c>
      <c r="H74" s="366">
        <v>0.1</v>
      </c>
      <c r="I74" s="363">
        <v>0.98</v>
      </c>
      <c r="J74" s="368" t="s">
        <v>199</v>
      </c>
      <c r="K74" s="368" t="s">
        <v>200</v>
      </c>
      <c r="L74" s="365" t="s">
        <v>187</v>
      </c>
      <c r="M74" s="369" t="s">
        <v>188</v>
      </c>
      <c r="N74" s="369" t="s">
        <v>201</v>
      </c>
    </row>
    <row r="75">
      <c r="C75" s="388"/>
      <c r="D75" s="388"/>
      <c r="E75" s="388"/>
      <c r="F75" s="389" t="s">
        <v>202</v>
      </c>
      <c r="G75" s="365" t="s">
        <v>166</v>
      </c>
      <c r="H75" s="366">
        <v>0.05</v>
      </c>
      <c r="I75" s="362">
        <v>1.0</v>
      </c>
      <c r="J75" s="368" t="s">
        <v>203</v>
      </c>
      <c r="K75" s="383" t="str">
        <f>+/-0,1 điểm/1% vượt/không đạt tỷ lệ hoàn thành KH. Thưởng tối đa 3 điểm, trừ tối đa 5 điểm.</f>
        <v>#ERROR!</v>
      </c>
      <c r="L75" s="365" t="s">
        <v>187</v>
      </c>
      <c r="M75" s="369" t="s">
        <v>188</v>
      </c>
      <c r="N75" s="369" t="s">
        <v>201</v>
      </c>
    </row>
    <row r="76">
      <c r="C76" s="352" t="s">
        <v>204</v>
      </c>
      <c r="D76" s="353" t="s">
        <v>205</v>
      </c>
      <c r="E76" s="355">
        <v>0.3</v>
      </c>
      <c r="F76" s="360"/>
      <c r="G76" s="360"/>
      <c r="H76" s="359"/>
      <c r="I76" s="359"/>
      <c r="J76" s="393"/>
      <c r="K76" s="393"/>
      <c r="L76" s="360"/>
      <c r="M76" s="361"/>
      <c r="N76" s="361"/>
    </row>
    <row r="77">
      <c r="C77" s="394">
        <v>4.0</v>
      </c>
      <c r="D77" s="379" t="s">
        <v>207</v>
      </c>
      <c r="E77" s="380">
        <v>0.25</v>
      </c>
      <c r="F77" s="395" t="s">
        <v>208</v>
      </c>
      <c r="G77" s="381"/>
      <c r="H77" s="360"/>
      <c r="I77" s="382"/>
      <c r="J77" s="383"/>
      <c r="K77" s="383"/>
      <c r="L77" s="381"/>
      <c r="M77" s="361"/>
      <c r="N77" s="361"/>
    </row>
    <row r="78">
      <c r="C78" s="385"/>
      <c r="D78" s="385"/>
      <c r="E78" s="385"/>
      <c r="F78" s="376" t="s">
        <v>213</v>
      </c>
      <c r="G78" s="365" t="s">
        <v>166</v>
      </c>
      <c r="H78" s="366">
        <v>0.1</v>
      </c>
      <c r="I78" s="363">
        <v>0.98</v>
      </c>
      <c r="J78" s="368" t="s">
        <v>214</v>
      </c>
      <c r="K78" s="383" t="str">
        <f>+/-1.5 điểm/0.1% vượt/không đạt so với KH</f>
        <v>#ERROR!</v>
      </c>
      <c r="L78" s="365" t="s">
        <v>215</v>
      </c>
      <c r="M78" s="369" t="s">
        <v>216</v>
      </c>
      <c r="N78" s="369" t="s">
        <v>217</v>
      </c>
    </row>
    <row r="79">
      <c r="C79" s="385"/>
      <c r="D79" s="385"/>
      <c r="E79" s="385"/>
      <c r="F79" s="376" t="s">
        <v>118</v>
      </c>
      <c r="G79" s="377" t="s">
        <v>166</v>
      </c>
      <c r="H79" s="366">
        <v>0.05</v>
      </c>
      <c r="I79" s="396">
        <v>0.02</v>
      </c>
      <c r="J79" s="376" t="s">
        <v>218</v>
      </c>
      <c r="K79" s="398" t="str">
        <f>+/-1.5 điểm/0.1% giảm/tăng so với KH</f>
        <v>#ERROR!</v>
      </c>
      <c r="L79" s="365" t="s">
        <v>215</v>
      </c>
      <c r="M79" s="369" t="s">
        <v>216</v>
      </c>
      <c r="N79" s="369" t="s">
        <v>219</v>
      </c>
    </row>
    <row r="80">
      <c r="C80" s="385"/>
      <c r="D80" s="385"/>
      <c r="E80" s="385"/>
      <c r="F80" s="376" t="s">
        <v>220</v>
      </c>
      <c r="G80" s="377" t="s">
        <v>166</v>
      </c>
      <c r="H80" s="366">
        <v>0.05</v>
      </c>
      <c r="I80" s="396">
        <v>0.46</v>
      </c>
      <c r="J80" s="376" t="s">
        <v>221</v>
      </c>
      <c r="K80" s="398" t="str">
        <f>+/-0.65 điểm/0.001% giảm/tăng so với KH</f>
        <v>#ERROR!</v>
      </c>
      <c r="L80" s="365" t="s">
        <v>215</v>
      </c>
      <c r="M80" s="369" t="s">
        <v>216</v>
      </c>
      <c r="N80" s="369" t="s">
        <v>222</v>
      </c>
    </row>
    <row r="81">
      <c r="C81" s="388"/>
      <c r="D81" s="388"/>
      <c r="E81" s="388"/>
      <c r="F81" s="376" t="s">
        <v>223</v>
      </c>
      <c r="G81" s="377" t="s">
        <v>166</v>
      </c>
      <c r="H81" s="366">
        <v>0.05</v>
      </c>
      <c r="I81" s="374" t="s">
        <v>224</v>
      </c>
      <c r="J81" s="376" t="s">
        <v>225</v>
      </c>
      <c r="K81" s="401" t="str">
        <f>+/- 1.5 điểm/0.01% tăng so với kế hoạch
 Điểm trừ tối đa 2 điểm(đã nhân với trọng số KPI)</f>
        <v>#ERROR!</v>
      </c>
      <c r="L81" s="365" t="s">
        <v>215</v>
      </c>
      <c r="M81" s="369" t="s">
        <v>216</v>
      </c>
      <c r="N81" s="369" t="s">
        <v>226</v>
      </c>
    </row>
    <row r="82">
      <c r="C82" s="403">
        <v>5.0</v>
      </c>
      <c r="D82" s="404" t="s">
        <v>227</v>
      </c>
      <c r="E82" s="405">
        <v>0.05</v>
      </c>
      <c r="F82" s="395" t="s">
        <v>228</v>
      </c>
      <c r="G82" s="381"/>
      <c r="H82" s="360"/>
      <c r="I82" s="382"/>
      <c r="J82" s="383"/>
      <c r="K82" s="383"/>
      <c r="L82" s="381"/>
      <c r="M82" s="361"/>
      <c r="N82" s="361"/>
    </row>
    <row r="83">
      <c r="C83" s="385"/>
      <c r="D83" s="385"/>
      <c r="E83" s="385"/>
      <c r="F83" s="395" t="s">
        <v>229</v>
      </c>
      <c r="G83" s="381"/>
      <c r="H83" s="360"/>
      <c r="I83" s="382"/>
      <c r="J83" s="383"/>
      <c r="K83" s="383"/>
      <c r="L83" s="381"/>
      <c r="M83" s="361"/>
      <c r="N83" s="361"/>
    </row>
    <row r="84">
      <c r="C84" s="385"/>
      <c r="D84" s="385"/>
      <c r="E84" s="385"/>
      <c r="F84" s="376" t="s">
        <v>230</v>
      </c>
      <c r="G84" s="365" t="s">
        <v>167</v>
      </c>
      <c r="H84" s="366">
        <v>0.05</v>
      </c>
      <c r="I84" s="362">
        <v>2.28</v>
      </c>
      <c r="J84" s="368" t="s">
        <v>231</v>
      </c>
      <c r="K84" s="383" t="str">
        <f>+/-0.5 điểm/3% vượt/không đạt KH</f>
        <v>#ERROR!</v>
      </c>
      <c r="L84" s="365" t="s">
        <v>192</v>
      </c>
      <c r="M84" s="369" t="s">
        <v>232</v>
      </c>
      <c r="N84" s="369" t="s">
        <v>233</v>
      </c>
    </row>
    <row r="85">
      <c r="C85" s="352" t="s">
        <v>234</v>
      </c>
      <c r="D85" s="409" t="s">
        <v>235</v>
      </c>
      <c r="E85" s="410">
        <v>0.4</v>
      </c>
      <c r="F85" s="360"/>
      <c r="G85" s="360"/>
      <c r="H85" s="359"/>
      <c r="I85" s="359"/>
      <c r="J85" s="393"/>
      <c r="K85" s="393"/>
      <c r="L85" s="360"/>
      <c r="M85" s="361"/>
      <c r="N85" s="361"/>
    </row>
    <row r="86">
      <c r="C86" s="394">
        <v>6.0</v>
      </c>
      <c r="D86" s="379" t="s">
        <v>236</v>
      </c>
      <c r="E86" s="380">
        <v>0.3</v>
      </c>
      <c r="F86" s="368" t="s">
        <v>130</v>
      </c>
      <c r="G86" s="365" t="s">
        <v>166</v>
      </c>
      <c r="H86" s="366">
        <v>0.05</v>
      </c>
      <c r="I86" s="362" t="s">
        <v>237</v>
      </c>
      <c r="J86" s="368" t="s">
        <v>156</v>
      </c>
      <c r="K86" s="376" t="s">
        <v>238</v>
      </c>
      <c r="L86" s="365" t="s">
        <v>215</v>
      </c>
      <c r="M86" s="369" t="s">
        <v>216</v>
      </c>
      <c r="N86" s="369" t="s">
        <v>219</v>
      </c>
    </row>
    <row r="87">
      <c r="C87" s="385"/>
      <c r="D87" s="385"/>
      <c r="E87" s="385"/>
      <c r="F87" s="368" t="s">
        <v>133</v>
      </c>
      <c r="G87" s="365" t="s">
        <v>166</v>
      </c>
      <c r="H87" s="366">
        <v>0.1</v>
      </c>
      <c r="I87" s="396">
        <v>0.99</v>
      </c>
      <c r="J87" s="383"/>
      <c r="K87" s="398" t="str">
        <f>+/-3 điểm/0.1% vượt/không đạt so với KH</f>
        <v>#ERROR!</v>
      </c>
      <c r="L87" s="365" t="s">
        <v>215</v>
      </c>
      <c r="M87" s="369" t="s">
        <v>216</v>
      </c>
      <c r="N87" s="369" t="s">
        <v>219</v>
      </c>
    </row>
    <row r="88">
      <c r="C88" s="385"/>
      <c r="D88" s="385"/>
      <c r="E88" s="385"/>
      <c r="F88" s="368" t="s">
        <v>135</v>
      </c>
      <c r="G88" s="365" t="s">
        <v>168</v>
      </c>
      <c r="H88" s="366">
        <v>0.1</v>
      </c>
      <c r="I88" s="362">
        <v>3.0</v>
      </c>
      <c r="J88" s="368" t="s">
        <v>159</v>
      </c>
      <c r="K88" s="398" t="str">
        <f>+/- 0,5 điểm/0,1 phút giảm/tăng so KH</f>
        <v>#ERROR!</v>
      </c>
      <c r="L88" s="365" t="s">
        <v>215</v>
      </c>
      <c r="M88" s="369" t="s">
        <v>216</v>
      </c>
      <c r="N88" s="369" t="s">
        <v>217</v>
      </c>
    </row>
    <row r="89">
      <c r="C89" s="388"/>
      <c r="D89" s="388"/>
      <c r="E89" s="388"/>
      <c r="F89" s="368" t="s">
        <v>239</v>
      </c>
      <c r="G89" s="365" t="s">
        <v>166</v>
      </c>
      <c r="H89" s="366">
        <v>0.05</v>
      </c>
      <c r="I89" s="363">
        <v>0.9</v>
      </c>
      <c r="J89" s="368" t="s">
        <v>240</v>
      </c>
      <c r="K89" s="414" t="s">
        <v>241</v>
      </c>
      <c r="L89" s="365" t="s">
        <v>215</v>
      </c>
      <c r="M89" s="369" t="s">
        <v>216</v>
      </c>
      <c r="N89" s="369" t="s">
        <v>222</v>
      </c>
    </row>
    <row r="90">
      <c r="C90" s="415">
        <v>7.0</v>
      </c>
      <c r="D90" s="362" t="s">
        <v>242</v>
      </c>
      <c r="E90" s="363">
        <v>0.1</v>
      </c>
      <c r="F90" s="368" t="s">
        <v>243</v>
      </c>
      <c r="G90" s="365" t="s">
        <v>166</v>
      </c>
      <c r="H90" s="366">
        <v>0.1</v>
      </c>
      <c r="I90" s="363">
        <v>1.0</v>
      </c>
      <c r="J90" s="368" t="s">
        <v>244</v>
      </c>
      <c r="K90" s="376" t="s">
        <v>245</v>
      </c>
      <c r="L90" s="365" t="s">
        <v>246</v>
      </c>
      <c r="M90" s="369" t="s">
        <v>247</v>
      </c>
      <c r="N90" s="369" t="s">
        <v>248</v>
      </c>
    </row>
    <row r="91">
      <c r="C91" s="415">
        <v>8.0</v>
      </c>
      <c r="D91" s="362" t="s">
        <v>249</v>
      </c>
      <c r="E91" s="362" t="s">
        <v>250</v>
      </c>
      <c r="F91" s="368" t="s">
        <v>251</v>
      </c>
      <c r="G91" s="384"/>
      <c r="H91" s="366">
        <v>0.0</v>
      </c>
      <c r="I91" s="382"/>
      <c r="J91" s="368" t="s">
        <v>46</v>
      </c>
      <c r="K91" s="376" t="s">
        <v>252</v>
      </c>
      <c r="L91" s="365" t="s">
        <v>246</v>
      </c>
      <c r="M91" s="369" t="s">
        <v>247</v>
      </c>
      <c r="N91" s="369" t="s">
        <v>248</v>
      </c>
    </row>
    <row r="92">
      <c r="C92" s="417"/>
      <c r="D92" s="395" t="s">
        <v>253</v>
      </c>
      <c r="E92" s="363">
        <v>1.0</v>
      </c>
      <c r="F92" s="418"/>
      <c r="G92" s="419"/>
      <c r="H92" s="410">
        <v>1.0</v>
      </c>
      <c r="I92" s="382"/>
      <c r="J92" s="418"/>
      <c r="K92" s="418"/>
      <c r="L92" s="381"/>
      <c r="M92" s="361"/>
      <c r="N92" s="361"/>
    </row>
    <row r="93">
      <c r="C93" s="417"/>
      <c r="D93" s="395" t="s">
        <v>254</v>
      </c>
      <c r="E93" s="362">
        <v>8.0</v>
      </c>
      <c r="F93" s="418"/>
      <c r="G93" s="419"/>
      <c r="H93" s="420">
        <v>14.0</v>
      </c>
      <c r="I93" s="374">
        <v>14.0</v>
      </c>
      <c r="J93" s="418"/>
      <c r="K93" s="418"/>
      <c r="L93" s="381"/>
      <c r="M93" s="361"/>
      <c r="N93" s="361"/>
    </row>
  </sheetData>
  <mergeCells count="18">
    <mergeCell ref="C6:Q6"/>
    <mergeCell ref="C26:Q26"/>
    <mergeCell ref="C47:Q47"/>
    <mergeCell ref="C68:E68"/>
    <mergeCell ref="F68:K68"/>
    <mergeCell ref="L68:N68"/>
    <mergeCell ref="C73:C75"/>
    <mergeCell ref="C82:C84"/>
    <mergeCell ref="C86:C89"/>
    <mergeCell ref="D86:D89"/>
    <mergeCell ref="E86:E89"/>
    <mergeCell ref="D73:D75"/>
    <mergeCell ref="E73:E75"/>
    <mergeCell ref="C77:C81"/>
    <mergeCell ref="D77:D81"/>
    <mergeCell ref="E77:E81"/>
    <mergeCell ref="D82:D84"/>
    <mergeCell ref="E82:E8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4.5"/>
    <col customWidth="1" min="3" max="3" width="7.88"/>
    <col customWidth="1" min="4" max="5" width="8.13"/>
    <col customWidth="1" min="6" max="6" width="10.75"/>
    <col customWidth="1" min="7" max="7" width="8.5"/>
    <col customWidth="1" min="8" max="8" width="10.5"/>
    <col customWidth="1" min="9" max="9" width="10.13"/>
    <col customWidth="1" min="12" max="12" width="10.88"/>
    <col customWidth="1" min="13" max="13" width="11.63"/>
    <col customWidth="1" min="14" max="14" width="10.25"/>
    <col customWidth="1" min="16" max="16" width="14.25"/>
    <col customWidth="1" min="17" max="17" width="10.75"/>
    <col customWidth="1" min="18" max="18" width="9.5"/>
    <col customWidth="1" min="19" max="19" width="9.63"/>
    <col customWidth="1" min="20" max="20" width="9.75"/>
  </cols>
  <sheetData>
    <row r="6">
      <c r="A6" s="1"/>
      <c r="B6" s="6"/>
      <c r="C6" s="8" t="s">
        <v>143</v>
      </c>
      <c r="D6" s="7"/>
      <c r="E6" s="7"/>
      <c r="F6" s="7"/>
      <c r="G6" s="7"/>
      <c r="H6" s="7"/>
      <c r="I6" s="7"/>
      <c r="J6" s="7"/>
      <c r="K6" s="7"/>
      <c r="L6" s="7"/>
      <c r="M6" s="7"/>
      <c r="N6" s="7"/>
      <c r="O6" s="7"/>
      <c r="P6" s="7"/>
      <c r="Q6" s="7"/>
      <c r="R6" s="7"/>
      <c r="S6" s="7"/>
      <c r="T6" s="9"/>
      <c r="U6" s="3"/>
      <c r="V6" s="3"/>
      <c r="W6" s="3"/>
      <c r="X6" s="3"/>
      <c r="Y6" s="3"/>
      <c r="Z6" s="3"/>
      <c r="AA6" s="3"/>
      <c r="AB6" s="3"/>
      <c r="AC6" s="3"/>
      <c r="AD6" s="3"/>
      <c r="AE6" s="3"/>
      <c r="AF6" s="3"/>
      <c r="AG6" s="3"/>
      <c r="AH6" s="3"/>
      <c r="AI6" s="3"/>
      <c r="AJ6" s="3"/>
      <c r="AK6" s="3"/>
      <c r="AL6" s="3"/>
      <c r="AM6" s="3"/>
      <c r="AN6" s="3"/>
      <c r="AO6" s="3"/>
      <c r="AP6" s="3"/>
      <c r="AQ6" s="3"/>
      <c r="AR6" s="3"/>
      <c r="AS6" s="3"/>
      <c r="AT6" s="3"/>
    </row>
    <row r="7" ht="96.75" customHeight="1">
      <c r="A7" s="11"/>
      <c r="B7" s="15" t="s">
        <v>2</v>
      </c>
      <c r="C7" s="244" t="s">
        <v>3</v>
      </c>
      <c r="D7" s="245" t="s">
        <v>66</v>
      </c>
      <c r="E7" s="245" t="s">
        <v>67</v>
      </c>
      <c r="F7" s="245" t="s">
        <v>68</v>
      </c>
      <c r="G7" s="245" t="s">
        <v>86</v>
      </c>
      <c r="H7" s="24" t="s">
        <v>144</v>
      </c>
      <c r="I7" s="24" t="s">
        <v>88</v>
      </c>
      <c r="J7" s="245" t="s">
        <v>70</v>
      </c>
      <c r="K7" s="245" t="s">
        <v>71</v>
      </c>
      <c r="L7" s="245" t="s">
        <v>72</v>
      </c>
      <c r="M7" s="24" t="s">
        <v>89</v>
      </c>
      <c r="N7" s="245" t="s">
        <v>14</v>
      </c>
      <c r="O7" s="246" t="s">
        <v>90</v>
      </c>
      <c r="P7" s="246" t="s">
        <v>91</v>
      </c>
      <c r="Q7" s="247" t="s">
        <v>92</v>
      </c>
      <c r="R7" s="247" t="s">
        <v>93</v>
      </c>
      <c r="S7" s="247" t="s">
        <v>145</v>
      </c>
      <c r="T7" s="247" t="s">
        <v>146</v>
      </c>
      <c r="U7" s="135" t="s">
        <v>18</v>
      </c>
      <c r="W7" s="3"/>
      <c r="X7" s="3"/>
      <c r="Y7" s="3"/>
      <c r="Z7" s="3"/>
      <c r="AA7" s="3"/>
      <c r="AB7" s="3"/>
      <c r="AC7" s="3"/>
      <c r="AD7" s="3"/>
      <c r="AE7" s="3"/>
      <c r="AF7" s="3"/>
      <c r="AG7" s="3"/>
      <c r="AH7" s="3"/>
      <c r="AI7" s="3"/>
      <c r="AJ7" s="3"/>
      <c r="AK7" s="3"/>
      <c r="AL7" s="3"/>
      <c r="AM7" s="3"/>
      <c r="AN7" s="3"/>
      <c r="AO7" s="3"/>
      <c r="AP7" s="3"/>
      <c r="AQ7" s="3"/>
      <c r="AR7" s="3"/>
      <c r="AS7" s="3"/>
      <c r="AT7" s="3"/>
    </row>
    <row r="8">
      <c r="A8" s="26"/>
      <c r="B8" s="250" t="s">
        <v>20</v>
      </c>
      <c r="C8" s="251">
        <v>0.1</v>
      </c>
      <c r="D8" s="252">
        <v>0.05</v>
      </c>
      <c r="E8" s="252">
        <v>0.02</v>
      </c>
      <c r="F8" s="252">
        <v>0.06</v>
      </c>
      <c r="G8" s="252">
        <v>0.06</v>
      </c>
      <c r="H8" s="252">
        <v>0.1</v>
      </c>
      <c r="I8" s="252">
        <v>0.03</v>
      </c>
      <c r="J8" s="252">
        <v>0.05</v>
      </c>
      <c r="K8" s="252">
        <v>0.07</v>
      </c>
      <c r="L8" s="252">
        <v>0.07</v>
      </c>
      <c r="M8" s="255">
        <v>0.04</v>
      </c>
      <c r="N8" s="252">
        <v>0.07</v>
      </c>
      <c r="O8" s="252">
        <v>0.04</v>
      </c>
      <c r="P8" s="252">
        <v>0.02</v>
      </c>
      <c r="Q8" s="257">
        <v>0.02</v>
      </c>
      <c r="R8" s="257">
        <v>0.05</v>
      </c>
      <c r="S8" s="257">
        <v>0.05</v>
      </c>
      <c r="T8" s="257">
        <v>0.1</v>
      </c>
      <c r="U8" s="258">
        <f>sum(C8:T8)</f>
        <v>1</v>
      </c>
      <c r="W8" s="3"/>
      <c r="X8" s="3"/>
      <c r="Y8" s="3"/>
      <c r="Z8" s="3"/>
      <c r="AA8" s="3"/>
      <c r="AB8" s="3"/>
      <c r="AC8" s="3"/>
      <c r="AD8" s="3"/>
      <c r="AE8" s="3"/>
      <c r="AF8" s="3"/>
      <c r="AG8" s="3"/>
      <c r="AH8" s="3"/>
      <c r="AI8" s="3"/>
      <c r="AJ8" s="3"/>
      <c r="AK8" s="3"/>
      <c r="AL8" s="3"/>
      <c r="AM8" s="3"/>
      <c r="AN8" s="3"/>
      <c r="AO8" s="3"/>
      <c r="AP8" s="3"/>
      <c r="AQ8" s="3"/>
      <c r="AR8" s="3"/>
      <c r="AS8" s="3"/>
      <c r="AT8" s="3"/>
    </row>
    <row r="9">
      <c r="A9" s="71"/>
      <c r="B9" s="43" t="s">
        <v>24</v>
      </c>
      <c r="C9" s="300" t="s">
        <v>148</v>
      </c>
      <c r="D9" s="47" t="s">
        <v>149</v>
      </c>
      <c r="E9" s="47" t="s">
        <v>150</v>
      </c>
      <c r="F9" s="47" t="s">
        <v>151</v>
      </c>
      <c r="G9" s="47" t="s">
        <v>152</v>
      </c>
      <c r="H9" s="47" t="s">
        <v>153</v>
      </c>
      <c r="I9" s="47" t="s">
        <v>154</v>
      </c>
      <c r="J9" s="47" t="s">
        <v>155</v>
      </c>
      <c r="K9" s="47" t="s">
        <v>156</v>
      </c>
      <c r="L9" s="47" t="s">
        <v>157</v>
      </c>
      <c r="M9" s="47" t="s">
        <v>158</v>
      </c>
      <c r="N9" s="47" t="s">
        <v>159</v>
      </c>
      <c r="O9" s="47" t="s">
        <v>160</v>
      </c>
      <c r="P9" s="47" t="s">
        <v>161</v>
      </c>
      <c r="Q9" s="301" t="s">
        <v>162</v>
      </c>
      <c r="R9" s="301" t="s">
        <v>163</v>
      </c>
      <c r="S9" s="301" t="s">
        <v>164</v>
      </c>
      <c r="T9" s="301" t="s">
        <v>165</v>
      </c>
      <c r="U9" s="302"/>
      <c r="W9" s="52"/>
      <c r="X9" s="52"/>
      <c r="Y9" s="52"/>
      <c r="Z9" s="52"/>
      <c r="AA9" s="52"/>
      <c r="AB9" s="52"/>
      <c r="AC9" s="52"/>
      <c r="AD9" s="52"/>
      <c r="AE9" s="52"/>
      <c r="AF9" s="52"/>
      <c r="AG9" s="52"/>
      <c r="AH9" s="52"/>
      <c r="AI9" s="52"/>
      <c r="AJ9" s="52"/>
      <c r="AK9" s="52"/>
      <c r="AL9" s="52"/>
      <c r="AM9" s="52"/>
      <c r="AN9" s="52"/>
      <c r="AO9" s="52"/>
      <c r="AP9" s="52"/>
      <c r="AQ9" s="52"/>
      <c r="AR9" s="52"/>
      <c r="AS9" s="52"/>
      <c r="AT9" s="52"/>
    </row>
    <row r="10">
      <c r="B10" s="260" t="s">
        <v>22</v>
      </c>
      <c r="C10" s="304" t="s">
        <v>23</v>
      </c>
      <c r="D10" s="74" t="s">
        <v>166</v>
      </c>
      <c r="E10" s="74"/>
      <c r="F10" s="74" t="s">
        <v>166</v>
      </c>
      <c r="G10" s="74" t="s">
        <v>166</v>
      </c>
      <c r="H10" s="74" t="s">
        <v>166</v>
      </c>
      <c r="I10" s="74" t="s">
        <v>166</v>
      </c>
      <c r="J10" s="74" t="s">
        <v>167</v>
      </c>
      <c r="K10" s="78" t="s">
        <v>166</v>
      </c>
      <c r="L10" s="74" t="s">
        <v>166</v>
      </c>
      <c r="M10" s="74" t="s">
        <v>166</v>
      </c>
      <c r="N10" s="305" t="s">
        <v>168</v>
      </c>
      <c r="O10" s="74" t="s">
        <v>166</v>
      </c>
      <c r="P10" s="306" t="s">
        <v>166</v>
      </c>
      <c r="Q10" s="307" t="s">
        <v>166</v>
      </c>
      <c r="R10" s="307" t="s">
        <v>166</v>
      </c>
      <c r="S10" s="307" t="s">
        <v>166</v>
      </c>
      <c r="T10" s="307" t="s">
        <v>166</v>
      </c>
      <c r="U10" s="274"/>
      <c r="W10" s="69"/>
      <c r="X10" s="69"/>
      <c r="Y10" s="69"/>
      <c r="Z10" s="69"/>
      <c r="AA10" s="69"/>
      <c r="AB10" s="69"/>
      <c r="AC10" s="69"/>
      <c r="AD10" s="69"/>
      <c r="AE10" s="69"/>
      <c r="AF10" s="69"/>
      <c r="AG10" s="69"/>
      <c r="AH10" s="69"/>
      <c r="AI10" s="69"/>
      <c r="AJ10" s="69"/>
      <c r="AK10" s="69"/>
      <c r="AL10" s="69"/>
      <c r="AM10" s="69"/>
      <c r="AN10" s="69"/>
      <c r="AO10" s="69"/>
      <c r="AP10" s="69"/>
      <c r="AQ10" s="69"/>
      <c r="AR10" s="69"/>
      <c r="AS10" s="69"/>
      <c r="AT10" s="69"/>
    </row>
    <row r="11">
      <c r="A11" s="26" t="s">
        <v>28</v>
      </c>
      <c r="B11" s="260" t="s">
        <v>30</v>
      </c>
      <c r="C11" s="261">
        <v>126390.0</v>
      </c>
      <c r="D11" s="141">
        <v>0.98</v>
      </c>
      <c r="E11" s="142">
        <v>1.0</v>
      </c>
      <c r="F11" s="141">
        <v>0.98</v>
      </c>
      <c r="G11" s="141">
        <v>0.99</v>
      </c>
      <c r="H11" s="264">
        <v>41609.0</v>
      </c>
      <c r="I11" s="143">
        <v>0.998</v>
      </c>
      <c r="J11" s="144" t="s">
        <v>169</v>
      </c>
      <c r="K11" s="141">
        <v>0.005</v>
      </c>
      <c r="L11" s="141">
        <v>0.98</v>
      </c>
      <c r="M11" s="141">
        <v>0.98</v>
      </c>
      <c r="N11" s="142">
        <v>3.0</v>
      </c>
      <c r="O11" s="145">
        <v>0.98</v>
      </c>
      <c r="P11" s="146">
        <v>0.03</v>
      </c>
      <c r="Q11" s="267">
        <v>0.99</v>
      </c>
      <c r="R11" s="267">
        <v>0.98</v>
      </c>
      <c r="S11" s="267">
        <v>1.0</v>
      </c>
      <c r="T11" s="267">
        <v>1.0</v>
      </c>
      <c r="U11" s="147"/>
      <c r="W11" s="69"/>
      <c r="X11" s="69"/>
      <c r="Y11" s="69"/>
      <c r="Z11" s="69"/>
      <c r="AA11" s="69"/>
      <c r="AB11" s="69"/>
      <c r="AC11" s="69"/>
      <c r="AD11" s="69"/>
      <c r="AE11" s="69"/>
      <c r="AF11" s="69"/>
      <c r="AG11" s="69"/>
      <c r="AH11" s="69"/>
      <c r="AI11" s="69"/>
      <c r="AJ11" s="69"/>
      <c r="AK11" s="69"/>
      <c r="AL11" s="69"/>
      <c r="AM11" s="69"/>
      <c r="AN11" s="69"/>
      <c r="AO11" s="69"/>
      <c r="AP11" s="69"/>
      <c r="AQ11" s="69"/>
      <c r="AR11" s="69"/>
      <c r="AS11" s="69"/>
      <c r="AT11" s="69"/>
    </row>
    <row r="12">
      <c r="A12" s="54">
        <v>1.0</v>
      </c>
      <c r="B12" s="310" t="s">
        <v>42</v>
      </c>
      <c r="C12" s="311"/>
      <c r="D12" s="312"/>
      <c r="E12" s="313">
        <v>1.0</v>
      </c>
      <c r="F12" s="314"/>
      <c r="G12" s="311">
        <v>1.0</v>
      </c>
      <c r="H12" s="315"/>
      <c r="I12" s="316" t="s">
        <v>171</v>
      </c>
      <c r="J12" s="316"/>
      <c r="K12" s="317"/>
      <c r="L12" s="318"/>
      <c r="M12" s="316" t="s">
        <v>171</v>
      </c>
      <c r="N12" s="319"/>
      <c r="O12" s="316" t="s">
        <v>171</v>
      </c>
      <c r="P12" s="316" t="s">
        <v>171</v>
      </c>
      <c r="Q12" s="320">
        <v>1.0</v>
      </c>
      <c r="R12" s="316" t="s">
        <v>171</v>
      </c>
      <c r="S12" s="320">
        <v>1.0</v>
      </c>
      <c r="T12" s="320">
        <v>1.0</v>
      </c>
      <c r="U12" s="321"/>
      <c r="W12" s="3"/>
      <c r="X12" s="3"/>
      <c r="Y12" s="3"/>
      <c r="Z12" s="3"/>
      <c r="AA12" s="3"/>
      <c r="AB12" s="3"/>
      <c r="AC12" s="3"/>
      <c r="AD12" s="3"/>
      <c r="AE12" s="3"/>
      <c r="AF12" s="3"/>
      <c r="AG12" s="3"/>
      <c r="AH12" s="3"/>
      <c r="AI12" s="3"/>
      <c r="AJ12" s="3"/>
      <c r="AK12" s="3"/>
      <c r="AL12" s="3"/>
      <c r="AM12" s="3"/>
      <c r="AN12" s="3"/>
      <c r="AO12" s="3"/>
      <c r="AP12" s="3"/>
      <c r="AQ12" s="3"/>
      <c r="AR12" s="3"/>
      <c r="AS12" s="3"/>
      <c r="AT12" s="3"/>
    </row>
    <row r="13">
      <c r="A13" s="54">
        <v>2.0</v>
      </c>
      <c r="B13" s="310" t="s">
        <v>44</v>
      </c>
      <c r="C13" s="322"/>
      <c r="D13" s="84"/>
      <c r="E13" s="323">
        <v>1.0</v>
      </c>
      <c r="F13" s="324"/>
      <c r="G13" s="322">
        <v>1.0</v>
      </c>
      <c r="H13" s="86"/>
      <c r="I13" s="87" t="s">
        <v>171</v>
      </c>
      <c r="J13" s="87"/>
      <c r="K13" s="325"/>
      <c r="L13" s="324"/>
      <c r="M13" s="87" t="s">
        <v>171</v>
      </c>
      <c r="N13" s="326"/>
      <c r="O13" s="87" t="s">
        <v>171</v>
      </c>
      <c r="P13" s="87" t="s">
        <v>171</v>
      </c>
      <c r="Q13" s="327">
        <v>1.0</v>
      </c>
      <c r="R13" s="87" t="s">
        <v>171</v>
      </c>
      <c r="S13" s="327">
        <v>1.0</v>
      </c>
      <c r="T13" s="327">
        <v>1.0</v>
      </c>
      <c r="U13" s="274"/>
      <c r="W13" s="3"/>
      <c r="X13" s="3"/>
      <c r="Y13" s="3"/>
      <c r="Z13" s="3"/>
      <c r="AA13" s="3"/>
      <c r="AB13" s="3"/>
      <c r="AC13" s="3"/>
      <c r="AD13" s="3"/>
      <c r="AE13" s="3"/>
      <c r="AF13" s="3"/>
      <c r="AG13" s="3"/>
      <c r="AH13" s="3"/>
      <c r="AI13" s="3"/>
      <c r="AJ13" s="3"/>
      <c r="AK13" s="3"/>
      <c r="AL13" s="3"/>
      <c r="AM13" s="3"/>
      <c r="AN13" s="3"/>
      <c r="AO13" s="3"/>
      <c r="AP13" s="3"/>
      <c r="AQ13" s="3"/>
      <c r="AR13" s="3"/>
      <c r="AS13" s="3"/>
      <c r="AT13" s="3"/>
    </row>
    <row r="14">
      <c r="A14" s="54">
        <v>3.0</v>
      </c>
      <c r="B14" s="310" t="s">
        <v>45</v>
      </c>
      <c r="C14" s="322"/>
      <c r="D14" s="84"/>
      <c r="E14" s="323">
        <v>1.0</v>
      </c>
      <c r="F14" s="324"/>
      <c r="G14" s="322">
        <v>1.0</v>
      </c>
      <c r="H14" s="86"/>
      <c r="I14" s="87" t="s">
        <v>171</v>
      </c>
      <c r="J14" s="87"/>
      <c r="K14" s="325"/>
      <c r="L14" s="324"/>
      <c r="M14" s="87" t="s">
        <v>171</v>
      </c>
      <c r="N14" s="326"/>
      <c r="O14" s="87" t="s">
        <v>171</v>
      </c>
      <c r="P14" s="87" t="s">
        <v>171</v>
      </c>
      <c r="Q14" s="327">
        <v>1.0</v>
      </c>
      <c r="R14" s="87" t="s">
        <v>171</v>
      </c>
      <c r="S14" s="327">
        <v>1.0</v>
      </c>
      <c r="T14" s="327">
        <v>1.0</v>
      </c>
      <c r="U14" s="274"/>
      <c r="W14" s="3"/>
      <c r="X14" s="3"/>
      <c r="Y14" s="3"/>
      <c r="Z14" s="3"/>
      <c r="AA14" s="3"/>
      <c r="AB14" s="3"/>
      <c r="AC14" s="3"/>
      <c r="AD14" s="3"/>
      <c r="AE14" s="3"/>
      <c r="AF14" s="3"/>
      <c r="AG14" s="3"/>
      <c r="AH14" s="3"/>
      <c r="AI14" s="3"/>
      <c r="AJ14" s="3"/>
      <c r="AK14" s="3"/>
      <c r="AL14" s="3"/>
      <c r="AM14" s="3"/>
      <c r="AN14" s="3"/>
      <c r="AO14" s="3"/>
      <c r="AP14" s="3"/>
      <c r="AQ14" s="3"/>
      <c r="AR14" s="3"/>
      <c r="AS14" s="3"/>
      <c r="AT14" s="3"/>
    </row>
    <row r="15">
      <c r="A15" s="54">
        <v>4.0</v>
      </c>
      <c r="B15" s="310" t="s">
        <v>47</v>
      </c>
      <c r="C15" s="322"/>
      <c r="D15" s="84"/>
      <c r="E15" s="323">
        <v>1.0</v>
      </c>
      <c r="F15" s="324"/>
      <c r="G15" s="322">
        <v>1.0</v>
      </c>
      <c r="H15" s="86"/>
      <c r="I15" s="87" t="s">
        <v>171</v>
      </c>
      <c r="J15" s="87"/>
      <c r="K15" s="325"/>
      <c r="L15" s="324"/>
      <c r="M15" s="87" t="s">
        <v>171</v>
      </c>
      <c r="N15" s="326"/>
      <c r="O15" s="87" t="s">
        <v>171</v>
      </c>
      <c r="P15" s="87" t="s">
        <v>171</v>
      </c>
      <c r="Q15" s="327">
        <v>1.0</v>
      </c>
      <c r="R15" s="87" t="s">
        <v>171</v>
      </c>
      <c r="S15" s="327">
        <v>1.0</v>
      </c>
      <c r="T15" s="327">
        <v>1.0</v>
      </c>
      <c r="U15" s="274"/>
      <c r="W15" s="3"/>
      <c r="X15" s="3"/>
      <c r="Y15" s="3"/>
      <c r="Z15" s="3"/>
      <c r="AA15" s="3"/>
      <c r="AB15" s="3"/>
      <c r="AC15" s="3"/>
      <c r="AD15" s="3"/>
      <c r="AE15" s="3"/>
      <c r="AF15" s="3"/>
      <c r="AG15" s="3"/>
      <c r="AH15" s="3"/>
      <c r="AI15" s="3"/>
      <c r="AJ15" s="3"/>
      <c r="AK15" s="3"/>
      <c r="AL15" s="3"/>
      <c r="AM15" s="3"/>
      <c r="AN15" s="3"/>
      <c r="AO15" s="3"/>
      <c r="AP15" s="3"/>
      <c r="AQ15" s="3"/>
      <c r="AR15" s="3"/>
      <c r="AS15" s="3"/>
      <c r="AT15" s="3"/>
    </row>
    <row r="16">
      <c r="A16" s="54">
        <v>5.0</v>
      </c>
      <c r="B16" s="310" t="s">
        <v>48</v>
      </c>
      <c r="C16" s="322"/>
      <c r="D16" s="84"/>
      <c r="E16" s="323">
        <v>1.0</v>
      </c>
      <c r="F16" s="324"/>
      <c r="G16" s="322">
        <v>1.0</v>
      </c>
      <c r="H16" s="86"/>
      <c r="I16" s="87" t="s">
        <v>171</v>
      </c>
      <c r="J16" s="87"/>
      <c r="K16" s="325"/>
      <c r="L16" s="324"/>
      <c r="M16" s="87" t="s">
        <v>171</v>
      </c>
      <c r="N16" s="326"/>
      <c r="O16" s="87" t="s">
        <v>171</v>
      </c>
      <c r="P16" s="87" t="s">
        <v>171</v>
      </c>
      <c r="Q16" s="329">
        <v>1.0</v>
      </c>
      <c r="R16" s="87" t="s">
        <v>171</v>
      </c>
      <c r="S16" s="329">
        <v>1.0</v>
      </c>
      <c r="T16" s="329">
        <v>1.0</v>
      </c>
      <c r="U16" s="150"/>
      <c r="W16" s="3"/>
      <c r="X16" s="3"/>
      <c r="Y16" s="3"/>
      <c r="Z16" s="3"/>
      <c r="AA16" s="3"/>
      <c r="AB16" s="3"/>
      <c r="AC16" s="3"/>
      <c r="AD16" s="3"/>
      <c r="AE16" s="3"/>
      <c r="AF16" s="3"/>
      <c r="AG16" s="3"/>
      <c r="AH16" s="3"/>
      <c r="AI16" s="3"/>
      <c r="AJ16" s="3"/>
      <c r="AK16" s="3"/>
      <c r="AL16" s="3"/>
      <c r="AM16" s="3"/>
      <c r="AN16" s="3"/>
      <c r="AO16" s="3"/>
      <c r="AP16" s="3"/>
      <c r="AQ16" s="3"/>
      <c r="AR16" s="3"/>
      <c r="AS16" s="3"/>
      <c r="AT16" s="3"/>
    </row>
    <row r="17">
      <c r="A17" s="54">
        <v>6.0</v>
      </c>
      <c r="B17" s="310" t="s">
        <v>49</v>
      </c>
      <c r="C17" s="322"/>
      <c r="D17" s="84"/>
      <c r="E17" s="323">
        <v>1.0</v>
      </c>
      <c r="F17" s="324"/>
      <c r="G17" s="322">
        <v>1.0</v>
      </c>
      <c r="H17" s="86"/>
      <c r="I17" s="87" t="s">
        <v>171</v>
      </c>
      <c r="J17" s="87"/>
      <c r="K17" s="325"/>
      <c r="L17" s="324"/>
      <c r="M17" s="87" t="s">
        <v>171</v>
      </c>
      <c r="N17" s="326"/>
      <c r="O17" s="87" t="s">
        <v>171</v>
      </c>
      <c r="P17" s="87" t="s">
        <v>171</v>
      </c>
      <c r="Q17" s="330">
        <v>1.0</v>
      </c>
      <c r="R17" s="87" t="s">
        <v>171</v>
      </c>
      <c r="S17" s="330">
        <v>1.0</v>
      </c>
      <c r="T17" s="330">
        <v>1.0</v>
      </c>
      <c r="U17" s="331"/>
      <c r="W17" s="3"/>
      <c r="X17" s="3"/>
      <c r="Y17" s="3"/>
      <c r="Z17" s="3"/>
      <c r="AA17" s="3"/>
      <c r="AB17" s="3"/>
      <c r="AC17" s="3"/>
      <c r="AD17" s="3"/>
      <c r="AE17" s="3"/>
      <c r="AF17" s="3"/>
      <c r="AG17" s="3"/>
      <c r="AH17" s="3"/>
      <c r="AI17" s="3"/>
      <c r="AJ17" s="3"/>
      <c r="AK17" s="3"/>
      <c r="AL17" s="3"/>
      <c r="AM17" s="3"/>
      <c r="AN17" s="3"/>
      <c r="AO17" s="3"/>
      <c r="AP17" s="3"/>
      <c r="AQ17" s="3"/>
      <c r="AR17" s="3"/>
      <c r="AS17" s="3"/>
      <c r="AT17" s="3"/>
    </row>
    <row r="18">
      <c r="A18" s="54">
        <v>7.0</v>
      </c>
      <c r="B18" s="332" t="s">
        <v>43</v>
      </c>
      <c r="C18" s="333"/>
      <c r="D18" s="84"/>
      <c r="E18" s="323">
        <v>1.0</v>
      </c>
      <c r="F18" s="324"/>
      <c r="G18" s="322">
        <v>1.0</v>
      </c>
      <c r="H18" s="86"/>
      <c r="I18" s="87" t="s">
        <v>171</v>
      </c>
      <c r="J18" s="87"/>
      <c r="K18" s="325"/>
      <c r="L18" s="324"/>
      <c r="M18" s="87" t="s">
        <v>171</v>
      </c>
      <c r="N18" s="326"/>
      <c r="O18" s="87" t="s">
        <v>171</v>
      </c>
      <c r="P18" s="87" t="s">
        <v>171</v>
      </c>
      <c r="Q18" s="330">
        <v>1.0</v>
      </c>
      <c r="R18" s="87" t="s">
        <v>171</v>
      </c>
      <c r="S18" s="330">
        <v>1.0</v>
      </c>
      <c r="T18" s="330">
        <v>1.0</v>
      </c>
      <c r="U18" s="334"/>
      <c r="W18" s="3"/>
      <c r="X18" s="3"/>
      <c r="Y18" s="3"/>
      <c r="Z18" s="3"/>
      <c r="AA18" s="3"/>
      <c r="AB18" s="3"/>
      <c r="AC18" s="3"/>
      <c r="AD18" s="3"/>
      <c r="AE18" s="3"/>
      <c r="AF18" s="3"/>
      <c r="AG18" s="3"/>
      <c r="AH18" s="3"/>
      <c r="AI18" s="3"/>
      <c r="AJ18" s="3"/>
      <c r="AK18" s="3"/>
      <c r="AL18" s="3"/>
      <c r="AM18" s="3"/>
      <c r="AN18" s="3"/>
      <c r="AO18" s="3"/>
      <c r="AP18" s="3"/>
      <c r="AQ18" s="3"/>
      <c r="AR18" s="3"/>
      <c r="AS18" s="3"/>
      <c r="AT18" s="3"/>
    </row>
    <row r="19">
      <c r="A19" s="89"/>
      <c r="B19" s="209" t="s">
        <v>50</v>
      </c>
      <c r="C19" s="337"/>
      <c r="D19" s="338"/>
      <c r="E19" s="339">
        <v>1.0</v>
      </c>
      <c r="F19" s="340"/>
      <c r="G19" s="342">
        <v>1.0</v>
      </c>
      <c r="H19" s="344"/>
      <c r="I19" s="345" t="s">
        <v>171</v>
      </c>
      <c r="J19" s="347"/>
      <c r="K19" s="348"/>
      <c r="L19" s="349"/>
      <c r="M19" s="345" t="s">
        <v>171</v>
      </c>
      <c r="N19" s="209"/>
      <c r="O19" s="345" t="s">
        <v>171</v>
      </c>
      <c r="P19" s="345" t="s">
        <v>171</v>
      </c>
      <c r="Q19" s="351">
        <v>1.0</v>
      </c>
      <c r="R19" s="345" t="s">
        <v>171</v>
      </c>
      <c r="S19" s="351">
        <v>1.0</v>
      </c>
      <c r="T19" s="351">
        <v>1.0</v>
      </c>
      <c r="U19" s="354"/>
      <c r="V19" s="356"/>
      <c r="W19" s="356"/>
      <c r="X19" s="356"/>
      <c r="Y19" s="356"/>
      <c r="Z19" s="356"/>
      <c r="AA19" s="356"/>
      <c r="AB19" s="356"/>
      <c r="AC19" s="356"/>
      <c r="AD19" s="356"/>
      <c r="AE19" s="356"/>
      <c r="AF19" s="356"/>
      <c r="AG19" s="356"/>
      <c r="AH19" s="356"/>
      <c r="AI19" s="356"/>
      <c r="AJ19" s="356"/>
      <c r="AK19" s="356"/>
      <c r="AL19" s="356"/>
      <c r="AM19" s="356"/>
      <c r="AN19" s="356"/>
      <c r="AO19" s="356"/>
      <c r="AP19" s="356"/>
      <c r="AQ19" s="356"/>
      <c r="AR19" s="356"/>
      <c r="AS19" s="356"/>
      <c r="AT19" s="356"/>
    </row>
    <row r="20">
      <c r="F20" s="205" t="s">
        <v>181</v>
      </c>
    </row>
    <row r="24">
      <c r="A24" s="1"/>
      <c r="B24" s="6"/>
      <c r="C24" s="8" t="s">
        <v>182</v>
      </c>
      <c r="D24" s="7"/>
      <c r="E24" s="7"/>
      <c r="F24" s="7"/>
      <c r="G24" s="7"/>
      <c r="H24" s="7"/>
      <c r="I24" s="7"/>
      <c r="J24" s="7"/>
      <c r="K24" s="7"/>
      <c r="L24" s="7"/>
      <c r="M24" s="7"/>
      <c r="N24" s="7"/>
      <c r="O24" s="7"/>
      <c r="P24" s="7"/>
      <c r="Q24" s="7"/>
      <c r="R24" s="7"/>
      <c r="S24" s="7"/>
      <c r="T24" s="7"/>
      <c r="U24" s="9"/>
    </row>
    <row r="25">
      <c r="A25" s="11"/>
      <c r="B25" s="15" t="s">
        <v>2</v>
      </c>
      <c r="C25" s="244" t="s">
        <v>3</v>
      </c>
      <c r="D25" s="245" t="s">
        <v>66</v>
      </c>
      <c r="E25" s="245" t="s">
        <v>67</v>
      </c>
      <c r="F25" s="245" t="s">
        <v>68</v>
      </c>
      <c r="G25" s="245" t="s">
        <v>86</v>
      </c>
      <c r="H25" s="24" t="s">
        <v>144</v>
      </c>
      <c r="I25" s="24" t="s">
        <v>88</v>
      </c>
      <c r="J25" s="245" t="s">
        <v>70</v>
      </c>
      <c r="K25" s="245" t="s">
        <v>71</v>
      </c>
      <c r="L25" s="245" t="s">
        <v>72</v>
      </c>
      <c r="M25" s="24" t="s">
        <v>89</v>
      </c>
      <c r="N25" s="245" t="s">
        <v>14</v>
      </c>
      <c r="O25" s="246" t="s">
        <v>90</v>
      </c>
      <c r="P25" s="246" t="s">
        <v>91</v>
      </c>
      <c r="Q25" s="247" t="s">
        <v>92</v>
      </c>
      <c r="R25" s="247" t="s">
        <v>93</v>
      </c>
      <c r="S25" s="247" t="s">
        <v>145</v>
      </c>
      <c r="T25" s="247" t="s">
        <v>146</v>
      </c>
      <c r="U25" s="135" t="s">
        <v>18</v>
      </c>
    </row>
    <row r="26">
      <c r="A26" s="26"/>
      <c r="B26" s="250" t="s">
        <v>20</v>
      </c>
      <c r="C26" s="251">
        <v>0.1</v>
      </c>
      <c r="D26" s="252">
        <v>0.05</v>
      </c>
      <c r="E26" s="252">
        <v>0.02</v>
      </c>
      <c r="F26" s="252">
        <v>0.06</v>
      </c>
      <c r="G26" s="252">
        <v>0.06</v>
      </c>
      <c r="H26" s="252">
        <v>0.1</v>
      </c>
      <c r="I26" s="252">
        <v>0.03</v>
      </c>
      <c r="J26" s="252">
        <v>0.05</v>
      </c>
      <c r="K26" s="252">
        <v>0.07</v>
      </c>
      <c r="L26" s="252">
        <v>0.07</v>
      </c>
      <c r="M26" s="255">
        <v>0.04</v>
      </c>
      <c r="N26" s="252">
        <v>0.07</v>
      </c>
      <c r="O26" s="252">
        <v>0.04</v>
      </c>
      <c r="P26" s="252">
        <v>0.02</v>
      </c>
      <c r="Q26" s="257">
        <v>0.02</v>
      </c>
      <c r="R26" s="257">
        <v>0.05</v>
      </c>
      <c r="S26" s="257">
        <v>0.05</v>
      </c>
      <c r="T26" s="257">
        <v>0.1</v>
      </c>
      <c r="U26" s="258">
        <f>sum(C26:T26)</f>
        <v>1</v>
      </c>
    </row>
    <row r="27">
      <c r="A27" s="71"/>
      <c r="B27" s="43" t="s">
        <v>24</v>
      </c>
      <c r="C27" s="300" t="s">
        <v>148</v>
      </c>
      <c r="D27" s="47" t="s">
        <v>149</v>
      </c>
      <c r="E27" s="47" t="s">
        <v>150</v>
      </c>
      <c r="F27" s="47" t="s">
        <v>151</v>
      </c>
      <c r="G27" s="47" t="s">
        <v>152</v>
      </c>
      <c r="H27" s="47" t="s">
        <v>153</v>
      </c>
      <c r="I27" s="47" t="s">
        <v>154</v>
      </c>
      <c r="J27" s="47" t="s">
        <v>155</v>
      </c>
      <c r="K27" s="47" t="s">
        <v>156</v>
      </c>
      <c r="L27" s="47" t="s">
        <v>157</v>
      </c>
      <c r="M27" s="47" t="s">
        <v>158</v>
      </c>
      <c r="N27" s="47" t="s">
        <v>159</v>
      </c>
      <c r="O27" s="47" t="s">
        <v>160</v>
      </c>
      <c r="P27" s="47" t="s">
        <v>161</v>
      </c>
      <c r="Q27" s="301" t="s">
        <v>162</v>
      </c>
      <c r="R27" s="301" t="s">
        <v>163</v>
      </c>
      <c r="S27" s="301" t="s">
        <v>164</v>
      </c>
      <c r="T27" s="301" t="s">
        <v>165</v>
      </c>
      <c r="U27" s="302"/>
    </row>
    <row r="28">
      <c r="A28" s="26"/>
      <c r="B28" s="260" t="s">
        <v>22</v>
      </c>
      <c r="C28" s="304" t="s">
        <v>23</v>
      </c>
      <c r="D28" s="74" t="s">
        <v>166</v>
      </c>
      <c r="E28" s="74"/>
      <c r="F28" s="74" t="s">
        <v>166</v>
      </c>
      <c r="G28" s="74" t="s">
        <v>166</v>
      </c>
      <c r="H28" s="74" t="s">
        <v>166</v>
      </c>
      <c r="I28" s="74" t="s">
        <v>166</v>
      </c>
      <c r="J28" s="74" t="s">
        <v>167</v>
      </c>
      <c r="K28" s="78" t="s">
        <v>166</v>
      </c>
      <c r="L28" s="74" t="s">
        <v>166</v>
      </c>
      <c r="M28" s="74" t="s">
        <v>166</v>
      </c>
      <c r="N28" s="305" t="s">
        <v>168</v>
      </c>
      <c r="O28" s="74" t="s">
        <v>166</v>
      </c>
      <c r="P28" s="306" t="s">
        <v>166</v>
      </c>
      <c r="Q28" s="386"/>
      <c r="R28" s="386"/>
      <c r="S28" s="386"/>
      <c r="T28" s="386"/>
      <c r="U28" s="274"/>
    </row>
    <row r="29">
      <c r="A29" s="26" t="s">
        <v>28</v>
      </c>
      <c r="B29" s="260" t="s">
        <v>30</v>
      </c>
      <c r="C29" s="261">
        <v>126390.0</v>
      </c>
      <c r="D29" s="141">
        <v>0.98</v>
      </c>
      <c r="E29" s="142">
        <v>1.0</v>
      </c>
      <c r="F29" s="141">
        <v>0.98</v>
      </c>
      <c r="G29" s="141">
        <v>0.99</v>
      </c>
      <c r="H29" s="264">
        <v>41609.0</v>
      </c>
      <c r="I29" s="143">
        <v>0.998</v>
      </c>
      <c r="J29" s="144" t="s">
        <v>169</v>
      </c>
      <c r="K29" s="141">
        <v>0.005</v>
      </c>
      <c r="L29" s="141">
        <v>0.98</v>
      </c>
      <c r="M29" s="141">
        <v>0.98</v>
      </c>
      <c r="N29" s="142">
        <v>3.0</v>
      </c>
      <c r="O29" s="145">
        <v>0.98</v>
      </c>
      <c r="P29" s="146">
        <v>0.03</v>
      </c>
      <c r="Q29" s="267">
        <v>0.99</v>
      </c>
      <c r="R29" s="267">
        <v>0.98</v>
      </c>
      <c r="S29" s="267">
        <v>1.0</v>
      </c>
      <c r="T29" s="267">
        <v>1.0</v>
      </c>
      <c r="U29" s="147"/>
    </row>
    <row r="30">
      <c r="A30" s="54">
        <v>1.0</v>
      </c>
      <c r="B30" s="310" t="s">
        <v>42</v>
      </c>
      <c r="C30" s="390">
        <f>'1. Tổng doanh thu'!D12</f>
        <v>25679</v>
      </c>
      <c r="D30" s="312"/>
      <c r="E30" s="313">
        <v>1.0</v>
      </c>
      <c r="F30" s="314"/>
      <c r="G30" s="311">
        <v>1.0</v>
      </c>
      <c r="H30" s="315"/>
      <c r="I30" s="316" t="s">
        <v>171</v>
      </c>
      <c r="J30" s="316"/>
      <c r="K30" s="317"/>
      <c r="L30" s="318"/>
      <c r="M30" s="316" t="s">
        <v>171</v>
      </c>
      <c r="N30" s="319"/>
      <c r="O30" s="316" t="s">
        <v>171</v>
      </c>
      <c r="P30" s="316" t="s">
        <v>171</v>
      </c>
      <c r="Q30" s="320">
        <v>1.0</v>
      </c>
      <c r="R30" s="316" t="s">
        <v>171</v>
      </c>
      <c r="S30" s="320">
        <v>1.0</v>
      </c>
      <c r="T30" s="320">
        <v>1.0</v>
      </c>
      <c r="U30" s="391"/>
    </row>
    <row r="31">
      <c r="A31" s="54">
        <v>2.0</v>
      </c>
      <c r="B31" s="310" t="s">
        <v>44</v>
      </c>
      <c r="C31" s="392">
        <f>'1. Tổng doanh thu'!D14</f>
        <v>15254</v>
      </c>
      <c r="D31" s="84"/>
      <c r="E31" s="323">
        <v>1.0</v>
      </c>
      <c r="F31" s="324"/>
      <c r="G31" s="322">
        <v>1.0</v>
      </c>
      <c r="H31" s="86"/>
      <c r="I31" s="87" t="s">
        <v>171</v>
      </c>
      <c r="J31" s="87"/>
      <c r="K31" s="325"/>
      <c r="L31" s="324"/>
      <c r="M31" s="87" t="s">
        <v>171</v>
      </c>
      <c r="N31" s="326"/>
      <c r="O31" s="87" t="s">
        <v>171</v>
      </c>
      <c r="P31" s="87" t="s">
        <v>171</v>
      </c>
      <c r="Q31" s="327">
        <v>1.0</v>
      </c>
      <c r="R31" s="87" t="s">
        <v>171</v>
      </c>
      <c r="S31" s="327">
        <v>1.0</v>
      </c>
      <c r="T31" s="327">
        <v>1.0</v>
      </c>
      <c r="U31" s="150"/>
    </row>
    <row r="32">
      <c r="A32" s="54">
        <v>3.0</v>
      </c>
      <c r="B32" s="310" t="s">
        <v>45</v>
      </c>
      <c r="C32" s="392">
        <f>'1. Tổng doanh thu'!D15</f>
        <v>13229</v>
      </c>
      <c r="D32" s="84"/>
      <c r="E32" s="323">
        <v>1.0</v>
      </c>
      <c r="F32" s="324"/>
      <c r="G32" s="322">
        <v>1.0</v>
      </c>
      <c r="H32" s="86"/>
      <c r="I32" s="87" t="s">
        <v>171</v>
      </c>
      <c r="J32" s="87"/>
      <c r="K32" s="325"/>
      <c r="L32" s="324"/>
      <c r="M32" s="87" t="s">
        <v>171</v>
      </c>
      <c r="N32" s="326"/>
      <c r="O32" s="87" t="s">
        <v>171</v>
      </c>
      <c r="P32" s="87" t="s">
        <v>171</v>
      </c>
      <c r="Q32" s="327">
        <v>1.0</v>
      </c>
      <c r="R32" s="87" t="s">
        <v>171</v>
      </c>
      <c r="S32" s="327">
        <v>1.0</v>
      </c>
      <c r="T32" s="327">
        <v>1.0</v>
      </c>
      <c r="U32" s="150"/>
    </row>
    <row r="33">
      <c r="A33" s="54">
        <v>4.0</v>
      </c>
      <c r="B33" s="310" t="s">
        <v>47</v>
      </c>
      <c r="C33" s="392">
        <f>'1. Tổng doanh thu'!D16</f>
        <v>25323</v>
      </c>
      <c r="D33" s="84"/>
      <c r="E33" s="323">
        <v>1.0</v>
      </c>
      <c r="F33" s="324"/>
      <c r="G33" s="322">
        <v>1.0</v>
      </c>
      <c r="H33" s="86"/>
      <c r="I33" s="87" t="s">
        <v>171</v>
      </c>
      <c r="J33" s="87"/>
      <c r="K33" s="325"/>
      <c r="L33" s="324"/>
      <c r="M33" s="87" t="s">
        <v>171</v>
      </c>
      <c r="N33" s="326"/>
      <c r="O33" s="87" t="s">
        <v>171</v>
      </c>
      <c r="P33" s="87" t="s">
        <v>171</v>
      </c>
      <c r="Q33" s="327">
        <v>1.0</v>
      </c>
      <c r="R33" s="87" t="s">
        <v>171</v>
      </c>
      <c r="S33" s="327">
        <v>1.0</v>
      </c>
      <c r="T33" s="327">
        <v>1.0</v>
      </c>
      <c r="U33" s="150"/>
    </row>
    <row r="34">
      <c r="A34" s="54">
        <v>5.0</v>
      </c>
      <c r="B34" s="310" t="s">
        <v>48</v>
      </c>
      <c r="C34" s="392">
        <f>'1. Tổng doanh thu'!D17</f>
        <v>11422</v>
      </c>
      <c r="D34" s="84"/>
      <c r="E34" s="323">
        <v>1.0</v>
      </c>
      <c r="F34" s="324"/>
      <c r="G34" s="322">
        <v>1.0</v>
      </c>
      <c r="H34" s="86"/>
      <c r="I34" s="87" t="s">
        <v>171</v>
      </c>
      <c r="J34" s="87"/>
      <c r="K34" s="325"/>
      <c r="L34" s="324"/>
      <c r="M34" s="87" t="s">
        <v>171</v>
      </c>
      <c r="N34" s="326"/>
      <c r="O34" s="87" t="s">
        <v>171</v>
      </c>
      <c r="P34" s="87" t="s">
        <v>171</v>
      </c>
      <c r="Q34" s="329">
        <v>1.0</v>
      </c>
      <c r="R34" s="87" t="s">
        <v>171</v>
      </c>
      <c r="S34" s="329">
        <v>1.0</v>
      </c>
      <c r="T34" s="329">
        <v>1.0</v>
      </c>
      <c r="U34" s="150"/>
    </row>
    <row r="35">
      <c r="A35" s="54">
        <v>6.0</v>
      </c>
      <c r="B35" s="310" t="s">
        <v>49</v>
      </c>
      <c r="C35" s="397"/>
      <c r="D35" s="84"/>
      <c r="E35" s="323">
        <v>1.0</v>
      </c>
      <c r="F35" s="324"/>
      <c r="G35" s="322">
        <v>1.0</v>
      </c>
      <c r="H35" s="86"/>
      <c r="I35" s="87" t="s">
        <v>171</v>
      </c>
      <c r="J35" s="87"/>
      <c r="K35" s="325"/>
      <c r="L35" s="324"/>
      <c r="M35" s="87" t="s">
        <v>171</v>
      </c>
      <c r="N35" s="326"/>
      <c r="O35" s="87" t="s">
        <v>171</v>
      </c>
      <c r="P35" s="87" t="s">
        <v>171</v>
      </c>
      <c r="Q35" s="330">
        <v>1.0</v>
      </c>
      <c r="R35" s="87" t="s">
        <v>171</v>
      </c>
      <c r="S35" s="330">
        <v>1.0</v>
      </c>
      <c r="T35" s="330">
        <v>1.0</v>
      </c>
      <c r="U35" s="150"/>
    </row>
    <row r="36">
      <c r="A36" s="54">
        <v>7.0</v>
      </c>
      <c r="B36" s="332" t="s">
        <v>43</v>
      </c>
      <c r="C36" s="399"/>
      <c r="D36" s="84"/>
      <c r="E36" s="323">
        <v>1.0</v>
      </c>
      <c r="F36" s="324"/>
      <c r="G36" s="322">
        <v>1.0</v>
      </c>
      <c r="H36" s="86"/>
      <c r="I36" s="87" t="s">
        <v>171</v>
      </c>
      <c r="J36" s="87"/>
      <c r="K36" s="325"/>
      <c r="L36" s="324"/>
      <c r="M36" s="87" t="s">
        <v>171</v>
      </c>
      <c r="N36" s="326"/>
      <c r="O36" s="87" t="s">
        <v>171</v>
      </c>
      <c r="P36" s="87" t="s">
        <v>171</v>
      </c>
      <c r="Q36" s="330">
        <v>1.0</v>
      </c>
      <c r="R36" s="87" t="s">
        <v>171</v>
      </c>
      <c r="S36" s="330">
        <v>1.0</v>
      </c>
      <c r="T36" s="330">
        <v>1.0</v>
      </c>
      <c r="U36" s="400"/>
    </row>
    <row r="37">
      <c r="A37" s="89"/>
      <c r="B37" s="209" t="s">
        <v>50</v>
      </c>
      <c r="C37" s="209"/>
      <c r="D37" s="338"/>
      <c r="E37" s="339">
        <v>1.0</v>
      </c>
      <c r="F37" s="340"/>
      <c r="G37" s="342">
        <v>1.0</v>
      </c>
      <c r="H37" s="344"/>
      <c r="I37" s="345" t="s">
        <v>171</v>
      </c>
      <c r="J37" s="347"/>
      <c r="K37" s="348"/>
      <c r="L37" s="349"/>
      <c r="M37" s="345" t="s">
        <v>171</v>
      </c>
      <c r="N37" s="209"/>
      <c r="O37" s="345" t="s">
        <v>171</v>
      </c>
      <c r="P37" s="345" t="s">
        <v>171</v>
      </c>
      <c r="Q37" s="351">
        <v>1.0</v>
      </c>
      <c r="R37" s="345" t="s">
        <v>171</v>
      </c>
      <c r="S37" s="351">
        <v>1.0</v>
      </c>
      <c r="T37" s="351">
        <v>1.0</v>
      </c>
      <c r="U37" s="354"/>
      <c r="V37" s="356"/>
      <c r="W37" s="356"/>
      <c r="X37" s="356"/>
      <c r="Y37" s="356"/>
      <c r="Z37" s="356"/>
      <c r="AA37" s="356"/>
      <c r="AB37" s="356"/>
      <c r="AC37" s="356"/>
      <c r="AD37" s="356"/>
      <c r="AE37" s="356"/>
      <c r="AF37" s="356"/>
      <c r="AG37" s="356"/>
      <c r="AH37" s="356"/>
      <c r="AI37" s="356"/>
      <c r="AJ37" s="356"/>
      <c r="AK37" s="356"/>
      <c r="AL37" s="356"/>
      <c r="AM37" s="356"/>
      <c r="AN37" s="356"/>
      <c r="AO37" s="356"/>
      <c r="AP37" s="356"/>
      <c r="AQ37" s="356"/>
      <c r="AR37" s="356"/>
      <c r="AS37" s="356"/>
      <c r="AT37" s="356"/>
    </row>
    <row r="38">
      <c r="C38" s="402"/>
    </row>
    <row r="41">
      <c r="A41" s="1"/>
      <c r="B41" s="6"/>
      <c r="C41" s="8" t="s">
        <v>62</v>
      </c>
      <c r="D41" s="7"/>
      <c r="E41" s="7"/>
      <c r="F41" s="7"/>
      <c r="G41" s="7"/>
      <c r="H41" s="7"/>
      <c r="I41" s="7"/>
      <c r="J41" s="7"/>
      <c r="K41" s="7"/>
      <c r="L41" s="7"/>
      <c r="M41" s="7"/>
      <c r="N41" s="7"/>
      <c r="O41" s="7"/>
      <c r="P41" s="7"/>
      <c r="Q41" s="7"/>
      <c r="R41" s="7"/>
      <c r="S41" s="7"/>
      <c r="T41" s="7"/>
      <c r="U41" s="9"/>
    </row>
    <row r="42">
      <c r="A42" s="11"/>
      <c r="B42" s="15" t="s">
        <v>2</v>
      </c>
      <c r="C42" s="244" t="s">
        <v>3</v>
      </c>
      <c r="D42" s="245" t="s">
        <v>66</v>
      </c>
      <c r="E42" s="245" t="s">
        <v>67</v>
      </c>
      <c r="F42" s="245" t="s">
        <v>68</v>
      </c>
      <c r="G42" s="245" t="s">
        <v>86</v>
      </c>
      <c r="H42" s="24" t="s">
        <v>144</v>
      </c>
      <c r="I42" s="24" t="s">
        <v>88</v>
      </c>
      <c r="J42" s="245" t="s">
        <v>70</v>
      </c>
      <c r="K42" s="245" t="s">
        <v>71</v>
      </c>
      <c r="L42" s="245" t="s">
        <v>72</v>
      </c>
      <c r="M42" s="24" t="s">
        <v>89</v>
      </c>
      <c r="N42" s="245" t="s">
        <v>14</v>
      </c>
      <c r="O42" s="246" t="s">
        <v>90</v>
      </c>
      <c r="P42" s="246" t="s">
        <v>91</v>
      </c>
      <c r="Q42" s="247" t="s">
        <v>92</v>
      </c>
      <c r="R42" s="247" t="s">
        <v>93</v>
      </c>
      <c r="S42" s="247" t="s">
        <v>145</v>
      </c>
      <c r="T42" s="247" t="s">
        <v>146</v>
      </c>
      <c r="U42" s="135" t="s">
        <v>18</v>
      </c>
    </row>
    <row r="43">
      <c r="B43" s="250" t="s">
        <v>20</v>
      </c>
      <c r="C43" s="251">
        <v>0.1</v>
      </c>
      <c r="D43" s="252">
        <v>0.05</v>
      </c>
      <c r="E43" s="252">
        <v>0.02</v>
      </c>
      <c r="F43" s="252">
        <v>0.06</v>
      </c>
      <c r="G43" s="252">
        <v>0.06</v>
      </c>
      <c r="H43" s="252">
        <v>0.1</v>
      </c>
      <c r="I43" s="252">
        <v>0.03</v>
      </c>
      <c r="J43" s="252">
        <v>0.05</v>
      </c>
      <c r="K43" s="252">
        <v>0.07</v>
      </c>
      <c r="L43" s="252">
        <v>0.07</v>
      </c>
      <c r="M43" s="255">
        <v>0.04</v>
      </c>
      <c r="N43" s="252">
        <v>0.07</v>
      </c>
      <c r="O43" s="252">
        <v>0.04</v>
      </c>
      <c r="P43" s="252">
        <v>0.02</v>
      </c>
      <c r="Q43" s="257">
        <v>0.02</v>
      </c>
      <c r="R43" s="257">
        <v>0.05</v>
      </c>
      <c r="S43" s="257">
        <v>0.05</v>
      </c>
      <c r="T43" s="257">
        <v>0.1</v>
      </c>
      <c r="U43" s="258">
        <f>sum(C43:T43)</f>
        <v>1</v>
      </c>
    </row>
    <row r="44">
      <c r="A44" s="26" t="s">
        <v>28</v>
      </c>
      <c r="B44" s="260" t="s">
        <v>30</v>
      </c>
      <c r="C44" s="261">
        <v>126390.0</v>
      </c>
      <c r="D44" s="141">
        <v>0.98</v>
      </c>
      <c r="E44" s="142">
        <v>1.0</v>
      </c>
      <c r="F44" s="141">
        <v>0.98</v>
      </c>
      <c r="G44" s="141">
        <v>0.99</v>
      </c>
      <c r="H44" s="264">
        <v>41609.0</v>
      </c>
      <c r="I44" s="143">
        <v>0.998</v>
      </c>
      <c r="J44" s="144" t="s">
        <v>169</v>
      </c>
      <c r="K44" s="141">
        <v>0.005</v>
      </c>
      <c r="L44" s="141">
        <v>0.98</v>
      </c>
      <c r="M44" s="141">
        <v>0.98</v>
      </c>
      <c r="N44" s="142">
        <v>3.0</v>
      </c>
      <c r="O44" s="145">
        <v>0.98</v>
      </c>
      <c r="P44" s="146">
        <v>0.03</v>
      </c>
      <c r="Q44" s="267">
        <v>0.99</v>
      </c>
      <c r="R44" s="267">
        <v>0.98</v>
      </c>
      <c r="S44" s="267">
        <v>1.0</v>
      </c>
      <c r="T44" s="267">
        <v>1.0</v>
      </c>
      <c r="U44" s="147"/>
    </row>
    <row r="45">
      <c r="A45" s="54">
        <v>1.0</v>
      </c>
      <c r="B45" s="148" t="s">
        <v>42</v>
      </c>
      <c r="C45" s="149">
        <f t="shared" ref="C45:C52" si="1">((C30-100%)/0.2%)*$C$43</f>
        <v>1283900</v>
      </c>
      <c r="D45" s="151">
        <f t="shared" ref="D45:D52" si="2">((98%-D30)/1%)*$D$43</f>
        <v>4.9</v>
      </c>
      <c r="E45" s="153">
        <f t="shared" ref="E45:E52" si="3">((1-E30)/0.5)*$E$43</f>
        <v>0</v>
      </c>
      <c r="F45" s="151">
        <f t="shared" ref="F45:F52" si="4">((F30-98%)/0.5%)*$F$43</f>
        <v>-11.76</v>
      </c>
      <c r="G45" s="151">
        <f t="shared" ref="G45:G52" si="5">((G30-99%)/1%)*0.5*$G$43</f>
        <v>0.03</v>
      </c>
      <c r="H45" s="151">
        <f t="shared" ref="H45:H52" si="6">((H30-100%)/0.5%)*$H$43</f>
        <v>-20</v>
      </c>
      <c r="I45" s="151" t="str">
        <f t="shared" ref="I45:I52" si="7">((I30-99.8%)/0.1%)*0.5*$I$43</f>
        <v>#VALUE!</v>
      </c>
      <c r="J45" s="151">
        <f t="shared" ref="J45:J52" si="8">((J30-100%)/3%)*0.5*$J$43</f>
        <v>-0.8333333333</v>
      </c>
      <c r="K45" s="151">
        <f t="shared" ref="K45:K52" si="9">((0.5%-K30)/0.1%)*0.5*$K$43</f>
        <v>0.175</v>
      </c>
      <c r="L45" s="151">
        <f t="shared" ref="L45:L52" si="10">((L30-98%)/1%)*$L$43</f>
        <v>-6.86</v>
      </c>
      <c r="M45" s="151" t="str">
        <f t="shared" ref="M45:M52" si="11">((M30-98%)/0.1%)*0.2*$M$43</f>
        <v>#VALUE!</v>
      </c>
      <c r="N45" s="151">
        <f t="shared" ref="N45:N52" si="12">((3-N30)/0.1)*0.1*$N$43</f>
        <v>0.21</v>
      </c>
      <c r="O45" s="151" t="str">
        <f t="shared" ref="O45:O52" si="13">((O30-98%)/0.1%)*0.2*$O$43</f>
        <v>#VALUE!</v>
      </c>
      <c r="P45" s="153" t="str">
        <f t="shared" ref="P45:P52" si="14">((3%-P30)/1%)*$P$43</f>
        <v>#VALUE!</v>
      </c>
      <c r="Q45" s="321">
        <f t="shared" ref="Q45:Q52" si="15">((Q30-99%)/0.5%)*$Q$43</f>
        <v>0.04</v>
      </c>
      <c r="R45" s="321" t="str">
        <f t="shared" ref="R45:R52" si="16">((R30-98%)/0.5%)*$R$43</f>
        <v>#VALUE!</v>
      </c>
      <c r="S45" s="321">
        <f t="shared" ref="S45:S52" si="17">IF(S30&gt;=100%,0,((S30-100%)/2%)*$S$43)</f>
        <v>0</v>
      </c>
      <c r="T45" s="321">
        <f t="shared" ref="T45:T52" si="18">IF(T30&gt;=100%,0,((T30-100%)/2%)*$T$43)</f>
        <v>0</v>
      </c>
      <c r="U45" s="416" t="str">
        <f t="shared" ref="U45:U52" si="19">100+sum(C45:T45)</f>
        <v>#VALUE!</v>
      </c>
    </row>
    <row r="46">
      <c r="A46" s="54">
        <v>2.0</v>
      </c>
      <c r="B46" s="156" t="s">
        <v>44</v>
      </c>
      <c r="C46" s="149">
        <f t="shared" si="1"/>
        <v>762650</v>
      </c>
      <c r="D46" s="151">
        <f t="shared" si="2"/>
        <v>4.9</v>
      </c>
      <c r="E46" s="153">
        <f t="shared" si="3"/>
        <v>0</v>
      </c>
      <c r="F46" s="151">
        <f t="shared" si="4"/>
        <v>-11.76</v>
      </c>
      <c r="G46" s="151">
        <f t="shared" si="5"/>
        <v>0.03</v>
      </c>
      <c r="H46" s="151">
        <f t="shared" si="6"/>
        <v>-20</v>
      </c>
      <c r="I46" s="151" t="str">
        <f t="shared" si="7"/>
        <v>#VALUE!</v>
      </c>
      <c r="J46" s="151">
        <f t="shared" si="8"/>
        <v>-0.8333333333</v>
      </c>
      <c r="K46" s="151">
        <f t="shared" si="9"/>
        <v>0.175</v>
      </c>
      <c r="L46" s="151">
        <f t="shared" si="10"/>
        <v>-6.86</v>
      </c>
      <c r="M46" s="151" t="str">
        <f t="shared" si="11"/>
        <v>#VALUE!</v>
      </c>
      <c r="N46" s="151">
        <f t="shared" si="12"/>
        <v>0.21</v>
      </c>
      <c r="O46" s="151" t="str">
        <f t="shared" si="13"/>
        <v>#VALUE!</v>
      </c>
      <c r="P46" s="153" t="str">
        <f t="shared" si="14"/>
        <v>#VALUE!</v>
      </c>
      <c r="Q46" s="321">
        <f t="shared" si="15"/>
        <v>0.04</v>
      </c>
      <c r="R46" s="321" t="str">
        <f t="shared" si="16"/>
        <v>#VALUE!</v>
      </c>
      <c r="S46" s="321">
        <f t="shared" si="17"/>
        <v>0</v>
      </c>
      <c r="T46" s="321">
        <f t="shared" si="18"/>
        <v>0</v>
      </c>
      <c r="U46" s="421" t="str">
        <f t="shared" si="19"/>
        <v>#VALUE!</v>
      </c>
    </row>
    <row r="47">
      <c r="A47" s="54">
        <v>3.0</v>
      </c>
      <c r="B47" s="156" t="s">
        <v>45</v>
      </c>
      <c r="C47" s="149">
        <f t="shared" si="1"/>
        <v>661400</v>
      </c>
      <c r="D47" s="151">
        <f t="shared" si="2"/>
        <v>4.9</v>
      </c>
      <c r="E47" s="153">
        <f t="shared" si="3"/>
        <v>0</v>
      </c>
      <c r="F47" s="151">
        <f t="shared" si="4"/>
        <v>-11.76</v>
      </c>
      <c r="G47" s="151">
        <f t="shared" si="5"/>
        <v>0.03</v>
      </c>
      <c r="H47" s="151">
        <f t="shared" si="6"/>
        <v>-20</v>
      </c>
      <c r="I47" s="151" t="str">
        <f t="shared" si="7"/>
        <v>#VALUE!</v>
      </c>
      <c r="J47" s="151">
        <f t="shared" si="8"/>
        <v>-0.8333333333</v>
      </c>
      <c r="K47" s="151">
        <f t="shared" si="9"/>
        <v>0.175</v>
      </c>
      <c r="L47" s="151">
        <f t="shared" si="10"/>
        <v>-6.86</v>
      </c>
      <c r="M47" s="151" t="str">
        <f t="shared" si="11"/>
        <v>#VALUE!</v>
      </c>
      <c r="N47" s="151">
        <f t="shared" si="12"/>
        <v>0.21</v>
      </c>
      <c r="O47" s="151" t="str">
        <f t="shared" si="13"/>
        <v>#VALUE!</v>
      </c>
      <c r="P47" s="153" t="str">
        <f t="shared" si="14"/>
        <v>#VALUE!</v>
      </c>
      <c r="Q47" s="321">
        <f t="shared" si="15"/>
        <v>0.04</v>
      </c>
      <c r="R47" s="321" t="str">
        <f t="shared" si="16"/>
        <v>#VALUE!</v>
      </c>
      <c r="S47" s="321">
        <f t="shared" si="17"/>
        <v>0</v>
      </c>
      <c r="T47" s="321">
        <f t="shared" si="18"/>
        <v>0</v>
      </c>
      <c r="U47" s="421" t="str">
        <f t="shared" si="19"/>
        <v>#VALUE!</v>
      </c>
    </row>
    <row r="48">
      <c r="A48" s="54">
        <v>4.0</v>
      </c>
      <c r="B48" s="156" t="s">
        <v>47</v>
      </c>
      <c r="C48" s="149">
        <f t="shared" si="1"/>
        <v>1266100</v>
      </c>
      <c r="D48" s="151">
        <f t="shared" si="2"/>
        <v>4.9</v>
      </c>
      <c r="E48" s="153">
        <f t="shared" si="3"/>
        <v>0</v>
      </c>
      <c r="F48" s="151">
        <f t="shared" si="4"/>
        <v>-11.76</v>
      </c>
      <c r="G48" s="151">
        <f t="shared" si="5"/>
        <v>0.03</v>
      </c>
      <c r="H48" s="151">
        <f t="shared" si="6"/>
        <v>-20</v>
      </c>
      <c r="I48" s="151" t="str">
        <f t="shared" si="7"/>
        <v>#VALUE!</v>
      </c>
      <c r="J48" s="151">
        <f t="shared" si="8"/>
        <v>-0.8333333333</v>
      </c>
      <c r="K48" s="151">
        <f t="shared" si="9"/>
        <v>0.175</v>
      </c>
      <c r="L48" s="151">
        <f t="shared" si="10"/>
        <v>-6.86</v>
      </c>
      <c r="M48" s="151" t="str">
        <f t="shared" si="11"/>
        <v>#VALUE!</v>
      </c>
      <c r="N48" s="151">
        <f t="shared" si="12"/>
        <v>0.21</v>
      </c>
      <c r="O48" s="151" t="str">
        <f t="shared" si="13"/>
        <v>#VALUE!</v>
      </c>
      <c r="P48" s="153" t="str">
        <f t="shared" si="14"/>
        <v>#VALUE!</v>
      </c>
      <c r="Q48" s="321">
        <f t="shared" si="15"/>
        <v>0.04</v>
      </c>
      <c r="R48" s="321" t="str">
        <f t="shared" si="16"/>
        <v>#VALUE!</v>
      </c>
      <c r="S48" s="321">
        <f t="shared" si="17"/>
        <v>0</v>
      </c>
      <c r="T48" s="321">
        <f t="shared" si="18"/>
        <v>0</v>
      </c>
      <c r="U48" s="421" t="str">
        <f t="shared" si="19"/>
        <v>#VALUE!</v>
      </c>
    </row>
    <row r="49">
      <c r="A49" s="54">
        <v>5.0</v>
      </c>
      <c r="B49" s="156" t="s">
        <v>48</v>
      </c>
      <c r="C49" s="149">
        <f t="shared" si="1"/>
        <v>571050</v>
      </c>
      <c r="D49" s="151">
        <f t="shared" si="2"/>
        <v>4.9</v>
      </c>
      <c r="E49" s="153">
        <f t="shared" si="3"/>
        <v>0</v>
      </c>
      <c r="F49" s="151">
        <f t="shared" si="4"/>
        <v>-11.76</v>
      </c>
      <c r="G49" s="151">
        <f t="shared" si="5"/>
        <v>0.03</v>
      </c>
      <c r="H49" s="151">
        <f t="shared" si="6"/>
        <v>-20</v>
      </c>
      <c r="I49" s="151" t="str">
        <f t="shared" si="7"/>
        <v>#VALUE!</v>
      </c>
      <c r="J49" s="151">
        <f t="shared" si="8"/>
        <v>-0.8333333333</v>
      </c>
      <c r="K49" s="151">
        <f t="shared" si="9"/>
        <v>0.175</v>
      </c>
      <c r="L49" s="151">
        <f t="shared" si="10"/>
        <v>-6.86</v>
      </c>
      <c r="M49" s="151" t="str">
        <f t="shared" si="11"/>
        <v>#VALUE!</v>
      </c>
      <c r="N49" s="151">
        <f t="shared" si="12"/>
        <v>0.21</v>
      </c>
      <c r="O49" s="151" t="str">
        <f t="shared" si="13"/>
        <v>#VALUE!</v>
      </c>
      <c r="P49" s="153" t="str">
        <f t="shared" si="14"/>
        <v>#VALUE!</v>
      </c>
      <c r="Q49" s="321">
        <f t="shared" si="15"/>
        <v>0.04</v>
      </c>
      <c r="R49" s="321" t="str">
        <f t="shared" si="16"/>
        <v>#VALUE!</v>
      </c>
      <c r="S49" s="321">
        <f t="shared" si="17"/>
        <v>0</v>
      </c>
      <c r="T49" s="321">
        <f t="shared" si="18"/>
        <v>0</v>
      </c>
      <c r="U49" s="421" t="str">
        <f t="shared" si="19"/>
        <v>#VALUE!</v>
      </c>
    </row>
    <row r="50">
      <c r="A50" s="54">
        <v>6.0</v>
      </c>
      <c r="B50" s="156" t="s">
        <v>49</v>
      </c>
      <c r="C50" s="149">
        <f t="shared" si="1"/>
        <v>-50</v>
      </c>
      <c r="D50" s="151">
        <f t="shared" si="2"/>
        <v>4.9</v>
      </c>
      <c r="E50" s="153">
        <f t="shared" si="3"/>
        <v>0</v>
      </c>
      <c r="F50" s="151">
        <f t="shared" si="4"/>
        <v>-11.76</v>
      </c>
      <c r="G50" s="151">
        <f t="shared" si="5"/>
        <v>0.03</v>
      </c>
      <c r="H50" s="151">
        <f t="shared" si="6"/>
        <v>-20</v>
      </c>
      <c r="I50" s="151" t="str">
        <f t="shared" si="7"/>
        <v>#VALUE!</v>
      </c>
      <c r="J50" s="151">
        <f t="shared" si="8"/>
        <v>-0.8333333333</v>
      </c>
      <c r="K50" s="151">
        <f t="shared" si="9"/>
        <v>0.175</v>
      </c>
      <c r="L50" s="151">
        <f t="shared" si="10"/>
        <v>-6.86</v>
      </c>
      <c r="M50" s="151" t="str">
        <f t="shared" si="11"/>
        <v>#VALUE!</v>
      </c>
      <c r="N50" s="151">
        <f t="shared" si="12"/>
        <v>0.21</v>
      </c>
      <c r="O50" s="151" t="str">
        <f t="shared" si="13"/>
        <v>#VALUE!</v>
      </c>
      <c r="P50" s="153" t="str">
        <f t="shared" si="14"/>
        <v>#VALUE!</v>
      </c>
      <c r="Q50" s="321">
        <f t="shared" si="15"/>
        <v>0.04</v>
      </c>
      <c r="R50" s="321" t="str">
        <f t="shared" si="16"/>
        <v>#VALUE!</v>
      </c>
      <c r="S50" s="321">
        <f t="shared" si="17"/>
        <v>0</v>
      </c>
      <c r="T50" s="321">
        <f t="shared" si="18"/>
        <v>0</v>
      </c>
      <c r="U50" s="421" t="str">
        <f t="shared" si="19"/>
        <v>#VALUE!</v>
      </c>
    </row>
    <row r="51">
      <c r="A51" s="54">
        <v>7.0</v>
      </c>
      <c r="B51" s="165" t="s">
        <v>43</v>
      </c>
      <c r="C51" s="149">
        <f t="shared" si="1"/>
        <v>-50</v>
      </c>
      <c r="D51" s="151">
        <f t="shared" si="2"/>
        <v>4.9</v>
      </c>
      <c r="E51" s="153">
        <f t="shared" si="3"/>
        <v>0</v>
      </c>
      <c r="F51" s="151">
        <f t="shared" si="4"/>
        <v>-11.76</v>
      </c>
      <c r="G51" s="151">
        <f t="shared" si="5"/>
        <v>0.03</v>
      </c>
      <c r="H51" s="151">
        <f t="shared" si="6"/>
        <v>-20</v>
      </c>
      <c r="I51" s="151" t="str">
        <f t="shared" si="7"/>
        <v>#VALUE!</v>
      </c>
      <c r="J51" s="151">
        <f t="shared" si="8"/>
        <v>-0.8333333333</v>
      </c>
      <c r="K51" s="151">
        <f t="shared" si="9"/>
        <v>0.175</v>
      </c>
      <c r="L51" s="151">
        <f t="shared" si="10"/>
        <v>-6.86</v>
      </c>
      <c r="M51" s="151" t="str">
        <f t="shared" si="11"/>
        <v>#VALUE!</v>
      </c>
      <c r="N51" s="151">
        <f t="shared" si="12"/>
        <v>0.21</v>
      </c>
      <c r="O51" s="151" t="str">
        <f t="shared" si="13"/>
        <v>#VALUE!</v>
      </c>
      <c r="P51" s="153" t="str">
        <f t="shared" si="14"/>
        <v>#VALUE!</v>
      </c>
      <c r="Q51" s="321">
        <f t="shared" si="15"/>
        <v>0.04</v>
      </c>
      <c r="R51" s="321" t="str">
        <f t="shared" si="16"/>
        <v>#VALUE!</v>
      </c>
      <c r="S51" s="321">
        <f t="shared" si="17"/>
        <v>0</v>
      </c>
      <c r="T51" s="321">
        <f t="shared" si="18"/>
        <v>0</v>
      </c>
      <c r="U51" s="428" t="str">
        <f t="shared" si="19"/>
        <v>#VALUE!</v>
      </c>
    </row>
    <row r="52">
      <c r="A52" s="89"/>
      <c r="B52" s="209" t="s">
        <v>50</v>
      </c>
      <c r="C52" s="149">
        <f t="shared" si="1"/>
        <v>-50</v>
      </c>
      <c r="D52" s="151">
        <f t="shared" si="2"/>
        <v>4.9</v>
      </c>
      <c r="E52" s="153">
        <f t="shared" si="3"/>
        <v>0</v>
      </c>
      <c r="F52" s="151">
        <f t="shared" si="4"/>
        <v>-11.76</v>
      </c>
      <c r="G52" s="151">
        <f t="shared" si="5"/>
        <v>0.03</v>
      </c>
      <c r="H52" s="151">
        <f t="shared" si="6"/>
        <v>-20</v>
      </c>
      <c r="I52" s="151" t="str">
        <f t="shared" si="7"/>
        <v>#VALUE!</v>
      </c>
      <c r="J52" s="151">
        <f t="shared" si="8"/>
        <v>-0.8333333333</v>
      </c>
      <c r="K52" s="151">
        <f t="shared" si="9"/>
        <v>0.175</v>
      </c>
      <c r="L52" s="151">
        <f t="shared" si="10"/>
        <v>-6.86</v>
      </c>
      <c r="M52" s="151" t="str">
        <f t="shared" si="11"/>
        <v>#VALUE!</v>
      </c>
      <c r="N52" s="151">
        <f t="shared" si="12"/>
        <v>0.21</v>
      </c>
      <c r="O52" s="151" t="str">
        <f t="shared" si="13"/>
        <v>#VALUE!</v>
      </c>
      <c r="P52" s="153" t="str">
        <f t="shared" si="14"/>
        <v>#VALUE!</v>
      </c>
      <c r="Q52" s="321">
        <f t="shared" si="15"/>
        <v>0.04</v>
      </c>
      <c r="R52" s="321" t="str">
        <f t="shared" si="16"/>
        <v>#VALUE!</v>
      </c>
      <c r="S52" s="321">
        <f t="shared" si="17"/>
        <v>0</v>
      </c>
      <c r="T52" s="321">
        <f t="shared" si="18"/>
        <v>0</v>
      </c>
      <c r="U52" s="416" t="str">
        <f t="shared" si="19"/>
        <v>#VALUE!</v>
      </c>
    </row>
    <row r="53">
      <c r="A53" s="89"/>
      <c r="B53" s="89" t="s">
        <v>63</v>
      </c>
      <c r="E53" s="399"/>
    </row>
    <row r="54">
      <c r="A54" s="89"/>
      <c r="B54" s="89" t="s">
        <v>64</v>
      </c>
      <c r="E54" s="399"/>
    </row>
    <row r="55">
      <c r="A55" s="89"/>
      <c r="B55" s="89"/>
      <c r="E55" s="399"/>
    </row>
    <row r="56">
      <c r="A56" s="89"/>
      <c r="B56" s="89"/>
      <c r="E56" s="399"/>
    </row>
    <row r="57">
      <c r="A57" s="89"/>
      <c r="B57" s="89"/>
      <c r="E57" s="399"/>
    </row>
    <row r="60">
      <c r="C60" s="335" t="s">
        <v>172</v>
      </c>
      <c r="D60" s="431"/>
      <c r="E60" s="432"/>
      <c r="F60" s="433" t="s">
        <v>99</v>
      </c>
      <c r="G60" s="434"/>
      <c r="H60" s="434"/>
      <c r="I60" s="434"/>
      <c r="J60" s="434"/>
      <c r="K60" s="435"/>
      <c r="L60" s="433" t="s">
        <v>173</v>
      </c>
      <c r="M60" s="434"/>
      <c r="N60" s="435"/>
    </row>
    <row r="61">
      <c r="C61" s="341" t="s">
        <v>174</v>
      </c>
      <c r="D61" s="343" t="s">
        <v>175</v>
      </c>
      <c r="E61" s="343" t="s">
        <v>176</v>
      </c>
      <c r="F61" s="346" t="s">
        <v>2</v>
      </c>
      <c r="G61" s="346" t="s">
        <v>101</v>
      </c>
      <c r="H61" s="346" t="s">
        <v>20</v>
      </c>
      <c r="I61" s="346" t="s">
        <v>30</v>
      </c>
      <c r="J61" s="346" t="s">
        <v>102</v>
      </c>
      <c r="K61" s="346" t="s">
        <v>103</v>
      </c>
      <c r="L61" s="346" t="s">
        <v>173</v>
      </c>
      <c r="M61" s="350" t="s">
        <v>177</v>
      </c>
      <c r="N61" s="350" t="s">
        <v>178</v>
      </c>
    </row>
    <row r="62">
      <c r="C62" s="352" t="s">
        <v>179</v>
      </c>
      <c r="D62" s="353" t="s">
        <v>180</v>
      </c>
      <c r="E62" s="355">
        <v>0.3</v>
      </c>
      <c r="F62" s="357"/>
      <c r="G62" s="358"/>
      <c r="H62" s="359"/>
      <c r="I62" s="359"/>
      <c r="J62" s="357"/>
      <c r="K62" s="357"/>
      <c r="L62" s="360"/>
      <c r="M62" s="361"/>
      <c r="N62" s="361"/>
    </row>
    <row r="63">
      <c r="C63" s="362">
        <v>1.0</v>
      </c>
      <c r="D63" s="362" t="s">
        <v>183</v>
      </c>
      <c r="E63" s="363">
        <v>0.15</v>
      </c>
      <c r="F63" s="364" t="s">
        <v>184</v>
      </c>
      <c r="G63" s="365" t="s">
        <v>185</v>
      </c>
      <c r="H63" s="436">
        <v>0.15</v>
      </c>
      <c r="I63" s="362">
        <v>130.221</v>
      </c>
      <c r="J63" s="367" t="s">
        <v>148</v>
      </c>
      <c r="K63" s="368" t="s">
        <v>257</v>
      </c>
      <c r="L63" s="365" t="s">
        <v>187</v>
      </c>
      <c r="M63" s="369" t="s">
        <v>258</v>
      </c>
      <c r="N63" s="369" t="s">
        <v>259</v>
      </c>
    </row>
    <row r="64">
      <c r="C64" s="404">
        <v>2.0</v>
      </c>
      <c r="D64" s="404" t="s">
        <v>195</v>
      </c>
      <c r="E64" s="405">
        <v>0.15</v>
      </c>
      <c r="F64" s="364" t="s">
        <v>196</v>
      </c>
      <c r="G64" s="381"/>
      <c r="H64" s="360"/>
      <c r="I64" s="382"/>
      <c r="J64" s="383"/>
      <c r="K64" s="384"/>
      <c r="L64" s="381"/>
      <c r="M64" s="361"/>
      <c r="N64" s="361"/>
    </row>
    <row r="65">
      <c r="C65" s="437"/>
      <c r="D65" s="437"/>
      <c r="E65" s="438"/>
      <c r="F65" s="387" t="s">
        <v>198</v>
      </c>
      <c r="G65" s="365" t="s">
        <v>166</v>
      </c>
      <c r="H65" s="436">
        <v>0.1</v>
      </c>
      <c r="I65" s="363">
        <v>0.98</v>
      </c>
      <c r="J65" s="368" t="s">
        <v>260</v>
      </c>
      <c r="K65" s="368" t="s">
        <v>200</v>
      </c>
      <c r="L65" s="365" t="s">
        <v>187</v>
      </c>
      <c r="M65" s="369" t="s">
        <v>258</v>
      </c>
      <c r="N65" s="369" t="s">
        <v>261</v>
      </c>
    </row>
    <row r="66">
      <c r="C66" s="439"/>
      <c r="D66" s="439"/>
      <c r="E66" s="440"/>
      <c r="F66" s="389" t="s">
        <v>202</v>
      </c>
      <c r="G66" s="365" t="s">
        <v>166</v>
      </c>
      <c r="H66" s="436">
        <v>0.05</v>
      </c>
      <c r="I66" s="362">
        <v>1.0</v>
      </c>
      <c r="J66" s="368" t="s">
        <v>263</v>
      </c>
      <c r="K66" s="441" t="s">
        <v>264</v>
      </c>
      <c r="L66" s="365" t="s">
        <v>187</v>
      </c>
      <c r="M66" s="369" t="s">
        <v>258</v>
      </c>
      <c r="N66" s="369" t="s">
        <v>261</v>
      </c>
    </row>
    <row r="67">
      <c r="C67" s="352" t="s">
        <v>204</v>
      </c>
      <c r="D67" s="353" t="s">
        <v>205</v>
      </c>
      <c r="E67" s="355">
        <v>0.25</v>
      </c>
      <c r="F67" s="360"/>
      <c r="G67" s="360"/>
      <c r="H67" s="359"/>
      <c r="I67" s="359"/>
      <c r="J67" s="393"/>
      <c r="K67" s="393"/>
      <c r="L67" s="360"/>
      <c r="M67" s="361"/>
      <c r="N67" s="361"/>
    </row>
    <row r="68">
      <c r="C68" s="403">
        <v>3.0</v>
      </c>
      <c r="D68" s="404" t="s">
        <v>207</v>
      </c>
      <c r="E68" s="405">
        <v>0.2</v>
      </c>
      <c r="F68" s="395" t="s">
        <v>208</v>
      </c>
      <c r="G68" s="381"/>
      <c r="H68" s="360"/>
      <c r="I68" s="382"/>
      <c r="J68" s="383"/>
      <c r="K68" s="383"/>
      <c r="L68" s="381"/>
      <c r="M68" s="361"/>
      <c r="N68" s="361"/>
    </row>
    <row r="69">
      <c r="C69" s="442"/>
      <c r="D69" s="437"/>
      <c r="E69" s="438"/>
      <c r="F69" s="376" t="s">
        <v>265</v>
      </c>
      <c r="G69" s="365" t="s">
        <v>166</v>
      </c>
      <c r="H69" s="436">
        <v>0.05</v>
      </c>
      <c r="I69" s="363">
        <v>0.98</v>
      </c>
      <c r="J69" s="368" t="s">
        <v>151</v>
      </c>
      <c r="K69" s="441" t="s">
        <v>267</v>
      </c>
      <c r="L69" s="365" t="s">
        <v>215</v>
      </c>
      <c r="M69" s="369" t="s">
        <v>268</v>
      </c>
      <c r="N69" s="369" t="s">
        <v>269</v>
      </c>
    </row>
    <row r="70">
      <c r="C70" s="442"/>
      <c r="D70" s="437"/>
      <c r="E70" s="438"/>
      <c r="F70" s="376" t="s">
        <v>270</v>
      </c>
      <c r="G70" s="365" t="s">
        <v>166</v>
      </c>
      <c r="H70" s="436">
        <v>0.05</v>
      </c>
      <c r="I70" s="363">
        <v>0.99</v>
      </c>
      <c r="J70" s="368" t="s">
        <v>271</v>
      </c>
      <c r="K70" s="441" t="s">
        <v>272</v>
      </c>
      <c r="L70" s="365" t="s">
        <v>215</v>
      </c>
      <c r="M70" s="369" t="s">
        <v>268</v>
      </c>
      <c r="N70" s="369" t="s">
        <v>269</v>
      </c>
    </row>
    <row r="71">
      <c r="C71" s="442"/>
      <c r="D71" s="437"/>
      <c r="E71" s="438"/>
      <c r="F71" s="376" t="s">
        <v>118</v>
      </c>
      <c r="G71" s="365" t="s">
        <v>166</v>
      </c>
      <c r="H71" s="436">
        <v>0.05</v>
      </c>
      <c r="I71" s="363">
        <v>0.02</v>
      </c>
      <c r="J71" s="368" t="s">
        <v>218</v>
      </c>
      <c r="K71" s="441" t="s">
        <v>273</v>
      </c>
      <c r="L71" s="365" t="s">
        <v>215</v>
      </c>
      <c r="M71" s="369" t="s">
        <v>268</v>
      </c>
      <c r="N71" s="369" t="s">
        <v>274</v>
      </c>
    </row>
    <row r="72">
      <c r="C72" s="443"/>
      <c r="D72" s="439"/>
      <c r="E72" s="440"/>
      <c r="F72" s="376" t="s">
        <v>220</v>
      </c>
      <c r="G72" s="365" t="s">
        <v>166</v>
      </c>
      <c r="H72" s="436">
        <v>0.05</v>
      </c>
      <c r="I72" s="396">
        <v>0.55</v>
      </c>
      <c r="J72" s="368" t="s">
        <v>275</v>
      </c>
      <c r="K72" s="441" t="s">
        <v>276</v>
      </c>
      <c r="L72" s="365" t="s">
        <v>215</v>
      </c>
      <c r="M72" s="369" t="s">
        <v>268</v>
      </c>
      <c r="N72" s="369" t="s">
        <v>277</v>
      </c>
    </row>
    <row r="73">
      <c r="C73" s="403">
        <v>4.0</v>
      </c>
      <c r="D73" s="404" t="s">
        <v>227</v>
      </c>
      <c r="E73" s="405">
        <v>0.05</v>
      </c>
      <c r="F73" s="395" t="s">
        <v>228</v>
      </c>
      <c r="G73" s="381"/>
      <c r="H73" s="360"/>
      <c r="I73" s="382"/>
      <c r="J73" s="383"/>
      <c r="K73" s="383"/>
      <c r="L73" s="381"/>
      <c r="M73" s="361"/>
      <c r="N73" s="361"/>
    </row>
    <row r="74">
      <c r="C74" s="442"/>
      <c r="D74" s="437"/>
      <c r="E74" s="438"/>
      <c r="F74" s="395" t="s">
        <v>229</v>
      </c>
      <c r="G74" s="381"/>
      <c r="H74" s="360"/>
      <c r="I74" s="382"/>
      <c r="J74" s="383"/>
      <c r="K74" s="383"/>
      <c r="L74" s="381"/>
      <c r="M74" s="361"/>
      <c r="N74" s="361"/>
    </row>
    <row r="75">
      <c r="C75" s="442"/>
      <c r="D75" s="437"/>
      <c r="E75" s="438"/>
      <c r="F75" s="376" t="s">
        <v>230</v>
      </c>
      <c r="G75" s="365" t="s">
        <v>167</v>
      </c>
      <c r="H75" s="436">
        <v>0.05</v>
      </c>
      <c r="I75" s="362">
        <v>2.28</v>
      </c>
      <c r="J75" s="368" t="s">
        <v>278</v>
      </c>
      <c r="K75" s="441" t="s">
        <v>279</v>
      </c>
      <c r="L75" s="365" t="s">
        <v>192</v>
      </c>
      <c r="M75" s="369" t="s">
        <v>280</v>
      </c>
      <c r="N75" s="369" t="s">
        <v>281</v>
      </c>
    </row>
    <row r="76">
      <c r="C76" s="352" t="s">
        <v>234</v>
      </c>
      <c r="D76" s="409" t="s">
        <v>235</v>
      </c>
      <c r="E76" s="410">
        <v>0.45</v>
      </c>
      <c r="F76" s="360"/>
      <c r="G76" s="360"/>
      <c r="H76" s="359"/>
      <c r="I76" s="359"/>
      <c r="J76" s="393"/>
      <c r="K76" s="393"/>
      <c r="L76" s="360"/>
      <c r="M76" s="361"/>
      <c r="N76" s="361"/>
    </row>
    <row r="77">
      <c r="C77" s="403">
        <v>5.0</v>
      </c>
      <c r="D77" s="404" t="s">
        <v>236</v>
      </c>
      <c r="E77" s="405">
        <v>0.25</v>
      </c>
      <c r="F77" s="368" t="s">
        <v>130</v>
      </c>
      <c r="G77" s="365" t="s">
        <v>166</v>
      </c>
      <c r="H77" s="436">
        <v>0.05</v>
      </c>
      <c r="I77" s="362" t="s">
        <v>237</v>
      </c>
      <c r="J77" s="368" t="s">
        <v>156</v>
      </c>
      <c r="K77" s="376" t="s">
        <v>238</v>
      </c>
      <c r="L77" s="365" t="s">
        <v>215</v>
      </c>
      <c r="M77" s="369" t="s">
        <v>268</v>
      </c>
      <c r="N77" s="369" t="s">
        <v>277</v>
      </c>
    </row>
    <row r="78">
      <c r="C78" s="442"/>
      <c r="D78" s="437"/>
      <c r="E78" s="438"/>
      <c r="F78" s="368" t="s">
        <v>282</v>
      </c>
      <c r="G78" s="365" t="s">
        <v>166</v>
      </c>
      <c r="H78" s="436">
        <v>0.05</v>
      </c>
      <c r="I78" s="362" t="s">
        <v>283</v>
      </c>
      <c r="J78" s="368" t="s">
        <v>157</v>
      </c>
      <c r="K78" s="414" t="s">
        <v>267</v>
      </c>
      <c r="L78" s="365" t="s">
        <v>215</v>
      </c>
      <c r="M78" s="369" t="s">
        <v>268</v>
      </c>
      <c r="N78" s="369" t="s">
        <v>277</v>
      </c>
    </row>
    <row r="79">
      <c r="C79" s="442"/>
      <c r="D79" s="437"/>
      <c r="E79" s="438"/>
      <c r="F79" s="368" t="s">
        <v>133</v>
      </c>
      <c r="G79" s="365" t="s">
        <v>166</v>
      </c>
      <c r="H79" s="436">
        <v>0.1</v>
      </c>
      <c r="I79" s="396">
        <v>0.99</v>
      </c>
      <c r="J79" s="383"/>
      <c r="K79" s="414" t="s">
        <v>284</v>
      </c>
      <c r="L79" s="365" t="s">
        <v>215</v>
      </c>
      <c r="M79" s="369" t="s">
        <v>268</v>
      </c>
      <c r="N79" s="369" t="s">
        <v>277</v>
      </c>
    </row>
    <row r="80">
      <c r="C80" s="442"/>
      <c r="D80" s="437"/>
      <c r="E80" s="438"/>
      <c r="F80" s="368" t="s">
        <v>135</v>
      </c>
      <c r="G80" s="365" t="s">
        <v>168</v>
      </c>
      <c r="H80" s="436">
        <v>0.05</v>
      </c>
      <c r="I80" s="362">
        <v>3.0</v>
      </c>
      <c r="J80" s="368" t="s">
        <v>159</v>
      </c>
      <c r="K80" s="414" t="s">
        <v>285</v>
      </c>
      <c r="L80" s="365" t="s">
        <v>215</v>
      </c>
      <c r="M80" s="369" t="s">
        <v>268</v>
      </c>
      <c r="N80" s="369" t="s">
        <v>269</v>
      </c>
    </row>
    <row r="81">
      <c r="C81" s="415">
        <v>7.0</v>
      </c>
      <c r="D81" s="362" t="s">
        <v>242</v>
      </c>
      <c r="E81" s="363">
        <v>0.2</v>
      </c>
      <c r="F81" s="368" t="s">
        <v>243</v>
      </c>
      <c r="G81" s="365" t="s">
        <v>166</v>
      </c>
      <c r="H81" s="436">
        <v>0.2</v>
      </c>
      <c r="I81" s="363">
        <v>1.0</v>
      </c>
      <c r="J81" s="368" t="s">
        <v>244</v>
      </c>
      <c r="K81" s="376" t="s">
        <v>245</v>
      </c>
      <c r="L81" s="365" t="s">
        <v>246</v>
      </c>
      <c r="M81" s="369" t="s">
        <v>286</v>
      </c>
      <c r="N81" s="369" t="s">
        <v>287</v>
      </c>
    </row>
    <row r="82">
      <c r="C82" s="415">
        <v>8.0</v>
      </c>
      <c r="D82" s="362" t="s">
        <v>249</v>
      </c>
      <c r="E82" s="362" t="s">
        <v>250</v>
      </c>
      <c r="F82" s="368" t="s">
        <v>251</v>
      </c>
      <c r="G82" s="384"/>
      <c r="H82" s="436">
        <v>0.0</v>
      </c>
      <c r="I82" s="382"/>
      <c r="J82" s="368" t="s">
        <v>46</v>
      </c>
      <c r="K82" s="376" t="s">
        <v>288</v>
      </c>
      <c r="L82" s="365" t="s">
        <v>246</v>
      </c>
      <c r="M82" s="369" t="s">
        <v>286</v>
      </c>
      <c r="N82" s="369" t="s">
        <v>287</v>
      </c>
    </row>
    <row r="83">
      <c r="C83" s="417"/>
      <c r="D83" s="395" t="s">
        <v>253</v>
      </c>
      <c r="E83" s="363">
        <v>1.0</v>
      </c>
      <c r="F83" s="418"/>
      <c r="G83" s="419"/>
      <c r="H83" s="410">
        <v>1.0</v>
      </c>
      <c r="I83" s="382"/>
      <c r="J83" s="418"/>
      <c r="K83" s="418"/>
      <c r="L83" s="381"/>
      <c r="M83" s="361"/>
      <c r="N83" s="361"/>
    </row>
    <row r="84">
      <c r="C84" s="417"/>
      <c r="D84" s="395" t="s">
        <v>254</v>
      </c>
      <c r="E84" s="362">
        <v>8.0</v>
      </c>
      <c r="F84" s="418"/>
      <c r="G84" s="419"/>
      <c r="H84" s="420">
        <v>13.0</v>
      </c>
      <c r="I84" s="374">
        <v>13.0</v>
      </c>
      <c r="J84" s="418"/>
      <c r="K84" s="418"/>
      <c r="L84" s="381"/>
      <c r="M84" s="361"/>
      <c r="N84" s="361"/>
    </row>
  </sheetData>
  <mergeCells count="3">
    <mergeCell ref="C6:T6"/>
    <mergeCell ref="C24:U24"/>
    <mergeCell ref="C41:U4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4.5"/>
    <col customWidth="1" min="3" max="3" width="7.88"/>
    <col customWidth="1" min="4" max="5" width="8.13"/>
    <col customWidth="1" min="6" max="6" width="10.75"/>
    <col customWidth="1" min="7" max="7" width="8.5"/>
    <col customWidth="1" min="8" max="8" width="10.5"/>
    <col customWidth="1" min="9" max="9" width="10.13"/>
    <col customWidth="1" min="12" max="12" width="10.88"/>
    <col customWidth="1" min="13" max="13" width="11.63"/>
    <col customWidth="1" min="14" max="14" width="18.0"/>
    <col customWidth="1" min="16" max="16" width="14.25"/>
    <col customWidth="1" min="17" max="17" width="10.75"/>
    <col customWidth="1" min="18" max="18" width="9.5"/>
    <col customWidth="1" min="19" max="19" width="9.63"/>
    <col customWidth="1" min="20" max="22" width="9.75"/>
  </cols>
  <sheetData>
    <row r="6">
      <c r="A6" s="1"/>
      <c r="B6" s="6"/>
      <c r="C6" s="8" t="s">
        <v>197</v>
      </c>
      <c r="D6" s="7"/>
      <c r="E6" s="7"/>
      <c r="F6" s="7"/>
      <c r="G6" s="7"/>
      <c r="H6" s="7"/>
      <c r="I6" s="7"/>
      <c r="J6" s="7"/>
      <c r="K6" s="7"/>
      <c r="L6" s="7"/>
      <c r="M6" s="7"/>
      <c r="N6" s="7"/>
      <c r="O6" s="7"/>
      <c r="P6" s="7"/>
      <c r="Q6" s="7"/>
      <c r="R6" s="7"/>
      <c r="S6" s="7"/>
      <c r="T6" s="7"/>
      <c r="U6" s="7"/>
      <c r="V6" s="7"/>
      <c r="W6" s="9"/>
      <c r="X6" s="3"/>
      <c r="Y6" s="3"/>
      <c r="Z6" s="3"/>
      <c r="AA6" s="3"/>
      <c r="AB6" s="3"/>
      <c r="AC6" s="3"/>
      <c r="AD6" s="3"/>
      <c r="AE6" s="3"/>
      <c r="AF6" s="3"/>
      <c r="AG6" s="3"/>
      <c r="AH6" s="3"/>
      <c r="AI6" s="3"/>
      <c r="AJ6" s="3"/>
      <c r="AK6" s="3"/>
      <c r="AL6" s="3"/>
      <c r="AM6" s="3"/>
      <c r="AN6" s="3"/>
      <c r="AO6" s="3"/>
      <c r="AP6" s="3"/>
      <c r="AQ6" s="3"/>
      <c r="AR6" s="3"/>
      <c r="AS6" s="3"/>
      <c r="AT6" s="3"/>
      <c r="AU6" s="3"/>
      <c r="AV6" s="3"/>
    </row>
    <row r="7" ht="96.75" customHeight="1">
      <c r="A7" s="11"/>
      <c r="B7" s="15" t="s">
        <v>2</v>
      </c>
      <c r="C7" s="244" t="s">
        <v>3</v>
      </c>
      <c r="D7" s="245" t="s">
        <v>66</v>
      </c>
      <c r="E7" s="245" t="s">
        <v>67</v>
      </c>
      <c r="F7" s="245" t="s">
        <v>68</v>
      </c>
      <c r="G7" s="245" t="s">
        <v>86</v>
      </c>
      <c r="H7" s="24" t="s">
        <v>87</v>
      </c>
      <c r="I7" s="24" t="s">
        <v>88</v>
      </c>
      <c r="J7" s="245" t="s">
        <v>70</v>
      </c>
      <c r="K7" s="245" t="s">
        <v>71</v>
      </c>
      <c r="L7" s="245" t="s">
        <v>72</v>
      </c>
      <c r="M7" s="24" t="s">
        <v>89</v>
      </c>
      <c r="N7" s="245" t="s">
        <v>14</v>
      </c>
      <c r="O7" s="246" t="s">
        <v>90</v>
      </c>
      <c r="P7" s="246" t="s">
        <v>91</v>
      </c>
      <c r="Q7" s="247" t="s">
        <v>92</v>
      </c>
      <c r="R7" s="247" t="s">
        <v>93</v>
      </c>
      <c r="S7" s="247" t="s">
        <v>94</v>
      </c>
      <c r="T7" s="247" t="s">
        <v>95</v>
      </c>
      <c r="U7" s="247" t="s">
        <v>96</v>
      </c>
      <c r="V7" s="247" t="s">
        <v>97</v>
      </c>
      <c r="W7" s="135" t="s">
        <v>18</v>
      </c>
      <c r="Y7" s="3"/>
      <c r="Z7" s="3"/>
      <c r="AA7" s="3"/>
      <c r="AB7" s="3"/>
      <c r="AC7" s="3"/>
      <c r="AD7" s="3"/>
      <c r="AE7" s="3"/>
      <c r="AF7" s="3"/>
      <c r="AG7" s="3"/>
      <c r="AH7" s="3"/>
      <c r="AI7" s="3"/>
      <c r="AJ7" s="3"/>
      <c r="AK7" s="3"/>
      <c r="AL7" s="3"/>
      <c r="AM7" s="3"/>
      <c r="AN7" s="3"/>
      <c r="AO7" s="3"/>
      <c r="AP7" s="3"/>
      <c r="AQ7" s="3"/>
      <c r="AR7" s="3"/>
      <c r="AS7" s="3"/>
      <c r="AT7" s="3"/>
      <c r="AU7" s="3"/>
      <c r="AV7" s="3"/>
    </row>
    <row r="8">
      <c r="A8" s="26"/>
      <c r="B8" s="250" t="s">
        <v>20</v>
      </c>
      <c r="C8" s="251">
        <v>0.1</v>
      </c>
      <c r="D8" s="252">
        <v>0.05</v>
      </c>
      <c r="E8" s="252">
        <v>0.02</v>
      </c>
      <c r="F8" s="252">
        <v>0.06</v>
      </c>
      <c r="G8" s="252">
        <v>0.06</v>
      </c>
      <c r="H8" s="252">
        <v>0.05</v>
      </c>
      <c r="I8" s="252">
        <v>0.03</v>
      </c>
      <c r="J8" s="252">
        <v>0.05</v>
      </c>
      <c r="K8" s="252">
        <v>0.07</v>
      </c>
      <c r="L8" s="252">
        <v>0.07</v>
      </c>
      <c r="M8" s="255">
        <v>0.04</v>
      </c>
      <c r="N8" s="252">
        <v>0.07</v>
      </c>
      <c r="O8" s="252">
        <v>0.04</v>
      </c>
      <c r="P8" s="252">
        <v>0.02</v>
      </c>
      <c r="Q8" s="257">
        <v>0.02</v>
      </c>
      <c r="R8" s="257">
        <v>0.05</v>
      </c>
      <c r="S8" s="257">
        <v>0.03</v>
      </c>
      <c r="T8" s="257">
        <v>0.02</v>
      </c>
      <c r="U8" s="257">
        <v>0.05</v>
      </c>
      <c r="V8" s="257">
        <v>0.1</v>
      </c>
      <c r="W8" s="258">
        <f>sum(C8:V8)</f>
        <v>1</v>
      </c>
      <c r="Y8" s="3"/>
      <c r="Z8" s="3"/>
      <c r="AA8" s="3"/>
      <c r="AB8" s="3"/>
      <c r="AC8" s="3"/>
      <c r="AD8" s="3"/>
      <c r="AE8" s="3"/>
      <c r="AF8" s="3"/>
      <c r="AG8" s="3"/>
      <c r="AH8" s="3"/>
      <c r="AI8" s="3"/>
      <c r="AJ8" s="3"/>
      <c r="AK8" s="3"/>
      <c r="AL8" s="3"/>
      <c r="AM8" s="3"/>
      <c r="AN8" s="3"/>
      <c r="AO8" s="3"/>
      <c r="AP8" s="3"/>
      <c r="AQ8" s="3"/>
      <c r="AR8" s="3"/>
      <c r="AS8" s="3"/>
      <c r="AT8" s="3"/>
      <c r="AU8" s="3"/>
      <c r="AV8" s="3"/>
    </row>
    <row r="9" ht="161.25" customHeight="1">
      <c r="A9" s="71"/>
      <c r="B9" s="43" t="s">
        <v>24</v>
      </c>
      <c r="C9" s="300" t="s">
        <v>148</v>
      </c>
      <c r="D9" s="47" t="s">
        <v>149</v>
      </c>
      <c r="E9" s="47" t="s">
        <v>150</v>
      </c>
      <c r="F9" s="47" t="s">
        <v>151</v>
      </c>
      <c r="G9" s="47" t="s">
        <v>152</v>
      </c>
      <c r="H9" s="47" t="s">
        <v>206</v>
      </c>
      <c r="I9" s="47" t="s">
        <v>154</v>
      </c>
      <c r="J9" s="47" t="s">
        <v>155</v>
      </c>
      <c r="K9" s="47" t="s">
        <v>156</v>
      </c>
      <c r="L9" s="47" t="s">
        <v>157</v>
      </c>
      <c r="M9" s="47" t="s">
        <v>158</v>
      </c>
      <c r="N9" s="47" t="s">
        <v>159</v>
      </c>
      <c r="O9" s="47" t="s">
        <v>160</v>
      </c>
      <c r="P9" s="47" t="s">
        <v>209</v>
      </c>
      <c r="Q9" s="301" t="s">
        <v>162</v>
      </c>
      <c r="R9" s="301" t="s">
        <v>210</v>
      </c>
      <c r="S9" s="301" t="s">
        <v>211</v>
      </c>
      <c r="T9" s="301" t="s">
        <v>212</v>
      </c>
      <c r="U9" s="301" t="s">
        <v>164</v>
      </c>
      <c r="V9" s="301" t="s">
        <v>165</v>
      </c>
      <c r="W9" s="302"/>
      <c r="Y9" s="52"/>
      <c r="Z9" s="52"/>
      <c r="AA9" s="52"/>
      <c r="AB9" s="52"/>
      <c r="AC9" s="52"/>
      <c r="AD9" s="52"/>
      <c r="AE9" s="52"/>
      <c r="AF9" s="52"/>
      <c r="AG9" s="52"/>
      <c r="AH9" s="52"/>
      <c r="AI9" s="52"/>
      <c r="AJ9" s="52"/>
      <c r="AK9" s="52"/>
      <c r="AL9" s="52"/>
      <c r="AM9" s="52"/>
      <c r="AN9" s="52"/>
      <c r="AO9" s="52"/>
      <c r="AP9" s="52"/>
      <c r="AQ9" s="52"/>
      <c r="AR9" s="52"/>
      <c r="AS9" s="52"/>
      <c r="AT9" s="52"/>
      <c r="AU9" s="52"/>
      <c r="AV9" s="52"/>
    </row>
    <row r="10">
      <c r="B10" s="260" t="s">
        <v>22</v>
      </c>
      <c r="C10" s="304" t="s">
        <v>23</v>
      </c>
      <c r="D10" s="74" t="s">
        <v>166</v>
      </c>
      <c r="E10" s="74"/>
      <c r="F10" s="74" t="s">
        <v>166</v>
      </c>
      <c r="G10" s="74" t="s">
        <v>166</v>
      </c>
      <c r="H10" s="74" t="s">
        <v>166</v>
      </c>
      <c r="I10" s="74" t="s">
        <v>166</v>
      </c>
      <c r="J10" s="74" t="s">
        <v>167</v>
      </c>
      <c r="K10" s="78" t="s">
        <v>166</v>
      </c>
      <c r="L10" s="74" t="s">
        <v>166</v>
      </c>
      <c r="M10" s="74" t="s">
        <v>166</v>
      </c>
      <c r="N10" s="305" t="s">
        <v>168</v>
      </c>
      <c r="O10" s="74" t="s">
        <v>166</v>
      </c>
      <c r="P10" s="306" t="s">
        <v>166</v>
      </c>
      <c r="Q10" s="386"/>
      <c r="R10" s="386"/>
      <c r="S10" s="386"/>
      <c r="T10" s="386"/>
      <c r="U10" s="386"/>
      <c r="V10" s="386"/>
      <c r="W10" s="274"/>
      <c r="Y10" s="69"/>
      <c r="Z10" s="69"/>
      <c r="AA10" s="69"/>
      <c r="AB10" s="69"/>
      <c r="AC10" s="69"/>
      <c r="AD10" s="69"/>
      <c r="AE10" s="69"/>
      <c r="AF10" s="69"/>
      <c r="AG10" s="69"/>
      <c r="AH10" s="69"/>
      <c r="AI10" s="69"/>
      <c r="AJ10" s="69"/>
      <c r="AK10" s="69"/>
      <c r="AL10" s="69"/>
      <c r="AM10" s="69"/>
      <c r="AN10" s="69"/>
      <c r="AO10" s="69"/>
      <c r="AP10" s="69"/>
      <c r="AQ10" s="69"/>
      <c r="AR10" s="69"/>
      <c r="AS10" s="69"/>
      <c r="AT10" s="69"/>
      <c r="AU10" s="69"/>
      <c r="AV10" s="69"/>
    </row>
    <row r="11">
      <c r="A11" s="26" t="s">
        <v>28</v>
      </c>
      <c r="B11" s="260" t="s">
        <v>30</v>
      </c>
      <c r="C11" s="261">
        <v>119599.0</v>
      </c>
      <c r="D11" s="141">
        <v>0.98</v>
      </c>
      <c r="E11" s="142">
        <v>1.0</v>
      </c>
      <c r="F11" s="141">
        <v>0.98</v>
      </c>
      <c r="G11" s="141">
        <v>0.99</v>
      </c>
      <c r="H11" s="264">
        <v>46151.0</v>
      </c>
      <c r="I11" s="143">
        <v>0.998</v>
      </c>
      <c r="J11" s="144" t="s">
        <v>98</v>
      </c>
      <c r="K11" s="141">
        <v>0.005</v>
      </c>
      <c r="L11" s="141">
        <v>0.98</v>
      </c>
      <c r="M11" s="141">
        <v>0.98</v>
      </c>
      <c r="N11" s="142">
        <v>3.0</v>
      </c>
      <c r="O11" s="145">
        <v>0.98</v>
      </c>
      <c r="P11" s="146">
        <v>0.03</v>
      </c>
      <c r="Q11" s="267">
        <v>0.99</v>
      </c>
      <c r="R11" s="267">
        <v>0.98</v>
      </c>
      <c r="S11" s="268">
        <v>33723.0</v>
      </c>
      <c r="T11" s="268">
        <v>10965.0</v>
      </c>
      <c r="U11" s="267">
        <v>1.0</v>
      </c>
      <c r="V11" s="267">
        <v>1.0</v>
      </c>
      <c r="W11" s="147"/>
      <c r="Y11" s="69"/>
      <c r="Z11" s="69"/>
      <c r="AA11" s="69"/>
      <c r="AB11" s="69"/>
      <c r="AC11" s="69"/>
      <c r="AD11" s="69"/>
      <c r="AE11" s="69"/>
      <c r="AF11" s="69"/>
      <c r="AG11" s="69"/>
      <c r="AH11" s="69"/>
      <c r="AI11" s="69"/>
      <c r="AJ11" s="69"/>
      <c r="AK11" s="69"/>
      <c r="AL11" s="69"/>
      <c r="AM11" s="69"/>
      <c r="AN11" s="69"/>
      <c r="AO11" s="69"/>
      <c r="AP11" s="69"/>
      <c r="AQ11" s="69"/>
      <c r="AR11" s="69"/>
      <c r="AS11" s="69"/>
      <c r="AT11" s="69"/>
      <c r="AU11" s="69"/>
      <c r="AV11" s="69"/>
    </row>
    <row r="12">
      <c r="A12" s="54">
        <v>1.0</v>
      </c>
      <c r="B12" s="310" t="s">
        <v>42</v>
      </c>
      <c r="C12" s="390">
        <f>'1. Tổng doanh thu'!G12</f>
        <v>25637</v>
      </c>
      <c r="D12" s="312">
        <f>'2. SD Điện tiết kiệm'!I13</f>
        <v>0.8867</v>
      </c>
      <c r="E12" s="313">
        <v>1.0</v>
      </c>
      <c r="F12" s="406">
        <v>1.0</v>
      </c>
      <c r="G12" s="311">
        <v>1.0</v>
      </c>
      <c r="H12" s="407">
        <f>'6. Tổng DT di động'!G12</f>
        <v>8421</v>
      </c>
      <c r="I12" s="316"/>
      <c r="J12" s="316"/>
      <c r="K12" s="317"/>
      <c r="L12" s="318"/>
      <c r="M12" s="316" t="s">
        <v>171</v>
      </c>
      <c r="N12" s="319"/>
      <c r="O12" s="316" t="s">
        <v>171</v>
      </c>
      <c r="P12" s="316" t="s">
        <v>171</v>
      </c>
      <c r="Q12" s="408">
        <v>1.0</v>
      </c>
      <c r="R12" s="316"/>
      <c r="S12" s="316"/>
      <c r="T12" s="316"/>
      <c r="U12" s="408">
        <v>1.0</v>
      </c>
      <c r="V12" s="408">
        <v>1.0</v>
      </c>
      <c r="W12" s="147"/>
      <c r="Y12" s="3"/>
      <c r="Z12" s="3"/>
      <c r="AA12" s="3"/>
      <c r="AB12" s="3"/>
      <c r="AC12" s="3"/>
      <c r="AD12" s="3"/>
      <c r="AE12" s="3"/>
      <c r="AF12" s="3"/>
      <c r="AG12" s="3"/>
      <c r="AH12" s="3"/>
      <c r="AI12" s="3"/>
      <c r="AJ12" s="3"/>
      <c r="AK12" s="3"/>
      <c r="AL12" s="3"/>
      <c r="AM12" s="3"/>
      <c r="AN12" s="3"/>
      <c r="AO12" s="3"/>
      <c r="AP12" s="3"/>
      <c r="AQ12" s="3"/>
      <c r="AR12" s="3"/>
      <c r="AS12" s="3"/>
      <c r="AT12" s="3"/>
      <c r="AU12" s="3"/>
      <c r="AV12" s="3"/>
    </row>
    <row r="13">
      <c r="A13" s="54">
        <v>2.0</v>
      </c>
      <c r="B13" s="310" t="s">
        <v>44</v>
      </c>
      <c r="C13" s="392">
        <f>'1. Tổng doanh thu'!G14</f>
        <v>13741</v>
      </c>
      <c r="D13" s="84">
        <f>'2. SD Điện tiết kiệm'!I14</f>
        <v>0.9277</v>
      </c>
      <c r="E13" s="323">
        <v>1.0</v>
      </c>
      <c r="F13" s="324">
        <v>0.9303</v>
      </c>
      <c r="G13" s="322">
        <v>1.0</v>
      </c>
      <c r="H13" s="411">
        <f>'6. Tổng DT di động'!G14</f>
        <v>2633</v>
      </c>
      <c r="I13" s="87"/>
      <c r="J13" s="87"/>
      <c r="K13" s="325"/>
      <c r="L13" s="324"/>
      <c r="M13" s="87" t="s">
        <v>171</v>
      </c>
      <c r="N13" s="326"/>
      <c r="O13" s="87" t="s">
        <v>171</v>
      </c>
      <c r="P13" s="87" t="s">
        <v>171</v>
      </c>
      <c r="Q13" s="412">
        <v>1.0</v>
      </c>
      <c r="R13" s="87"/>
      <c r="S13" s="87"/>
      <c r="T13" s="87"/>
      <c r="U13" s="412">
        <v>1.0</v>
      </c>
      <c r="V13" s="412">
        <v>1.0</v>
      </c>
      <c r="W13" s="413"/>
      <c r="Y13" s="3"/>
      <c r="Z13" s="3"/>
      <c r="AA13" s="3"/>
      <c r="AB13" s="3"/>
      <c r="AC13" s="3"/>
      <c r="AD13" s="3"/>
      <c r="AE13" s="3"/>
      <c r="AF13" s="3"/>
      <c r="AG13" s="3"/>
      <c r="AH13" s="3"/>
      <c r="AI13" s="3"/>
      <c r="AJ13" s="3"/>
      <c r="AK13" s="3"/>
      <c r="AL13" s="3"/>
      <c r="AM13" s="3"/>
      <c r="AN13" s="3"/>
      <c r="AO13" s="3"/>
      <c r="AP13" s="3"/>
      <c r="AQ13" s="3"/>
      <c r="AR13" s="3"/>
      <c r="AS13" s="3"/>
      <c r="AT13" s="3"/>
      <c r="AU13" s="3"/>
      <c r="AV13" s="3"/>
    </row>
    <row r="14">
      <c r="A14" s="54">
        <v>3.0</v>
      </c>
      <c r="B14" s="310" t="s">
        <v>45</v>
      </c>
      <c r="C14" s="392">
        <f>'1. Tổng doanh thu'!G15</f>
        <v>12917</v>
      </c>
      <c r="D14" s="84">
        <f>'2. SD Điện tiết kiệm'!I15</f>
        <v>0.7139</v>
      </c>
      <c r="E14" s="323">
        <v>1.0</v>
      </c>
      <c r="F14" s="324">
        <v>0.9967</v>
      </c>
      <c r="G14" s="322">
        <v>1.0</v>
      </c>
      <c r="H14" s="411">
        <f>'6. Tổng DT di động'!G15</f>
        <v>5735</v>
      </c>
      <c r="I14" s="87"/>
      <c r="J14" s="87"/>
      <c r="K14" s="325"/>
      <c r="L14" s="324"/>
      <c r="M14" s="87" t="s">
        <v>171</v>
      </c>
      <c r="N14" s="326"/>
      <c r="O14" s="87" t="s">
        <v>171</v>
      </c>
      <c r="P14" s="87" t="s">
        <v>171</v>
      </c>
      <c r="Q14" s="412">
        <v>1.0</v>
      </c>
      <c r="R14" s="87"/>
      <c r="S14" s="87"/>
      <c r="T14" s="87"/>
      <c r="U14" s="412">
        <v>1.0</v>
      </c>
      <c r="V14" s="412">
        <v>1.0</v>
      </c>
      <c r="W14" s="413"/>
      <c r="Y14" s="3"/>
      <c r="Z14" s="3"/>
      <c r="AA14" s="3"/>
      <c r="AB14" s="3"/>
      <c r="AC14" s="3"/>
      <c r="AD14" s="3"/>
      <c r="AE14" s="3"/>
      <c r="AF14" s="3"/>
      <c r="AG14" s="3"/>
      <c r="AH14" s="3"/>
      <c r="AI14" s="3"/>
      <c r="AJ14" s="3"/>
      <c r="AK14" s="3"/>
      <c r="AL14" s="3"/>
      <c r="AM14" s="3"/>
      <c r="AN14" s="3"/>
      <c r="AO14" s="3"/>
      <c r="AP14" s="3"/>
      <c r="AQ14" s="3"/>
      <c r="AR14" s="3"/>
      <c r="AS14" s="3"/>
      <c r="AT14" s="3"/>
      <c r="AU14" s="3"/>
      <c r="AV14" s="3"/>
    </row>
    <row r="15">
      <c r="A15" s="54">
        <v>4.0</v>
      </c>
      <c r="B15" s="310" t="s">
        <v>47</v>
      </c>
      <c r="C15" s="392">
        <f>'1. Tổng doanh thu'!G16</f>
        <v>25399</v>
      </c>
      <c r="D15" s="84">
        <f>'2. SD Điện tiết kiệm'!I16</f>
        <v>0.737</v>
      </c>
      <c r="E15" s="323">
        <v>1.0</v>
      </c>
      <c r="F15" s="324">
        <v>0.997</v>
      </c>
      <c r="G15" s="322">
        <v>1.0</v>
      </c>
      <c r="H15" s="411">
        <f>'6. Tổng DT di động'!G16</f>
        <v>8802</v>
      </c>
      <c r="I15" s="87"/>
      <c r="J15" s="87"/>
      <c r="K15" s="325"/>
      <c r="L15" s="324"/>
      <c r="M15" s="87" t="s">
        <v>171</v>
      </c>
      <c r="N15" s="326"/>
      <c r="O15" s="87" t="s">
        <v>171</v>
      </c>
      <c r="P15" s="87" t="s">
        <v>171</v>
      </c>
      <c r="Q15" s="412">
        <v>1.0</v>
      </c>
      <c r="R15" s="87"/>
      <c r="S15" s="87"/>
      <c r="T15" s="87"/>
      <c r="U15" s="412">
        <v>1.0</v>
      </c>
      <c r="V15" s="412">
        <v>1.0</v>
      </c>
      <c r="W15" s="413"/>
      <c r="Y15" s="3"/>
      <c r="Z15" s="3"/>
      <c r="AA15" s="3"/>
      <c r="AB15" s="3"/>
      <c r="AC15" s="3"/>
      <c r="AD15" s="3"/>
      <c r="AE15" s="3"/>
      <c r="AF15" s="3"/>
      <c r="AG15" s="3"/>
      <c r="AH15" s="3"/>
      <c r="AI15" s="3"/>
      <c r="AJ15" s="3"/>
      <c r="AK15" s="3"/>
      <c r="AL15" s="3"/>
      <c r="AM15" s="3"/>
      <c r="AN15" s="3"/>
      <c r="AO15" s="3"/>
      <c r="AP15" s="3"/>
      <c r="AQ15" s="3"/>
      <c r="AR15" s="3"/>
      <c r="AS15" s="3"/>
      <c r="AT15" s="3"/>
      <c r="AU15" s="3"/>
      <c r="AV15" s="3"/>
    </row>
    <row r="16">
      <c r="A16" s="54">
        <v>5.0</v>
      </c>
      <c r="B16" s="310" t="s">
        <v>48</v>
      </c>
      <c r="C16" s="392">
        <f>'1. Tổng doanh thu'!G17</f>
        <v>10230</v>
      </c>
      <c r="D16" s="84">
        <f>'2. SD Điện tiết kiệm'!I17</f>
        <v>0.8647</v>
      </c>
      <c r="E16" s="323">
        <v>1.0</v>
      </c>
      <c r="F16" s="324">
        <v>1.0</v>
      </c>
      <c r="G16" s="322">
        <v>1.0</v>
      </c>
      <c r="H16" s="411">
        <f>'6. Tổng DT di động'!G17</f>
        <v>7639</v>
      </c>
      <c r="I16" s="87"/>
      <c r="J16" s="87"/>
      <c r="K16" s="325"/>
      <c r="L16" s="324"/>
      <c r="M16" s="87" t="s">
        <v>171</v>
      </c>
      <c r="N16" s="326"/>
      <c r="O16" s="87" t="s">
        <v>171</v>
      </c>
      <c r="P16" s="87" t="s">
        <v>171</v>
      </c>
      <c r="Q16" s="422">
        <v>1.0</v>
      </c>
      <c r="R16" s="87"/>
      <c r="S16" s="87"/>
      <c r="T16" s="87"/>
      <c r="U16" s="422">
        <v>1.0</v>
      </c>
      <c r="V16" s="422">
        <v>1.0</v>
      </c>
      <c r="W16" s="423"/>
      <c r="Y16" s="3"/>
      <c r="Z16" s="3"/>
      <c r="AA16" s="3"/>
      <c r="AB16" s="3"/>
      <c r="AC16" s="3"/>
      <c r="AD16" s="3"/>
      <c r="AE16" s="3"/>
      <c r="AF16" s="3"/>
      <c r="AG16" s="3"/>
      <c r="AH16" s="3"/>
      <c r="AI16" s="3"/>
      <c r="AJ16" s="3"/>
      <c r="AK16" s="3"/>
      <c r="AL16" s="3"/>
      <c r="AM16" s="3"/>
      <c r="AN16" s="3"/>
      <c r="AO16" s="3"/>
      <c r="AP16" s="3"/>
      <c r="AQ16" s="3"/>
      <c r="AR16" s="3"/>
      <c r="AS16" s="3"/>
      <c r="AT16" s="3"/>
      <c r="AU16" s="3"/>
      <c r="AV16" s="3"/>
    </row>
    <row r="17">
      <c r="A17" s="54">
        <v>6.0</v>
      </c>
      <c r="B17" s="310" t="s">
        <v>49</v>
      </c>
      <c r="C17" s="392">
        <f>'1. Tổng doanh thu'!G18</f>
        <v>16771</v>
      </c>
      <c r="D17" s="84">
        <f>'2. SD Điện tiết kiệm'!I18</f>
        <v>0.6456</v>
      </c>
      <c r="E17" s="323">
        <v>1.0</v>
      </c>
      <c r="F17" s="324">
        <v>1.0</v>
      </c>
      <c r="G17" s="322">
        <v>1.0</v>
      </c>
      <c r="H17" s="411">
        <f>'6. Tổng DT di động'!G18</f>
        <v>3944</v>
      </c>
      <c r="I17" s="87"/>
      <c r="J17" s="87"/>
      <c r="K17" s="325"/>
      <c r="L17" s="324"/>
      <c r="M17" s="87" t="s">
        <v>171</v>
      </c>
      <c r="N17" s="326"/>
      <c r="O17" s="87" t="s">
        <v>171</v>
      </c>
      <c r="P17" s="87" t="s">
        <v>171</v>
      </c>
      <c r="Q17" s="424">
        <v>1.0</v>
      </c>
      <c r="R17" s="87"/>
      <c r="S17" s="87"/>
      <c r="T17" s="87"/>
      <c r="U17" s="424">
        <v>1.0</v>
      </c>
      <c r="V17" s="424">
        <v>1.0</v>
      </c>
      <c r="W17" s="425"/>
      <c r="Y17" s="3"/>
      <c r="Z17" s="3"/>
      <c r="AA17" s="3"/>
      <c r="AB17" s="3"/>
      <c r="AC17" s="3"/>
      <c r="AD17" s="3"/>
      <c r="AE17" s="3"/>
      <c r="AF17" s="3"/>
      <c r="AG17" s="3"/>
      <c r="AH17" s="3"/>
      <c r="AI17" s="3"/>
      <c r="AJ17" s="3"/>
      <c r="AK17" s="3"/>
      <c r="AL17" s="3"/>
      <c r="AM17" s="3"/>
      <c r="AN17" s="3"/>
      <c r="AO17" s="3"/>
      <c r="AP17" s="3"/>
      <c r="AQ17" s="3"/>
      <c r="AR17" s="3"/>
      <c r="AS17" s="3"/>
      <c r="AT17" s="3"/>
      <c r="AU17" s="3"/>
      <c r="AV17" s="3"/>
    </row>
    <row r="18">
      <c r="A18" s="54">
        <v>7.0</v>
      </c>
      <c r="B18" s="332" t="s">
        <v>43</v>
      </c>
      <c r="C18" s="426">
        <f>'1. Tổng doanh thu'!G13</f>
        <v>16005</v>
      </c>
      <c r="D18" s="84">
        <f>'2. SD Điện tiết kiệm'!I19</f>
        <v>0.7728</v>
      </c>
      <c r="E18" s="323">
        <v>1.0</v>
      </c>
      <c r="F18" s="324">
        <v>0.9882</v>
      </c>
      <c r="G18" s="322">
        <v>1.0</v>
      </c>
      <c r="H18" s="411">
        <f>'6. Tổng DT di động'!G13</f>
        <v>8253</v>
      </c>
      <c r="I18" s="87"/>
      <c r="J18" s="87"/>
      <c r="K18" s="325"/>
      <c r="L18" s="324"/>
      <c r="M18" s="87" t="s">
        <v>171</v>
      </c>
      <c r="N18" s="326"/>
      <c r="O18" s="87" t="s">
        <v>171</v>
      </c>
      <c r="P18" s="87" t="s">
        <v>171</v>
      </c>
      <c r="Q18" s="424">
        <v>1.0</v>
      </c>
      <c r="R18" s="87"/>
      <c r="S18" s="87"/>
      <c r="T18" s="87"/>
      <c r="U18" s="424">
        <v>1.0</v>
      </c>
      <c r="V18" s="424">
        <v>1.0</v>
      </c>
      <c r="W18" s="427"/>
      <c r="Y18" s="3"/>
      <c r="Z18" s="3"/>
      <c r="AA18" s="3"/>
      <c r="AB18" s="3"/>
      <c r="AC18" s="3"/>
      <c r="AD18" s="3"/>
      <c r="AE18" s="3"/>
      <c r="AF18" s="3"/>
      <c r="AG18" s="3"/>
      <c r="AH18" s="3"/>
      <c r="AI18" s="3"/>
      <c r="AJ18" s="3"/>
      <c r="AK18" s="3"/>
      <c r="AL18" s="3"/>
      <c r="AM18" s="3"/>
      <c r="AN18" s="3"/>
      <c r="AO18" s="3"/>
      <c r="AP18" s="3"/>
      <c r="AQ18" s="3"/>
      <c r="AR18" s="3"/>
      <c r="AS18" s="3"/>
      <c r="AT18" s="3"/>
      <c r="AU18" s="3"/>
      <c r="AV18" s="3"/>
    </row>
    <row r="19">
      <c r="A19" s="89"/>
      <c r="B19" s="209" t="s">
        <v>50</v>
      </c>
      <c r="C19" s="337">
        <f>'1. Tổng doanh thu'!G19</f>
        <v>120700</v>
      </c>
      <c r="D19" s="338">
        <f>'2. SD Điện tiết kiệm'!I20</f>
        <v>0.783</v>
      </c>
      <c r="E19" s="339">
        <v>1.0</v>
      </c>
      <c r="F19" s="349">
        <v>0.995</v>
      </c>
      <c r="G19" s="342">
        <v>1.0</v>
      </c>
      <c r="H19" s="337">
        <f>'6. Tổng DT di động'!G19</f>
        <v>45427</v>
      </c>
      <c r="I19" s="345"/>
      <c r="J19" s="347"/>
      <c r="K19" s="348"/>
      <c r="L19" s="349"/>
      <c r="M19" s="345" t="s">
        <v>171</v>
      </c>
      <c r="N19" s="209"/>
      <c r="O19" s="345" t="s">
        <v>171</v>
      </c>
      <c r="P19" s="345" t="s">
        <v>171</v>
      </c>
      <c r="Q19" s="429">
        <v>1.0</v>
      </c>
      <c r="R19" s="345"/>
      <c r="S19" s="345"/>
      <c r="T19" s="345"/>
      <c r="U19" s="429">
        <v>1.0</v>
      </c>
      <c r="V19" s="429">
        <v>1.0</v>
      </c>
      <c r="W19" s="430"/>
      <c r="X19" s="356"/>
      <c r="Y19" s="356"/>
      <c r="Z19" s="356"/>
      <c r="AA19" s="356"/>
      <c r="AB19" s="356"/>
      <c r="AC19" s="356"/>
      <c r="AD19" s="356"/>
      <c r="AE19" s="356"/>
      <c r="AF19" s="356"/>
      <c r="AG19" s="356"/>
      <c r="AH19" s="356"/>
      <c r="AI19" s="356"/>
      <c r="AJ19" s="356"/>
      <c r="AK19" s="356"/>
      <c r="AL19" s="356"/>
      <c r="AM19" s="356"/>
      <c r="AN19" s="356"/>
      <c r="AO19" s="356"/>
      <c r="AP19" s="356"/>
      <c r="AQ19" s="356"/>
      <c r="AR19" s="356"/>
      <c r="AS19" s="356"/>
      <c r="AT19" s="356"/>
      <c r="AU19" s="356"/>
      <c r="AV19" s="356"/>
    </row>
    <row r="20">
      <c r="F20" s="205" t="s">
        <v>181</v>
      </c>
      <c r="Q20" s="205" t="s">
        <v>255</v>
      </c>
    </row>
    <row r="24">
      <c r="A24" s="1"/>
      <c r="B24" s="6"/>
      <c r="C24" s="8" t="s">
        <v>256</v>
      </c>
      <c r="D24" s="7"/>
      <c r="E24" s="7"/>
      <c r="F24" s="7"/>
      <c r="G24" s="7"/>
      <c r="H24" s="7"/>
      <c r="I24" s="7"/>
      <c r="J24" s="7"/>
      <c r="K24" s="7"/>
      <c r="L24" s="7"/>
      <c r="M24" s="7"/>
      <c r="N24" s="7"/>
      <c r="O24" s="7"/>
      <c r="P24" s="7"/>
      <c r="Q24" s="7"/>
      <c r="R24" s="7"/>
      <c r="S24" s="7"/>
      <c r="T24" s="7"/>
      <c r="U24" s="7"/>
      <c r="V24" s="7"/>
      <c r="W24" s="9"/>
    </row>
    <row r="25">
      <c r="A25" s="11"/>
      <c r="B25" s="15" t="s">
        <v>2</v>
      </c>
      <c r="C25" s="244" t="s">
        <v>3</v>
      </c>
      <c r="D25" s="245" t="s">
        <v>66</v>
      </c>
      <c r="E25" s="245" t="s">
        <v>67</v>
      </c>
      <c r="F25" s="245" t="s">
        <v>68</v>
      </c>
      <c r="G25" s="245" t="s">
        <v>86</v>
      </c>
      <c r="H25" s="24" t="s">
        <v>87</v>
      </c>
      <c r="I25" s="24" t="s">
        <v>88</v>
      </c>
      <c r="J25" s="245" t="s">
        <v>70</v>
      </c>
      <c r="K25" s="245" t="s">
        <v>71</v>
      </c>
      <c r="L25" s="245" t="s">
        <v>72</v>
      </c>
      <c r="M25" s="24" t="s">
        <v>89</v>
      </c>
      <c r="N25" s="245" t="s">
        <v>14</v>
      </c>
      <c r="O25" s="246" t="s">
        <v>90</v>
      </c>
      <c r="P25" s="246" t="s">
        <v>91</v>
      </c>
      <c r="Q25" s="247" t="s">
        <v>92</v>
      </c>
      <c r="R25" s="247" t="s">
        <v>93</v>
      </c>
      <c r="S25" s="247" t="s">
        <v>94</v>
      </c>
      <c r="T25" s="247" t="s">
        <v>95</v>
      </c>
      <c r="U25" s="247" t="s">
        <v>96</v>
      </c>
      <c r="V25" s="247" t="s">
        <v>97</v>
      </c>
      <c r="W25" s="135" t="s">
        <v>18</v>
      </c>
    </row>
    <row r="26">
      <c r="A26" s="26"/>
      <c r="B26" s="250" t="s">
        <v>20</v>
      </c>
      <c r="C26" s="251">
        <v>0.1</v>
      </c>
      <c r="D26" s="252">
        <v>0.05</v>
      </c>
      <c r="E26" s="252">
        <v>0.02</v>
      </c>
      <c r="F26" s="252">
        <v>0.06</v>
      </c>
      <c r="G26" s="252">
        <v>0.06</v>
      </c>
      <c r="H26" s="252">
        <v>0.05</v>
      </c>
      <c r="I26" s="252">
        <v>0.03</v>
      </c>
      <c r="J26" s="252">
        <v>0.05</v>
      </c>
      <c r="K26" s="252">
        <v>0.07</v>
      </c>
      <c r="L26" s="252">
        <v>0.07</v>
      </c>
      <c r="M26" s="255">
        <v>0.04</v>
      </c>
      <c r="N26" s="252">
        <v>0.07</v>
      </c>
      <c r="O26" s="252">
        <v>0.04</v>
      </c>
      <c r="P26" s="252">
        <v>0.02</v>
      </c>
      <c r="Q26" s="257">
        <v>0.02</v>
      </c>
      <c r="R26" s="257">
        <v>0.05</v>
      </c>
      <c r="S26" s="257">
        <v>0.03</v>
      </c>
      <c r="T26" s="257">
        <v>0.02</v>
      </c>
      <c r="U26" s="257">
        <v>0.05</v>
      </c>
      <c r="V26" s="257">
        <v>0.1</v>
      </c>
      <c r="W26" s="258">
        <f>sum(C26:V26)</f>
        <v>1</v>
      </c>
    </row>
    <row r="27">
      <c r="A27" s="71"/>
      <c r="B27" s="43" t="s">
        <v>24</v>
      </c>
      <c r="C27" s="300" t="s">
        <v>148</v>
      </c>
      <c r="D27" s="47" t="s">
        <v>149</v>
      </c>
      <c r="E27" s="47" t="s">
        <v>150</v>
      </c>
      <c r="F27" s="47" t="s">
        <v>151</v>
      </c>
      <c r="G27" s="47" t="s">
        <v>152</v>
      </c>
      <c r="H27" s="47" t="s">
        <v>262</v>
      </c>
      <c r="I27" s="47" t="s">
        <v>154</v>
      </c>
      <c r="J27" s="47" t="s">
        <v>155</v>
      </c>
      <c r="K27" s="47" t="s">
        <v>156</v>
      </c>
      <c r="L27" s="47" t="s">
        <v>157</v>
      </c>
      <c r="M27" s="47" t="s">
        <v>158</v>
      </c>
      <c r="N27" s="47" t="s">
        <v>159</v>
      </c>
      <c r="O27" s="47" t="s">
        <v>160</v>
      </c>
      <c r="P27" s="47" t="s">
        <v>209</v>
      </c>
      <c r="Q27" s="301" t="s">
        <v>162</v>
      </c>
      <c r="R27" s="301" t="s">
        <v>210</v>
      </c>
      <c r="S27" s="301" t="s">
        <v>211</v>
      </c>
      <c r="T27" s="301" t="s">
        <v>212</v>
      </c>
      <c r="U27" s="301" t="s">
        <v>164</v>
      </c>
      <c r="V27" s="301" t="s">
        <v>165</v>
      </c>
      <c r="W27" s="302"/>
    </row>
    <row r="28">
      <c r="A28" s="26"/>
      <c r="B28" s="260" t="s">
        <v>22</v>
      </c>
      <c r="C28" s="304" t="s">
        <v>23</v>
      </c>
      <c r="D28" s="74" t="s">
        <v>166</v>
      </c>
      <c r="E28" s="74"/>
      <c r="F28" s="74" t="s">
        <v>166</v>
      </c>
      <c r="G28" s="74" t="s">
        <v>166</v>
      </c>
      <c r="H28" s="74" t="s">
        <v>166</v>
      </c>
      <c r="I28" s="74" t="s">
        <v>166</v>
      </c>
      <c r="J28" s="74" t="s">
        <v>167</v>
      </c>
      <c r="K28" s="78" t="s">
        <v>166</v>
      </c>
      <c r="L28" s="74" t="s">
        <v>166</v>
      </c>
      <c r="M28" s="74" t="s">
        <v>166</v>
      </c>
      <c r="N28" s="305" t="s">
        <v>168</v>
      </c>
      <c r="O28" s="74" t="s">
        <v>166</v>
      </c>
      <c r="P28" s="306" t="s">
        <v>166</v>
      </c>
      <c r="Q28" s="386"/>
      <c r="R28" s="386"/>
      <c r="S28" s="307" t="s">
        <v>266</v>
      </c>
      <c r="T28" s="307" t="s">
        <v>266</v>
      </c>
      <c r="U28" s="386"/>
      <c r="V28" s="386"/>
      <c r="W28" s="147"/>
    </row>
    <row r="29">
      <c r="A29" s="26" t="s">
        <v>28</v>
      </c>
      <c r="B29" s="260" t="s">
        <v>30</v>
      </c>
      <c r="C29" s="261">
        <v>119599.0</v>
      </c>
      <c r="D29" s="141">
        <v>0.98</v>
      </c>
      <c r="E29" s="142">
        <v>1.0</v>
      </c>
      <c r="F29" s="141">
        <v>0.98</v>
      </c>
      <c r="G29" s="141">
        <v>0.99</v>
      </c>
      <c r="H29" s="264">
        <v>46151.0</v>
      </c>
      <c r="I29" s="143">
        <v>0.998</v>
      </c>
      <c r="J29" s="144" t="s">
        <v>98</v>
      </c>
      <c r="K29" s="141">
        <v>0.005</v>
      </c>
      <c r="L29" s="141">
        <v>0.98</v>
      </c>
      <c r="M29" s="141">
        <v>0.98</v>
      </c>
      <c r="N29" s="142">
        <v>3.0</v>
      </c>
      <c r="O29" s="145">
        <v>0.98</v>
      </c>
      <c r="P29" s="146">
        <v>0.03</v>
      </c>
      <c r="Q29" s="267">
        <v>0.99</v>
      </c>
      <c r="R29" s="267">
        <v>0.98</v>
      </c>
      <c r="S29" s="268">
        <v>33723.0</v>
      </c>
      <c r="T29" s="268">
        <v>10965.0</v>
      </c>
      <c r="U29" s="267">
        <v>1.0</v>
      </c>
      <c r="V29" s="267">
        <v>1.0</v>
      </c>
      <c r="W29" s="274"/>
    </row>
    <row r="30">
      <c r="A30" s="54">
        <v>1.0</v>
      </c>
      <c r="B30" s="310" t="s">
        <v>42</v>
      </c>
      <c r="C30" s="444">
        <f>'1. Tổng doanh thu'!H13</f>
        <v>0.9980046143</v>
      </c>
      <c r="D30" s="312">
        <f t="shared" ref="D30:D37" si="1">D12</f>
        <v>0.8867</v>
      </c>
      <c r="E30" s="316">
        <v>1.0</v>
      </c>
      <c r="F30" s="406">
        <f t="shared" ref="F30:F37" si="2">F12</f>
        <v>1</v>
      </c>
      <c r="G30" s="311">
        <v>1.0</v>
      </c>
      <c r="H30" s="315">
        <f>'6. Tổng DT di động'!H12</f>
        <v>1.044789082</v>
      </c>
      <c r="I30" s="313"/>
      <c r="J30" s="445"/>
      <c r="K30" s="317"/>
      <c r="L30" s="406"/>
      <c r="M30" s="316"/>
      <c r="N30" s="446"/>
      <c r="O30" s="316"/>
      <c r="P30" s="316"/>
      <c r="Q30" s="408">
        <v>1.0</v>
      </c>
      <c r="R30" s="316"/>
      <c r="S30" s="316"/>
      <c r="T30" s="316"/>
      <c r="U30" s="447">
        <v>1.0</v>
      </c>
      <c r="V30" s="447">
        <v>1.0</v>
      </c>
      <c r="W30" s="423"/>
    </row>
    <row r="31">
      <c r="A31" s="54">
        <v>2.0</v>
      </c>
      <c r="B31" s="310" t="s">
        <v>44</v>
      </c>
      <c r="C31" s="82">
        <f>'1. Tổng doanh thu'!H14</f>
        <v>0.9368650712</v>
      </c>
      <c r="D31" s="84">
        <f t="shared" si="1"/>
        <v>0.9277</v>
      </c>
      <c r="E31" s="87">
        <v>1.0</v>
      </c>
      <c r="F31" s="324">
        <f t="shared" si="2"/>
        <v>0.9303</v>
      </c>
      <c r="G31" s="322">
        <v>1.0</v>
      </c>
      <c r="H31" s="86">
        <f>'6. Tổng DT di động'!H14</f>
        <v>0.9519161244</v>
      </c>
      <c r="I31" s="323"/>
      <c r="J31" s="83"/>
      <c r="K31" s="325"/>
      <c r="L31" s="324"/>
      <c r="M31" s="87"/>
      <c r="N31" s="326"/>
      <c r="O31" s="87"/>
      <c r="P31" s="87"/>
      <c r="Q31" s="412">
        <v>1.0</v>
      </c>
      <c r="R31" s="87"/>
      <c r="S31" s="87"/>
      <c r="T31" s="87"/>
      <c r="U31" s="422">
        <v>1.0</v>
      </c>
      <c r="V31" s="422">
        <v>1.0</v>
      </c>
      <c r="W31" s="423"/>
    </row>
    <row r="32">
      <c r="A32" s="54">
        <v>3.0</v>
      </c>
      <c r="B32" s="310" t="s">
        <v>45</v>
      </c>
      <c r="C32" s="82">
        <f>'1. Tổng doanh thu'!H15</f>
        <v>1.067079719</v>
      </c>
      <c r="D32" s="84">
        <f t="shared" si="1"/>
        <v>0.7139</v>
      </c>
      <c r="E32" s="87">
        <v>1.0</v>
      </c>
      <c r="F32" s="324">
        <f t="shared" si="2"/>
        <v>0.9967</v>
      </c>
      <c r="G32" s="322">
        <v>1.0</v>
      </c>
      <c r="H32" s="86">
        <f>'6. Tổng DT di động'!H15</f>
        <v>1.087616158</v>
      </c>
      <c r="I32" s="323"/>
      <c r="J32" s="83"/>
      <c r="K32" s="325"/>
      <c r="L32" s="324"/>
      <c r="M32" s="87"/>
      <c r="N32" s="326"/>
      <c r="O32" s="87"/>
      <c r="P32" s="87"/>
      <c r="Q32" s="412">
        <v>1.0</v>
      </c>
      <c r="R32" s="87"/>
      <c r="S32" s="87"/>
      <c r="T32" s="87"/>
      <c r="U32" s="422">
        <v>1.0</v>
      </c>
      <c r="V32" s="422">
        <v>1.0</v>
      </c>
      <c r="W32" s="423"/>
    </row>
    <row r="33">
      <c r="A33" s="54">
        <v>4.0</v>
      </c>
      <c r="B33" s="310" t="s">
        <v>47</v>
      </c>
      <c r="C33" s="82">
        <f>'1. Tổng doanh thu'!H16</f>
        <v>1.062719665</v>
      </c>
      <c r="D33" s="84">
        <f t="shared" si="1"/>
        <v>0.737</v>
      </c>
      <c r="E33" s="87">
        <v>1.0</v>
      </c>
      <c r="F33" s="324">
        <f t="shared" si="2"/>
        <v>0.997</v>
      </c>
      <c r="G33" s="322">
        <v>1.0</v>
      </c>
      <c r="H33" s="86">
        <f>'6. Tổng DT di động'!H16</f>
        <v>1.04400427</v>
      </c>
      <c r="I33" s="323"/>
      <c r="J33" s="83"/>
      <c r="K33" s="325"/>
      <c r="L33" s="324"/>
      <c r="M33" s="87"/>
      <c r="N33" s="326"/>
      <c r="O33" s="87"/>
      <c r="P33" s="87"/>
      <c r="Q33" s="412">
        <v>1.0</v>
      </c>
      <c r="R33" s="87"/>
      <c r="S33" s="87"/>
      <c r="T33" s="87"/>
      <c r="U33" s="422">
        <v>1.0</v>
      </c>
      <c r="V33" s="422">
        <v>1.0</v>
      </c>
      <c r="W33" s="423"/>
    </row>
    <row r="34">
      <c r="A34" s="54">
        <v>5.0</v>
      </c>
      <c r="B34" s="310" t="s">
        <v>48</v>
      </c>
      <c r="C34" s="82">
        <f>'1. Tổng doanh thu'!H17</f>
        <v>0.9732661022</v>
      </c>
      <c r="D34" s="84">
        <f t="shared" si="1"/>
        <v>0.8647</v>
      </c>
      <c r="E34" s="87">
        <v>1.0</v>
      </c>
      <c r="F34" s="324">
        <f t="shared" si="2"/>
        <v>1</v>
      </c>
      <c r="G34" s="322">
        <v>1.0</v>
      </c>
      <c r="H34" s="86">
        <f>'6. Tổng DT di động'!H17</f>
        <v>1.030765079</v>
      </c>
      <c r="I34" s="323"/>
      <c r="J34" s="83"/>
      <c r="K34" s="325"/>
      <c r="L34" s="324"/>
      <c r="M34" s="87"/>
      <c r="N34" s="326"/>
      <c r="O34" s="87"/>
      <c r="P34" s="87"/>
      <c r="Q34" s="422">
        <v>1.0</v>
      </c>
      <c r="R34" s="87"/>
      <c r="S34" s="87"/>
      <c r="T34" s="87"/>
      <c r="U34" s="422">
        <v>1.0</v>
      </c>
      <c r="V34" s="422">
        <v>1.0</v>
      </c>
      <c r="W34" s="423"/>
    </row>
    <row r="35">
      <c r="A35" s="54">
        <v>6.0</v>
      </c>
      <c r="B35" s="310" t="s">
        <v>49</v>
      </c>
      <c r="C35" s="82">
        <f>'1. Tổng doanh thu'!H18</f>
        <v>0.9927193086</v>
      </c>
      <c r="D35" s="84">
        <f t="shared" si="1"/>
        <v>0.6456</v>
      </c>
      <c r="E35" s="87">
        <v>1.0</v>
      </c>
      <c r="F35" s="324">
        <f t="shared" si="2"/>
        <v>1</v>
      </c>
      <c r="G35" s="322">
        <v>1.0</v>
      </c>
      <c r="H35" s="86">
        <f>'6. Tổng DT di động'!H18</f>
        <v>0.9487611258</v>
      </c>
      <c r="I35" s="323"/>
      <c r="J35" s="83"/>
      <c r="K35" s="325"/>
      <c r="L35" s="324"/>
      <c r="M35" s="87"/>
      <c r="N35" s="326"/>
      <c r="O35" s="87"/>
      <c r="P35" s="87"/>
      <c r="Q35" s="424">
        <v>1.0</v>
      </c>
      <c r="R35" s="87"/>
      <c r="S35" s="87"/>
      <c r="T35" s="87"/>
      <c r="U35" s="422">
        <v>1.0</v>
      </c>
      <c r="V35" s="422">
        <v>1.0</v>
      </c>
      <c r="W35" s="423"/>
    </row>
    <row r="36">
      <c r="A36" s="54">
        <v>7.0</v>
      </c>
      <c r="B36" s="332" t="s">
        <v>43</v>
      </c>
      <c r="C36" s="448">
        <f>'1. Tổng doanh thu'!H13</f>
        <v>0.9980046143</v>
      </c>
      <c r="D36" s="84">
        <f t="shared" si="1"/>
        <v>0.7728</v>
      </c>
      <c r="E36" s="87">
        <v>1.0</v>
      </c>
      <c r="F36" s="324">
        <f t="shared" si="2"/>
        <v>0.9882</v>
      </c>
      <c r="G36" s="322">
        <v>1.0</v>
      </c>
      <c r="H36" s="86">
        <f>'6. Tổng DT di động'!H13</f>
        <v>1.12530679</v>
      </c>
      <c r="I36" s="323"/>
      <c r="J36" s="83"/>
      <c r="K36" s="325"/>
      <c r="L36" s="324"/>
      <c r="M36" s="87"/>
      <c r="N36" s="326"/>
      <c r="O36" s="87"/>
      <c r="P36" s="87"/>
      <c r="Q36" s="424">
        <v>1.0</v>
      </c>
      <c r="R36" s="87"/>
      <c r="S36" s="87"/>
      <c r="T36" s="87"/>
      <c r="U36" s="422">
        <v>1.0</v>
      </c>
      <c r="V36" s="422">
        <v>1.0</v>
      </c>
      <c r="W36" s="449"/>
    </row>
    <row r="37">
      <c r="A37" s="89"/>
      <c r="B37" s="209" t="s">
        <v>50</v>
      </c>
      <c r="C37" s="28">
        <f>'1. Tổng doanh thu'!H19</f>
        <v>1.013842691</v>
      </c>
      <c r="D37" s="338">
        <f t="shared" si="1"/>
        <v>0.783</v>
      </c>
      <c r="E37" s="339">
        <v>1.0</v>
      </c>
      <c r="F37" s="450">
        <f t="shared" si="2"/>
        <v>0.995</v>
      </c>
      <c r="G37" s="342">
        <v>1.0</v>
      </c>
      <c r="H37" s="344">
        <f>'6. Tổng DT di động'!H19</f>
        <v>1.045933874</v>
      </c>
      <c r="I37" s="277"/>
      <c r="J37" s="451"/>
      <c r="K37" s="348"/>
      <c r="L37" s="349"/>
      <c r="M37" s="345"/>
      <c r="N37" s="209"/>
      <c r="O37" s="345"/>
      <c r="P37" s="345"/>
      <c r="Q37" s="429">
        <v>1.0</v>
      </c>
      <c r="R37" s="345"/>
      <c r="S37" s="345"/>
      <c r="T37" s="345"/>
      <c r="U37" s="429">
        <v>1.0</v>
      </c>
      <c r="V37" s="429">
        <v>1.0</v>
      </c>
      <c r="W37" s="430"/>
      <c r="X37" s="356"/>
      <c r="Y37" s="356"/>
      <c r="Z37" s="356"/>
      <c r="AA37" s="356"/>
      <c r="AB37" s="356"/>
      <c r="AC37" s="356"/>
      <c r="AD37" s="356"/>
      <c r="AE37" s="356"/>
      <c r="AF37" s="356"/>
      <c r="AG37" s="356"/>
      <c r="AH37" s="356"/>
      <c r="AI37" s="356"/>
      <c r="AJ37" s="356"/>
      <c r="AK37" s="356"/>
      <c r="AL37" s="356"/>
      <c r="AM37" s="356"/>
      <c r="AN37" s="356"/>
      <c r="AO37" s="356"/>
      <c r="AP37" s="356"/>
      <c r="AQ37" s="356"/>
      <c r="AR37" s="356"/>
      <c r="AS37" s="356"/>
      <c r="AT37" s="356"/>
      <c r="AU37" s="356"/>
      <c r="AV37" s="356"/>
    </row>
    <row r="38">
      <c r="C38" s="402"/>
    </row>
    <row r="41">
      <c r="A41" s="1"/>
      <c r="B41" s="6"/>
      <c r="C41" s="8" t="s">
        <v>62</v>
      </c>
      <c r="D41" s="7"/>
      <c r="E41" s="7"/>
      <c r="F41" s="7"/>
      <c r="G41" s="7"/>
      <c r="H41" s="7"/>
      <c r="I41" s="7"/>
      <c r="J41" s="7"/>
      <c r="K41" s="7"/>
      <c r="L41" s="7"/>
      <c r="M41" s="7"/>
      <c r="N41" s="7"/>
      <c r="O41" s="7"/>
      <c r="P41" s="7"/>
      <c r="Q41" s="7"/>
      <c r="R41" s="7"/>
      <c r="S41" s="7"/>
      <c r="T41" s="7"/>
      <c r="U41" s="7"/>
      <c r="V41" s="7"/>
      <c r="W41" s="9"/>
    </row>
    <row r="42">
      <c r="A42" s="11"/>
      <c r="B42" s="15" t="s">
        <v>2</v>
      </c>
      <c r="C42" s="244" t="s">
        <v>3</v>
      </c>
      <c r="D42" s="245" t="s">
        <v>66</v>
      </c>
      <c r="E42" s="245" t="s">
        <v>67</v>
      </c>
      <c r="F42" s="245" t="s">
        <v>68</v>
      </c>
      <c r="G42" s="245" t="s">
        <v>86</v>
      </c>
      <c r="H42" s="24" t="s">
        <v>87</v>
      </c>
      <c r="I42" s="24" t="s">
        <v>88</v>
      </c>
      <c r="J42" s="245" t="s">
        <v>70</v>
      </c>
      <c r="K42" s="245" t="s">
        <v>71</v>
      </c>
      <c r="L42" s="245" t="s">
        <v>72</v>
      </c>
      <c r="M42" s="24" t="s">
        <v>89</v>
      </c>
      <c r="N42" s="245" t="s">
        <v>14</v>
      </c>
      <c r="O42" s="246" t="s">
        <v>90</v>
      </c>
      <c r="P42" s="246" t="s">
        <v>91</v>
      </c>
      <c r="Q42" s="247" t="s">
        <v>92</v>
      </c>
      <c r="R42" s="247" t="s">
        <v>93</v>
      </c>
      <c r="S42" s="247" t="s">
        <v>94</v>
      </c>
      <c r="T42" s="247" t="s">
        <v>95</v>
      </c>
      <c r="U42" s="247" t="s">
        <v>96</v>
      </c>
      <c r="V42" s="247" t="s">
        <v>97</v>
      </c>
      <c r="W42" s="135" t="s">
        <v>18</v>
      </c>
    </row>
    <row r="43">
      <c r="B43" s="250" t="s">
        <v>20</v>
      </c>
      <c r="C43" s="251">
        <v>0.1</v>
      </c>
      <c r="D43" s="252">
        <v>0.05</v>
      </c>
      <c r="E43" s="252">
        <v>0.02</v>
      </c>
      <c r="F43" s="252">
        <v>0.06</v>
      </c>
      <c r="G43" s="252">
        <v>0.06</v>
      </c>
      <c r="H43" s="252">
        <v>0.05</v>
      </c>
      <c r="I43" s="252">
        <v>0.03</v>
      </c>
      <c r="J43" s="252">
        <v>0.05</v>
      </c>
      <c r="K43" s="252">
        <v>0.07</v>
      </c>
      <c r="L43" s="252">
        <v>0.07</v>
      </c>
      <c r="M43" s="255">
        <v>0.04</v>
      </c>
      <c r="N43" s="252">
        <v>0.07</v>
      </c>
      <c r="O43" s="252">
        <v>0.04</v>
      </c>
      <c r="P43" s="252">
        <v>0.02</v>
      </c>
      <c r="Q43" s="257">
        <v>0.02</v>
      </c>
      <c r="R43" s="257">
        <v>0.05</v>
      </c>
      <c r="S43" s="257">
        <v>0.03</v>
      </c>
      <c r="T43" s="257">
        <v>0.02</v>
      </c>
      <c r="U43" s="257">
        <v>0.05</v>
      </c>
      <c r="V43" s="257">
        <v>0.1</v>
      </c>
      <c r="W43" s="258">
        <f>sum(C43:V43)</f>
        <v>1</v>
      </c>
    </row>
    <row r="44">
      <c r="A44" s="26" t="s">
        <v>28</v>
      </c>
      <c r="B44" s="260" t="s">
        <v>30</v>
      </c>
      <c r="C44" s="261">
        <v>119599.0</v>
      </c>
      <c r="D44" s="141">
        <v>0.98</v>
      </c>
      <c r="E44" s="142">
        <v>1.0</v>
      </c>
      <c r="F44" s="141">
        <v>0.98</v>
      </c>
      <c r="G44" s="141">
        <v>0.99</v>
      </c>
      <c r="H44" s="264">
        <v>46151.0</v>
      </c>
      <c r="I44" s="143">
        <v>0.998</v>
      </c>
      <c r="J44" s="144" t="s">
        <v>98</v>
      </c>
      <c r="K44" s="141">
        <v>0.005</v>
      </c>
      <c r="L44" s="141">
        <v>0.98</v>
      </c>
      <c r="M44" s="141">
        <v>0.98</v>
      </c>
      <c r="N44" s="142">
        <v>3.0</v>
      </c>
      <c r="O44" s="145">
        <v>0.98</v>
      </c>
      <c r="P44" s="146">
        <v>0.03</v>
      </c>
      <c r="Q44" s="267">
        <v>0.99</v>
      </c>
      <c r="R44" s="267">
        <v>0.98</v>
      </c>
      <c r="S44" s="268">
        <v>33723.0</v>
      </c>
      <c r="T44" s="268">
        <v>10965.0</v>
      </c>
      <c r="U44" s="267">
        <v>1.0</v>
      </c>
      <c r="V44" s="267">
        <v>1.0</v>
      </c>
      <c r="W44" s="147"/>
    </row>
    <row r="45">
      <c r="A45" s="54">
        <v>1.0</v>
      </c>
      <c r="B45" s="148" t="s">
        <v>42</v>
      </c>
      <c r="C45" s="269">
        <f t="shared" ref="C45:C52" si="3">((C30-100%)/0.2%)*$C$43</f>
        <v>-0.09976928353</v>
      </c>
      <c r="D45" s="270">
        <f t="shared" ref="D45:D52" si="4">((98%-D30)/1%)*$D$43</f>
        <v>0.4665</v>
      </c>
      <c r="E45" s="271">
        <f t="shared" ref="E45:E52" si="5">((1-E30)/0.5)*$E$43</f>
        <v>0</v>
      </c>
      <c r="F45" s="270">
        <f t="shared" ref="F45:F52" si="6">((F30-98%)/0.5%)*$F$43</f>
        <v>0.24</v>
      </c>
      <c r="G45" s="270">
        <f t="shared" ref="G45:G52" si="7">((G30-99%)/1%)*0.5*$G$43</f>
        <v>0.03</v>
      </c>
      <c r="H45" s="270">
        <f t="shared" ref="H45:H52" si="8">((H30-100%)/0.5%)*$H$43</f>
        <v>0.4478908189</v>
      </c>
      <c r="I45" s="270">
        <f t="shared" ref="I45:I52" si="9">((I30-99.8%)/0.1%)*0.5*$I$43</f>
        <v>-14.97</v>
      </c>
      <c r="J45" s="270">
        <f t="shared" ref="J45:J52" si="10">((J30-100%)/3%)*0.5*$J$43</f>
        <v>-0.8333333333</v>
      </c>
      <c r="K45" s="270">
        <f t="shared" ref="K45:K52" si="11">((0.5%-K30)/0.1%)*0.5*$K$43</f>
        <v>0.175</v>
      </c>
      <c r="L45" s="270">
        <f t="shared" ref="L45:L52" si="12">((L30-98%)/1%)*$L$43</f>
        <v>-6.86</v>
      </c>
      <c r="M45" s="270">
        <f t="shared" ref="M45:M52" si="13">((M30-98%)/0.1%)*0.2*$M$43</f>
        <v>-7.84</v>
      </c>
      <c r="N45" s="270">
        <f t="shared" ref="N45:N52" si="14">((3-N30)/0.1)*0.1*$N$43</f>
        <v>0.21</v>
      </c>
      <c r="O45" s="270">
        <f t="shared" ref="O45:O52" si="15">((O30-98%)/0.1%)*0.2*$O$43</f>
        <v>-7.84</v>
      </c>
      <c r="P45" s="271">
        <f t="shared" ref="P45:P52" si="16">((3%-P30)/1%)*$P$43</f>
        <v>0.06</v>
      </c>
      <c r="Q45" s="274">
        <f t="shared" ref="Q45:Q52" si="17">((Q30-99%)/0.5%)*$Q$43</f>
        <v>0.04</v>
      </c>
      <c r="R45" s="274">
        <f t="shared" ref="R45:R52" si="18">((R30-98%)/0.5%)*$R$43</f>
        <v>-9.8</v>
      </c>
      <c r="S45" s="274">
        <f t="shared" ref="S45:S52" si="19">((S30-100%)/3%)*$S$43</f>
        <v>-1</v>
      </c>
      <c r="T45" s="274">
        <f t="shared" ref="T45:T52" si="20">((T30-100%)/3%)*$T$43</f>
        <v>-0.6666666667</v>
      </c>
      <c r="U45" s="274">
        <f t="shared" ref="U45:U52" si="21">IF(U30&gt;=100%,0,((U30-100%)/2%)*$U$43)</f>
        <v>0</v>
      </c>
      <c r="V45" s="274">
        <f t="shared" ref="V45:V52" si="22">IF(V30&gt;=100%,0,((V30-100%)/2%)*$V$43)</f>
        <v>0</v>
      </c>
      <c r="W45" s="276">
        <f t="shared" ref="W45:W52" si="23">100+sum(C45:T45)</f>
        <v>51.75962154</v>
      </c>
    </row>
    <row r="46">
      <c r="A46" s="54">
        <v>2.0</v>
      </c>
      <c r="B46" s="156" t="s">
        <v>44</v>
      </c>
      <c r="C46" s="269">
        <f t="shared" si="3"/>
        <v>-3.156746438</v>
      </c>
      <c r="D46" s="270">
        <f t="shared" si="4"/>
        <v>0.2615</v>
      </c>
      <c r="E46" s="271">
        <f t="shared" si="5"/>
        <v>0</v>
      </c>
      <c r="F46" s="270">
        <f t="shared" si="6"/>
        <v>-0.5964</v>
      </c>
      <c r="G46" s="270">
        <f t="shared" si="7"/>
        <v>0.03</v>
      </c>
      <c r="H46" s="270">
        <f t="shared" si="8"/>
        <v>-0.4808387563</v>
      </c>
      <c r="I46" s="270">
        <f t="shared" si="9"/>
        <v>-14.97</v>
      </c>
      <c r="J46" s="270">
        <f t="shared" si="10"/>
        <v>-0.8333333333</v>
      </c>
      <c r="K46" s="270">
        <f t="shared" si="11"/>
        <v>0.175</v>
      </c>
      <c r="L46" s="270">
        <f t="shared" si="12"/>
        <v>-6.86</v>
      </c>
      <c r="M46" s="270">
        <f t="shared" si="13"/>
        <v>-7.84</v>
      </c>
      <c r="N46" s="270">
        <f t="shared" si="14"/>
        <v>0.21</v>
      </c>
      <c r="O46" s="270">
        <f t="shared" si="15"/>
        <v>-7.84</v>
      </c>
      <c r="P46" s="271">
        <f t="shared" si="16"/>
        <v>0.06</v>
      </c>
      <c r="Q46" s="274">
        <f t="shared" si="17"/>
        <v>0.04</v>
      </c>
      <c r="R46" s="274">
        <f t="shared" si="18"/>
        <v>-9.8</v>
      </c>
      <c r="S46" s="274">
        <f t="shared" si="19"/>
        <v>-1</v>
      </c>
      <c r="T46" s="274">
        <f t="shared" si="20"/>
        <v>-0.6666666667</v>
      </c>
      <c r="U46" s="274">
        <f t="shared" si="21"/>
        <v>0</v>
      </c>
      <c r="V46" s="274">
        <f t="shared" si="22"/>
        <v>0</v>
      </c>
      <c r="W46" s="276">
        <f t="shared" si="23"/>
        <v>46.73251481</v>
      </c>
    </row>
    <row r="47">
      <c r="A47" s="54">
        <v>3.0</v>
      </c>
      <c r="B47" s="156" t="s">
        <v>45</v>
      </c>
      <c r="C47" s="269">
        <f t="shared" si="3"/>
        <v>3.353985956</v>
      </c>
      <c r="D47" s="270">
        <f t="shared" si="4"/>
        <v>1.3305</v>
      </c>
      <c r="E47" s="271">
        <f t="shared" si="5"/>
        <v>0</v>
      </c>
      <c r="F47" s="270">
        <f t="shared" si="6"/>
        <v>0.2004</v>
      </c>
      <c r="G47" s="270">
        <f t="shared" si="7"/>
        <v>0.03</v>
      </c>
      <c r="H47" s="270">
        <f t="shared" si="8"/>
        <v>0.8761615778</v>
      </c>
      <c r="I47" s="270">
        <f t="shared" si="9"/>
        <v>-14.97</v>
      </c>
      <c r="J47" s="270">
        <f t="shared" si="10"/>
        <v>-0.8333333333</v>
      </c>
      <c r="K47" s="270">
        <f t="shared" si="11"/>
        <v>0.175</v>
      </c>
      <c r="L47" s="270">
        <f t="shared" si="12"/>
        <v>-6.86</v>
      </c>
      <c r="M47" s="270">
        <f t="shared" si="13"/>
        <v>-7.84</v>
      </c>
      <c r="N47" s="270">
        <f t="shared" si="14"/>
        <v>0.21</v>
      </c>
      <c r="O47" s="270">
        <f t="shared" si="15"/>
        <v>-7.84</v>
      </c>
      <c r="P47" s="271">
        <f t="shared" si="16"/>
        <v>0.06</v>
      </c>
      <c r="Q47" s="274">
        <f t="shared" si="17"/>
        <v>0.04</v>
      </c>
      <c r="R47" s="274">
        <f t="shared" si="18"/>
        <v>-9.8</v>
      </c>
      <c r="S47" s="274">
        <f t="shared" si="19"/>
        <v>-1</v>
      </c>
      <c r="T47" s="274">
        <f t="shared" si="20"/>
        <v>-0.6666666667</v>
      </c>
      <c r="U47" s="274">
        <f t="shared" si="21"/>
        <v>0</v>
      </c>
      <c r="V47" s="274">
        <f t="shared" si="22"/>
        <v>0</v>
      </c>
      <c r="W47" s="276">
        <f t="shared" si="23"/>
        <v>56.46604753</v>
      </c>
    </row>
    <row r="48">
      <c r="A48" s="54">
        <v>4.0</v>
      </c>
      <c r="B48" s="156" t="s">
        <v>47</v>
      </c>
      <c r="C48" s="269">
        <f t="shared" si="3"/>
        <v>3.135983264</v>
      </c>
      <c r="D48" s="270">
        <f t="shared" si="4"/>
        <v>1.215</v>
      </c>
      <c r="E48" s="271">
        <f t="shared" si="5"/>
        <v>0</v>
      </c>
      <c r="F48" s="270">
        <f t="shared" si="6"/>
        <v>0.204</v>
      </c>
      <c r="G48" s="270">
        <f t="shared" si="7"/>
        <v>0.03</v>
      </c>
      <c r="H48" s="270">
        <f t="shared" si="8"/>
        <v>0.4400426996</v>
      </c>
      <c r="I48" s="270">
        <f t="shared" si="9"/>
        <v>-14.97</v>
      </c>
      <c r="J48" s="270">
        <f t="shared" si="10"/>
        <v>-0.8333333333</v>
      </c>
      <c r="K48" s="270">
        <f t="shared" si="11"/>
        <v>0.175</v>
      </c>
      <c r="L48" s="270">
        <f t="shared" si="12"/>
        <v>-6.86</v>
      </c>
      <c r="M48" s="270">
        <f t="shared" si="13"/>
        <v>-7.84</v>
      </c>
      <c r="N48" s="270">
        <f t="shared" si="14"/>
        <v>0.21</v>
      </c>
      <c r="O48" s="270">
        <f t="shared" si="15"/>
        <v>-7.84</v>
      </c>
      <c r="P48" s="271">
        <f t="shared" si="16"/>
        <v>0.06</v>
      </c>
      <c r="Q48" s="274">
        <f t="shared" si="17"/>
        <v>0.04</v>
      </c>
      <c r="R48" s="274">
        <f t="shared" si="18"/>
        <v>-9.8</v>
      </c>
      <c r="S48" s="274">
        <f t="shared" si="19"/>
        <v>-1</v>
      </c>
      <c r="T48" s="274">
        <f t="shared" si="20"/>
        <v>-0.6666666667</v>
      </c>
      <c r="U48" s="274">
        <f t="shared" si="21"/>
        <v>0</v>
      </c>
      <c r="V48" s="274">
        <f t="shared" si="22"/>
        <v>0</v>
      </c>
      <c r="W48" s="276">
        <f t="shared" si="23"/>
        <v>55.70002596</v>
      </c>
    </row>
    <row r="49">
      <c r="A49" s="54">
        <v>5.0</v>
      </c>
      <c r="B49" s="156" t="s">
        <v>48</v>
      </c>
      <c r="C49" s="269">
        <f t="shared" si="3"/>
        <v>-1.336694891</v>
      </c>
      <c r="D49" s="270">
        <f t="shared" si="4"/>
        <v>0.5765</v>
      </c>
      <c r="E49" s="271">
        <f t="shared" si="5"/>
        <v>0</v>
      </c>
      <c r="F49" s="270">
        <f t="shared" si="6"/>
        <v>0.24</v>
      </c>
      <c r="G49" s="270">
        <f t="shared" si="7"/>
        <v>0.03</v>
      </c>
      <c r="H49" s="270">
        <f t="shared" si="8"/>
        <v>0.3076507894</v>
      </c>
      <c r="I49" s="270">
        <f t="shared" si="9"/>
        <v>-14.97</v>
      </c>
      <c r="J49" s="270">
        <f t="shared" si="10"/>
        <v>-0.8333333333</v>
      </c>
      <c r="K49" s="270">
        <f t="shared" si="11"/>
        <v>0.175</v>
      </c>
      <c r="L49" s="270">
        <f t="shared" si="12"/>
        <v>-6.86</v>
      </c>
      <c r="M49" s="270">
        <f t="shared" si="13"/>
        <v>-7.84</v>
      </c>
      <c r="N49" s="270">
        <f t="shared" si="14"/>
        <v>0.21</v>
      </c>
      <c r="O49" s="270">
        <f t="shared" si="15"/>
        <v>-7.84</v>
      </c>
      <c r="P49" s="271">
        <f t="shared" si="16"/>
        <v>0.06</v>
      </c>
      <c r="Q49" s="274">
        <f t="shared" si="17"/>
        <v>0.04</v>
      </c>
      <c r="R49" s="274">
        <f t="shared" si="18"/>
        <v>-9.8</v>
      </c>
      <c r="S49" s="274">
        <f t="shared" si="19"/>
        <v>-1</v>
      </c>
      <c r="T49" s="274">
        <f t="shared" si="20"/>
        <v>-0.6666666667</v>
      </c>
      <c r="U49" s="274">
        <f t="shared" si="21"/>
        <v>0</v>
      </c>
      <c r="V49" s="274">
        <f t="shared" si="22"/>
        <v>0</v>
      </c>
      <c r="W49" s="276">
        <f t="shared" si="23"/>
        <v>50.4924559</v>
      </c>
    </row>
    <row r="50">
      <c r="A50" s="54">
        <v>6.0</v>
      </c>
      <c r="B50" s="156" t="s">
        <v>49</v>
      </c>
      <c r="C50" s="269">
        <f t="shared" si="3"/>
        <v>-0.3640345685</v>
      </c>
      <c r="D50" s="270">
        <f t="shared" si="4"/>
        <v>1.672</v>
      </c>
      <c r="E50" s="271">
        <f t="shared" si="5"/>
        <v>0</v>
      </c>
      <c r="F50" s="270">
        <f t="shared" si="6"/>
        <v>0.24</v>
      </c>
      <c r="G50" s="270">
        <f t="shared" si="7"/>
        <v>0.03</v>
      </c>
      <c r="H50" s="270">
        <f t="shared" si="8"/>
        <v>-0.5123887419</v>
      </c>
      <c r="I50" s="270">
        <f t="shared" si="9"/>
        <v>-14.97</v>
      </c>
      <c r="J50" s="270">
        <f t="shared" si="10"/>
        <v>-0.8333333333</v>
      </c>
      <c r="K50" s="270">
        <f t="shared" si="11"/>
        <v>0.175</v>
      </c>
      <c r="L50" s="270">
        <f t="shared" si="12"/>
        <v>-6.86</v>
      </c>
      <c r="M50" s="270">
        <f t="shared" si="13"/>
        <v>-7.84</v>
      </c>
      <c r="N50" s="270">
        <f t="shared" si="14"/>
        <v>0.21</v>
      </c>
      <c r="O50" s="270">
        <f t="shared" si="15"/>
        <v>-7.84</v>
      </c>
      <c r="P50" s="271">
        <f t="shared" si="16"/>
        <v>0.06</v>
      </c>
      <c r="Q50" s="274">
        <f t="shared" si="17"/>
        <v>0.04</v>
      </c>
      <c r="R50" s="274">
        <f t="shared" si="18"/>
        <v>-9.8</v>
      </c>
      <c r="S50" s="274">
        <f t="shared" si="19"/>
        <v>-1</v>
      </c>
      <c r="T50" s="274">
        <f t="shared" si="20"/>
        <v>-0.6666666667</v>
      </c>
      <c r="U50" s="274">
        <f t="shared" si="21"/>
        <v>0</v>
      </c>
      <c r="V50" s="274">
        <f t="shared" si="22"/>
        <v>0</v>
      </c>
      <c r="W50" s="276">
        <f t="shared" si="23"/>
        <v>51.74057669</v>
      </c>
    </row>
    <row r="51">
      <c r="A51" s="54">
        <v>7.0</v>
      </c>
      <c r="B51" s="165" t="s">
        <v>43</v>
      </c>
      <c r="C51" s="269">
        <f t="shared" si="3"/>
        <v>-0.09976928353</v>
      </c>
      <c r="D51" s="270">
        <f t="shared" si="4"/>
        <v>1.036</v>
      </c>
      <c r="E51" s="271">
        <f t="shared" si="5"/>
        <v>0</v>
      </c>
      <c r="F51" s="270">
        <f t="shared" si="6"/>
        <v>0.0984</v>
      </c>
      <c r="G51" s="270">
        <f t="shared" si="7"/>
        <v>0.03</v>
      </c>
      <c r="H51" s="270">
        <f t="shared" si="8"/>
        <v>1.253067903</v>
      </c>
      <c r="I51" s="270">
        <f t="shared" si="9"/>
        <v>-14.97</v>
      </c>
      <c r="J51" s="270">
        <f t="shared" si="10"/>
        <v>-0.8333333333</v>
      </c>
      <c r="K51" s="270">
        <f t="shared" si="11"/>
        <v>0.175</v>
      </c>
      <c r="L51" s="270">
        <f t="shared" si="12"/>
        <v>-6.86</v>
      </c>
      <c r="M51" s="270">
        <f t="shared" si="13"/>
        <v>-7.84</v>
      </c>
      <c r="N51" s="270">
        <f t="shared" si="14"/>
        <v>0.21</v>
      </c>
      <c r="O51" s="270">
        <f t="shared" si="15"/>
        <v>-7.84</v>
      </c>
      <c r="P51" s="271">
        <f t="shared" si="16"/>
        <v>0.06</v>
      </c>
      <c r="Q51" s="274">
        <f t="shared" si="17"/>
        <v>0.04</v>
      </c>
      <c r="R51" s="274">
        <f t="shared" si="18"/>
        <v>-9.8</v>
      </c>
      <c r="S51" s="274">
        <f t="shared" si="19"/>
        <v>-1</v>
      </c>
      <c r="T51" s="274">
        <f t="shared" si="20"/>
        <v>-0.6666666667</v>
      </c>
      <c r="U51" s="274">
        <f t="shared" si="21"/>
        <v>0</v>
      </c>
      <c r="V51" s="274">
        <f t="shared" si="22"/>
        <v>0</v>
      </c>
      <c r="W51" s="276">
        <f t="shared" si="23"/>
        <v>52.99269862</v>
      </c>
    </row>
    <row r="52">
      <c r="A52" s="89"/>
      <c r="B52" s="277" t="s">
        <v>50</v>
      </c>
      <c r="C52" s="269">
        <f t="shared" si="3"/>
        <v>0.6921345294</v>
      </c>
      <c r="D52" s="270">
        <f t="shared" si="4"/>
        <v>0.985</v>
      </c>
      <c r="E52" s="271">
        <f t="shared" si="5"/>
        <v>0</v>
      </c>
      <c r="F52" s="270">
        <f t="shared" si="6"/>
        <v>0.18</v>
      </c>
      <c r="G52" s="270">
        <f t="shared" si="7"/>
        <v>0.03</v>
      </c>
      <c r="H52" s="270">
        <f t="shared" si="8"/>
        <v>0.4593387364</v>
      </c>
      <c r="I52" s="270">
        <f t="shared" si="9"/>
        <v>-14.97</v>
      </c>
      <c r="J52" s="270">
        <f t="shared" si="10"/>
        <v>-0.8333333333</v>
      </c>
      <c r="K52" s="270">
        <f t="shared" si="11"/>
        <v>0.175</v>
      </c>
      <c r="L52" s="270">
        <f t="shared" si="12"/>
        <v>-6.86</v>
      </c>
      <c r="M52" s="270">
        <f t="shared" si="13"/>
        <v>-7.84</v>
      </c>
      <c r="N52" s="270">
        <f t="shared" si="14"/>
        <v>0.21</v>
      </c>
      <c r="O52" s="270">
        <f t="shared" si="15"/>
        <v>-7.84</v>
      </c>
      <c r="P52" s="271">
        <f t="shared" si="16"/>
        <v>0.06</v>
      </c>
      <c r="Q52" s="274">
        <f t="shared" si="17"/>
        <v>0.04</v>
      </c>
      <c r="R52" s="274">
        <f t="shared" si="18"/>
        <v>-9.8</v>
      </c>
      <c r="S52" s="274">
        <f t="shared" si="19"/>
        <v>-1</v>
      </c>
      <c r="T52" s="274">
        <f t="shared" si="20"/>
        <v>-0.6666666667</v>
      </c>
      <c r="U52" s="274">
        <f t="shared" si="21"/>
        <v>0</v>
      </c>
      <c r="V52" s="274">
        <f t="shared" si="22"/>
        <v>0</v>
      </c>
      <c r="W52" s="276">
        <f t="shared" si="23"/>
        <v>53.02147327</v>
      </c>
    </row>
    <row r="53">
      <c r="A53" s="89"/>
      <c r="B53" s="215" t="s">
        <v>63</v>
      </c>
      <c r="C53" s="216">
        <v>0.58</v>
      </c>
      <c r="D53" s="216">
        <v>0.93</v>
      </c>
      <c r="E53" s="217">
        <v>0.0</v>
      </c>
      <c r="F53" s="216">
        <v>0.04</v>
      </c>
      <c r="G53" s="216">
        <v>0.03</v>
      </c>
      <c r="H53" s="216">
        <v>0.3</v>
      </c>
      <c r="I53" s="216">
        <v>0.01</v>
      </c>
      <c r="J53" s="216">
        <v>-1.05</v>
      </c>
      <c r="K53" s="216">
        <v>0.02</v>
      </c>
      <c r="L53" s="216">
        <v>-0.35</v>
      </c>
      <c r="M53" s="216">
        <v>-0.45</v>
      </c>
      <c r="N53" s="216">
        <v>-1.83</v>
      </c>
      <c r="O53" s="216">
        <v>0.08</v>
      </c>
      <c r="P53" s="216">
        <v>-0.04</v>
      </c>
      <c r="Q53" s="216">
        <v>0.04</v>
      </c>
      <c r="R53" s="216">
        <v>-0.83</v>
      </c>
      <c r="S53" s="216">
        <v>0.23</v>
      </c>
      <c r="T53" s="216">
        <v>0.03</v>
      </c>
      <c r="U53" s="216">
        <v>0.0</v>
      </c>
      <c r="V53" s="216">
        <v>0.0</v>
      </c>
      <c r="W53" s="218">
        <f>100+sum(C53:V53)</f>
        <v>97.74</v>
      </c>
    </row>
    <row r="54">
      <c r="B54" s="219" t="s">
        <v>64</v>
      </c>
      <c r="C54" s="278"/>
      <c r="D54" s="278"/>
      <c r="E54" s="278"/>
      <c r="F54" s="278"/>
      <c r="G54" s="278"/>
      <c r="H54" s="278"/>
      <c r="I54" s="278"/>
      <c r="J54" s="278"/>
      <c r="K54" s="278"/>
      <c r="L54" s="278"/>
      <c r="M54" s="278"/>
      <c r="N54" s="278"/>
      <c r="O54" s="278"/>
      <c r="P54" s="278"/>
      <c r="Q54" s="278"/>
      <c r="R54" s="278"/>
      <c r="S54" s="278"/>
      <c r="T54" s="278"/>
      <c r="U54" s="278"/>
      <c r="V54" s="278"/>
      <c r="W54" s="278"/>
    </row>
    <row r="59">
      <c r="C59" s="335" t="s">
        <v>172</v>
      </c>
      <c r="D59" s="431"/>
      <c r="E59" s="432"/>
      <c r="F59" s="433" t="s">
        <v>99</v>
      </c>
      <c r="G59" s="434"/>
      <c r="H59" s="434"/>
      <c r="I59" s="434"/>
      <c r="J59" s="434"/>
      <c r="K59" s="435"/>
      <c r="L59" s="433" t="s">
        <v>173</v>
      </c>
      <c r="M59" s="434"/>
      <c r="N59" s="435"/>
    </row>
    <row r="60">
      <c r="C60" s="341" t="s">
        <v>174</v>
      </c>
      <c r="D60" s="343" t="s">
        <v>175</v>
      </c>
      <c r="E60" s="343" t="s">
        <v>176</v>
      </c>
      <c r="F60" s="346" t="s">
        <v>2</v>
      </c>
      <c r="G60" s="346" t="s">
        <v>101</v>
      </c>
      <c r="H60" s="346" t="s">
        <v>20</v>
      </c>
      <c r="I60" s="346" t="s">
        <v>30</v>
      </c>
      <c r="J60" s="346" t="s">
        <v>102</v>
      </c>
      <c r="K60" s="346" t="s">
        <v>103</v>
      </c>
      <c r="L60" s="346" t="s">
        <v>173</v>
      </c>
      <c r="M60" s="350" t="s">
        <v>177</v>
      </c>
      <c r="N60" s="350" t="s">
        <v>178</v>
      </c>
    </row>
    <row r="61">
      <c r="C61" s="352" t="s">
        <v>179</v>
      </c>
      <c r="D61" s="353" t="s">
        <v>180</v>
      </c>
      <c r="E61" s="355">
        <v>0.3</v>
      </c>
      <c r="F61" s="357"/>
      <c r="G61" s="358"/>
      <c r="H61" s="359"/>
      <c r="I61" s="359"/>
      <c r="J61" s="357"/>
      <c r="K61" s="357"/>
      <c r="L61" s="360"/>
      <c r="M61" s="361"/>
      <c r="N61" s="361"/>
    </row>
    <row r="62">
      <c r="C62" s="362">
        <v>1.0</v>
      </c>
      <c r="D62" s="362" t="s">
        <v>183</v>
      </c>
      <c r="E62" s="363">
        <v>0.15</v>
      </c>
      <c r="F62" s="364" t="s">
        <v>184</v>
      </c>
      <c r="G62" s="365" t="s">
        <v>185</v>
      </c>
      <c r="H62" s="436">
        <v>0.15</v>
      </c>
      <c r="I62" s="362">
        <v>130.221</v>
      </c>
      <c r="J62" s="367" t="s">
        <v>148</v>
      </c>
      <c r="K62" s="368" t="s">
        <v>257</v>
      </c>
      <c r="L62" s="365" t="s">
        <v>187</v>
      </c>
      <c r="M62" s="369" t="s">
        <v>258</v>
      </c>
      <c r="N62" s="369" t="s">
        <v>259</v>
      </c>
    </row>
    <row r="63">
      <c r="C63" s="404">
        <v>2.0</v>
      </c>
      <c r="D63" s="404" t="s">
        <v>195</v>
      </c>
      <c r="E63" s="405">
        <v>0.15</v>
      </c>
      <c r="F63" s="364" t="s">
        <v>196</v>
      </c>
      <c r="G63" s="381"/>
      <c r="H63" s="360"/>
      <c r="I63" s="382"/>
      <c r="J63" s="383"/>
      <c r="K63" s="384"/>
      <c r="L63" s="381"/>
      <c r="M63" s="361"/>
      <c r="N63" s="361"/>
    </row>
    <row r="64">
      <c r="C64" s="437"/>
      <c r="D64" s="437"/>
      <c r="E64" s="438"/>
      <c r="F64" s="387" t="s">
        <v>198</v>
      </c>
      <c r="G64" s="365" t="s">
        <v>166</v>
      </c>
      <c r="H64" s="436">
        <v>0.1</v>
      </c>
      <c r="I64" s="363">
        <v>0.98</v>
      </c>
      <c r="J64" s="368" t="s">
        <v>260</v>
      </c>
      <c r="K64" s="368" t="s">
        <v>200</v>
      </c>
      <c r="L64" s="365" t="s">
        <v>187</v>
      </c>
      <c r="M64" s="369" t="s">
        <v>258</v>
      </c>
      <c r="N64" s="369" t="s">
        <v>261</v>
      </c>
    </row>
    <row r="65">
      <c r="C65" s="439"/>
      <c r="D65" s="439"/>
      <c r="E65" s="440"/>
      <c r="F65" s="389" t="s">
        <v>202</v>
      </c>
      <c r="G65" s="365" t="s">
        <v>166</v>
      </c>
      <c r="H65" s="436">
        <v>0.05</v>
      </c>
      <c r="I65" s="362">
        <v>1.0</v>
      </c>
      <c r="J65" s="368" t="s">
        <v>263</v>
      </c>
      <c r="K65" s="441" t="s">
        <v>264</v>
      </c>
      <c r="L65" s="365" t="s">
        <v>187</v>
      </c>
      <c r="M65" s="369" t="s">
        <v>258</v>
      </c>
      <c r="N65" s="369" t="s">
        <v>261</v>
      </c>
    </row>
    <row r="66">
      <c r="C66" s="352" t="s">
        <v>204</v>
      </c>
      <c r="D66" s="353" t="s">
        <v>205</v>
      </c>
      <c r="E66" s="355">
        <v>0.25</v>
      </c>
      <c r="F66" s="360"/>
      <c r="G66" s="360"/>
      <c r="H66" s="359"/>
      <c r="I66" s="359"/>
      <c r="J66" s="393"/>
      <c r="K66" s="393"/>
      <c r="L66" s="360"/>
      <c r="M66" s="361"/>
      <c r="N66" s="361"/>
    </row>
    <row r="67">
      <c r="C67" s="403">
        <v>3.0</v>
      </c>
      <c r="D67" s="404" t="s">
        <v>207</v>
      </c>
      <c r="E67" s="405">
        <v>0.2</v>
      </c>
      <c r="F67" s="395" t="s">
        <v>208</v>
      </c>
      <c r="G67" s="381"/>
      <c r="H67" s="360"/>
      <c r="I67" s="382"/>
      <c r="J67" s="383"/>
      <c r="K67" s="383"/>
      <c r="L67" s="381"/>
      <c r="M67" s="361"/>
      <c r="N67" s="361"/>
    </row>
    <row r="68">
      <c r="C68" s="442"/>
      <c r="D68" s="437"/>
      <c r="E68" s="438"/>
      <c r="F68" s="376" t="s">
        <v>265</v>
      </c>
      <c r="G68" s="365" t="s">
        <v>166</v>
      </c>
      <c r="H68" s="436">
        <v>0.05</v>
      </c>
      <c r="I68" s="363">
        <v>0.98</v>
      </c>
      <c r="J68" s="368" t="s">
        <v>151</v>
      </c>
      <c r="K68" s="441" t="s">
        <v>267</v>
      </c>
      <c r="L68" s="365" t="s">
        <v>215</v>
      </c>
      <c r="M68" s="369" t="s">
        <v>268</v>
      </c>
      <c r="N68" s="369" t="s">
        <v>269</v>
      </c>
    </row>
    <row r="69">
      <c r="C69" s="442"/>
      <c r="D69" s="437"/>
      <c r="E69" s="438"/>
      <c r="F69" s="376" t="s">
        <v>270</v>
      </c>
      <c r="G69" s="365" t="s">
        <v>166</v>
      </c>
      <c r="H69" s="436">
        <v>0.05</v>
      </c>
      <c r="I69" s="363">
        <v>0.99</v>
      </c>
      <c r="J69" s="368" t="s">
        <v>271</v>
      </c>
      <c r="K69" s="441" t="s">
        <v>272</v>
      </c>
      <c r="L69" s="365" t="s">
        <v>215</v>
      </c>
      <c r="M69" s="369" t="s">
        <v>268</v>
      </c>
      <c r="N69" s="369" t="s">
        <v>269</v>
      </c>
    </row>
    <row r="70">
      <c r="C70" s="442"/>
      <c r="D70" s="437"/>
      <c r="E70" s="438"/>
      <c r="F70" s="376" t="s">
        <v>118</v>
      </c>
      <c r="G70" s="365" t="s">
        <v>166</v>
      </c>
      <c r="H70" s="436">
        <v>0.05</v>
      </c>
      <c r="I70" s="363">
        <v>0.02</v>
      </c>
      <c r="J70" s="368" t="s">
        <v>218</v>
      </c>
      <c r="K70" s="441" t="s">
        <v>273</v>
      </c>
      <c r="L70" s="365" t="s">
        <v>215</v>
      </c>
      <c r="M70" s="369" t="s">
        <v>268</v>
      </c>
      <c r="N70" s="369" t="s">
        <v>274</v>
      </c>
    </row>
    <row r="71">
      <c r="C71" s="443"/>
      <c r="D71" s="439"/>
      <c r="E71" s="440"/>
      <c r="F71" s="376" t="s">
        <v>220</v>
      </c>
      <c r="G71" s="365" t="s">
        <v>166</v>
      </c>
      <c r="H71" s="436">
        <v>0.05</v>
      </c>
      <c r="I71" s="396">
        <v>0.55</v>
      </c>
      <c r="J71" s="368" t="s">
        <v>275</v>
      </c>
      <c r="K71" s="441" t="s">
        <v>276</v>
      </c>
      <c r="L71" s="365" t="s">
        <v>215</v>
      </c>
      <c r="M71" s="369" t="s">
        <v>268</v>
      </c>
      <c r="N71" s="369" t="s">
        <v>277</v>
      </c>
    </row>
    <row r="72">
      <c r="C72" s="403">
        <v>4.0</v>
      </c>
      <c r="D72" s="404" t="s">
        <v>227</v>
      </c>
      <c r="E72" s="405">
        <v>0.05</v>
      </c>
      <c r="F72" s="395" t="s">
        <v>228</v>
      </c>
      <c r="G72" s="381"/>
      <c r="H72" s="360"/>
      <c r="I72" s="382"/>
      <c r="J72" s="383"/>
      <c r="K72" s="383"/>
      <c r="L72" s="381"/>
      <c r="M72" s="361"/>
      <c r="N72" s="361"/>
    </row>
    <row r="73">
      <c r="C73" s="442"/>
      <c r="D73" s="437"/>
      <c r="E73" s="438"/>
      <c r="F73" s="395" t="s">
        <v>229</v>
      </c>
      <c r="G73" s="381"/>
      <c r="H73" s="360"/>
      <c r="I73" s="382"/>
      <c r="J73" s="383"/>
      <c r="K73" s="383"/>
      <c r="L73" s="381"/>
      <c r="M73" s="361"/>
      <c r="N73" s="361"/>
    </row>
    <row r="74">
      <c r="C74" s="442"/>
      <c r="D74" s="437"/>
      <c r="E74" s="438"/>
      <c r="F74" s="376" t="s">
        <v>230</v>
      </c>
      <c r="G74" s="365" t="s">
        <v>167</v>
      </c>
      <c r="H74" s="436">
        <v>0.05</v>
      </c>
      <c r="I74" s="362">
        <v>2.28</v>
      </c>
      <c r="J74" s="368" t="s">
        <v>278</v>
      </c>
      <c r="K74" s="441" t="s">
        <v>279</v>
      </c>
      <c r="L74" s="365" t="s">
        <v>192</v>
      </c>
      <c r="M74" s="369" t="s">
        <v>280</v>
      </c>
      <c r="N74" s="369" t="s">
        <v>281</v>
      </c>
    </row>
    <row r="75">
      <c r="C75" s="352" t="s">
        <v>234</v>
      </c>
      <c r="D75" s="409" t="s">
        <v>235</v>
      </c>
      <c r="E75" s="410">
        <v>0.45</v>
      </c>
      <c r="F75" s="360"/>
      <c r="G75" s="360"/>
      <c r="H75" s="359"/>
      <c r="I75" s="359"/>
      <c r="J75" s="393"/>
      <c r="K75" s="393"/>
      <c r="L75" s="360"/>
      <c r="M75" s="361"/>
      <c r="N75" s="361"/>
    </row>
    <row r="76">
      <c r="C76" s="403">
        <v>5.0</v>
      </c>
      <c r="D76" s="404" t="s">
        <v>236</v>
      </c>
      <c r="E76" s="405">
        <v>0.25</v>
      </c>
      <c r="F76" s="368" t="s">
        <v>130</v>
      </c>
      <c r="G76" s="365" t="s">
        <v>166</v>
      </c>
      <c r="H76" s="436">
        <v>0.05</v>
      </c>
      <c r="I76" s="362" t="s">
        <v>237</v>
      </c>
      <c r="J76" s="368" t="s">
        <v>156</v>
      </c>
      <c r="K76" s="376" t="s">
        <v>238</v>
      </c>
      <c r="L76" s="365" t="s">
        <v>215</v>
      </c>
      <c r="M76" s="369" t="s">
        <v>268</v>
      </c>
      <c r="N76" s="369" t="s">
        <v>277</v>
      </c>
    </row>
    <row r="77">
      <c r="C77" s="442"/>
      <c r="D77" s="437"/>
      <c r="E77" s="438"/>
      <c r="F77" s="368" t="s">
        <v>282</v>
      </c>
      <c r="G77" s="365" t="s">
        <v>166</v>
      </c>
      <c r="H77" s="436">
        <v>0.05</v>
      </c>
      <c r="I77" s="362" t="s">
        <v>283</v>
      </c>
      <c r="J77" s="368" t="s">
        <v>157</v>
      </c>
      <c r="K77" s="414" t="s">
        <v>267</v>
      </c>
      <c r="L77" s="365" t="s">
        <v>215</v>
      </c>
      <c r="M77" s="369" t="s">
        <v>268</v>
      </c>
      <c r="N77" s="369" t="s">
        <v>277</v>
      </c>
    </row>
    <row r="78">
      <c r="C78" s="442"/>
      <c r="D78" s="437"/>
      <c r="E78" s="438"/>
      <c r="F78" s="368" t="s">
        <v>133</v>
      </c>
      <c r="G78" s="365" t="s">
        <v>166</v>
      </c>
      <c r="H78" s="436">
        <v>0.1</v>
      </c>
      <c r="I78" s="396">
        <v>0.99</v>
      </c>
      <c r="J78" s="383"/>
      <c r="K78" s="414" t="s">
        <v>284</v>
      </c>
      <c r="L78" s="365" t="s">
        <v>215</v>
      </c>
      <c r="M78" s="369" t="s">
        <v>268</v>
      </c>
      <c r="N78" s="369" t="s">
        <v>277</v>
      </c>
    </row>
    <row r="79">
      <c r="C79" s="442"/>
      <c r="D79" s="437"/>
      <c r="E79" s="438"/>
      <c r="F79" s="368" t="s">
        <v>135</v>
      </c>
      <c r="G79" s="365" t="s">
        <v>168</v>
      </c>
      <c r="H79" s="436">
        <v>0.05</v>
      </c>
      <c r="I79" s="362">
        <v>3.0</v>
      </c>
      <c r="J79" s="368" t="s">
        <v>159</v>
      </c>
      <c r="K79" s="414" t="s">
        <v>285</v>
      </c>
      <c r="L79" s="365" t="s">
        <v>215</v>
      </c>
      <c r="M79" s="369" t="s">
        <v>268</v>
      </c>
      <c r="N79" s="369" t="s">
        <v>269</v>
      </c>
    </row>
    <row r="80">
      <c r="C80" s="415">
        <v>7.0</v>
      </c>
      <c r="D80" s="362" t="s">
        <v>242</v>
      </c>
      <c r="E80" s="363">
        <v>0.2</v>
      </c>
      <c r="F80" s="368" t="s">
        <v>243</v>
      </c>
      <c r="G80" s="365" t="s">
        <v>166</v>
      </c>
      <c r="H80" s="436">
        <v>0.2</v>
      </c>
      <c r="I80" s="363">
        <v>1.0</v>
      </c>
      <c r="J80" s="368" t="s">
        <v>244</v>
      </c>
      <c r="K80" s="376" t="s">
        <v>245</v>
      </c>
      <c r="L80" s="365" t="s">
        <v>246</v>
      </c>
      <c r="M80" s="369" t="s">
        <v>286</v>
      </c>
      <c r="N80" s="369" t="s">
        <v>287</v>
      </c>
    </row>
    <row r="81">
      <c r="C81" s="415">
        <v>8.0</v>
      </c>
      <c r="D81" s="362" t="s">
        <v>249</v>
      </c>
      <c r="E81" s="362" t="s">
        <v>250</v>
      </c>
      <c r="F81" s="368" t="s">
        <v>251</v>
      </c>
      <c r="G81" s="384"/>
      <c r="H81" s="436">
        <v>0.0</v>
      </c>
      <c r="I81" s="382"/>
      <c r="J81" s="368" t="s">
        <v>46</v>
      </c>
      <c r="K81" s="376" t="s">
        <v>288</v>
      </c>
      <c r="L81" s="365" t="s">
        <v>246</v>
      </c>
      <c r="M81" s="369" t="s">
        <v>286</v>
      </c>
      <c r="N81" s="369" t="s">
        <v>287</v>
      </c>
    </row>
    <row r="82">
      <c r="C82" s="417"/>
      <c r="D82" s="395" t="s">
        <v>253</v>
      </c>
      <c r="E82" s="363">
        <v>1.0</v>
      </c>
      <c r="F82" s="418"/>
      <c r="G82" s="419"/>
      <c r="H82" s="410">
        <v>1.0</v>
      </c>
      <c r="I82" s="382"/>
      <c r="J82" s="418"/>
      <c r="K82" s="418"/>
      <c r="L82" s="381"/>
      <c r="M82" s="361"/>
      <c r="N82" s="361"/>
    </row>
    <row r="83">
      <c r="C83" s="417"/>
      <c r="D83" s="395" t="s">
        <v>254</v>
      </c>
      <c r="E83" s="362">
        <v>8.0</v>
      </c>
      <c r="F83" s="418"/>
      <c r="G83" s="419"/>
      <c r="H83" s="420">
        <v>13.0</v>
      </c>
      <c r="I83" s="374">
        <v>13.0</v>
      </c>
      <c r="J83" s="418"/>
      <c r="K83" s="418"/>
      <c r="L83" s="381"/>
      <c r="M83" s="361"/>
      <c r="N83" s="361"/>
    </row>
  </sheetData>
  <mergeCells count="3">
    <mergeCell ref="C6:W6"/>
    <mergeCell ref="C24:W24"/>
    <mergeCell ref="C41:W4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4.5"/>
    <col customWidth="1" min="9" max="9" width="22.0"/>
    <col customWidth="1" min="11" max="11" width="12.88"/>
    <col customWidth="1" min="12" max="12" width="13.88"/>
    <col customWidth="1" min="13" max="13" width="9.63"/>
    <col customWidth="1" min="14" max="14" width="15.13"/>
  </cols>
  <sheetData>
    <row r="6">
      <c r="A6" s="1"/>
      <c r="B6" s="6"/>
      <c r="C6" s="8" t="s">
        <v>289</v>
      </c>
      <c r="D6" s="7"/>
      <c r="E6" s="7"/>
      <c r="F6" s="7"/>
      <c r="G6" s="7"/>
      <c r="H6" s="7"/>
      <c r="I6" s="7"/>
      <c r="J6" s="7"/>
      <c r="K6" s="7"/>
      <c r="L6" s="7"/>
      <c r="M6" s="7"/>
      <c r="N6" s="7"/>
      <c r="O6" s="7"/>
      <c r="P6" s="9"/>
      <c r="Q6" s="3"/>
      <c r="R6" s="3"/>
      <c r="S6" s="3"/>
      <c r="T6" s="3"/>
      <c r="U6" s="3"/>
      <c r="V6" s="3"/>
      <c r="W6" s="3"/>
      <c r="X6" s="3"/>
      <c r="Y6" s="3"/>
      <c r="Z6" s="3"/>
      <c r="AA6" s="3"/>
      <c r="AB6" s="3"/>
      <c r="AC6" s="3"/>
      <c r="AD6" s="3"/>
      <c r="AE6" s="3"/>
      <c r="AF6" s="3"/>
      <c r="AG6" s="3"/>
      <c r="AH6" s="3"/>
      <c r="AI6" s="3"/>
      <c r="AJ6" s="3"/>
      <c r="AK6" s="3"/>
      <c r="AL6" s="3"/>
      <c r="AM6" s="3"/>
      <c r="AN6" s="3"/>
      <c r="AO6" s="3"/>
      <c r="AP6" s="3"/>
    </row>
    <row r="7" ht="96.75" customHeight="1">
      <c r="A7" s="11"/>
      <c r="B7" s="15" t="s">
        <v>2</v>
      </c>
      <c r="C7" s="16" t="s">
        <v>3</v>
      </c>
      <c r="D7" s="18" t="s">
        <v>66</v>
      </c>
      <c r="E7" s="18" t="s">
        <v>67</v>
      </c>
      <c r="F7" s="18" t="s">
        <v>68</v>
      </c>
      <c r="G7" s="18" t="s">
        <v>69</v>
      </c>
      <c r="H7" s="18" t="s">
        <v>8</v>
      </c>
      <c r="I7" s="18" t="s">
        <v>9</v>
      </c>
      <c r="J7" s="18" t="s">
        <v>70</v>
      </c>
      <c r="K7" s="18" t="s">
        <v>71</v>
      </c>
      <c r="L7" s="18" t="s">
        <v>72</v>
      </c>
      <c r="M7" s="18" t="s">
        <v>13</v>
      </c>
      <c r="N7" s="18" t="s">
        <v>14</v>
      </c>
      <c r="O7" s="18" t="s">
        <v>73</v>
      </c>
      <c r="P7" s="18" t="s">
        <v>74</v>
      </c>
      <c r="Q7" s="135" t="s">
        <v>18</v>
      </c>
      <c r="S7" s="3"/>
      <c r="T7" s="3"/>
      <c r="U7" s="3"/>
      <c r="V7" s="3"/>
      <c r="W7" s="3"/>
      <c r="X7" s="3"/>
      <c r="Y7" s="3"/>
      <c r="Z7" s="3"/>
      <c r="AA7" s="3"/>
      <c r="AB7" s="3"/>
      <c r="AC7" s="3"/>
      <c r="AD7" s="3"/>
      <c r="AE7" s="3"/>
      <c r="AF7" s="3"/>
      <c r="AG7" s="3"/>
      <c r="AH7" s="3"/>
      <c r="AI7" s="3"/>
      <c r="AJ7" s="3"/>
      <c r="AK7" s="3"/>
      <c r="AL7" s="3"/>
      <c r="AM7" s="3"/>
      <c r="AN7" s="3"/>
      <c r="AO7" s="3"/>
      <c r="AP7" s="3"/>
    </row>
    <row r="8">
      <c r="A8" s="26"/>
      <c r="B8" s="250" t="s">
        <v>20</v>
      </c>
      <c r="C8" s="193">
        <v>0.15</v>
      </c>
      <c r="D8" s="136">
        <v>0.1</v>
      </c>
      <c r="E8" s="136">
        <v>0.05</v>
      </c>
      <c r="F8" s="136">
        <v>0.05</v>
      </c>
      <c r="G8" s="136">
        <v>0.05</v>
      </c>
      <c r="H8" s="136">
        <v>0.05</v>
      </c>
      <c r="I8" s="136">
        <v>0.05</v>
      </c>
      <c r="J8" s="136">
        <v>0.05</v>
      </c>
      <c r="K8" s="136">
        <v>0.05</v>
      </c>
      <c r="L8" s="136">
        <v>0.05</v>
      </c>
      <c r="M8" s="32">
        <v>0.1</v>
      </c>
      <c r="N8" s="136">
        <v>0.05</v>
      </c>
      <c r="O8" s="136">
        <v>0.2</v>
      </c>
      <c r="P8" s="136">
        <v>0.0</v>
      </c>
      <c r="Q8" s="137">
        <f>sum(C8:P8)</f>
        <v>1</v>
      </c>
      <c r="S8" s="3"/>
      <c r="T8" s="3"/>
      <c r="U8" s="3"/>
      <c r="V8" s="3"/>
      <c r="W8" s="3"/>
      <c r="X8" s="3"/>
      <c r="Y8" s="3"/>
      <c r="Z8" s="3"/>
      <c r="AA8" s="3"/>
      <c r="AB8" s="3"/>
      <c r="AC8" s="3"/>
      <c r="AD8" s="3"/>
      <c r="AE8" s="3"/>
      <c r="AF8" s="3"/>
      <c r="AG8" s="3"/>
      <c r="AH8" s="3"/>
      <c r="AI8" s="3"/>
      <c r="AJ8" s="3"/>
      <c r="AK8" s="3"/>
      <c r="AL8" s="3"/>
      <c r="AM8" s="3"/>
      <c r="AN8" s="3"/>
      <c r="AO8" s="3"/>
      <c r="AP8" s="3"/>
    </row>
    <row r="9">
      <c r="A9" s="71"/>
      <c r="B9" s="43" t="s">
        <v>24</v>
      </c>
      <c r="C9" s="300" t="s">
        <v>148</v>
      </c>
      <c r="D9" s="47" t="s">
        <v>149</v>
      </c>
      <c r="E9" s="47" t="s">
        <v>150</v>
      </c>
      <c r="F9" s="47" t="s">
        <v>151</v>
      </c>
      <c r="G9" s="47" t="s">
        <v>271</v>
      </c>
      <c r="H9" s="47" t="s">
        <v>218</v>
      </c>
      <c r="I9" s="47" t="s">
        <v>291</v>
      </c>
      <c r="J9" s="47" t="s">
        <v>155</v>
      </c>
      <c r="K9" s="47" t="s">
        <v>156</v>
      </c>
      <c r="L9" s="47" t="s">
        <v>157</v>
      </c>
      <c r="M9" s="47" t="s">
        <v>36</v>
      </c>
      <c r="N9" s="47" t="s">
        <v>159</v>
      </c>
      <c r="O9" s="47" t="s">
        <v>244</v>
      </c>
      <c r="P9" s="47"/>
      <c r="Q9" s="147"/>
      <c r="S9" s="52"/>
      <c r="T9" s="52"/>
      <c r="U9" s="52"/>
      <c r="V9" s="52"/>
      <c r="W9" s="52"/>
      <c r="X9" s="52"/>
      <c r="Y9" s="52"/>
      <c r="Z9" s="52"/>
      <c r="AA9" s="52"/>
      <c r="AB9" s="52"/>
      <c r="AC9" s="52"/>
      <c r="AD9" s="52"/>
      <c r="AE9" s="52"/>
      <c r="AF9" s="52"/>
      <c r="AG9" s="52"/>
      <c r="AH9" s="52"/>
      <c r="AI9" s="52"/>
      <c r="AJ9" s="52"/>
      <c r="AK9" s="52"/>
      <c r="AL9" s="52"/>
      <c r="AM9" s="52"/>
      <c r="AN9" s="52"/>
      <c r="AO9" s="52"/>
      <c r="AP9" s="52"/>
    </row>
    <row r="10">
      <c r="B10" s="260" t="s">
        <v>22</v>
      </c>
      <c r="C10" s="304" t="s">
        <v>23</v>
      </c>
      <c r="D10" s="74" t="s">
        <v>166</v>
      </c>
      <c r="E10" s="74"/>
      <c r="F10" s="74" t="s">
        <v>166</v>
      </c>
      <c r="G10" s="74" t="s">
        <v>166</v>
      </c>
      <c r="H10" s="74" t="s">
        <v>166</v>
      </c>
      <c r="I10" s="74" t="s">
        <v>166</v>
      </c>
      <c r="J10" s="74" t="s">
        <v>167</v>
      </c>
      <c r="K10" s="78" t="s">
        <v>166</v>
      </c>
      <c r="L10" s="74" t="s">
        <v>166</v>
      </c>
      <c r="M10" s="74" t="s">
        <v>166</v>
      </c>
      <c r="N10" s="74" t="s">
        <v>168</v>
      </c>
      <c r="O10" s="74" t="s">
        <v>166</v>
      </c>
      <c r="P10" s="306" t="s">
        <v>166</v>
      </c>
      <c r="Q10" s="274"/>
      <c r="S10" s="69"/>
      <c r="T10" s="69"/>
      <c r="U10" s="69"/>
      <c r="V10" s="69"/>
      <c r="W10" s="69"/>
      <c r="X10" s="69"/>
      <c r="Y10" s="69"/>
      <c r="Z10" s="69"/>
      <c r="AA10" s="69"/>
      <c r="AB10" s="69"/>
      <c r="AC10" s="69"/>
      <c r="AD10" s="69"/>
      <c r="AE10" s="69"/>
      <c r="AF10" s="69"/>
      <c r="AG10" s="69"/>
      <c r="AH10" s="69"/>
      <c r="AI10" s="69"/>
      <c r="AJ10" s="69"/>
      <c r="AK10" s="69"/>
      <c r="AL10" s="69"/>
      <c r="AM10" s="69"/>
      <c r="AN10" s="69"/>
      <c r="AO10" s="69"/>
      <c r="AP10" s="69"/>
    </row>
    <row r="11">
      <c r="A11" s="26" t="s">
        <v>28</v>
      </c>
      <c r="B11" s="260" t="s">
        <v>30</v>
      </c>
      <c r="C11" s="452">
        <v>125.672</v>
      </c>
      <c r="D11" s="453">
        <v>0.98</v>
      </c>
      <c r="E11" s="454">
        <v>1.0</v>
      </c>
      <c r="F11" s="455">
        <v>0.98</v>
      </c>
      <c r="G11" s="455">
        <v>0.99</v>
      </c>
      <c r="H11" s="455">
        <v>0.02</v>
      </c>
      <c r="I11" s="456">
        <v>7.5E-4</v>
      </c>
      <c r="J11" s="457" t="s">
        <v>84</v>
      </c>
      <c r="K11" s="454" t="s">
        <v>292</v>
      </c>
      <c r="L11" s="458" t="s">
        <v>283</v>
      </c>
      <c r="M11" s="459">
        <v>0.99</v>
      </c>
      <c r="N11" s="458">
        <v>3.0</v>
      </c>
      <c r="O11" s="460">
        <v>1.0</v>
      </c>
      <c r="P11" s="461"/>
      <c r="Q11" s="274"/>
      <c r="S11" s="69"/>
      <c r="T11" s="69"/>
      <c r="U11" s="69"/>
      <c r="V11" s="69"/>
      <c r="W11" s="69"/>
      <c r="X11" s="69"/>
      <c r="Y11" s="69"/>
      <c r="Z11" s="69"/>
      <c r="AA11" s="69"/>
      <c r="AB11" s="69"/>
      <c r="AC11" s="69"/>
      <c r="AD11" s="69"/>
      <c r="AE11" s="69"/>
      <c r="AF11" s="69"/>
      <c r="AG11" s="69"/>
      <c r="AH11" s="69"/>
      <c r="AI11" s="69"/>
      <c r="AJ11" s="69"/>
      <c r="AK11" s="69"/>
      <c r="AL11" s="69"/>
      <c r="AM11" s="69"/>
      <c r="AN11" s="69"/>
      <c r="AO11" s="69"/>
      <c r="AP11" s="69"/>
    </row>
    <row r="12">
      <c r="A12" s="54">
        <v>1.0</v>
      </c>
      <c r="B12" s="310" t="s">
        <v>42</v>
      </c>
      <c r="C12" s="392">
        <f>'1. Tổng doanh thu'!J12</f>
        <v>26304</v>
      </c>
      <c r="D12" s="84">
        <f>'2. SD Điện tiết kiệm'!M13</f>
        <v>0.8867</v>
      </c>
      <c r="E12" s="323">
        <v>1.0</v>
      </c>
      <c r="F12" s="462">
        <v>0.9971</v>
      </c>
      <c r="G12" s="322">
        <v>1.0</v>
      </c>
      <c r="H12" s="86">
        <v>0.0</v>
      </c>
      <c r="I12" s="86">
        <f>'7.  TLTB BRCĐMyTVTSLC'!H12</f>
        <v>0.00045</v>
      </c>
      <c r="J12" s="84">
        <f>'8. SLTB hủy'!I52</f>
        <v>1.2517</v>
      </c>
      <c r="K12" s="325">
        <f>'9. TLTB BRCĐ bị gián đoạn DV'!E12</f>
        <v>0</v>
      </c>
      <c r="L12" s="463">
        <f>'10. TL XLSC VT-CNTT đúng hạn'!E13</f>
        <v>1</v>
      </c>
      <c r="M12" s="462">
        <f>'11. CLHT VT-CNTT (QoSQoE)'!J27/100</f>
        <v>0.98796292</v>
      </c>
      <c r="N12" s="464">
        <f>'12. TG MLL TBDĐ'!Q13</f>
        <v>2.47</v>
      </c>
      <c r="O12" s="84">
        <v>1.0</v>
      </c>
      <c r="P12" s="465">
        <v>1.0</v>
      </c>
      <c r="Q12" s="274"/>
      <c r="S12" s="3"/>
      <c r="T12" s="3"/>
      <c r="U12" s="3"/>
      <c r="V12" s="3"/>
      <c r="W12" s="3"/>
      <c r="X12" s="3"/>
      <c r="Y12" s="3"/>
      <c r="Z12" s="3"/>
      <c r="AA12" s="3"/>
      <c r="AB12" s="3"/>
      <c r="AC12" s="3"/>
      <c r="AD12" s="3"/>
      <c r="AE12" s="3"/>
      <c r="AF12" s="3"/>
      <c r="AG12" s="3"/>
      <c r="AH12" s="3"/>
      <c r="AI12" s="3"/>
      <c r="AJ12" s="3"/>
      <c r="AK12" s="3"/>
      <c r="AL12" s="3"/>
      <c r="AM12" s="3"/>
      <c r="AN12" s="3"/>
      <c r="AO12" s="3"/>
      <c r="AP12" s="3"/>
    </row>
    <row r="13">
      <c r="A13" s="54">
        <v>2.0</v>
      </c>
      <c r="B13" s="310" t="s">
        <v>44</v>
      </c>
      <c r="C13" s="392">
        <f>'1. Tổng doanh thu'!J14</f>
        <v>14476</v>
      </c>
      <c r="D13" s="84">
        <f>'2. SD Điện tiết kiệm'!M14</f>
        <v>0.9277</v>
      </c>
      <c r="E13" s="323">
        <v>1.0</v>
      </c>
      <c r="F13" s="324">
        <v>0.9965</v>
      </c>
      <c r="G13" s="322">
        <v>1.0</v>
      </c>
      <c r="H13" s="86">
        <v>0.0</v>
      </c>
      <c r="I13" s="86">
        <f>'7.  TLTB BRCĐMyTVTSLC'!H14</f>
        <v>0.00242</v>
      </c>
      <c r="J13" s="84">
        <f>'8. SLTB hủy'!I54</f>
        <v>2.7</v>
      </c>
      <c r="K13" s="325">
        <f>'9. TLTB BRCĐ bị gián đoạn DV'!E14</f>
        <v>0</v>
      </c>
      <c r="L13" s="324">
        <f>'10. TL XLSC VT-CNTT đúng hạn'!E15</f>
        <v>0.93</v>
      </c>
      <c r="M13" s="84">
        <f>'11. CLHT VT-CNTT (QoSQoE)'!J29/100</f>
        <v>0.98637684</v>
      </c>
      <c r="N13" s="326">
        <f>'12. TG MLL TBDĐ'!Q15</f>
        <v>6.16</v>
      </c>
      <c r="O13" s="84">
        <v>1.0</v>
      </c>
      <c r="P13" s="465">
        <v>1.0</v>
      </c>
      <c r="Q13" s="274"/>
      <c r="S13" s="3"/>
      <c r="T13" s="3"/>
      <c r="U13" s="3"/>
      <c r="V13" s="3"/>
      <c r="W13" s="3"/>
      <c r="X13" s="3"/>
      <c r="Y13" s="3"/>
      <c r="Z13" s="3"/>
      <c r="AA13" s="3"/>
      <c r="AB13" s="3"/>
      <c r="AC13" s="3"/>
      <c r="AD13" s="3"/>
      <c r="AE13" s="3"/>
      <c r="AF13" s="3"/>
      <c r="AG13" s="3"/>
      <c r="AH13" s="3"/>
      <c r="AI13" s="3"/>
      <c r="AJ13" s="3"/>
      <c r="AK13" s="3"/>
      <c r="AL13" s="3"/>
      <c r="AM13" s="3"/>
      <c r="AN13" s="3"/>
      <c r="AO13" s="3"/>
      <c r="AP13" s="3"/>
    </row>
    <row r="14">
      <c r="A14" s="54">
        <v>3.0</v>
      </c>
      <c r="B14" s="310" t="s">
        <v>45</v>
      </c>
      <c r="C14" s="392">
        <f>'1. Tổng doanh thu'!J15</f>
        <v>15345</v>
      </c>
      <c r="D14" s="84">
        <f>'2. SD Điện tiết kiệm'!M15</f>
        <v>0.7139</v>
      </c>
      <c r="E14" s="323">
        <v>1.0</v>
      </c>
      <c r="F14" s="324">
        <v>0.9966</v>
      </c>
      <c r="G14" s="322">
        <v>1.0</v>
      </c>
      <c r="H14" s="86">
        <v>0.0</v>
      </c>
      <c r="I14" s="84">
        <f>'7.  TLTB BRCĐMyTVTSLC'!H15</f>
        <v>0.00055</v>
      </c>
      <c r="J14" s="84">
        <f>'8. SLTB hủy'!I55</f>
        <v>1.8715</v>
      </c>
      <c r="K14" s="325">
        <f>'9. TLTB BRCĐ bị gián đoạn DV'!E15</f>
        <v>0.0063</v>
      </c>
      <c r="L14" s="324">
        <f>'10. TL XLSC VT-CNTT đúng hạn'!E16</f>
        <v>1</v>
      </c>
      <c r="M14" s="84">
        <f>'11. CLHT VT-CNTT (QoSQoE)'!J30/100</f>
        <v>0.98578056</v>
      </c>
      <c r="N14" s="326">
        <f>'12. TG MLL TBDĐ'!Q16</f>
        <v>4.87</v>
      </c>
      <c r="O14" s="84">
        <v>1.0</v>
      </c>
      <c r="P14" s="465">
        <v>1.0</v>
      </c>
      <c r="Q14" s="274"/>
      <c r="S14" s="3"/>
      <c r="T14" s="3"/>
      <c r="U14" s="3"/>
      <c r="V14" s="3"/>
      <c r="W14" s="3"/>
      <c r="X14" s="3"/>
      <c r="Y14" s="3"/>
      <c r="Z14" s="3"/>
      <c r="AA14" s="3"/>
      <c r="AB14" s="3"/>
      <c r="AC14" s="3"/>
      <c r="AD14" s="3"/>
      <c r="AE14" s="3"/>
      <c r="AF14" s="3"/>
      <c r="AG14" s="3"/>
      <c r="AH14" s="3"/>
      <c r="AI14" s="3"/>
      <c r="AJ14" s="3"/>
      <c r="AK14" s="3"/>
      <c r="AL14" s="3"/>
      <c r="AM14" s="3"/>
      <c r="AN14" s="3"/>
      <c r="AO14" s="3"/>
      <c r="AP14" s="3"/>
    </row>
    <row r="15">
      <c r="A15" s="54">
        <v>4.0</v>
      </c>
      <c r="B15" s="310" t="s">
        <v>47</v>
      </c>
      <c r="C15" s="392">
        <f>'1. Tổng doanh thu'!J16</f>
        <v>25779</v>
      </c>
      <c r="D15" s="84">
        <f>'2. SD Điện tiết kiệm'!M16</f>
        <v>0.737</v>
      </c>
      <c r="E15" s="323">
        <v>1.0</v>
      </c>
      <c r="F15" s="324">
        <v>0.9976</v>
      </c>
      <c r="G15" s="322">
        <v>1.0</v>
      </c>
      <c r="H15" s="86">
        <v>0.0</v>
      </c>
      <c r="I15" s="86">
        <f>'7.  TLTB BRCĐMyTVTSLC'!H16</f>
        <v>0.00038</v>
      </c>
      <c r="J15" s="84">
        <f>'8. SLTB hủy'!I56</f>
        <v>1.3907</v>
      </c>
      <c r="K15" s="325">
        <f>'9. TLTB BRCĐ bị gián đoạn DV'!E16</f>
        <v>0</v>
      </c>
      <c r="L15" s="324">
        <f>'10. TL XLSC VT-CNTT đúng hạn'!E17</f>
        <v>0.84</v>
      </c>
      <c r="M15" s="84">
        <f>'11. CLHT VT-CNTT (QoSQoE)'!J31/100</f>
        <v>0.98754368</v>
      </c>
      <c r="N15" s="326">
        <f>'12. TG MLL TBDĐ'!Q17</f>
        <v>10.53</v>
      </c>
      <c r="O15" s="84">
        <v>1.0</v>
      </c>
      <c r="P15" s="465">
        <v>1.0</v>
      </c>
      <c r="Q15" s="274"/>
      <c r="S15" s="3"/>
      <c r="T15" s="3"/>
      <c r="U15" s="3"/>
      <c r="V15" s="3"/>
      <c r="W15" s="3"/>
      <c r="X15" s="3"/>
      <c r="Y15" s="3"/>
      <c r="Z15" s="3"/>
      <c r="AA15" s="3"/>
      <c r="AB15" s="3"/>
      <c r="AC15" s="3"/>
      <c r="AD15" s="3"/>
      <c r="AE15" s="3"/>
      <c r="AF15" s="3"/>
      <c r="AG15" s="3"/>
      <c r="AH15" s="3"/>
      <c r="AI15" s="3"/>
      <c r="AJ15" s="3"/>
      <c r="AK15" s="3"/>
      <c r="AL15" s="3"/>
      <c r="AM15" s="3"/>
      <c r="AN15" s="3"/>
      <c r="AO15" s="3"/>
      <c r="AP15" s="3"/>
    </row>
    <row r="16">
      <c r="A16" s="54">
        <v>5.0</v>
      </c>
      <c r="B16" s="310" t="s">
        <v>48</v>
      </c>
      <c r="C16" s="392">
        <f>'1. Tổng doanh thu'!J17</f>
        <v>10352</v>
      </c>
      <c r="D16" s="84">
        <f>'2. SD Điện tiết kiệm'!M17</f>
        <v>0.8647</v>
      </c>
      <c r="E16" s="323">
        <v>1.0</v>
      </c>
      <c r="F16" s="324">
        <v>0.9833</v>
      </c>
      <c r="G16" s="322">
        <v>1.0</v>
      </c>
      <c r="H16" s="86">
        <v>0.0</v>
      </c>
      <c r="I16" s="86">
        <f>'7.  TLTB BRCĐMyTVTSLC'!H17</f>
        <v>0.00244</v>
      </c>
      <c r="J16" s="84">
        <f>'8. SLTB hủy'!I57</f>
        <v>3.397</v>
      </c>
      <c r="K16" s="325">
        <f>'9. TLTB BRCĐ bị gián đoạn DV'!E17</f>
        <v>0</v>
      </c>
      <c r="L16" s="324">
        <f>'10. TL XLSC VT-CNTT đúng hạn'!E18</f>
        <v>0.86</v>
      </c>
      <c r="M16" s="84">
        <f>'11. CLHT VT-CNTT (QoSQoE)'!J32/100</f>
        <v>0.98717338</v>
      </c>
      <c r="N16" s="326">
        <f>'12. TG MLL TBDĐ'!Q18</f>
        <v>3.87</v>
      </c>
      <c r="O16" s="84">
        <v>1.0</v>
      </c>
      <c r="P16" s="465">
        <v>1.0</v>
      </c>
      <c r="Q16" s="150"/>
      <c r="S16" s="3"/>
      <c r="T16" s="3"/>
      <c r="U16" s="3"/>
      <c r="V16" s="3"/>
      <c r="W16" s="3"/>
      <c r="X16" s="3"/>
      <c r="Y16" s="3"/>
      <c r="Z16" s="3"/>
      <c r="AA16" s="3"/>
      <c r="AB16" s="3"/>
      <c r="AC16" s="3"/>
      <c r="AD16" s="3"/>
      <c r="AE16" s="3"/>
      <c r="AF16" s="3"/>
      <c r="AG16" s="3"/>
      <c r="AH16" s="3"/>
      <c r="AI16" s="3"/>
      <c r="AJ16" s="3"/>
      <c r="AK16" s="3"/>
      <c r="AL16" s="3"/>
      <c r="AM16" s="3"/>
      <c r="AN16" s="3"/>
      <c r="AO16" s="3"/>
      <c r="AP16" s="3"/>
    </row>
    <row r="17">
      <c r="A17" s="54">
        <v>6.0</v>
      </c>
      <c r="B17" s="310" t="s">
        <v>49</v>
      </c>
      <c r="C17" s="392">
        <f>'1. Tổng doanh thu'!J18</f>
        <v>17123</v>
      </c>
      <c r="D17" s="84">
        <f>'2. SD Điện tiết kiệm'!M18</f>
        <v>0.6456</v>
      </c>
      <c r="E17" s="323">
        <v>1.0</v>
      </c>
      <c r="F17" s="324">
        <v>1.0</v>
      </c>
      <c r="G17" s="322">
        <v>1.0</v>
      </c>
      <c r="H17" s="86">
        <v>0.0</v>
      </c>
      <c r="I17" s="84">
        <f>'7.  TLTB BRCĐMyTVTSLC'!H18</f>
        <v>0.00114</v>
      </c>
      <c r="J17" s="84">
        <f>'8. SLTB hủy'!I58</f>
        <v>2.2816</v>
      </c>
      <c r="K17" s="325">
        <f>'9. TLTB BRCĐ bị gián đoạn DV'!E18</f>
        <v>0.0062</v>
      </c>
      <c r="L17" s="324">
        <f>'10. TL XLSC VT-CNTT đúng hạn'!E19</f>
        <v>0.82</v>
      </c>
      <c r="M17" s="84">
        <f>'11. CLHT VT-CNTT (QoSQoE)'!J33/100</f>
        <v>0.98826684</v>
      </c>
      <c r="N17" s="326">
        <f>'12. TG MLL TBDĐ'!Q19</f>
        <v>7.54</v>
      </c>
      <c r="O17" s="84">
        <v>1.0</v>
      </c>
      <c r="P17" s="465">
        <v>1.0</v>
      </c>
      <c r="Q17" s="331"/>
      <c r="S17" s="3"/>
      <c r="T17" s="3"/>
      <c r="U17" s="3"/>
      <c r="V17" s="3"/>
      <c r="W17" s="3"/>
      <c r="X17" s="3"/>
      <c r="Y17" s="3"/>
      <c r="Z17" s="3"/>
      <c r="AA17" s="3"/>
      <c r="AB17" s="3"/>
      <c r="AC17" s="3"/>
      <c r="AD17" s="3"/>
      <c r="AE17" s="3"/>
      <c r="AF17" s="3"/>
      <c r="AG17" s="3"/>
      <c r="AH17" s="3"/>
      <c r="AI17" s="3"/>
      <c r="AJ17" s="3"/>
      <c r="AK17" s="3"/>
      <c r="AL17" s="3"/>
      <c r="AM17" s="3"/>
      <c r="AN17" s="3"/>
      <c r="AO17" s="3"/>
      <c r="AP17" s="3"/>
    </row>
    <row r="18">
      <c r="A18" s="54">
        <v>7.0</v>
      </c>
      <c r="B18" s="332" t="s">
        <v>43</v>
      </c>
      <c r="C18" s="426">
        <f>'1. Tổng doanh thu'!J13</f>
        <v>18391</v>
      </c>
      <c r="D18" s="84">
        <f>'2. SD Điện tiết kiệm'!M19</f>
        <v>0.7728</v>
      </c>
      <c r="E18" s="323">
        <v>1.0</v>
      </c>
      <c r="F18" s="324">
        <v>0.9895</v>
      </c>
      <c r="G18" s="322">
        <v>1.0</v>
      </c>
      <c r="H18" s="86">
        <v>0.0</v>
      </c>
      <c r="I18" s="86">
        <f>'7.  TLTB BRCĐMyTVTSLC'!H13</f>
        <v>0.00079</v>
      </c>
      <c r="J18" s="84">
        <f>'8. SLTB hủy'!I53</f>
        <v>1.6093</v>
      </c>
      <c r="K18" s="325">
        <f>'9. TLTB BRCĐ bị gián đoạn DV'!E13</f>
        <v>0.0509</v>
      </c>
      <c r="L18" s="324">
        <f>'10. TL XLSC VT-CNTT đúng hạn'!E14</f>
        <v>0.92</v>
      </c>
      <c r="M18" s="84">
        <f>'11. CLHT VT-CNTT (QoSQoE)'!J28/100</f>
        <v>0.98575914</v>
      </c>
      <c r="N18" s="326">
        <f>'12. TG MLL TBDĐ'!Q14</f>
        <v>2.33</v>
      </c>
      <c r="O18" s="110">
        <v>1.0</v>
      </c>
      <c r="P18" s="465">
        <v>1.0</v>
      </c>
      <c r="Q18" s="334"/>
      <c r="S18" s="3"/>
      <c r="T18" s="3"/>
      <c r="U18" s="3"/>
      <c r="V18" s="3"/>
      <c r="W18" s="3"/>
      <c r="X18" s="3"/>
      <c r="Y18" s="3"/>
      <c r="Z18" s="3"/>
      <c r="AA18" s="3"/>
      <c r="AB18" s="3"/>
      <c r="AC18" s="3"/>
      <c r="AD18" s="3"/>
      <c r="AE18" s="3"/>
      <c r="AF18" s="3"/>
      <c r="AG18" s="3"/>
      <c r="AH18" s="3"/>
      <c r="AI18" s="3"/>
      <c r="AJ18" s="3"/>
      <c r="AK18" s="3"/>
      <c r="AL18" s="3"/>
      <c r="AM18" s="3"/>
      <c r="AN18" s="3"/>
      <c r="AO18" s="3"/>
      <c r="AP18" s="3"/>
    </row>
    <row r="19">
      <c r="A19" s="89"/>
      <c r="B19" s="209" t="s">
        <v>50</v>
      </c>
      <c r="C19" s="337">
        <f>'1. Tổng doanh thu'!J19</f>
        <v>127770</v>
      </c>
      <c r="D19" s="338">
        <f>'2. SD Điện tiết kiệm'!M20</f>
        <v>0.783</v>
      </c>
      <c r="E19" s="339">
        <v>1.0</v>
      </c>
      <c r="F19" s="349">
        <v>0.9944</v>
      </c>
      <c r="G19" s="342">
        <v>1.0</v>
      </c>
      <c r="H19" s="344">
        <v>0.0</v>
      </c>
      <c r="I19" s="489">
        <f>'7.  TLTB BRCĐMyTVTSLC'!H19</f>
        <v>0.00105</v>
      </c>
      <c r="J19" s="490">
        <f>'8. SLTB hủy'!I51</f>
        <v>1.8896</v>
      </c>
      <c r="K19" s="348">
        <f>'9. TLTB BRCĐ bị gián đoạn DV'!E19</f>
        <v>0.0082</v>
      </c>
      <c r="L19" s="349">
        <f>'10. TL XLSC VT-CNTT đúng hạn'!E12</f>
        <v>0.91</v>
      </c>
      <c r="M19" s="349">
        <f>'11. CLHT VT-CNTT (QoSQoE)'!J34/100</f>
        <v>0.98861116</v>
      </c>
      <c r="N19" s="209">
        <f>'12. TG MLL TBDĐ'!Q12</f>
        <v>5.34</v>
      </c>
      <c r="O19" s="492">
        <v>1.0</v>
      </c>
      <c r="P19" s="493">
        <v>1.0</v>
      </c>
      <c r="Q19" s="354"/>
      <c r="R19" s="356"/>
      <c r="S19" s="356"/>
      <c r="T19" s="356"/>
      <c r="U19" s="356"/>
      <c r="V19" s="356"/>
      <c r="W19" s="356"/>
      <c r="X19" s="356"/>
      <c r="Y19" s="356"/>
      <c r="Z19" s="356"/>
      <c r="AA19" s="356"/>
      <c r="AB19" s="356"/>
      <c r="AC19" s="356"/>
      <c r="AD19" s="356"/>
      <c r="AE19" s="356"/>
      <c r="AF19" s="356"/>
      <c r="AG19" s="356"/>
      <c r="AH19" s="356"/>
      <c r="AI19" s="356"/>
      <c r="AJ19" s="356"/>
      <c r="AK19" s="356"/>
      <c r="AL19" s="356"/>
      <c r="AM19" s="356"/>
      <c r="AN19" s="356"/>
      <c r="AO19" s="356"/>
      <c r="AP19" s="356"/>
    </row>
    <row r="20">
      <c r="C20" s="494">
        <v>128552.0</v>
      </c>
      <c r="F20" s="205" t="s">
        <v>181</v>
      </c>
    </row>
    <row r="21">
      <c r="A21" s="205">
        <v>8.0</v>
      </c>
      <c r="B21" s="205" t="s">
        <v>296</v>
      </c>
      <c r="C21" s="495">
        <f>'1. Tổng doanh thu'!D20</f>
        <v>3662</v>
      </c>
      <c r="D21" s="275">
        <f t="shared" ref="D21:P21" si="1">D19</f>
        <v>0.783</v>
      </c>
      <c r="E21" s="496">
        <f t="shared" si="1"/>
        <v>1</v>
      </c>
      <c r="F21" s="275">
        <f t="shared" si="1"/>
        <v>0.9944</v>
      </c>
      <c r="G21" s="275">
        <f t="shared" si="1"/>
        <v>1</v>
      </c>
      <c r="H21" s="498">
        <f t="shared" si="1"/>
        <v>0</v>
      </c>
      <c r="I21" s="498">
        <f t="shared" si="1"/>
        <v>0.00105</v>
      </c>
      <c r="J21" s="275">
        <f t="shared" si="1"/>
        <v>1.8896</v>
      </c>
      <c r="K21" s="275">
        <f t="shared" si="1"/>
        <v>0.0082</v>
      </c>
      <c r="L21" s="275">
        <f t="shared" si="1"/>
        <v>0.91</v>
      </c>
      <c r="M21" s="275">
        <f t="shared" si="1"/>
        <v>0.98861116</v>
      </c>
      <c r="N21" s="496">
        <f t="shared" si="1"/>
        <v>5.34</v>
      </c>
      <c r="O21" s="275">
        <f t="shared" si="1"/>
        <v>1</v>
      </c>
      <c r="P21" s="275">
        <f t="shared" si="1"/>
        <v>1</v>
      </c>
    </row>
    <row r="22">
      <c r="A22" s="205">
        <v>9.0</v>
      </c>
      <c r="B22" s="205" t="s">
        <v>81</v>
      </c>
      <c r="C22" s="495">
        <f>'1. Tổng doanh thu'!D21</f>
        <v>3662</v>
      </c>
      <c r="D22" s="275">
        <f t="shared" ref="D22:P22" si="2">D19</f>
        <v>0.783</v>
      </c>
      <c r="E22" s="496">
        <f t="shared" si="2"/>
        <v>1</v>
      </c>
      <c r="F22" s="275">
        <f t="shared" si="2"/>
        <v>0.9944</v>
      </c>
      <c r="G22" s="275">
        <f t="shared" si="2"/>
        <v>1</v>
      </c>
      <c r="H22" s="498">
        <f t="shared" si="2"/>
        <v>0</v>
      </c>
      <c r="I22" s="498">
        <f t="shared" si="2"/>
        <v>0.00105</v>
      </c>
      <c r="J22" s="275">
        <f t="shared" si="2"/>
        <v>1.8896</v>
      </c>
      <c r="K22" s="275">
        <f t="shared" si="2"/>
        <v>0.0082</v>
      </c>
      <c r="L22" s="275">
        <f t="shared" si="2"/>
        <v>0.91</v>
      </c>
      <c r="M22" s="275">
        <f t="shared" si="2"/>
        <v>0.98861116</v>
      </c>
      <c r="N22" s="496">
        <f t="shared" si="2"/>
        <v>5.34</v>
      </c>
      <c r="O22" s="275">
        <f t="shared" si="2"/>
        <v>1</v>
      </c>
      <c r="P22" s="275">
        <f t="shared" si="2"/>
        <v>1</v>
      </c>
    </row>
    <row r="26">
      <c r="A26" s="1"/>
      <c r="B26" s="6"/>
      <c r="C26" s="8" t="s">
        <v>297</v>
      </c>
      <c r="D26" s="7"/>
      <c r="E26" s="7"/>
      <c r="F26" s="7"/>
      <c r="G26" s="7"/>
      <c r="H26" s="7"/>
      <c r="I26" s="7"/>
      <c r="J26" s="7"/>
      <c r="K26" s="7"/>
      <c r="L26" s="7"/>
      <c r="M26" s="7"/>
      <c r="N26" s="7"/>
      <c r="O26" s="7"/>
      <c r="P26" s="9"/>
      <c r="Q26" s="3"/>
    </row>
    <row r="27">
      <c r="A27" s="11"/>
      <c r="B27" s="15" t="s">
        <v>2</v>
      </c>
      <c r="C27" s="16" t="s">
        <v>3</v>
      </c>
      <c r="D27" s="18" t="s">
        <v>66</v>
      </c>
      <c r="E27" s="18" t="s">
        <v>67</v>
      </c>
      <c r="F27" s="18" t="s">
        <v>68</v>
      </c>
      <c r="G27" s="18" t="s">
        <v>69</v>
      </c>
      <c r="H27" s="18" t="s">
        <v>8</v>
      </c>
      <c r="I27" s="18" t="s">
        <v>9</v>
      </c>
      <c r="J27" s="18" t="s">
        <v>70</v>
      </c>
      <c r="K27" s="18" t="s">
        <v>71</v>
      </c>
      <c r="L27" s="18" t="s">
        <v>72</v>
      </c>
      <c r="M27" s="18" t="s">
        <v>13</v>
      </c>
      <c r="N27" s="18" t="s">
        <v>14</v>
      </c>
      <c r="O27" s="18" t="s">
        <v>73</v>
      </c>
      <c r="P27" s="18" t="s">
        <v>74</v>
      </c>
      <c r="Q27" s="135" t="s">
        <v>18</v>
      </c>
    </row>
    <row r="28">
      <c r="A28" s="26"/>
      <c r="B28" s="500" t="s">
        <v>20</v>
      </c>
      <c r="C28" s="193">
        <v>0.15</v>
      </c>
      <c r="D28" s="136">
        <v>0.1</v>
      </c>
      <c r="E28" s="136">
        <v>0.05</v>
      </c>
      <c r="F28" s="136">
        <v>0.05</v>
      </c>
      <c r="G28" s="136">
        <v>0.05</v>
      </c>
      <c r="H28" s="136">
        <v>0.05</v>
      </c>
      <c r="I28" s="136">
        <v>0.05</v>
      </c>
      <c r="J28" s="136">
        <v>0.05</v>
      </c>
      <c r="K28" s="136">
        <v>0.05</v>
      </c>
      <c r="L28" s="136">
        <v>0.05</v>
      </c>
      <c r="M28" s="32">
        <v>0.1</v>
      </c>
      <c r="N28" s="136">
        <v>0.05</v>
      </c>
      <c r="O28" s="136">
        <v>0.2</v>
      </c>
      <c r="P28" s="136">
        <v>0.0</v>
      </c>
      <c r="Q28" s="229">
        <f>sum(C28:P28)</f>
        <v>1</v>
      </c>
    </row>
    <row r="29">
      <c r="A29" s="71"/>
      <c r="B29" s="43" t="s">
        <v>24</v>
      </c>
      <c r="C29" s="300" t="s">
        <v>148</v>
      </c>
      <c r="D29" s="47" t="s">
        <v>149</v>
      </c>
      <c r="E29" s="47" t="s">
        <v>150</v>
      </c>
      <c r="F29" s="47" t="s">
        <v>151</v>
      </c>
      <c r="G29" s="47" t="s">
        <v>271</v>
      </c>
      <c r="H29" s="47" t="s">
        <v>218</v>
      </c>
      <c r="I29" s="47" t="s">
        <v>291</v>
      </c>
      <c r="J29" s="47" t="s">
        <v>155</v>
      </c>
      <c r="K29" s="47" t="s">
        <v>156</v>
      </c>
      <c r="L29" s="47" t="s">
        <v>157</v>
      </c>
      <c r="M29" s="47" t="s">
        <v>36</v>
      </c>
      <c r="N29" s="47" t="s">
        <v>159</v>
      </c>
      <c r="O29" s="47" t="s">
        <v>244</v>
      </c>
      <c r="P29" s="47"/>
      <c r="Q29" s="147"/>
    </row>
    <row r="30">
      <c r="A30" s="26"/>
      <c r="B30" s="260" t="s">
        <v>22</v>
      </c>
      <c r="C30" s="304" t="s">
        <v>23</v>
      </c>
      <c r="D30" s="74" t="s">
        <v>166</v>
      </c>
      <c r="E30" s="74"/>
      <c r="F30" s="74" t="s">
        <v>166</v>
      </c>
      <c r="G30" s="74" t="s">
        <v>166</v>
      </c>
      <c r="H30" s="74" t="s">
        <v>166</v>
      </c>
      <c r="I30" s="74" t="s">
        <v>166</v>
      </c>
      <c r="J30" s="74" t="s">
        <v>167</v>
      </c>
      <c r="K30" s="78" t="s">
        <v>166</v>
      </c>
      <c r="L30" s="74" t="s">
        <v>166</v>
      </c>
      <c r="M30" s="74" t="s">
        <v>166</v>
      </c>
      <c r="N30" s="74" t="s">
        <v>168</v>
      </c>
      <c r="O30" s="74" t="s">
        <v>166</v>
      </c>
      <c r="P30" s="306" t="s">
        <v>166</v>
      </c>
      <c r="Q30" s="274"/>
    </row>
    <row r="31">
      <c r="A31" s="26" t="s">
        <v>28</v>
      </c>
      <c r="B31" s="260" t="s">
        <v>30</v>
      </c>
      <c r="C31" s="452">
        <v>125.672</v>
      </c>
      <c r="D31" s="453">
        <v>0.98</v>
      </c>
      <c r="E31" s="454">
        <v>1.0</v>
      </c>
      <c r="F31" s="455">
        <v>0.98</v>
      </c>
      <c r="G31" s="455">
        <v>0.99</v>
      </c>
      <c r="H31" s="455">
        <v>0.02</v>
      </c>
      <c r="I31" s="456">
        <v>7.5E-4</v>
      </c>
      <c r="J31" s="457" t="s">
        <v>84</v>
      </c>
      <c r="K31" s="453">
        <v>0.005</v>
      </c>
      <c r="L31" s="507">
        <v>0.98</v>
      </c>
      <c r="M31" s="459">
        <v>0.99</v>
      </c>
      <c r="N31" s="458">
        <v>3.0</v>
      </c>
      <c r="O31" s="460">
        <v>1.0</v>
      </c>
      <c r="P31" s="461">
        <v>1.0</v>
      </c>
      <c r="Q31" s="274"/>
    </row>
    <row r="32">
      <c r="A32" s="54">
        <v>1.0</v>
      </c>
      <c r="B32" s="310" t="s">
        <v>42</v>
      </c>
      <c r="C32" s="82">
        <f>'1. Tổng doanh thu'!K12</f>
        <v>1.010914681</v>
      </c>
      <c r="D32" s="84">
        <f t="shared" ref="D32:D39" si="4">D12</f>
        <v>0.8867</v>
      </c>
      <c r="E32" s="87">
        <v>1.0</v>
      </c>
      <c r="F32" s="462">
        <f t="shared" ref="F32:N32" si="3">F12</f>
        <v>0.9971</v>
      </c>
      <c r="G32" s="322">
        <f t="shared" si="3"/>
        <v>1</v>
      </c>
      <c r="H32" s="86">
        <f t="shared" si="3"/>
        <v>0</v>
      </c>
      <c r="I32" s="508">
        <f t="shared" si="3"/>
        <v>0.00045</v>
      </c>
      <c r="J32" s="509">
        <f t="shared" si="3"/>
        <v>1.2517</v>
      </c>
      <c r="K32" s="325">
        <f t="shared" si="3"/>
        <v>0</v>
      </c>
      <c r="L32" s="462">
        <f t="shared" si="3"/>
        <v>1</v>
      </c>
      <c r="M32" s="462">
        <f t="shared" si="3"/>
        <v>0.98796292</v>
      </c>
      <c r="N32" s="510">
        <f t="shared" si="3"/>
        <v>2.47</v>
      </c>
      <c r="O32" s="84">
        <v>1.0</v>
      </c>
      <c r="P32" s="465">
        <v>1.0</v>
      </c>
      <c r="Q32" s="150"/>
    </row>
    <row r="33">
      <c r="A33" s="54">
        <v>2.0</v>
      </c>
      <c r="B33" s="310" t="s">
        <v>44</v>
      </c>
      <c r="C33" s="82">
        <f>'1. Tổng doanh thu'!K14</f>
        <v>0.9338149916</v>
      </c>
      <c r="D33" s="84">
        <f t="shared" si="4"/>
        <v>0.9277</v>
      </c>
      <c r="E33" s="87">
        <v>1.0</v>
      </c>
      <c r="F33" s="324">
        <f t="shared" ref="F33:N33" si="5">F13</f>
        <v>0.9965</v>
      </c>
      <c r="G33" s="322">
        <f t="shared" si="5"/>
        <v>1</v>
      </c>
      <c r="H33" s="86">
        <f t="shared" si="5"/>
        <v>0</v>
      </c>
      <c r="I33" s="508">
        <f t="shared" si="5"/>
        <v>0.00242</v>
      </c>
      <c r="J33" s="83">
        <f t="shared" si="5"/>
        <v>2.7</v>
      </c>
      <c r="K33" s="325">
        <f t="shared" si="5"/>
        <v>0</v>
      </c>
      <c r="L33" s="324">
        <f t="shared" si="5"/>
        <v>0.93</v>
      </c>
      <c r="M33" s="84">
        <f t="shared" si="5"/>
        <v>0.98637684</v>
      </c>
      <c r="N33" s="326">
        <f t="shared" si="5"/>
        <v>6.16</v>
      </c>
      <c r="O33" s="84">
        <v>1.0</v>
      </c>
      <c r="P33" s="465">
        <v>1.0</v>
      </c>
      <c r="Q33" s="150"/>
    </row>
    <row r="34">
      <c r="A34" s="54">
        <v>3.0</v>
      </c>
      <c r="B34" s="310" t="s">
        <v>45</v>
      </c>
      <c r="C34" s="82">
        <f>'1. Tổng doanh thu'!K15</f>
        <v>1.184027778</v>
      </c>
      <c r="D34" s="84">
        <f t="shared" si="4"/>
        <v>0.7139</v>
      </c>
      <c r="E34" s="87">
        <v>1.0</v>
      </c>
      <c r="F34" s="324">
        <f t="shared" ref="F34:N34" si="6">F14</f>
        <v>0.9966</v>
      </c>
      <c r="G34" s="322">
        <f t="shared" si="6"/>
        <v>1</v>
      </c>
      <c r="H34" s="86">
        <f t="shared" si="6"/>
        <v>0</v>
      </c>
      <c r="I34" s="465">
        <f t="shared" si="6"/>
        <v>0.00055</v>
      </c>
      <c r="J34" s="83">
        <f t="shared" si="6"/>
        <v>1.8715</v>
      </c>
      <c r="K34" s="325">
        <f t="shared" si="6"/>
        <v>0.0063</v>
      </c>
      <c r="L34" s="324">
        <f t="shared" si="6"/>
        <v>1</v>
      </c>
      <c r="M34" s="84">
        <f t="shared" si="6"/>
        <v>0.98578056</v>
      </c>
      <c r="N34" s="326">
        <f t="shared" si="6"/>
        <v>4.87</v>
      </c>
      <c r="O34" s="84">
        <v>1.0</v>
      </c>
      <c r="P34" s="465">
        <v>1.0</v>
      </c>
      <c r="Q34" s="150"/>
    </row>
    <row r="35">
      <c r="A35" s="54">
        <v>4.0</v>
      </c>
      <c r="B35" s="310" t="s">
        <v>47</v>
      </c>
      <c r="C35" s="82">
        <f>'1. Tổng doanh thu'!K16</f>
        <v>1.022327094</v>
      </c>
      <c r="D35" s="84">
        <f t="shared" si="4"/>
        <v>0.737</v>
      </c>
      <c r="E35" s="87">
        <v>1.0</v>
      </c>
      <c r="F35" s="324">
        <f t="shared" ref="F35:N35" si="7">F15</f>
        <v>0.9976</v>
      </c>
      <c r="G35" s="322">
        <f t="shared" si="7"/>
        <v>1</v>
      </c>
      <c r="H35" s="86">
        <f t="shared" si="7"/>
        <v>0</v>
      </c>
      <c r="I35" s="508">
        <f t="shared" si="7"/>
        <v>0.00038</v>
      </c>
      <c r="J35" s="83">
        <f t="shared" si="7"/>
        <v>1.3907</v>
      </c>
      <c r="K35" s="325">
        <f t="shared" si="7"/>
        <v>0</v>
      </c>
      <c r="L35" s="324">
        <f t="shared" si="7"/>
        <v>0.84</v>
      </c>
      <c r="M35" s="84">
        <f t="shared" si="7"/>
        <v>0.98754368</v>
      </c>
      <c r="N35" s="326">
        <f t="shared" si="7"/>
        <v>10.53</v>
      </c>
      <c r="O35" s="84">
        <v>1.0</v>
      </c>
      <c r="P35" s="465">
        <v>1.0</v>
      </c>
      <c r="Q35" s="150"/>
    </row>
    <row r="36">
      <c r="A36" s="54">
        <v>5.0</v>
      </c>
      <c r="B36" s="310" t="s">
        <v>48</v>
      </c>
      <c r="C36" s="82">
        <f>'1. Tổng doanh thu'!K17</f>
        <v>0.928763682</v>
      </c>
      <c r="D36" s="84">
        <f t="shared" si="4"/>
        <v>0.8647</v>
      </c>
      <c r="E36" s="87">
        <v>1.0</v>
      </c>
      <c r="F36" s="324">
        <f t="shared" ref="F36:N36" si="8">F16</f>
        <v>0.9833</v>
      </c>
      <c r="G36" s="322">
        <f t="shared" si="8"/>
        <v>1</v>
      </c>
      <c r="H36" s="86">
        <f t="shared" si="8"/>
        <v>0</v>
      </c>
      <c r="I36" s="508">
        <f t="shared" si="8"/>
        <v>0.00244</v>
      </c>
      <c r="J36" s="83">
        <f t="shared" si="8"/>
        <v>3.397</v>
      </c>
      <c r="K36" s="325">
        <f t="shared" si="8"/>
        <v>0</v>
      </c>
      <c r="L36" s="324">
        <f t="shared" si="8"/>
        <v>0.86</v>
      </c>
      <c r="M36" s="84">
        <f t="shared" si="8"/>
        <v>0.98717338</v>
      </c>
      <c r="N36" s="326">
        <f t="shared" si="8"/>
        <v>3.87</v>
      </c>
      <c r="O36" s="84">
        <v>1.0</v>
      </c>
      <c r="P36" s="465">
        <v>1.0</v>
      </c>
      <c r="Q36" s="150"/>
    </row>
    <row r="37">
      <c r="A37" s="54">
        <v>6.0</v>
      </c>
      <c r="B37" s="310" t="s">
        <v>49</v>
      </c>
      <c r="C37" s="82">
        <f>'1. Tổng doanh thu'!K18</f>
        <v>0.9581980974</v>
      </c>
      <c r="D37" s="84">
        <f t="shared" si="4"/>
        <v>0.6456</v>
      </c>
      <c r="E37" s="87">
        <v>1.0</v>
      </c>
      <c r="F37" s="324">
        <f t="shared" ref="F37:N37" si="9">F17</f>
        <v>1</v>
      </c>
      <c r="G37" s="322">
        <f t="shared" si="9"/>
        <v>1</v>
      </c>
      <c r="H37" s="86">
        <f t="shared" si="9"/>
        <v>0</v>
      </c>
      <c r="I37" s="465">
        <f t="shared" si="9"/>
        <v>0.00114</v>
      </c>
      <c r="J37" s="83">
        <f t="shared" si="9"/>
        <v>2.2816</v>
      </c>
      <c r="K37" s="325">
        <f t="shared" si="9"/>
        <v>0.0062</v>
      </c>
      <c r="L37" s="324">
        <f t="shared" si="9"/>
        <v>0.82</v>
      </c>
      <c r="M37" s="84">
        <f t="shared" si="9"/>
        <v>0.98826684</v>
      </c>
      <c r="N37" s="326">
        <f t="shared" si="9"/>
        <v>7.54</v>
      </c>
      <c r="O37" s="84">
        <v>1.0</v>
      </c>
      <c r="P37" s="465">
        <v>1.0</v>
      </c>
      <c r="Q37" s="150"/>
    </row>
    <row r="38">
      <c r="A38" s="54">
        <v>7.0</v>
      </c>
      <c r="B38" s="332" t="s">
        <v>43</v>
      </c>
      <c r="C38" s="448">
        <f>'1. Tổng doanh thu'!K13</f>
        <v>1.091130228</v>
      </c>
      <c r="D38" s="84">
        <f t="shared" si="4"/>
        <v>0.7728</v>
      </c>
      <c r="E38" s="87">
        <v>1.0</v>
      </c>
      <c r="F38" s="324">
        <f t="shared" ref="F38:N38" si="10">F18</f>
        <v>0.9895</v>
      </c>
      <c r="G38" s="322">
        <f t="shared" si="10"/>
        <v>1</v>
      </c>
      <c r="H38" s="86">
        <f t="shared" si="10"/>
        <v>0</v>
      </c>
      <c r="I38" s="508">
        <f t="shared" si="10"/>
        <v>0.00079</v>
      </c>
      <c r="J38" s="83">
        <f t="shared" si="10"/>
        <v>1.6093</v>
      </c>
      <c r="K38" s="325">
        <f t="shared" si="10"/>
        <v>0.0509</v>
      </c>
      <c r="L38" s="324">
        <f t="shared" si="10"/>
        <v>0.92</v>
      </c>
      <c r="M38" s="84">
        <f t="shared" si="10"/>
        <v>0.98575914</v>
      </c>
      <c r="N38" s="326">
        <f t="shared" si="10"/>
        <v>2.33</v>
      </c>
      <c r="O38" s="110">
        <v>1.0</v>
      </c>
      <c r="P38" s="465">
        <v>1.0</v>
      </c>
      <c r="Q38" s="400"/>
    </row>
    <row r="39">
      <c r="A39" s="89"/>
      <c r="B39" s="209" t="s">
        <v>50</v>
      </c>
      <c r="C39" s="28">
        <f>'1. Tổng doanh thu'!K19</f>
        <v>1.017528212</v>
      </c>
      <c r="D39" s="338">
        <f t="shared" si="4"/>
        <v>0.783</v>
      </c>
      <c r="E39" s="339">
        <v>1.0</v>
      </c>
      <c r="F39" s="450">
        <f t="shared" ref="F39:N39" si="11">F19</f>
        <v>0.9944</v>
      </c>
      <c r="G39" s="342">
        <f t="shared" si="11"/>
        <v>1</v>
      </c>
      <c r="H39" s="344">
        <f t="shared" si="11"/>
        <v>0</v>
      </c>
      <c r="I39" s="517">
        <f t="shared" si="11"/>
        <v>0.00105</v>
      </c>
      <c r="J39" s="451">
        <f t="shared" si="11"/>
        <v>1.8896</v>
      </c>
      <c r="K39" s="348">
        <f t="shared" si="11"/>
        <v>0.0082</v>
      </c>
      <c r="L39" s="349">
        <f t="shared" si="11"/>
        <v>0.91</v>
      </c>
      <c r="M39" s="349">
        <f t="shared" si="11"/>
        <v>0.98861116</v>
      </c>
      <c r="N39" s="209">
        <f t="shared" si="11"/>
        <v>5.34</v>
      </c>
      <c r="O39" s="492">
        <v>1.0</v>
      </c>
      <c r="P39" s="493">
        <v>1.0</v>
      </c>
      <c r="Q39" s="354"/>
      <c r="R39" s="356"/>
      <c r="S39" s="356"/>
      <c r="T39" s="356"/>
      <c r="U39" s="356"/>
      <c r="V39" s="356"/>
      <c r="W39" s="356"/>
      <c r="X39" s="356"/>
      <c r="Y39" s="356"/>
      <c r="Z39" s="356"/>
      <c r="AA39" s="356"/>
      <c r="AB39" s="356"/>
      <c r="AC39" s="356"/>
      <c r="AD39" s="356"/>
      <c r="AE39" s="356"/>
      <c r="AF39" s="356"/>
      <c r="AG39" s="356"/>
      <c r="AH39" s="356"/>
      <c r="AI39" s="356"/>
      <c r="AJ39" s="356"/>
      <c r="AK39" s="356"/>
      <c r="AL39" s="356"/>
      <c r="AM39" s="356"/>
      <c r="AN39" s="356"/>
      <c r="AO39" s="356"/>
      <c r="AP39" s="356"/>
    </row>
    <row r="40">
      <c r="B40" s="205" t="s">
        <v>78</v>
      </c>
      <c r="C40" s="273">
        <v>1.02292</v>
      </c>
      <c r="D40" s="272">
        <v>0.86531</v>
      </c>
      <c r="E40" s="205">
        <v>1.0</v>
      </c>
      <c r="F40" s="272">
        <v>1.015</v>
      </c>
      <c r="G40" s="272">
        <v>1.0101</v>
      </c>
      <c r="H40" s="402">
        <v>0.8</v>
      </c>
      <c r="I40" s="272">
        <v>0.0011</v>
      </c>
      <c r="J40" s="205" t="s">
        <v>303</v>
      </c>
      <c r="K40" s="272">
        <v>0.0043</v>
      </c>
      <c r="L40" s="272">
        <v>0.93204</v>
      </c>
      <c r="M40" s="272">
        <v>0.9882</v>
      </c>
      <c r="N40" s="205">
        <v>10.587</v>
      </c>
      <c r="O40" s="402">
        <v>1.0</v>
      </c>
    </row>
    <row r="41">
      <c r="A41" s="205">
        <v>8.0</v>
      </c>
      <c r="B41" s="205" t="s">
        <v>80</v>
      </c>
      <c r="C41" s="275">
        <f>'1. Tổng doanh thu'!E20</f>
        <v>0.8892666343</v>
      </c>
      <c r="D41" s="275">
        <f t="shared" ref="D41:P41" si="12">D39</f>
        <v>0.783</v>
      </c>
      <c r="E41" s="496">
        <f t="shared" si="12"/>
        <v>1</v>
      </c>
      <c r="F41" s="275">
        <f t="shared" si="12"/>
        <v>0.9944</v>
      </c>
      <c r="G41" s="275">
        <f t="shared" si="12"/>
        <v>1</v>
      </c>
      <c r="H41" s="498">
        <f t="shared" si="12"/>
        <v>0</v>
      </c>
      <c r="I41" s="498">
        <f t="shared" si="12"/>
        <v>0.00105</v>
      </c>
      <c r="J41" s="275">
        <f t="shared" si="12"/>
        <v>1.8896</v>
      </c>
      <c r="K41" s="275">
        <f t="shared" si="12"/>
        <v>0.0082</v>
      </c>
      <c r="L41" s="275">
        <f t="shared" si="12"/>
        <v>0.91</v>
      </c>
      <c r="M41" s="275">
        <f t="shared" si="12"/>
        <v>0.98861116</v>
      </c>
      <c r="N41" s="496">
        <f t="shared" si="12"/>
        <v>5.34</v>
      </c>
      <c r="O41" s="275">
        <f t="shared" si="12"/>
        <v>1</v>
      </c>
      <c r="P41" s="275">
        <f t="shared" si="12"/>
        <v>1</v>
      </c>
    </row>
    <row r="42">
      <c r="A42" s="205">
        <v>9.0</v>
      </c>
      <c r="B42" s="205" t="s">
        <v>81</v>
      </c>
      <c r="C42" s="272">
        <f>'1. Tổng doanh thu'!E21</f>
        <v>0.8892666343</v>
      </c>
      <c r="D42" s="275">
        <f t="shared" ref="D42:P42" si="13">D39</f>
        <v>0.783</v>
      </c>
      <c r="E42" s="496">
        <f t="shared" si="13"/>
        <v>1</v>
      </c>
      <c r="F42" s="275">
        <f t="shared" si="13"/>
        <v>0.9944</v>
      </c>
      <c r="G42" s="275">
        <f t="shared" si="13"/>
        <v>1</v>
      </c>
      <c r="H42" s="498">
        <f t="shared" si="13"/>
        <v>0</v>
      </c>
      <c r="I42" s="498">
        <f t="shared" si="13"/>
        <v>0.00105</v>
      </c>
      <c r="J42" s="275">
        <f t="shared" si="13"/>
        <v>1.8896</v>
      </c>
      <c r="K42" s="275">
        <f t="shared" si="13"/>
        <v>0.0082</v>
      </c>
      <c r="L42" s="275">
        <f t="shared" si="13"/>
        <v>0.91</v>
      </c>
      <c r="M42" s="275">
        <f t="shared" si="13"/>
        <v>0.98861116</v>
      </c>
      <c r="N42" s="496">
        <f t="shared" si="13"/>
        <v>5.34</v>
      </c>
      <c r="O42" s="275">
        <f t="shared" si="13"/>
        <v>1</v>
      </c>
      <c r="P42" s="275">
        <f t="shared" si="13"/>
        <v>1</v>
      </c>
    </row>
    <row r="45">
      <c r="A45" s="1"/>
      <c r="B45" s="6"/>
      <c r="C45" s="8" t="s">
        <v>62</v>
      </c>
      <c r="D45" s="7"/>
      <c r="E45" s="7"/>
      <c r="F45" s="7"/>
      <c r="G45" s="7"/>
      <c r="H45" s="7"/>
      <c r="I45" s="7"/>
      <c r="J45" s="7"/>
      <c r="K45" s="7"/>
      <c r="L45" s="7"/>
      <c r="M45" s="7"/>
      <c r="N45" s="7"/>
      <c r="O45" s="7"/>
      <c r="P45" s="9"/>
      <c r="Q45" s="127"/>
    </row>
    <row r="46">
      <c r="A46" s="11"/>
      <c r="B46" s="15" t="s">
        <v>2</v>
      </c>
      <c r="C46" s="16" t="s">
        <v>3</v>
      </c>
      <c r="D46" s="18" t="s">
        <v>66</v>
      </c>
      <c r="E46" s="18" t="s">
        <v>67</v>
      </c>
      <c r="F46" s="18" t="s">
        <v>68</v>
      </c>
      <c r="G46" s="18" t="s">
        <v>69</v>
      </c>
      <c r="H46" s="18" t="s">
        <v>8</v>
      </c>
      <c r="I46" s="18" t="s">
        <v>9</v>
      </c>
      <c r="J46" s="18" t="s">
        <v>70</v>
      </c>
      <c r="K46" s="18" t="s">
        <v>71</v>
      </c>
      <c r="L46" s="18" t="s">
        <v>72</v>
      </c>
      <c r="M46" s="18" t="s">
        <v>13</v>
      </c>
      <c r="N46" s="18" t="s">
        <v>14</v>
      </c>
      <c r="O46" s="18" t="s">
        <v>73</v>
      </c>
      <c r="P46" s="18" t="s">
        <v>74</v>
      </c>
      <c r="Q46" s="135" t="s">
        <v>18</v>
      </c>
    </row>
    <row r="47">
      <c r="B47" s="72" t="s">
        <v>20</v>
      </c>
      <c r="C47" s="193">
        <v>0.15</v>
      </c>
      <c r="D47" s="136">
        <v>0.1</v>
      </c>
      <c r="E47" s="136">
        <v>0.05</v>
      </c>
      <c r="F47" s="136">
        <v>0.05</v>
      </c>
      <c r="G47" s="136">
        <v>0.05</v>
      </c>
      <c r="H47" s="136">
        <v>0.05</v>
      </c>
      <c r="I47" s="136">
        <v>0.05</v>
      </c>
      <c r="J47" s="136">
        <v>0.05</v>
      </c>
      <c r="K47" s="136">
        <v>0.05</v>
      </c>
      <c r="L47" s="136">
        <v>0.05</v>
      </c>
      <c r="M47" s="32">
        <v>0.1</v>
      </c>
      <c r="N47" s="136">
        <v>0.05</v>
      </c>
      <c r="O47" s="136">
        <v>0.2</v>
      </c>
      <c r="P47" s="136">
        <v>0.0</v>
      </c>
      <c r="Q47" s="229">
        <f>sum(C47:P47)</f>
        <v>1</v>
      </c>
    </row>
    <row r="48">
      <c r="A48" s="26" t="s">
        <v>28</v>
      </c>
      <c r="B48" s="139" t="s">
        <v>30</v>
      </c>
      <c r="C48" s="230">
        <v>125.672</v>
      </c>
      <c r="D48" s="231">
        <v>0.98</v>
      </c>
      <c r="E48" s="232">
        <v>1.0</v>
      </c>
      <c r="F48" s="233">
        <v>0.98</v>
      </c>
      <c r="G48" s="233">
        <v>0.99</v>
      </c>
      <c r="H48" s="233">
        <v>0.02</v>
      </c>
      <c r="I48" s="234">
        <v>7.5E-4</v>
      </c>
      <c r="J48" s="235" t="s">
        <v>84</v>
      </c>
      <c r="K48" s="231">
        <v>0.005</v>
      </c>
      <c r="L48" s="236">
        <v>0.98</v>
      </c>
      <c r="M48" s="237">
        <v>0.99</v>
      </c>
      <c r="N48" s="238">
        <v>3.0</v>
      </c>
      <c r="O48" s="239">
        <v>1.0</v>
      </c>
      <c r="P48" s="240"/>
      <c r="Q48" s="147"/>
    </row>
    <row r="49">
      <c r="A49" s="54">
        <v>1.0</v>
      </c>
      <c r="B49" s="148" t="s">
        <v>42</v>
      </c>
      <c r="C49" s="149">
        <f t="shared" ref="C49:C56" si="14">((C32-100%)/0.2%)*$C$47</f>
        <v>0.8186010761</v>
      </c>
      <c r="D49" s="151">
        <f t="shared" ref="D49:D56" si="15">((98%-D32)/1%)*$D$47</f>
        <v>0.933</v>
      </c>
      <c r="E49" s="153">
        <f t="shared" ref="E49:E56" si="16">MAX(-5,MIN(3,((E32-1)/1%)*0.1*$E$47))</f>
        <v>0</v>
      </c>
      <c r="F49" s="151">
        <f t="shared" ref="F49:F56" si="17">((F32-98%)/0.5%)*$F$47</f>
        <v>0.171</v>
      </c>
      <c r="G49" s="151">
        <f t="shared" ref="G49:G56" si="18">((G32-99%)/1%)*0.5*$G$47</f>
        <v>0.025</v>
      </c>
      <c r="H49" s="151">
        <f t="shared" ref="H49:H56" si="19">((2%-H32)/0.5%)*0.1*$H$47</f>
        <v>0.02</v>
      </c>
      <c r="I49" s="151">
        <f t="shared" ref="I49:I56" si="20">((I32-0.075%)/0.01%)*0.5*$I$47</f>
        <v>-0.075</v>
      </c>
      <c r="J49" s="151">
        <f t="shared" ref="J49:J56" si="21">(-(J32-100%)/3%)*0.5*$J$47</f>
        <v>-0.20975</v>
      </c>
      <c r="K49" s="151">
        <f t="shared" ref="K49:K56" si="22">((K32-0.5%)/0.1%)*0.5*$K$47</f>
        <v>-0.125</v>
      </c>
      <c r="L49" s="151">
        <f t="shared" ref="L49:L56" si="23">((L32-98%)/1%)*$L$47</f>
        <v>0.1</v>
      </c>
      <c r="M49" s="151">
        <f t="shared" ref="M49:M56" si="24">((M32-99%)/0.5%)*$M$47</f>
        <v>-0.0407416</v>
      </c>
      <c r="N49" s="151">
        <f t="shared" ref="N49:N56" si="25">((3-N32)/0.1)*0.1*$N$47</f>
        <v>0.0265</v>
      </c>
      <c r="O49" s="151">
        <f t="shared" ref="O49:O56" si="26">MIN(0,((O32-100%)/2%)*$O$47)</f>
        <v>0</v>
      </c>
      <c r="P49" s="153">
        <v>0.0</v>
      </c>
      <c r="Q49" s="154">
        <f t="shared" ref="Q49:Q57" si="27">100+sum(C49:P49)</f>
        <v>101.6436095</v>
      </c>
    </row>
    <row r="50">
      <c r="A50" s="54">
        <v>2.0</v>
      </c>
      <c r="B50" s="156" t="s">
        <v>44</v>
      </c>
      <c r="C50" s="158">
        <f t="shared" si="14"/>
        <v>-4.963875629</v>
      </c>
      <c r="D50" s="159">
        <f t="shared" si="15"/>
        <v>0.523</v>
      </c>
      <c r="E50" s="160">
        <f t="shared" si="16"/>
        <v>0</v>
      </c>
      <c r="F50" s="159">
        <f t="shared" si="17"/>
        <v>0.165</v>
      </c>
      <c r="G50" s="159">
        <f t="shared" si="18"/>
        <v>0.025</v>
      </c>
      <c r="H50" s="159">
        <f t="shared" si="19"/>
        <v>0.02</v>
      </c>
      <c r="I50" s="159">
        <f t="shared" si="20"/>
        <v>0.4175</v>
      </c>
      <c r="J50" s="159">
        <f t="shared" si="21"/>
        <v>-1.416666667</v>
      </c>
      <c r="K50" s="159">
        <f t="shared" si="22"/>
        <v>-0.125</v>
      </c>
      <c r="L50" s="159">
        <f t="shared" si="23"/>
        <v>-0.25</v>
      </c>
      <c r="M50" s="159">
        <f t="shared" si="24"/>
        <v>-0.0724632</v>
      </c>
      <c r="N50" s="159">
        <f t="shared" si="25"/>
        <v>-0.158</v>
      </c>
      <c r="O50" s="159">
        <f t="shared" si="26"/>
        <v>0</v>
      </c>
      <c r="P50" s="160">
        <v>0.0</v>
      </c>
      <c r="Q50" s="161">
        <f t="shared" si="27"/>
        <v>94.1644945</v>
      </c>
    </row>
    <row r="51">
      <c r="A51" s="54">
        <v>3.0</v>
      </c>
      <c r="B51" s="156" t="s">
        <v>45</v>
      </c>
      <c r="C51" s="158">
        <f t="shared" si="14"/>
        <v>13.80208333</v>
      </c>
      <c r="D51" s="159">
        <f t="shared" si="15"/>
        <v>2.661</v>
      </c>
      <c r="E51" s="160">
        <f t="shared" si="16"/>
        <v>0</v>
      </c>
      <c r="F51" s="159">
        <f t="shared" si="17"/>
        <v>0.166</v>
      </c>
      <c r="G51" s="159">
        <f t="shared" si="18"/>
        <v>0.025</v>
      </c>
      <c r="H51" s="159">
        <f t="shared" si="19"/>
        <v>0.02</v>
      </c>
      <c r="I51" s="159">
        <f t="shared" si="20"/>
        <v>-0.05</v>
      </c>
      <c r="J51" s="159">
        <f t="shared" si="21"/>
        <v>-0.72625</v>
      </c>
      <c r="K51" s="159">
        <f t="shared" si="22"/>
        <v>0.0325</v>
      </c>
      <c r="L51" s="159">
        <f t="shared" si="23"/>
        <v>0.1</v>
      </c>
      <c r="M51" s="159">
        <f t="shared" si="24"/>
        <v>-0.0843888</v>
      </c>
      <c r="N51" s="159">
        <f t="shared" si="25"/>
        <v>-0.0935</v>
      </c>
      <c r="O51" s="159">
        <f t="shared" si="26"/>
        <v>0</v>
      </c>
      <c r="P51" s="160">
        <v>0.0</v>
      </c>
      <c r="Q51" s="161">
        <f t="shared" si="27"/>
        <v>115.8524445</v>
      </c>
    </row>
    <row r="52">
      <c r="A52" s="54">
        <v>4.0</v>
      </c>
      <c r="B52" s="156" t="s">
        <v>47</v>
      </c>
      <c r="C52" s="158">
        <f t="shared" si="14"/>
        <v>1.674532043</v>
      </c>
      <c r="D52" s="159">
        <f t="shared" si="15"/>
        <v>2.43</v>
      </c>
      <c r="E52" s="160">
        <f t="shared" si="16"/>
        <v>0</v>
      </c>
      <c r="F52" s="159">
        <f t="shared" si="17"/>
        <v>0.176</v>
      </c>
      <c r="G52" s="159">
        <f t="shared" si="18"/>
        <v>0.025</v>
      </c>
      <c r="H52" s="159">
        <f t="shared" si="19"/>
        <v>0.02</v>
      </c>
      <c r="I52" s="159">
        <f t="shared" si="20"/>
        <v>-0.0925</v>
      </c>
      <c r="J52" s="159">
        <f t="shared" si="21"/>
        <v>-0.3255833333</v>
      </c>
      <c r="K52" s="159">
        <f t="shared" si="22"/>
        <v>-0.125</v>
      </c>
      <c r="L52" s="159">
        <f t="shared" si="23"/>
        <v>-0.7</v>
      </c>
      <c r="M52" s="159">
        <f t="shared" si="24"/>
        <v>-0.0491264</v>
      </c>
      <c r="N52" s="159">
        <f t="shared" si="25"/>
        <v>-0.3765</v>
      </c>
      <c r="O52" s="159">
        <f t="shared" si="26"/>
        <v>0</v>
      </c>
      <c r="P52" s="160">
        <v>0.0</v>
      </c>
      <c r="Q52" s="161">
        <f t="shared" si="27"/>
        <v>102.6568223</v>
      </c>
    </row>
    <row r="53">
      <c r="A53" s="54">
        <v>5.0</v>
      </c>
      <c r="B53" s="156" t="s">
        <v>48</v>
      </c>
      <c r="C53" s="158">
        <f t="shared" si="14"/>
        <v>-5.342723847</v>
      </c>
      <c r="D53" s="159">
        <f t="shared" si="15"/>
        <v>1.153</v>
      </c>
      <c r="E53" s="160">
        <f t="shared" si="16"/>
        <v>0</v>
      </c>
      <c r="F53" s="159">
        <f t="shared" si="17"/>
        <v>0.033</v>
      </c>
      <c r="G53" s="159">
        <f t="shared" si="18"/>
        <v>0.025</v>
      </c>
      <c r="H53" s="159">
        <f t="shared" si="19"/>
        <v>0.02</v>
      </c>
      <c r="I53" s="159">
        <f t="shared" si="20"/>
        <v>0.4225</v>
      </c>
      <c r="J53" s="159">
        <f t="shared" si="21"/>
        <v>-1.9975</v>
      </c>
      <c r="K53" s="159">
        <f t="shared" si="22"/>
        <v>-0.125</v>
      </c>
      <c r="L53" s="159">
        <f t="shared" si="23"/>
        <v>-0.6</v>
      </c>
      <c r="M53" s="159">
        <f t="shared" si="24"/>
        <v>-0.0565324</v>
      </c>
      <c r="N53" s="159">
        <f t="shared" si="25"/>
        <v>-0.0435</v>
      </c>
      <c r="O53" s="159">
        <f t="shared" si="26"/>
        <v>0</v>
      </c>
      <c r="P53" s="160">
        <v>0.0</v>
      </c>
      <c r="Q53" s="161">
        <f t="shared" si="27"/>
        <v>93.48824375</v>
      </c>
    </row>
    <row r="54">
      <c r="A54" s="54">
        <v>6.0</v>
      </c>
      <c r="B54" s="156" t="s">
        <v>49</v>
      </c>
      <c r="C54" s="158">
        <f t="shared" si="14"/>
        <v>-3.135142697</v>
      </c>
      <c r="D54" s="159">
        <f t="shared" si="15"/>
        <v>3.344</v>
      </c>
      <c r="E54" s="160">
        <f t="shared" si="16"/>
        <v>0</v>
      </c>
      <c r="F54" s="159">
        <f t="shared" si="17"/>
        <v>0.2</v>
      </c>
      <c r="G54" s="159">
        <f t="shared" si="18"/>
        <v>0.025</v>
      </c>
      <c r="H54" s="159">
        <f t="shared" si="19"/>
        <v>0.02</v>
      </c>
      <c r="I54" s="159">
        <f t="shared" si="20"/>
        <v>0.0975</v>
      </c>
      <c r="J54" s="159">
        <f t="shared" si="21"/>
        <v>-1.068</v>
      </c>
      <c r="K54" s="159">
        <f t="shared" si="22"/>
        <v>0.03</v>
      </c>
      <c r="L54" s="159">
        <f t="shared" si="23"/>
        <v>-0.8</v>
      </c>
      <c r="M54" s="159">
        <f t="shared" si="24"/>
        <v>-0.0346632</v>
      </c>
      <c r="N54" s="159">
        <f t="shared" si="25"/>
        <v>-0.227</v>
      </c>
      <c r="O54" s="159">
        <f t="shared" si="26"/>
        <v>0</v>
      </c>
      <c r="P54" s="160">
        <v>0.0</v>
      </c>
      <c r="Q54" s="161">
        <f t="shared" si="27"/>
        <v>98.4516941</v>
      </c>
    </row>
    <row r="55">
      <c r="A55" s="54">
        <v>7.0</v>
      </c>
      <c r="B55" s="165" t="s">
        <v>43</v>
      </c>
      <c r="C55" s="166">
        <f t="shared" si="14"/>
        <v>6.834767131</v>
      </c>
      <c r="D55" s="167">
        <f t="shared" si="15"/>
        <v>2.072</v>
      </c>
      <c r="E55" s="168">
        <f t="shared" si="16"/>
        <v>0</v>
      </c>
      <c r="F55" s="167">
        <f t="shared" si="17"/>
        <v>0.095</v>
      </c>
      <c r="G55" s="167">
        <f t="shared" si="18"/>
        <v>0.025</v>
      </c>
      <c r="H55" s="167">
        <f t="shared" si="19"/>
        <v>0.02</v>
      </c>
      <c r="I55" s="167">
        <f t="shared" si="20"/>
        <v>0.01</v>
      </c>
      <c r="J55" s="167">
        <f t="shared" si="21"/>
        <v>-0.50775</v>
      </c>
      <c r="K55" s="167">
        <f t="shared" si="22"/>
        <v>1.1475</v>
      </c>
      <c r="L55" s="167">
        <f t="shared" si="23"/>
        <v>-0.3</v>
      </c>
      <c r="M55" s="167">
        <f t="shared" si="24"/>
        <v>-0.0848172</v>
      </c>
      <c r="N55" s="167">
        <f t="shared" si="25"/>
        <v>0.0335</v>
      </c>
      <c r="O55" s="167">
        <f t="shared" si="26"/>
        <v>0</v>
      </c>
      <c r="P55" s="168">
        <v>0.0</v>
      </c>
      <c r="Q55" s="170">
        <f t="shared" si="27"/>
        <v>109.3451999</v>
      </c>
    </row>
    <row r="56">
      <c r="A56" s="89"/>
      <c r="B56" s="209" t="s">
        <v>50</v>
      </c>
      <c r="C56" s="149">
        <f t="shared" si="14"/>
        <v>1.314615869</v>
      </c>
      <c r="D56" s="151">
        <f t="shared" si="15"/>
        <v>1.97</v>
      </c>
      <c r="E56" s="153">
        <f t="shared" si="16"/>
        <v>0</v>
      </c>
      <c r="F56" s="151">
        <f t="shared" si="17"/>
        <v>0.144</v>
      </c>
      <c r="G56" s="151">
        <f t="shared" si="18"/>
        <v>0.025</v>
      </c>
      <c r="H56" s="151">
        <f t="shared" si="19"/>
        <v>0.02</v>
      </c>
      <c r="I56" s="151">
        <f t="shared" si="20"/>
        <v>0.075</v>
      </c>
      <c r="J56" s="151">
        <f t="shared" si="21"/>
        <v>-0.7413333333</v>
      </c>
      <c r="K56" s="151">
        <f t="shared" si="22"/>
        <v>0.08</v>
      </c>
      <c r="L56" s="151">
        <f t="shared" si="23"/>
        <v>-0.35</v>
      </c>
      <c r="M56" s="151">
        <f t="shared" si="24"/>
        <v>-0.0277768</v>
      </c>
      <c r="N56" s="151">
        <f t="shared" si="25"/>
        <v>-0.117</v>
      </c>
      <c r="O56" s="151">
        <f t="shared" si="26"/>
        <v>0</v>
      </c>
      <c r="P56" s="153">
        <v>0.0</v>
      </c>
      <c r="Q56" s="154">
        <f t="shared" si="27"/>
        <v>102.3925057</v>
      </c>
    </row>
    <row r="57">
      <c r="A57" s="89"/>
      <c r="B57" s="215" t="s">
        <v>63</v>
      </c>
      <c r="C57" s="241">
        <v>1.719</v>
      </c>
      <c r="D57" s="241">
        <v>1.32</v>
      </c>
      <c r="E57" s="242">
        <v>0.0</v>
      </c>
      <c r="F57" s="241">
        <v>0.04</v>
      </c>
      <c r="G57" s="241">
        <v>0.03</v>
      </c>
      <c r="H57" s="241">
        <v>0.004</v>
      </c>
      <c r="I57" s="241">
        <v>-0.088</v>
      </c>
      <c r="J57" s="241">
        <v>-0.73</v>
      </c>
      <c r="K57" s="241">
        <v>0.002</v>
      </c>
      <c r="L57" s="241">
        <v>-0.33</v>
      </c>
      <c r="M57" s="241">
        <v>-0.036</v>
      </c>
      <c r="N57" s="241">
        <v>-0.759</v>
      </c>
      <c r="O57" s="241">
        <v>0.0</v>
      </c>
      <c r="P57" s="241">
        <v>0.0</v>
      </c>
      <c r="Q57" s="243">
        <f t="shared" si="27"/>
        <v>101.172</v>
      </c>
    </row>
    <row r="58">
      <c r="B58" s="219" t="s">
        <v>64</v>
      </c>
      <c r="C58" s="131">
        <f t="shared" ref="C58:Q58" si="28">abs(C56-C57)</f>
        <v>0.4043841314</v>
      </c>
      <c r="D58" s="131">
        <f t="shared" si="28"/>
        <v>0.65</v>
      </c>
      <c r="E58" s="131">
        <f t="shared" si="28"/>
        <v>0</v>
      </c>
      <c r="F58" s="131">
        <f t="shared" si="28"/>
        <v>0.104</v>
      </c>
      <c r="G58" s="131">
        <f t="shared" si="28"/>
        <v>0.005</v>
      </c>
      <c r="H58" s="131">
        <f t="shared" si="28"/>
        <v>0.016</v>
      </c>
      <c r="I58" s="131">
        <f t="shared" si="28"/>
        <v>0.163</v>
      </c>
      <c r="J58" s="131">
        <f t="shared" si="28"/>
        <v>0.01133333333</v>
      </c>
      <c r="K58" s="131">
        <f t="shared" si="28"/>
        <v>0.078</v>
      </c>
      <c r="L58" s="131">
        <f t="shared" si="28"/>
        <v>0.02</v>
      </c>
      <c r="M58" s="131">
        <f t="shared" si="28"/>
        <v>0.0082232</v>
      </c>
      <c r="N58" s="131">
        <f t="shared" si="28"/>
        <v>0.642</v>
      </c>
      <c r="O58" s="131">
        <f t="shared" si="28"/>
        <v>0</v>
      </c>
      <c r="P58" s="131">
        <f t="shared" si="28"/>
        <v>0</v>
      </c>
      <c r="Q58" s="131">
        <f t="shared" si="28"/>
        <v>1.220505735</v>
      </c>
    </row>
    <row r="59">
      <c r="A59" s="205">
        <v>8.0</v>
      </c>
      <c r="B59" s="205" t="s">
        <v>80</v>
      </c>
      <c r="C59" s="528">
        <f t="shared" ref="C59:C60" si="29">((C41-100%)/0.2%)*$C$47</f>
        <v>-8.305002428</v>
      </c>
      <c r="D59" s="528">
        <f t="shared" ref="D59:D60" si="30">((98%-D41)/1%)*$D$47</f>
        <v>1.97</v>
      </c>
      <c r="E59" s="528">
        <f t="shared" ref="E59:E60" si="31">MAX(-5,MIN(3,((E41-1)/1%)*0.1*$E$47))</f>
        <v>0</v>
      </c>
      <c r="F59" s="528">
        <f t="shared" ref="F59:F60" si="32">((F41-98%)/0.5%)*$F$47</f>
        <v>0.144</v>
      </c>
      <c r="G59" s="528">
        <f t="shared" ref="G59:G60" si="33">((G41-99%)/1%)*0.5*$G$47</f>
        <v>0.025</v>
      </c>
      <c r="H59" s="528">
        <f t="shared" ref="H59:H60" si="34">((2%-H41)/0.5%)*0.1*$H$47</f>
        <v>0.02</v>
      </c>
      <c r="I59" s="528">
        <f t="shared" ref="I59:I60" si="35">((I41-0.075%)/0.01%)*0.5*$I$47</f>
        <v>0.075</v>
      </c>
      <c r="J59" s="528">
        <f t="shared" ref="J59:J60" si="36">(-(J41-100%)/3%)*0.5*$J$47</f>
        <v>-0.7413333333</v>
      </c>
      <c r="K59" s="528">
        <f t="shared" ref="K59:K60" si="37">((K41-0.5%)/0.1%)*0.5*$K$47</f>
        <v>0.08</v>
      </c>
      <c r="L59" s="528">
        <f t="shared" ref="L59:L60" si="38">((L41-98%)/1%)*$L$47</f>
        <v>-0.35</v>
      </c>
      <c r="M59" s="528">
        <f t="shared" ref="M59:M60" si="39">((M41-99%)/0.5%)*$M$47</f>
        <v>-0.0277768</v>
      </c>
      <c r="N59" s="528">
        <f t="shared" ref="N59:N60" si="40">((3-N41)/0.1)*0.1*$N$47</f>
        <v>-0.117</v>
      </c>
      <c r="O59" s="528">
        <f t="shared" ref="O59:O60" si="41">MIN(0,((O41-100%)/2%)*$O$47)</f>
        <v>0</v>
      </c>
      <c r="P59" s="528">
        <f t="shared" ref="P59:P60" si="42">P56</f>
        <v>0</v>
      </c>
      <c r="Q59" s="528">
        <f t="shared" ref="Q59:Q60" si="43">100+sum(C59:P59)</f>
        <v>92.77288744</v>
      </c>
    </row>
    <row r="60">
      <c r="A60" s="205">
        <v>9.0</v>
      </c>
      <c r="B60" s="205" t="s">
        <v>81</v>
      </c>
      <c r="C60" s="528">
        <f t="shared" si="29"/>
        <v>-8.305002428</v>
      </c>
      <c r="D60" s="528">
        <f t="shared" si="30"/>
        <v>1.97</v>
      </c>
      <c r="E60" s="528">
        <f t="shared" si="31"/>
        <v>0</v>
      </c>
      <c r="F60" s="528">
        <f t="shared" si="32"/>
        <v>0.144</v>
      </c>
      <c r="G60" s="528">
        <f t="shared" si="33"/>
        <v>0.025</v>
      </c>
      <c r="H60" s="528">
        <f t="shared" si="34"/>
        <v>0.02</v>
      </c>
      <c r="I60" s="528">
        <f t="shared" si="35"/>
        <v>0.075</v>
      </c>
      <c r="J60" s="528">
        <f t="shared" si="36"/>
        <v>-0.7413333333</v>
      </c>
      <c r="K60" s="528">
        <f t="shared" si="37"/>
        <v>0.08</v>
      </c>
      <c r="L60" s="528">
        <f t="shared" si="38"/>
        <v>-0.35</v>
      </c>
      <c r="M60" s="528">
        <f t="shared" si="39"/>
        <v>-0.0277768</v>
      </c>
      <c r="N60" s="528">
        <f t="shared" si="40"/>
        <v>-0.117</v>
      </c>
      <c r="O60" s="528">
        <f t="shared" si="41"/>
        <v>0</v>
      </c>
      <c r="P60" s="528">
        <f t="shared" si="42"/>
        <v>0</v>
      </c>
      <c r="Q60" s="528">
        <f t="shared" si="43"/>
        <v>92.77288744</v>
      </c>
    </row>
    <row r="63" ht="41.25" customHeight="1">
      <c r="C63" s="529" t="s">
        <v>172</v>
      </c>
      <c r="D63" s="7"/>
      <c r="E63" s="9"/>
      <c r="F63" s="530" t="s">
        <v>99</v>
      </c>
      <c r="G63" s="7"/>
      <c r="H63" s="7"/>
      <c r="I63" s="7"/>
      <c r="J63" s="7"/>
      <c r="K63" s="7"/>
      <c r="L63" s="9"/>
    </row>
    <row r="64">
      <c r="C64" s="531" t="s">
        <v>174</v>
      </c>
      <c r="D64" s="532" t="s">
        <v>175</v>
      </c>
      <c r="E64" s="532" t="s">
        <v>176</v>
      </c>
      <c r="F64" s="533" t="s">
        <v>2</v>
      </c>
      <c r="G64" s="533" t="s">
        <v>101</v>
      </c>
      <c r="H64" s="533" t="s">
        <v>20</v>
      </c>
      <c r="I64" s="533" t="s">
        <v>30</v>
      </c>
      <c r="J64" s="533" t="s">
        <v>102</v>
      </c>
      <c r="K64" s="533" t="s">
        <v>103</v>
      </c>
      <c r="L64" s="533" t="s">
        <v>173</v>
      </c>
    </row>
    <row r="65">
      <c r="C65" s="534" t="s">
        <v>179</v>
      </c>
      <c r="D65" s="535" t="s">
        <v>180</v>
      </c>
      <c r="E65" s="536">
        <v>0.3</v>
      </c>
      <c r="F65" s="537"/>
      <c r="G65" s="537"/>
      <c r="H65" s="538"/>
      <c r="I65" s="538"/>
      <c r="J65" s="539"/>
      <c r="K65" s="539"/>
      <c r="L65" s="540"/>
    </row>
    <row r="66">
      <c r="C66" s="541">
        <v>1.0</v>
      </c>
      <c r="D66" s="541" t="s">
        <v>183</v>
      </c>
      <c r="E66" s="542">
        <v>0.15</v>
      </c>
      <c r="F66" s="543" t="s">
        <v>184</v>
      </c>
      <c r="G66" s="544" t="s">
        <v>185</v>
      </c>
      <c r="H66" s="546">
        <v>0.15</v>
      </c>
      <c r="I66" s="544">
        <v>125.672</v>
      </c>
      <c r="J66" s="547" t="s">
        <v>305</v>
      </c>
      <c r="K66" s="548" t="s">
        <v>306</v>
      </c>
      <c r="L66" s="544" t="s">
        <v>187</v>
      </c>
    </row>
    <row r="67">
      <c r="C67" s="549">
        <v>2.0</v>
      </c>
      <c r="D67" s="549" t="s">
        <v>195</v>
      </c>
      <c r="E67" s="550">
        <v>0.15</v>
      </c>
      <c r="F67" s="551" t="s">
        <v>196</v>
      </c>
      <c r="G67" s="552"/>
      <c r="H67" s="540"/>
      <c r="I67" s="552"/>
      <c r="J67" s="553"/>
      <c r="K67" s="554"/>
      <c r="L67" s="552"/>
    </row>
    <row r="68">
      <c r="C68" s="385"/>
      <c r="D68" s="385"/>
      <c r="E68" s="385"/>
      <c r="F68" s="555" t="s">
        <v>198</v>
      </c>
      <c r="G68" s="544" t="s">
        <v>166</v>
      </c>
      <c r="H68" s="546">
        <v>0.1</v>
      </c>
      <c r="I68" s="556">
        <v>0.98</v>
      </c>
      <c r="J68" s="547" t="s">
        <v>307</v>
      </c>
      <c r="K68" s="557" t="s">
        <v>200</v>
      </c>
      <c r="L68" s="544" t="s">
        <v>187</v>
      </c>
    </row>
    <row r="69">
      <c r="C69" s="388"/>
      <c r="D69" s="388"/>
      <c r="E69" s="388"/>
      <c r="F69" s="559" t="s">
        <v>202</v>
      </c>
      <c r="G69" s="544" t="s">
        <v>166</v>
      </c>
      <c r="H69" s="546">
        <v>0.05</v>
      </c>
      <c r="I69" s="544">
        <v>1.0</v>
      </c>
      <c r="J69" s="547" t="s">
        <v>308</v>
      </c>
      <c r="K69" s="548" t="s">
        <v>264</v>
      </c>
      <c r="L69" s="544" t="s">
        <v>187</v>
      </c>
    </row>
    <row r="70">
      <c r="C70" s="534" t="s">
        <v>204</v>
      </c>
      <c r="D70" s="535" t="s">
        <v>205</v>
      </c>
      <c r="E70" s="536">
        <v>0.25</v>
      </c>
      <c r="F70" s="540"/>
      <c r="G70" s="540"/>
      <c r="H70" s="538"/>
      <c r="I70" s="538"/>
      <c r="J70" s="561"/>
      <c r="K70" s="561"/>
      <c r="L70" s="540"/>
    </row>
    <row r="71">
      <c r="C71" s="403">
        <v>3.0</v>
      </c>
      <c r="D71" s="549" t="s">
        <v>207</v>
      </c>
      <c r="E71" s="550">
        <v>0.2</v>
      </c>
      <c r="F71" s="564" t="s">
        <v>208</v>
      </c>
      <c r="G71" s="552"/>
      <c r="H71" s="540"/>
      <c r="I71" s="552"/>
      <c r="J71" s="553"/>
      <c r="K71" s="553"/>
      <c r="L71" s="552"/>
    </row>
    <row r="72">
      <c r="C72" s="385"/>
      <c r="D72" s="385"/>
      <c r="E72" s="385"/>
      <c r="F72" s="565" t="s">
        <v>265</v>
      </c>
      <c r="G72" s="544" t="s">
        <v>166</v>
      </c>
      <c r="H72" s="546">
        <v>0.05</v>
      </c>
      <c r="I72" s="556">
        <v>0.98</v>
      </c>
      <c r="J72" s="547" t="s">
        <v>151</v>
      </c>
      <c r="K72" s="566" t="s">
        <v>309</v>
      </c>
      <c r="L72" s="544" t="s">
        <v>215</v>
      </c>
    </row>
    <row r="73">
      <c r="C73" s="385"/>
      <c r="D73" s="385"/>
      <c r="E73" s="385"/>
      <c r="F73" s="565" t="s">
        <v>270</v>
      </c>
      <c r="G73" s="544" t="s">
        <v>166</v>
      </c>
      <c r="H73" s="546">
        <v>0.05</v>
      </c>
      <c r="I73" s="556">
        <v>0.99</v>
      </c>
      <c r="J73" s="547" t="s">
        <v>151</v>
      </c>
      <c r="K73" s="566" t="s">
        <v>310</v>
      </c>
      <c r="L73" s="544" t="s">
        <v>215</v>
      </c>
    </row>
    <row r="74">
      <c r="C74" s="385"/>
      <c r="D74" s="385"/>
      <c r="E74" s="385"/>
      <c r="F74" s="565" t="s">
        <v>118</v>
      </c>
      <c r="G74" s="544" t="s">
        <v>166</v>
      </c>
      <c r="H74" s="546">
        <v>0.05</v>
      </c>
      <c r="I74" s="556">
        <v>0.02</v>
      </c>
      <c r="J74" s="547" t="s">
        <v>311</v>
      </c>
      <c r="K74" s="566" t="s">
        <v>312</v>
      </c>
      <c r="L74" s="544" t="s">
        <v>215</v>
      </c>
    </row>
    <row r="75">
      <c r="C75" s="388"/>
      <c r="D75" s="388"/>
      <c r="E75" s="388"/>
      <c r="F75" s="565" t="s">
        <v>220</v>
      </c>
      <c r="G75" s="544" t="s">
        <v>166</v>
      </c>
      <c r="H75" s="546">
        <v>0.05</v>
      </c>
      <c r="I75" s="568">
        <v>0.75</v>
      </c>
      <c r="J75" s="547" t="s">
        <v>313</v>
      </c>
      <c r="K75" s="566" t="s">
        <v>314</v>
      </c>
      <c r="L75" s="544" t="s">
        <v>215</v>
      </c>
    </row>
    <row r="76">
      <c r="C76" s="394">
        <v>4.0</v>
      </c>
      <c r="D76" s="569" t="s">
        <v>227</v>
      </c>
      <c r="E76" s="570">
        <v>0.05</v>
      </c>
      <c r="F76" s="564" t="s">
        <v>228</v>
      </c>
      <c r="G76" s="552"/>
      <c r="H76" s="540"/>
      <c r="I76" s="552"/>
      <c r="J76" s="553"/>
      <c r="K76" s="553"/>
      <c r="L76" s="552"/>
    </row>
    <row r="77">
      <c r="C77" s="385"/>
      <c r="D77" s="385"/>
      <c r="E77" s="385"/>
      <c r="F77" s="564" t="s">
        <v>229</v>
      </c>
      <c r="G77" s="552"/>
      <c r="H77" s="540"/>
      <c r="I77" s="552"/>
      <c r="J77" s="553"/>
      <c r="K77" s="553"/>
      <c r="L77" s="552"/>
    </row>
    <row r="78">
      <c r="C78" s="385"/>
      <c r="D78" s="385"/>
      <c r="E78" s="385"/>
      <c r="F78" s="565" t="s">
        <v>230</v>
      </c>
      <c r="G78" s="544" t="s">
        <v>167</v>
      </c>
      <c r="H78" s="546">
        <v>0.05</v>
      </c>
      <c r="I78" s="544">
        <v>2.165</v>
      </c>
      <c r="J78" s="547" t="s">
        <v>231</v>
      </c>
      <c r="K78" s="566" t="s">
        <v>279</v>
      </c>
      <c r="L78" s="544" t="s">
        <v>192</v>
      </c>
    </row>
    <row r="79">
      <c r="C79" s="534" t="s">
        <v>234</v>
      </c>
      <c r="D79" s="571" t="s">
        <v>235</v>
      </c>
      <c r="E79" s="572">
        <v>0.45</v>
      </c>
      <c r="F79" s="540"/>
      <c r="G79" s="540"/>
      <c r="H79" s="538"/>
      <c r="I79" s="538"/>
      <c r="J79" s="561"/>
      <c r="K79" s="561"/>
      <c r="L79" s="540"/>
    </row>
    <row r="80">
      <c r="C80" s="403">
        <v>5.0</v>
      </c>
      <c r="D80" s="549" t="s">
        <v>236</v>
      </c>
      <c r="E80" s="550">
        <v>0.25</v>
      </c>
      <c r="F80" s="557" t="s">
        <v>130</v>
      </c>
      <c r="G80" s="544" t="s">
        <v>166</v>
      </c>
      <c r="H80" s="546">
        <v>0.05</v>
      </c>
      <c r="I80" s="541" t="s">
        <v>237</v>
      </c>
      <c r="J80" s="547" t="s">
        <v>156</v>
      </c>
      <c r="K80" s="573" t="s">
        <v>315</v>
      </c>
      <c r="L80" s="365" t="s">
        <v>215</v>
      </c>
    </row>
    <row r="81">
      <c r="C81" s="385"/>
      <c r="D81" s="385"/>
      <c r="E81" s="385"/>
      <c r="F81" s="574" t="s">
        <v>282</v>
      </c>
      <c r="G81" s="365" t="s">
        <v>166</v>
      </c>
      <c r="H81" s="575">
        <v>0.05</v>
      </c>
      <c r="I81" s="365" t="s">
        <v>283</v>
      </c>
      <c r="J81" s="368" t="s">
        <v>157</v>
      </c>
      <c r="K81" s="414" t="s">
        <v>316</v>
      </c>
      <c r="L81" s="365" t="s">
        <v>215</v>
      </c>
    </row>
    <row r="82">
      <c r="C82" s="385"/>
      <c r="D82" s="385"/>
      <c r="E82" s="385"/>
      <c r="F82" s="574" t="s">
        <v>133</v>
      </c>
      <c r="G82" s="365" t="s">
        <v>166</v>
      </c>
      <c r="H82" s="575">
        <v>0.1</v>
      </c>
      <c r="I82" s="576">
        <v>0.99</v>
      </c>
      <c r="J82" s="383"/>
      <c r="K82" s="414" t="s">
        <v>319</v>
      </c>
      <c r="L82" s="365" t="s">
        <v>215</v>
      </c>
    </row>
    <row r="83">
      <c r="C83" s="385"/>
      <c r="D83" s="385"/>
      <c r="E83" s="385"/>
      <c r="F83" s="574" t="s">
        <v>135</v>
      </c>
      <c r="G83" s="365" t="s">
        <v>168</v>
      </c>
      <c r="H83" s="575">
        <v>0.05</v>
      </c>
      <c r="I83" s="365">
        <v>3.0</v>
      </c>
      <c r="J83" s="368" t="s">
        <v>159</v>
      </c>
      <c r="K83" s="414" t="s">
        <v>320</v>
      </c>
      <c r="L83" s="365" t="s">
        <v>215</v>
      </c>
    </row>
    <row r="84">
      <c r="C84" s="415">
        <v>7.0</v>
      </c>
      <c r="D84" s="541" t="s">
        <v>242</v>
      </c>
      <c r="E84" s="542">
        <v>0.2</v>
      </c>
      <c r="F84" s="557" t="s">
        <v>243</v>
      </c>
      <c r="G84" s="544" t="s">
        <v>166</v>
      </c>
      <c r="H84" s="546">
        <v>0.2</v>
      </c>
      <c r="I84" s="556">
        <v>1.0</v>
      </c>
      <c r="J84" s="547" t="s">
        <v>244</v>
      </c>
      <c r="K84" s="573" t="s">
        <v>245</v>
      </c>
      <c r="L84" s="544" t="s">
        <v>246</v>
      </c>
    </row>
    <row r="85">
      <c r="C85" s="415">
        <v>8.0</v>
      </c>
      <c r="D85" s="541" t="s">
        <v>249</v>
      </c>
      <c r="E85" s="541" t="s">
        <v>250</v>
      </c>
      <c r="F85" s="574" t="s">
        <v>251</v>
      </c>
      <c r="G85" s="384"/>
      <c r="H85" s="575">
        <v>0.0</v>
      </c>
      <c r="I85" s="381"/>
      <c r="J85" s="368" t="s">
        <v>46</v>
      </c>
      <c r="K85" s="376" t="s">
        <v>252</v>
      </c>
      <c r="L85" s="365" t="s">
        <v>246</v>
      </c>
    </row>
    <row r="86">
      <c r="C86" s="417"/>
      <c r="D86" s="564" t="s">
        <v>253</v>
      </c>
      <c r="E86" s="542">
        <v>1.0</v>
      </c>
      <c r="F86" s="577"/>
      <c r="G86" s="579"/>
      <c r="H86" s="572">
        <v>1.0</v>
      </c>
      <c r="I86" s="580"/>
      <c r="J86" s="577"/>
      <c r="K86" s="577"/>
      <c r="L86" s="552"/>
    </row>
    <row r="87">
      <c r="C87" s="417"/>
      <c r="D87" s="564" t="s">
        <v>254</v>
      </c>
      <c r="E87" s="541">
        <v>8.0</v>
      </c>
      <c r="F87" s="577"/>
      <c r="G87" s="579"/>
      <c r="H87" s="581">
        <v>13.0</v>
      </c>
      <c r="I87" s="580"/>
      <c r="J87" s="577"/>
      <c r="K87" s="577"/>
      <c r="L87" s="552"/>
    </row>
  </sheetData>
  <mergeCells count="17">
    <mergeCell ref="C6:P6"/>
    <mergeCell ref="C26:P26"/>
    <mergeCell ref="C45:P45"/>
    <mergeCell ref="C63:E63"/>
    <mergeCell ref="F63:L63"/>
    <mergeCell ref="D67:D69"/>
    <mergeCell ref="E67:E69"/>
    <mergeCell ref="C80:C83"/>
    <mergeCell ref="D80:D83"/>
    <mergeCell ref="E80:E83"/>
    <mergeCell ref="C67:C69"/>
    <mergeCell ref="C71:C75"/>
    <mergeCell ref="D71:D75"/>
    <mergeCell ref="E71:E75"/>
    <mergeCell ref="C76:C78"/>
    <mergeCell ref="D76:D78"/>
    <mergeCell ref="E76:E78"/>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4.5"/>
    <col customWidth="1" min="9" max="9" width="22.0"/>
    <col customWidth="1" min="12" max="12" width="13.88"/>
    <col customWidth="1" min="13" max="13" width="11.63"/>
    <col customWidth="1" min="14" max="14" width="15.13"/>
  </cols>
  <sheetData>
    <row r="6">
      <c r="A6" s="1"/>
      <c r="B6" s="6"/>
      <c r="C6" s="8" t="s">
        <v>290</v>
      </c>
      <c r="D6" s="7"/>
      <c r="E6" s="7"/>
      <c r="F6" s="7"/>
      <c r="G6" s="7"/>
      <c r="H6" s="7"/>
      <c r="I6" s="7"/>
      <c r="J6" s="7"/>
      <c r="K6" s="7"/>
      <c r="L6" s="7"/>
      <c r="M6" s="7"/>
      <c r="N6" s="7"/>
      <c r="O6" s="7"/>
      <c r="P6" s="9"/>
      <c r="Q6" s="3"/>
      <c r="R6" s="3"/>
      <c r="S6" s="3"/>
      <c r="T6" s="3"/>
      <c r="U6" s="3"/>
      <c r="V6" s="3"/>
      <c r="W6" s="3"/>
      <c r="X6" s="3"/>
      <c r="Y6" s="3"/>
      <c r="Z6" s="3"/>
      <c r="AA6" s="3"/>
      <c r="AB6" s="3"/>
      <c r="AC6" s="3"/>
      <c r="AD6" s="3"/>
      <c r="AE6" s="3"/>
      <c r="AF6" s="3"/>
      <c r="AG6" s="3"/>
      <c r="AH6" s="3"/>
      <c r="AI6" s="3"/>
      <c r="AJ6" s="3"/>
      <c r="AK6" s="3"/>
      <c r="AL6" s="3"/>
      <c r="AM6" s="3"/>
      <c r="AN6" s="3"/>
      <c r="AO6" s="3"/>
      <c r="AP6" s="3"/>
    </row>
    <row r="7" ht="96.75" customHeight="1">
      <c r="A7" s="11"/>
      <c r="B7" s="15" t="s">
        <v>2</v>
      </c>
      <c r="C7" s="16" t="s">
        <v>3</v>
      </c>
      <c r="D7" s="18" t="s">
        <v>66</v>
      </c>
      <c r="E7" s="18" t="s">
        <v>67</v>
      </c>
      <c r="F7" s="18" t="s">
        <v>68</v>
      </c>
      <c r="G7" s="18" t="s">
        <v>69</v>
      </c>
      <c r="H7" s="18" t="s">
        <v>8</v>
      </c>
      <c r="I7" s="18" t="s">
        <v>9</v>
      </c>
      <c r="J7" s="18" t="s">
        <v>70</v>
      </c>
      <c r="K7" s="18" t="s">
        <v>71</v>
      </c>
      <c r="L7" s="18" t="s">
        <v>72</v>
      </c>
      <c r="M7" s="18" t="s">
        <v>13</v>
      </c>
      <c r="N7" s="18" t="s">
        <v>14</v>
      </c>
      <c r="O7" s="18" t="s">
        <v>73</v>
      </c>
      <c r="P7" s="18" t="s">
        <v>74</v>
      </c>
      <c r="Q7" s="135" t="s">
        <v>18</v>
      </c>
      <c r="S7" s="3"/>
      <c r="T7" s="3"/>
      <c r="U7" s="3"/>
      <c r="V7" s="3"/>
      <c r="W7" s="3"/>
      <c r="X7" s="3"/>
      <c r="Y7" s="3"/>
      <c r="Z7" s="3"/>
      <c r="AA7" s="3"/>
      <c r="AB7" s="3"/>
      <c r="AC7" s="3"/>
      <c r="AD7" s="3"/>
      <c r="AE7" s="3"/>
      <c r="AF7" s="3"/>
      <c r="AG7" s="3"/>
      <c r="AH7" s="3"/>
      <c r="AI7" s="3"/>
      <c r="AJ7" s="3"/>
      <c r="AK7" s="3"/>
      <c r="AL7" s="3"/>
      <c r="AM7" s="3"/>
      <c r="AN7" s="3"/>
      <c r="AO7" s="3"/>
      <c r="AP7" s="3"/>
    </row>
    <row r="8">
      <c r="A8" s="26"/>
      <c r="B8" s="250" t="s">
        <v>20</v>
      </c>
      <c r="C8" s="193">
        <v>0.15</v>
      </c>
      <c r="D8" s="136">
        <v>0.1</v>
      </c>
      <c r="E8" s="136">
        <v>0.05</v>
      </c>
      <c r="F8" s="136">
        <v>0.05</v>
      </c>
      <c r="G8" s="136">
        <v>0.05</v>
      </c>
      <c r="H8" s="136">
        <v>0.05</v>
      </c>
      <c r="I8" s="136">
        <v>0.05</v>
      </c>
      <c r="J8" s="136">
        <v>0.05</v>
      </c>
      <c r="K8" s="136">
        <v>0.05</v>
      </c>
      <c r="L8" s="136">
        <v>0.05</v>
      </c>
      <c r="M8" s="32">
        <v>0.1</v>
      </c>
      <c r="N8" s="136">
        <v>0.05</v>
      </c>
      <c r="O8" s="136">
        <v>0.2</v>
      </c>
      <c r="P8" s="136">
        <v>0.0</v>
      </c>
      <c r="Q8" s="138">
        <f>sum(C8:P8)</f>
        <v>1</v>
      </c>
      <c r="S8" s="3"/>
      <c r="T8" s="3"/>
      <c r="U8" s="3"/>
      <c r="V8" s="3"/>
      <c r="W8" s="3"/>
      <c r="X8" s="3"/>
      <c r="Y8" s="3"/>
      <c r="Z8" s="3"/>
      <c r="AA8" s="3"/>
      <c r="AB8" s="3"/>
      <c r="AC8" s="3"/>
      <c r="AD8" s="3"/>
      <c r="AE8" s="3"/>
      <c r="AF8" s="3"/>
      <c r="AG8" s="3"/>
      <c r="AH8" s="3"/>
      <c r="AI8" s="3"/>
      <c r="AJ8" s="3"/>
      <c r="AK8" s="3"/>
      <c r="AL8" s="3"/>
      <c r="AM8" s="3"/>
      <c r="AN8" s="3"/>
      <c r="AO8" s="3"/>
      <c r="AP8" s="3"/>
    </row>
    <row r="9">
      <c r="A9" s="71"/>
      <c r="B9" s="43" t="s">
        <v>24</v>
      </c>
      <c r="C9" s="300" t="s">
        <v>148</v>
      </c>
      <c r="D9" s="47" t="s">
        <v>293</v>
      </c>
      <c r="E9" s="47" t="s">
        <v>150</v>
      </c>
      <c r="F9" s="47" t="s">
        <v>151</v>
      </c>
      <c r="G9" s="47" t="s">
        <v>271</v>
      </c>
      <c r="H9" s="47" t="s">
        <v>218</v>
      </c>
      <c r="I9" s="47" t="s">
        <v>291</v>
      </c>
      <c r="J9" s="47" t="s">
        <v>155</v>
      </c>
      <c r="K9" s="47" t="s">
        <v>156</v>
      </c>
      <c r="L9" s="47" t="s">
        <v>157</v>
      </c>
      <c r="M9" s="47" t="s">
        <v>36</v>
      </c>
      <c r="N9" s="47" t="s">
        <v>159</v>
      </c>
      <c r="O9" s="47" t="s">
        <v>244</v>
      </c>
      <c r="P9" s="47"/>
      <c r="Q9" s="147"/>
      <c r="S9" s="52"/>
      <c r="T9" s="52"/>
      <c r="U9" s="52"/>
      <c r="V9" s="52"/>
      <c r="W9" s="52"/>
      <c r="X9" s="52"/>
      <c r="Y9" s="52"/>
      <c r="Z9" s="52"/>
      <c r="AA9" s="52"/>
      <c r="AB9" s="52"/>
      <c r="AC9" s="52"/>
      <c r="AD9" s="52"/>
      <c r="AE9" s="52"/>
      <c r="AF9" s="52"/>
      <c r="AG9" s="52"/>
      <c r="AH9" s="52"/>
      <c r="AI9" s="52"/>
      <c r="AJ9" s="52"/>
      <c r="AK9" s="52"/>
      <c r="AL9" s="52"/>
      <c r="AM9" s="52"/>
      <c r="AN9" s="52"/>
      <c r="AO9" s="52"/>
      <c r="AP9" s="52"/>
    </row>
    <row r="10">
      <c r="B10" s="260" t="s">
        <v>22</v>
      </c>
      <c r="C10" s="304" t="s">
        <v>23</v>
      </c>
      <c r="D10" s="74" t="s">
        <v>166</v>
      </c>
      <c r="E10" s="74"/>
      <c r="F10" s="74" t="s">
        <v>166</v>
      </c>
      <c r="G10" s="74" t="s">
        <v>166</v>
      </c>
      <c r="H10" s="74" t="s">
        <v>166</v>
      </c>
      <c r="I10" s="74" t="s">
        <v>166</v>
      </c>
      <c r="J10" s="74" t="s">
        <v>167</v>
      </c>
      <c r="K10" s="78" t="s">
        <v>166</v>
      </c>
      <c r="L10" s="74" t="s">
        <v>166</v>
      </c>
      <c r="M10" s="74" t="s">
        <v>166</v>
      </c>
      <c r="N10" s="74" t="s">
        <v>168</v>
      </c>
      <c r="O10" s="74" t="s">
        <v>166</v>
      </c>
      <c r="P10" s="306" t="s">
        <v>166</v>
      </c>
      <c r="Q10" s="274"/>
      <c r="S10" s="69"/>
      <c r="T10" s="69"/>
      <c r="U10" s="69"/>
      <c r="V10" s="69"/>
      <c r="W10" s="69"/>
      <c r="X10" s="69"/>
      <c r="Y10" s="69"/>
      <c r="Z10" s="69"/>
      <c r="AA10" s="69"/>
      <c r="AB10" s="69"/>
      <c r="AC10" s="69"/>
      <c r="AD10" s="69"/>
      <c r="AE10" s="69"/>
      <c r="AF10" s="69"/>
      <c r="AG10" s="69"/>
      <c r="AH10" s="69"/>
      <c r="AI10" s="69"/>
      <c r="AJ10" s="69"/>
      <c r="AK10" s="69"/>
      <c r="AL10" s="69"/>
      <c r="AM10" s="69"/>
      <c r="AN10" s="69"/>
      <c r="AO10" s="69"/>
      <c r="AP10" s="69"/>
    </row>
    <row r="11">
      <c r="A11" s="26" t="s">
        <v>28</v>
      </c>
      <c r="B11" s="260" t="s">
        <v>30</v>
      </c>
      <c r="C11" s="466">
        <v>126175.0</v>
      </c>
      <c r="D11" s="53">
        <v>0.98</v>
      </c>
      <c r="E11" s="74">
        <v>1.0</v>
      </c>
      <c r="F11" s="141">
        <v>0.98</v>
      </c>
      <c r="G11" s="53">
        <v>0.99</v>
      </c>
      <c r="H11" s="53">
        <v>0.02</v>
      </c>
      <c r="I11" s="50">
        <v>6.5E-4</v>
      </c>
      <c r="J11" s="199" t="s">
        <v>79</v>
      </c>
      <c r="K11" s="53">
        <v>0.005</v>
      </c>
      <c r="L11" s="53">
        <v>0.98</v>
      </c>
      <c r="M11" s="141">
        <v>0.99</v>
      </c>
      <c r="N11" s="74">
        <v>3.0</v>
      </c>
      <c r="O11" s="35">
        <v>1.0</v>
      </c>
      <c r="P11" s="202"/>
      <c r="Q11" s="147"/>
      <c r="S11" s="69"/>
      <c r="T11" s="69"/>
      <c r="U11" s="69"/>
      <c r="V11" s="69"/>
      <c r="W11" s="69"/>
      <c r="X11" s="69"/>
      <c r="Y11" s="69"/>
      <c r="Z11" s="69"/>
      <c r="AA11" s="69"/>
      <c r="AB11" s="69"/>
      <c r="AC11" s="69"/>
      <c r="AD11" s="69"/>
      <c r="AE11" s="69"/>
      <c r="AF11" s="69"/>
      <c r="AG11" s="69"/>
      <c r="AH11" s="69"/>
      <c r="AI11" s="69"/>
      <c r="AJ11" s="69"/>
      <c r="AK11" s="69"/>
      <c r="AL11" s="69"/>
      <c r="AM11" s="69"/>
      <c r="AN11" s="69"/>
      <c r="AO11" s="69"/>
      <c r="AP11" s="69"/>
    </row>
    <row r="12">
      <c r="A12" s="54">
        <v>1.0</v>
      </c>
      <c r="B12" s="310" t="s">
        <v>42</v>
      </c>
      <c r="C12" s="392">
        <f>'1. Tổng doanh thu'!M12</f>
        <v>25547</v>
      </c>
      <c r="D12" s="84">
        <f>'2. SD Điện tiết kiệm'!Q13</f>
        <v>0.9856</v>
      </c>
      <c r="E12" s="323">
        <v>1.0</v>
      </c>
      <c r="F12" s="467">
        <v>0.993</v>
      </c>
      <c r="G12" s="322">
        <v>1.0</v>
      </c>
      <c r="H12" s="84">
        <v>0.0</v>
      </c>
      <c r="I12" s="86">
        <f>'7.  TLTB BRCĐMyTVTSLC'!J12</f>
        <v>0.0007</v>
      </c>
      <c r="J12" s="84">
        <f>'8. SLTB hủy'!F26</f>
        <v>1.1124</v>
      </c>
      <c r="K12" s="325">
        <f>'9. TLTB BRCĐ bị gián đoạn DV'!F12</f>
        <v>0</v>
      </c>
      <c r="L12" s="462">
        <f>'10. TL XLSC VT-CNTT đúng hạn'!F13</f>
        <v>0.92</v>
      </c>
      <c r="M12" s="462">
        <f>'11. CLHT VT-CNTT (QoSQoE)'!Q27/100</f>
        <v>0.9874629</v>
      </c>
      <c r="N12" s="464">
        <f>'12. TG MLL TBDĐ'!R13</f>
        <v>5.76</v>
      </c>
      <c r="O12" s="84">
        <v>1.0</v>
      </c>
      <c r="P12" s="465">
        <v>1.0</v>
      </c>
      <c r="Q12" s="147"/>
      <c r="S12" s="3"/>
      <c r="T12" s="3"/>
      <c r="U12" s="3"/>
      <c r="V12" s="3"/>
      <c r="W12" s="3"/>
      <c r="X12" s="3"/>
      <c r="Y12" s="3"/>
      <c r="Z12" s="3"/>
      <c r="AA12" s="3"/>
      <c r="AB12" s="3"/>
      <c r="AC12" s="3"/>
      <c r="AD12" s="3"/>
      <c r="AE12" s="3"/>
      <c r="AF12" s="3"/>
      <c r="AG12" s="3"/>
      <c r="AH12" s="3"/>
      <c r="AI12" s="3"/>
      <c r="AJ12" s="3"/>
      <c r="AK12" s="3"/>
      <c r="AL12" s="3"/>
      <c r="AM12" s="3"/>
      <c r="AN12" s="3"/>
      <c r="AO12" s="3"/>
      <c r="AP12" s="3"/>
    </row>
    <row r="13">
      <c r="A13" s="54">
        <v>2.0</v>
      </c>
      <c r="B13" s="310" t="s">
        <v>44</v>
      </c>
      <c r="C13" s="392">
        <f>'1. Tổng doanh thu'!M14</f>
        <v>15153</v>
      </c>
      <c r="D13" s="84">
        <f>'2. SD Điện tiết kiệm'!Q14</f>
        <v>1.0058</v>
      </c>
      <c r="E13" s="323">
        <v>1.0</v>
      </c>
      <c r="F13" s="468">
        <v>0.9854</v>
      </c>
      <c r="G13" s="322">
        <v>1.0</v>
      </c>
      <c r="H13" s="86">
        <v>0.0</v>
      </c>
      <c r="I13" s="86">
        <f>'7.  TLTB BRCĐMyTVTSLC'!J14</f>
        <v>0.0022</v>
      </c>
      <c r="J13" s="84">
        <f>'8. SLTB hủy'!F28</f>
        <v>1.0458</v>
      </c>
      <c r="K13" s="325">
        <f>'9. TLTB BRCĐ bị gián đoạn DV'!F14</f>
        <v>0.0005</v>
      </c>
      <c r="L13" s="324">
        <f>'10. TL XLSC VT-CNTT đúng hạn'!F15</f>
        <v>0.99</v>
      </c>
      <c r="M13" s="84">
        <f>'11. CLHT VT-CNTT (QoSQoE)'!Q29/100</f>
        <v>0.98626202</v>
      </c>
      <c r="N13" s="326">
        <f>'12. TG MLL TBDĐ'!R15</f>
        <v>15.79</v>
      </c>
      <c r="O13" s="84">
        <v>1.0</v>
      </c>
      <c r="P13" s="465">
        <v>1.0</v>
      </c>
      <c r="Q13" s="413"/>
      <c r="S13" s="3"/>
      <c r="T13" s="3"/>
      <c r="U13" s="3"/>
      <c r="V13" s="3"/>
      <c r="W13" s="3"/>
      <c r="X13" s="3"/>
      <c r="Y13" s="3"/>
      <c r="Z13" s="3"/>
      <c r="AA13" s="3"/>
      <c r="AB13" s="3"/>
      <c r="AC13" s="3"/>
      <c r="AD13" s="3"/>
      <c r="AE13" s="3"/>
      <c r="AF13" s="3"/>
      <c r="AG13" s="3"/>
      <c r="AH13" s="3"/>
      <c r="AI13" s="3"/>
      <c r="AJ13" s="3"/>
      <c r="AK13" s="3"/>
      <c r="AL13" s="3"/>
      <c r="AM13" s="3"/>
      <c r="AN13" s="3"/>
      <c r="AO13" s="3"/>
      <c r="AP13" s="3"/>
    </row>
    <row r="14">
      <c r="A14" s="54">
        <v>3.0</v>
      </c>
      <c r="B14" s="310" t="s">
        <v>45</v>
      </c>
      <c r="C14" s="392">
        <f>'1. Tổng doanh thu'!M15</f>
        <v>13034</v>
      </c>
      <c r="D14" s="84">
        <f>'2. SD Điện tiết kiệm'!Q15</f>
        <v>0.7298</v>
      </c>
      <c r="E14" s="323">
        <v>1.0</v>
      </c>
      <c r="F14" s="468">
        <v>0.9921</v>
      </c>
      <c r="G14" s="322">
        <v>1.0</v>
      </c>
      <c r="H14" s="86">
        <v>0.0</v>
      </c>
      <c r="I14" s="84">
        <f>'7.  TLTB BRCĐMyTVTSLC'!J15</f>
        <v>0.00057</v>
      </c>
      <c r="J14" s="84">
        <f>'8. SLTB hủy'!F29</f>
        <v>1.2234</v>
      </c>
      <c r="K14" s="325">
        <f>'9. TLTB BRCĐ bị gián đoạn DV'!F15</f>
        <v>0</v>
      </c>
      <c r="L14" s="324">
        <f>'10. TL XLSC VT-CNTT đúng hạn'!F16</f>
        <v>1</v>
      </c>
      <c r="M14" s="84">
        <f>'11. CLHT VT-CNTT (QoSQoE)'!Q30/100</f>
        <v>0.98555588</v>
      </c>
      <c r="N14" s="326">
        <f>'12. TG MLL TBDĐ'!R16</f>
        <v>1.76</v>
      </c>
      <c r="O14" s="84">
        <v>1.0</v>
      </c>
      <c r="P14" s="465">
        <v>1.0</v>
      </c>
      <c r="Q14" s="413"/>
      <c r="S14" s="3"/>
      <c r="T14" s="3"/>
      <c r="U14" s="3"/>
      <c r="V14" s="3"/>
      <c r="W14" s="3"/>
      <c r="X14" s="3"/>
      <c r="Y14" s="3"/>
      <c r="Z14" s="3"/>
      <c r="AA14" s="3"/>
      <c r="AB14" s="3"/>
      <c r="AC14" s="3"/>
      <c r="AD14" s="3"/>
      <c r="AE14" s="3"/>
      <c r="AF14" s="3"/>
      <c r="AG14" s="3"/>
      <c r="AH14" s="3"/>
      <c r="AI14" s="3"/>
      <c r="AJ14" s="3"/>
      <c r="AK14" s="3"/>
      <c r="AL14" s="3"/>
      <c r="AM14" s="3"/>
      <c r="AN14" s="3"/>
      <c r="AO14" s="3"/>
      <c r="AP14" s="3"/>
    </row>
    <row r="15">
      <c r="A15" s="54">
        <v>4.0</v>
      </c>
      <c r="B15" s="310" t="s">
        <v>47</v>
      </c>
      <c r="C15" s="392">
        <f>'1. Tổng doanh thu'!M16</f>
        <v>25254</v>
      </c>
      <c r="D15" s="84">
        <f>'2. SD Điện tiết kiệm'!Q16</f>
        <v>0.8406</v>
      </c>
      <c r="E15" s="323">
        <v>1.0</v>
      </c>
      <c r="F15" s="468">
        <v>0.9947</v>
      </c>
      <c r="G15" s="322">
        <v>1.0</v>
      </c>
      <c r="H15" s="86">
        <v>0.0</v>
      </c>
      <c r="I15" s="86">
        <f>'7.  TLTB BRCĐMyTVTSLC'!J16</f>
        <v>0.00054</v>
      </c>
      <c r="J15" s="84">
        <f>'8. SLTB hủy'!F30</f>
        <v>1.1897</v>
      </c>
      <c r="K15" s="325">
        <f>'9. TLTB BRCĐ bị gián đoạn DV'!F16</f>
        <v>0</v>
      </c>
      <c r="L15" s="324">
        <f>'10. TL XLSC VT-CNTT đúng hạn'!F17</f>
        <v>0.95</v>
      </c>
      <c r="M15" s="84">
        <f>'11. CLHT VT-CNTT (QoSQoE)'!Q31/100</f>
        <v>0.9868329</v>
      </c>
      <c r="N15" s="326">
        <f>'12. TG MLL TBDĐ'!R17</f>
        <v>4.15</v>
      </c>
      <c r="O15" s="84">
        <v>1.0</v>
      </c>
      <c r="P15" s="465">
        <v>1.0</v>
      </c>
      <c r="Q15" s="413"/>
      <c r="S15" s="3"/>
      <c r="T15" s="3"/>
      <c r="U15" s="3"/>
      <c r="V15" s="3"/>
      <c r="W15" s="3"/>
      <c r="X15" s="3"/>
      <c r="Y15" s="3"/>
      <c r="Z15" s="3"/>
      <c r="AA15" s="3"/>
      <c r="AB15" s="3"/>
      <c r="AC15" s="3"/>
      <c r="AD15" s="3"/>
      <c r="AE15" s="3"/>
      <c r="AF15" s="3"/>
      <c r="AG15" s="3"/>
      <c r="AH15" s="3"/>
      <c r="AI15" s="3"/>
      <c r="AJ15" s="3"/>
      <c r="AK15" s="3"/>
      <c r="AL15" s="3"/>
      <c r="AM15" s="3"/>
      <c r="AN15" s="3"/>
      <c r="AO15" s="3"/>
      <c r="AP15" s="3"/>
    </row>
    <row r="16">
      <c r="A16" s="54">
        <v>5.0</v>
      </c>
      <c r="B16" s="310" t="s">
        <v>48</v>
      </c>
      <c r="C16" s="392">
        <f>'1. Tổng doanh thu'!M17</f>
        <v>11101</v>
      </c>
      <c r="D16" s="84">
        <f>'2. SD Điện tiết kiệm'!Q17</f>
        <v>0.533</v>
      </c>
      <c r="E16" s="323">
        <v>1.0</v>
      </c>
      <c r="F16" s="468">
        <v>1.0</v>
      </c>
      <c r="G16" s="322">
        <v>1.0</v>
      </c>
      <c r="H16" s="86">
        <v>0.0</v>
      </c>
      <c r="I16" s="86">
        <f>'7.  TLTB BRCĐMyTVTSLC'!J17</f>
        <v>0.00296</v>
      </c>
      <c r="J16" s="84">
        <f>'8. SLTB hủy'!F31</f>
        <v>1.7536</v>
      </c>
      <c r="K16" s="325">
        <f>'9. TLTB BRCĐ bị gián đoạn DV'!F17</f>
        <v>0</v>
      </c>
      <c r="L16" s="324">
        <f>'10. TL XLSC VT-CNTT đúng hạn'!F18</f>
        <v>0.83</v>
      </c>
      <c r="M16" s="84">
        <f>'11. CLHT VT-CNTT (QoSQoE)'!Q32/100</f>
        <v>0.98653964</v>
      </c>
      <c r="N16" s="326">
        <f>'12. TG MLL TBDĐ'!R18</f>
        <v>2.12</v>
      </c>
      <c r="O16" s="84">
        <v>1.0</v>
      </c>
      <c r="P16" s="465">
        <v>1.0</v>
      </c>
      <c r="Q16" s="423"/>
      <c r="S16" s="3"/>
      <c r="T16" s="3"/>
      <c r="U16" s="3"/>
      <c r="V16" s="3"/>
      <c r="W16" s="3"/>
      <c r="X16" s="3"/>
      <c r="Y16" s="3"/>
      <c r="Z16" s="3"/>
      <c r="AA16" s="3"/>
      <c r="AB16" s="3"/>
      <c r="AC16" s="3"/>
      <c r="AD16" s="3"/>
      <c r="AE16" s="3"/>
      <c r="AF16" s="3"/>
      <c r="AG16" s="3"/>
      <c r="AH16" s="3"/>
      <c r="AI16" s="3"/>
      <c r="AJ16" s="3"/>
      <c r="AK16" s="3"/>
      <c r="AL16" s="3"/>
      <c r="AM16" s="3"/>
      <c r="AN16" s="3"/>
      <c r="AO16" s="3"/>
      <c r="AP16" s="3"/>
    </row>
    <row r="17">
      <c r="A17" s="54">
        <v>6.0</v>
      </c>
      <c r="B17" s="310" t="s">
        <v>49</v>
      </c>
      <c r="C17" s="392">
        <f>'1. Tổng doanh thu'!M18</f>
        <v>17878</v>
      </c>
      <c r="D17" s="84">
        <f>'2. SD Điện tiết kiệm'!Q18</f>
        <v>0.7244</v>
      </c>
      <c r="E17" s="323">
        <v>1.0</v>
      </c>
      <c r="F17" s="468">
        <v>1.0</v>
      </c>
      <c r="G17" s="322">
        <v>1.0</v>
      </c>
      <c r="H17" s="86">
        <v>0.0</v>
      </c>
      <c r="I17" s="84">
        <f>'7.  TLTB BRCĐMyTVTSLC'!J18</f>
        <v>0.00103</v>
      </c>
      <c r="J17" s="84">
        <f>'8. SLTB hủy'!F32</f>
        <v>1.4704</v>
      </c>
      <c r="K17" s="325">
        <f>'9. TLTB BRCĐ bị gián đoạn DV'!F18</f>
        <v>0</v>
      </c>
      <c r="L17" s="324">
        <f>'10. TL XLSC VT-CNTT đúng hạn'!F19</f>
        <v>0.94</v>
      </c>
      <c r="M17" s="84">
        <f>'11. CLHT VT-CNTT (QoSQoE)'!Q33/100</f>
        <v>0.97791386</v>
      </c>
      <c r="N17" s="326">
        <f>'12. TG MLL TBDĐ'!R19</f>
        <v>4.17</v>
      </c>
      <c r="O17" s="84">
        <v>1.0</v>
      </c>
      <c r="P17" s="465">
        <v>1.0</v>
      </c>
      <c r="Q17" s="425"/>
      <c r="S17" s="3"/>
      <c r="T17" s="3"/>
      <c r="U17" s="3"/>
      <c r="V17" s="3"/>
      <c r="W17" s="3"/>
      <c r="X17" s="3"/>
      <c r="Y17" s="3"/>
      <c r="Z17" s="3"/>
      <c r="AA17" s="3"/>
      <c r="AB17" s="3"/>
      <c r="AC17" s="3"/>
      <c r="AD17" s="3"/>
      <c r="AE17" s="3"/>
      <c r="AF17" s="3"/>
      <c r="AG17" s="3"/>
      <c r="AH17" s="3"/>
      <c r="AI17" s="3"/>
      <c r="AJ17" s="3"/>
      <c r="AK17" s="3"/>
      <c r="AL17" s="3"/>
      <c r="AM17" s="3"/>
      <c r="AN17" s="3"/>
      <c r="AO17" s="3"/>
      <c r="AP17" s="3"/>
    </row>
    <row r="18">
      <c r="A18" s="54">
        <v>7.0</v>
      </c>
      <c r="B18" s="332" t="s">
        <v>43</v>
      </c>
      <c r="C18" s="426">
        <f>'1. Tổng doanh thu'!M13</f>
        <v>16363</v>
      </c>
      <c r="D18" s="84">
        <f>'2. SD Điện tiết kiệm'!Q19</f>
        <v>0.8884</v>
      </c>
      <c r="E18" s="323">
        <v>1.0</v>
      </c>
      <c r="F18" s="497">
        <v>0.9898</v>
      </c>
      <c r="G18" s="322">
        <v>1.0</v>
      </c>
      <c r="H18" s="86">
        <v>0.0</v>
      </c>
      <c r="I18" s="86">
        <f>'7.  TLTB BRCĐMyTVTSLC'!J13</f>
        <v>0.0008</v>
      </c>
      <c r="J18" s="84">
        <f>'8. SLTB hủy'!F27</f>
        <v>1.7634</v>
      </c>
      <c r="K18" s="325">
        <f>'9. TLTB BRCĐ bị gián đoạn DV'!F13</f>
        <v>0.0336</v>
      </c>
      <c r="L18" s="324">
        <f>'10. TL XLSC VT-CNTT đúng hạn'!F14</f>
        <v>0.85</v>
      </c>
      <c r="M18" s="84">
        <f>'11. CLHT VT-CNTT (QoSQoE)'!Q28/100</f>
        <v>0.9864828</v>
      </c>
      <c r="N18" s="326">
        <f>'12. TG MLL TBDĐ'!R14</f>
        <v>12.42</v>
      </c>
      <c r="O18" s="110">
        <v>1.0</v>
      </c>
      <c r="P18" s="465">
        <v>1.0</v>
      </c>
      <c r="Q18" s="427"/>
      <c r="S18" s="3"/>
      <c r="T18" s="3"/>
      <c r="U18" s="3"/>
      <c r="V18" s="3"/>
      <c r="W18" s="3"/>
      <c r="X18" s="3"/>
      <c r="Y18" s="3"/>
      <c r="Z18" s="3"/>
      <c r="AA18" s="3"/>
      <c r="AB18" s="3"/>
      <c r="AC18" s="3"/>
      <c r="AD18" s="3"/>
      <c r="AE18" s="3"/>
      <c r="AF18" s="3"/>
      <c r="AG18" s="3"/>
      <c r="AH18" s="3"/>
      <c r="AI18" s="3"/>
      <c r="AJ18" s="3"/>
      <c r="AK18" s="3"/>
      <c r="AL18" s="3"/>
      <c r="AM18" s="3"/>
      <c r="AN18" s="3"/>
      <c r="AO18" s="3"/>
      <c r="AP18" s="3"/>
    </row>
    <row r="19">
      <c r="A19" s="89"/>
      <c r="B19" s="209" t="s">
        <v>50</v>
      </c>
      <c r="C19" s="337">
        <f>'1. Tổng doanh thu'!M19</f>
        <v>124330</v>
      </c>
      <c r="D19" s="338">
        <f>'2. SD Điện tiết kiệm'!Q20</f>
        <v>0.8152</v>
      </c>
      <c r="E19" s="339">
        <v>1.0</v>
      </c>
      <c r="F19" s="349">
        <v>0.9947</v>
      </c>
      <c r="G19" s="342">
        <v>1.0</v>
      </c>
      <c r="H19" s="344">
        <v>0.0</v>
      </c>
      <c r="I19" s="489">
        <f>'7.  TLTB BRCĐMyTVTSLC'!J19</f>
        <v>0.00116</v>
      </c>
      <c r="J19" s="490">
        <f>'8. SLTB hủy'!F25</f>
        <v>1.328</v>
      </c>
      <c r="K19" s="348">
        <f>'9. TLTB BRCĐ bị gián đoạn DV'!F19</f>
        <v>0.0046</v>
      </c>
      <c r="L19" s="349">
        <f>'10. TL XLSC VT-CNTT đúng hạn'!F12</f>
        <v>0.94</v>
      </c>
      <c r="M19" s="349">
        <f>'11. CLHT VT-CNTT (QoSQoE)'!Q34/100</f>
        <v>0.98843404</v>
      </c>
      <c r="N19" s="209">
        <f>'12. TG MLL TBDĐ'!R12</f>
        <v>7.03</v>
      </c>
      <c r="O19" s="492">
        <v>1.0</v>
      </c>
      <c r="P19" s="493">
        <v>1.0</v>
      </c>
      <c r="Q19" s="430"/>
      <c r="R19" s="356"/>
      <c r="S19" s="356"/>
      <c r="T19" s="356"/>
      <c r="U19" s="356"/>
      <c r="V19" s="356"/>
      <c r="W19" s="356"/>
      <c r="X19" s="356"/>
      <c r="Y19" s="356"/>
      <c r="Z19" s="356"/>
      <c r="AA19" s="356"/>
      <c r="AB19" s="356"/>
      <c r="AC19" s="356"/>
      <c r="AD19" s="356"/>
      <c r="AE19" s="356"/>
      <c r="AF19" s="356"/>
      <c r="AG19" s="356"/>
      <c r="AH19" s="356"/>
      <c r="AI19" s="356"/>
      <c r="AJ19" s="356"/>
      <c r="AK19" s="356"/>
      <c r="AL19" s="356"/>
      <c r="AM19" s="356"/>
      <c r="AN19" s="356"/>
      <c r="AO19" s="356"/>
      <c r="AP19" s="356"/>
    </row>
    <row r="20">
      <c r="F20" s="205" t="s">
        <v>181</v>
      </c>
      <c r="L20" s="205" t="s">
        <v>298</v>
      </c>
    </row>
    <row r="21">
      <c r="B21" s="205" t="s">
        <v>78</v>
      </c>
      <c r="C21" s="494">
        <v>124182.0</v>
      </c>
    </row>
    <row r="22">
      <c r="A22" s="205">
        <v>8.0</v>
      </c>
      <c r="B22" s="205" t="s">
        <v>80</v>
      </c>
      <c r="C22" s="495">
        <f>'1. Tổng doanh thu'!M20</f>
        <v>5036</v>
      </c>
      <c r="D22" s="275">
        <f t="shared" ref="D22:P22" si="1">D19</f>
        <v>0.8152</v>
      </c>
      <c r="E22" s="496">
        <f t="shared" si="1"/>
        <v>1</v>
      </c>
      <c r="F22" s="275">
        <f t="shared" si="1"/>
        <v>0.9947</v>
      </c>
      <c r="G22" s="275">
        <f t="shared" si="1"/>
        <v>1</v>
      </c>
      <c r="H22" s="498">
        <f t="shared" si="1"/>
        <v>0</v>
      </c>
      <c r="I22" s="498">
        <f t="shared" si="1"/>
        <v>0.00116</v>
      </c>
      <c r="J22" s="275">
        <f t="shared" si="1"/>
        <v>1.328</v>
      </c>
      <c r="K22" s="275">
        <f t="shared" si="1"/>
        <v>0.0046</v>
      </c>
      <c r="L22" s="275">
        <f t="shared" si="1"/>
        <v>0.94</v>
      </c>
      <c r="M22" s="275">
        <f t="shared" si="1"/>
        <v>0.98843404</v>
      </c>
      <c r="N22" s="496">
        <f t="shared" si="1"/>
        <v>7.03</v>
      </c>
      <c r="O22" s="275">
        <f t="shared" si="1"/>
        <v>1</v>
      </c>
      <c r="P22" s="275">
        <f t="shared" si="1"/>
        <v>1</v>
      </c>
    </row>
    <row r="23">
      <c r="A23" s="205">
        <v>9.0</v>
      </c>
      <c r="B23" s="205" t="s">
        <v>81</v>
      </c>
      <c r="C23" s="495">
        <f>'1. Tổng doanh thu'!M21</f>
        <v>5036</v>
      </c>
      <c r="D23" s="275">
        <f t="shared" ref="D23:P23" si="2">D19</f>
        <v>0.8152</v>
      </c>
      <c r="E23" s="496">
        <f t="shared" si="2"/>
        <v>1</v>
      </c>
      <c r="F23" s="275">
        <f t="shared" si="2"/>
        <v>0.9947</v>
      </c>
      <c r="G23" s="275">
        <f t="shared" si="2"/>
        <v>1</v>
      </c>
      <c r="H23" s="498">
        <f t="shared" si="2"/>
        <v>0</v>
      </c>
      <c r="I23" s="498">
        <f t="shared" si="2"/>
        <v>0.00116</v>
      </c>
      <c r="J23" s="275">
        <f t="shared" si="2"/>
        <v>1.328</v>
      </c>
      <c r="K23" s="275">
        <f t="shared" si="2"/>
        <v>0.0046</v>
      </c>
      <c r="L23" s="275">
        <f t="shared" si="2"/>
        <v>0.94</v>
      </c>
      <c r="M23" s="275">
        <f t="shared" si="2"/>
        <v>0.98843404</v>
      </c>
      <c r="N23" s="496">
        <f t="shared" si="2"/>
        <v>7.03</v>
      </c>
      <c r="O23" s="275">
        <f t="shared" si="2"/>
        <v>1</v>
      </c>
      <c r="P23" s="275">
        <f t="shared" si="2"/>
        <v>1</v>
      </c>
    </row>
    <row r="27">
      <c r="A27" s="1"/>
      <c r="B27" s="6"/>
      <c r="C27" s="8" t="s">
        <v>302</v>
      </c>
      <c r="D27" s="7"/>
      <c r="E27" s="7"/>
      <c r="F27" s="7"/>
      <c r="G27" s="7"/>
      <c r="H27" s="7"/>
      <c r="I27" s="7"/>
      <c r="J27" s="7"/>
      <c r="K27" s="7"/>
      <c r="L27" s="7"/>
      <c r="M27" s="7"/>
      <c r="N27" s="7"/>
      <c r="O27" s="7"/>
      <c r="P27" s="9"/>
      <c r="Q27" s="3"/>
    </row>
    <row r="28">
      <c r="A28" s="11"/>
      <c r="B28" s="15" t="s">
        <v>2</v>
      </c>
      <c r="C28" s="16" t="s">
        <v>3</v>
      </c>
      <c r="D28" s="18" t="s">
        <v>66</v>
      </c>
      <c r="E28" s="18" t="s">
        <v>67</v>
      </c>
      <c r="F28" s="18" t="s">
        <v>68</v>
      </c>
      <c r="G28" s="18" t="s">
        <v>69</v>
      </c>
      <c r="H28" s="21" t="s">
        <v>8</v>
      </c>
      <c r="I28" s="18" t="s">
        <v>9</v>
      </c>
      <c r="J28" s="18" t="s">
        <v>70</v>
      </c>
      <c r="K28" s="18" t="s">
        <v>71</v>
      </c>
      <c r="L28" s="18" t="s">
        <v>72</v>
      </c>
      <c r="M28" s="18" t="s">
        <v>13</v>
      </c>
      <c r="N28" s="18" t="s">
        <v>14</v>
      </c>
      <c r="O28" s="18" t="s">
        <v>73</v>
      </c>
      <c r="P28" s="18" t="s">
        <v>74</v>
      </c>
      <c r="Q28" s="135" t="s">
        <v>18</v>
      </c>
    </row>
    <row r="29">
      <c r="A29" s="26"/>
      <c r="B29" s="500" t="s">
        <v>20</v>
      </c>
      <c r="C29" s="193">
        <v>0.15</v>
      </c>
      <c r="D29" s="136">
        <v>0.1</v>
      </c>
      <c r="E29" s="136">
        <v>0.05</v>
      </c>
      <c r="F29" s="136">
        <v>0.05</v>
      </c>
      <c r="G29" s="136">
        <v>0.05</v>
      </c>
      <c r="H29" s="136">
        <v>0.05</v>
      </c>
      <c r="I29" s="136">
        <v>0.05</v>
      </c>
      <c r="J29" s="136">
        <v>0.05</v>
      </c>
      <c r="K29" s="136">
        <v>0.05</v>
      </c>
      <c r="L29" s="136">
        <v>0.05</v>
      </c>
      <c r="M29" s="32">
        <v>0.1</v>
      </c>
      <c r="N29" s="136">
        <v>0.05</v>
      </c>
      <c r="O29" s="136">
        <v>0.2</v>
      </c>
      <c r="P29" s="136">
        <v>0.0</v>
      </c>
      <c r="Q29" s="138">
        <f>sum(C29:P29)</f>
        <v>1</v>
      </c>
    </row>
    <row r="30">
      <c r="A30" s="71"/>
      <c r="B30" s="43" t="s">
        <v>24</v>
      </c>
      <c r="C30" s="300" t="s">
        <v>148</v>
      </c>
      <c r="D30" s="47" t="s">
        <v>293</v>
      </c>
      <c r="E30" s="47" t="s">
        <v>150</v>
      </c>
      <c r="F30" s="47" t="s">
        <v>151</v>
      </c>
      <c r="G30" s="47" t="s">
        <v>271</v>
      </c>
      <c r="H30" s="47" t="s">
        <v>218</v>
      </c>
      <c r="I30" s="47" t="s">
        <v>291</v>
      </c>
      <c r="J30" s="47" t="s">
        <v>155</v>
      </c>
      <c r="K30" s="47" t="s">
        <v>156</v>
      </c>
      <c r="L30" s="47" t="s">
        <v>157</v>
      </c>
      <c r="M30" s="47"/>
      <c r="N30" s="47" t="s">
        <v>159</v>
      </c>
      <c r="O30" s="47" t="s">
        <v>244</v>
      </c>
      <c r="P30" s="47"/>
      <c r="Q30" s="147"/>
    </row>
    <row r="31">
      <c r="A31" s="26"/>
      <c r="B31" s="260" t="s">
        <v>22</v>
      </c>
      <c r="C31" s="304" t="s">
        <v>23</v>
      </c>
      <c r="D31" s="74" t="s">
        <v>166</v>
      </c>
      <c r="E31" s="74"/>
      <c r="F31" s="74" t="s">
        <v>166</v>
      </c>
      <c r="G31" s="74" t="s">
        <v>166</v>
      </c>
      <c r="H31" s="74" t="s">
        <v>166</v>
      </c>
      <c r="I31" s="74" t="s">
        <v>166</v>
      </c>
      <c r="J31" s="74" t="s">
        <v>167</v>
      </c>
      <c r="K31" s="78" t="s">
        <v>166</v>
      </c>
      <c r="L31" s="74" t="s">
        <v>166</v>
      </c>
      <c r="M31" s="74" t="s">
        <v>166</v>
      </c>
      <c r="N31" s="74" t="s">
        <v>168</v>
      </c>
      <c r="O31" s="74" t="s">
        <v>166</v>
      </c>
      <c r="P31" s="306" t="s">
        <v>166</v>
      </c>
      <c r="Q31" s="274"/>
    </row>
    <row r="32">
      <c r="A32" s="26" t="s">
        <v>28</v>
      </c>
      <c r="B32" s="260" t="s">
        <v>30</v>
      </c>
      <c r="C32" s="466">
        <v>126175.0</v>
      </c>
      <c r="D32" s="53">
        <v>0.98</v>
      </c>
      <c r="E32" s="74">
        <v>1.0</v>
      </c>
      <c r="F32" s="141">
        <v>0.98</v>
      </c>
      <c r="G32" s="53">
        <v>0.99</v>
      </c>
      <c r="H32" s="53">
        <v>0.02</v>
      </c>
      <c r="I32" s="50">
        <v>6.5E-4</v>
      </c>
      <c r="J32" s="144" t="s">
        <v>79</v>
      </c>
      <c r="K32" s="53">
        <v>0.005</v>
      </c>
      <c r="L32" s="53">
        <v>0.98</v>
      </c>
      <c r="M32" s="141">
        <v>0.99</v>
      </c>
      <c r="N32" s="74">
        <v>3.0</v>
      </c>
      <c r="O32" s="35">
        <v>1.0</v>
      </c>
      <c r="P32" s="202"/>
      <c r="Q32" s="147"/>
    </row>
    <row r="33">
      <c r="A33" s="54">
        <v>1.0</v>
      </c>
      <c r="B33" s="310" t="s">
        <v>42</v>
      </c>
      <c r="C33" s="82">
        <f>'1. Tổng doanh thu'!N12</f>
        <v>0.9871329212</v>
      </c>
      <c r="D33" s="84">
        <f t="shared" ref="D33:D40" si="4">D12</f>
        <v>0.9856</v>
      </c>
      <c r="E33" s="87">
        <v>1.0</v>
      </c>
      <c r="F33" s="462">
        <f t="shared" ref="F33:N33" si="3">F12</f>
        <v>0.993</v>
      </c>
      <c r="G33" s="322">
        <f t="shared" si="3"/>
        <v>1</v>
      </c>
      <c r="H33" s="86">
        <f t="shared" si="3"/>
        <v>0</v>
      </c>
      <c r="I33" s="465">
        <f t="shared" si="3"/>
        <v>0.0007</v>
      </c>
      <c r="J33" s="509">
        <f t="shared" si="3"/>
        <v>1.1124</v>
      </c>
      <c r="K33" s="275">
        <f t="shared" si="3"/>
        <v>0</v>
      </c>
      <c r="L33" s="515">
        <f t="shared" si="3"/>
        <v>0.92</v>
      </c>
      <c r="M33" s="462">
        <f t="shared" si="3"/>
        <v>0.9874629</v>
      </c>
      <c r="N33" s="510">
        <f t="shared" si="3"/>
        <v>5.76</v>
      </c>
      <c r="O33" s="84">
        <v>1.0</v>
      </c>
      <c r="P33" s="465">
        <v>1.0</v>
      </c>
      <c r="Q33" s="400"/>
    </row>
    <row r="34">
      <c r="A34" s="54">
        <v>2.0</v>
      </c>
      <c r="B34" s="310" t="s">
        <v>44</v>
      </c>
      <c r="C34" s="82">
        <f>'1. Tổng doanh thu'!N14</f>
        <v>0.9892283588</v>
      </c>
      <c r="D34" s="84">
        <f t="shared" si="4"/>
        <v>1.0058</v>
      </c>
      <c r="E34" s="87">
        <v>1.0</v>
      </c>
      <c r="F34" s="462">
        <f t="shared" ref="F34:N34" si="5">F13</f>
        <v>0.9854</v>
      </c>
      <c r="G34" s="322">
        <f t="shared" si="5"/>
        <v>1</v>
      </c>
      <c r="H34" s="86">
        <f t="shared" si="5"/>
        <v>0</v>
      </c>
      <c r="I34" s="465">
        <f t="shared" si="5"/>
        <v>0.0022</v>
      </c>
      <c r="J34" s="83">
        <f t="shared" si="5"/>
        <v>1.0458</v>
      </c>
      <c r="K34" s="275">
        <f t="shared" si="5"/>
        <v>0.0005</v>
      </c>
      <c r="L34" s="515">
        <f t="shared" si="5"/>
        <v>0.99</v>
      </c>
      <c r="M34" s="462">
        <f t="shared" si="5"/>
        <v>0.98626202</v>
      </c>
      <c r="N34" s="510">
        <f t="shared" si="5"/>
        <v>15.79</v>
      </c>
      <c r="O34" s="84">
        <v>1.0</v>
      </c>
      <c r="P34" s="465">
        <v>1.0</v>
      </c>
      <c r="Q34" s="423"/>
    </row>
    <row r="35">
      <c r="A35" s="54">
        <v>3.0</v>
      </c>
      <c r="B35" s="310" t="s">
        <v>45</v>
      </c>
      <c r="C35" s="82">
        <f>'1. Tổng doanh thu'!N15</f>
        <v>1.018122168</v>
      </c>
      <c r="D35" s="84">
        <f t="shared" si="4"/>
        <v>0.7298</v>
      </c>
      <c r="E35" s="87">
        <v>1.0</v>
      </c>
      <c r="F35" s="462">
        <f t="shared" ref="F35:N35" si="6">F14</f>
        <v>0.9921</v>
      </c>
      <c r="G35" s="322">
        <f t="shared" si="6"/>
        <v>1</v>
      </c>
      <c r="H35" s="86">
        <f t="shared" si="6"/>
        <v>0</v>
      </c>
      <c r="I35" s="465">
        <f t="shared" si="6"/>
        <v>0.00057</v>
      </c>
      <c r="J35" s="83">
        <f t="shared" si="6"/>
        <v>1.2234</v>
      </c>
      <c r="K35" s="275">
        <f t="shared" si="6"/>
        <v>0</v>
      </c>
      <c r="L35" s="515">
        <f t="shared" si="6"/>
        <v>1</v>
      </c>
      <c r="M35" s="462">
        <f t="shared" si="6"/>
        <v>0.98555588</v>
      </c>
      <c r="N35" s="510">
        <f t="shared" si="6"/>
        <v>1.76</v>
      </c>
      <c r="O35" s="84">
        <v>1.0</v>
      </c>
      <c r="P35" s="465">
        <v>1.0</v>
      </c>
      <c r="Q35" s="423"/>
    </row>
    <row r="36">
      <c r="A36" s="54">
        <v>4.0</v>
      </c>
      <c r="B36" s="310" t="s">
        <v>47</v>
      </c>
      <c r="C36" s="82">
        <f>'1. Tổng doanh thu'!N16</f>
        <v>1.013484228</v>
      </c>
      <c r="D36" s="84">
        <f t="shared" si="4"/>
        <v>0.8406</v>
      </c>
      <c r="E36" s="87">
        <v>1.0</v>
      </c>
      <c r="F36" s="462">
        <f t="shared" ref="F36:N36" si="7">F15</f>
        <v>0.9947</v>
      </c>
      <c r="G36" s="322">
        <f t="shared" si="7"/>
        <v>1</v>
      </c>
      <c r="H36" s="86">
        <f t="shared" si="7"/>
        <v>0</v>
      </c>
      <c r="I36" s="465">
        <f t="shared" si="7"/>
        <v>0.00054</v>
      </c>
      <c r="J36" s="83">
        <f t="shared" si="7"/>
        <v>1.1897</v>
      </c>
      <c r="K36" s="275">
        <f t="shared" si="7"/>
        <v>0</v>
      </c>
      <c r="L36" s="515">
        <f t="shared" si="7"/>
        <v>0.95</v>
      </c>
      <c r="M36" s="462">
        <f t="shared" si="7"/>
        <v>0.9868329</v>
      </c>
      <c r="N36" s="510">
        <f t="shared" si="7"/>
        <v>4.15</v>
      </c>
      <c r="O36" s="84">
        <v>1.0</v>
      </c>
      <c r="P36" s="465">
        <v>1.0</v>
      </c>
      <c r="Q36" s="423"/>
    </row>
    <row r="37">
      <c r="A37" s="54">
        <v>5.0</v>
      </c>
      <c r="B37" s="310" t="s">
        <v>48</v>
      </c>
      <c r="C37" s="82">
        <f>'1. Tổng doanh thu'!N17</f>
        <v>1.004070188</v>
      </c>
      <c r="D37" s="84">
        <f t="shared" si="4"/>
        <v>0.533</v>
      </c>
      <c r="E37" s="87">
        <v>1.0</v>
      </c>
      <c r="F37" s="462">
        <f t="shared" ref="F37:N37" si="8">F16</f>
        <v>1</v>
      </c>
      <c r="G37" s="322">
        <f t="shared" si="8"/>
        <v>1</v>
      </c>
      <c r="H37" s="86">
        <f t="shared" si="8"/>
        <v>0</v>
      </c>
      <c r="I37" s="465">
        <f t="shared" si="8"/>
        <v>0.00296</v>
      </c>
      <c r="J37" s="83">
        <f t="shared" si="8"/>
        <v>1.7536</v>
      </c>
      <c r="K37" s="275">
        <f t="shared" si="8"/>
        <v>0</v>
      </c>
      <c r="L37" s="515">
        <f t="shared" si="8"/>
        <v>0.83</v>
      </c>
      <c r="M37" s="462">
        <f t="shared" si="8"/>
        <v>0.98653964</v>
      </c>
      <c r="N37" s="510">
        <f t="shared" si="8"/>
        <v>2.12</v>
      </c>
      <c r="O37" s="84">
        <v>1.0</v>
      </c>
      <c r="P37" s="465">
        <v>1.0</v>
      </c>
      <c r="Q37" s="423"/>
    </row>
    <row r="38">
      <c r="A38" s="54">
        <v>6.0</v>
      </c>
      <c r="B38" s="310" t="s">
        <v>49</v>
      </c>
      <c r="C38" s="82">
        <f>'1. Tổng doanh thu'!N18</f>
        <v>1.011084719</v>
      </c>
      <c r="D38" s="84">
        <f t="shared" si="4"/>
        <v>0.7244</v>
      </c>
      <c r="E38" s="87">
        <v>1.0</v>
      </c>
      <c r="F38" s="462">
        <f t="shared" ref="F38:N38" si="9">F17</f>
        <v>1</v>
      </c>
      <c r="G38" s="322">
        <f t="shared" si="9"/>
        <v>1</v>
      </c>
      <c r="H38" s="86">
        <f t="shared" si="9"/>
        <v>0</v>
      </c>
      <c r="I38" s="465">
        <f t="shared" si="9"/>
        <v>0.00103</v>
      </c>
      <c r="J38" s="83">
        <f t="shared" si="9"/>
        <v>1.4704</v>
      </c>
      <c r="K38" s="275">
        <f t="shared" si="9"/>
        <v>0</v>
      </c>
      <c r="L38" s="515">
        <f t="shared" si="9"/>
        <v>0.94</v>
      </c>
      <c r="M38" s="462">
        <f t="shared" si="9"/>
        <v>0.97791386</v>
      </c>
      <c r="N38" s="510">
        <f t="shared" si="9"/>
        <v>4.17</v>
      </c>
      <c r="O38" s="84">
        <v>1.0</v>
      </c>
      <c r="P38" s="465">
        <v>1.0</v>
      </c>
      <c r="Q38" s="423"/>
    </row>
    <row r="39">
      <c r="A39" s="54">
        <v>7.0</v>
      </c>
      <c r="B39" s="332" t="s">
        <v>43</v>
      </c>
      <c r="C39" s="82">
        <f>'1. Tổng doanh thu'!N13</f>
        <v>0.9828808265</v>
      </c>
      <c r="D39" s="84">
        <f t="shared" si="4"/>
        <v>0.8884</v>
      </c>
      <c r="E39" s="87">
        <v>1.0</v>
      </c>
      <c r="F39" s="462">
        <f t="shared" ref="F39:N39" si="10">F18</f>
        <v>0.9898</v>
      </c>
      <c r="G39" s="322">
        <f t="shared" si="10"/>
        <v>1</v>
      </c>
      <c r="H39" s="86">
        <f t="shared" si="10"/>
        <v>0</v>
      </c>
      <c r="I39" s="465">
        <f t="shared" si="10"/>
        <v>0.0008</v>
      </c>
      <c r="J39" s="83">
        <f t="shared" si="10"/>
        <v>1.7634</v>
      </c>
      <c r="K39" s="275">
        <f t="shared" si="10"/>
        <v>0.0336</v>
      </c>
      <c r="L39" s="515">
        <f t="shared" si="10"/>
        <v>0.85</v>
      </c>
      <c r="M39" s="462">
        <f t="shared" si="10"/>
        <v>0.9864828</v>
      </c>
      <c r="N39" s="510">
        <f t="shared" si="10"/>
        <v>12.42</v>
      </c>
      <c r="O39" s="110">
        <v>1.0</v>
      </c>
      <c r="P39" s="465">
        <v>1.0</v>
      </c>
      <c r="Q39" s="449"/>
    </row>
    <row r="40">
      <c r="A40" s="89"/>
      <c r="B40" s="209" t="s">
        <v>50</v>
      </c>
      <c r="C40" s="518">
        <f>'1. Tổng doanh thu'!N19</f>
        <v>1.000209165</v>
      </c>
      <c r="D40" s="519">
        <f t="shared" si="4"/>
        <v>0.8152</v>
      </c>
      <c r="E40" s="339">
        <v>1.0</v>
      </c>
      <c r="F40" s="520">
        <f t="shared" ref="F40:N40" si="11">F19</f>
        <v>0.9947</v>
      </c>
      <c r="G40" s="521">
        <f t="shared" si="11"/>
        <v>1</v>
      </c>
      <c r="H40" s="522">
        <f t="shared" si="11"/>
        <v>0</v>
      </c>
      <c r="I40" s="523">
        <f t="shared" si="11"/>
        <v>0.00116</v>
      </c>
      <c r="J40" s="524">
        <f t="shared" si="11"/>
        <v>1.328</v>
      </c>
      <c r="K40" s="525">
        <f t="shared" si="11"/>
        <v>0.0046</v>
      </c>
      <c r="L40" s="526">
        <f t="shared" si="11"/>
        <v>0.94</v>
      </c>
      <c r="M40" s="520">
        <f t="shared" si="11"/>
        <v>0.98843404</v>
      </c>
      <c r="N40" s="527">
        <f t="shared" si="11"/>
        <v>7.03</v>
      </c>
      <c r="O40" s="492">
        <v>1.0</v>
      </c>
      <c r="P40" s="493">
        <v>1.0</v>
      </c>
      <c r="Q40" s="430"/>
      <c r="R40" s="356"/>
      <c r="S40" s="356"/>
      <c r="T40" s="356"/>
      <c r="U40" s="356"/>
      <c r="V40" s="356"/>
      <c r="W40" s="356"/>
      <c r="X40" s="356"/>
      <c r="Y40" s="356"/>
      <c r="Z40" s="356"/>
      <c r="AA40" s="356"/>
      <c r="AB40" s="356"/>
      <c r="AC40" s="356"/>
      <c r="AD40" s="356"/>
      <c r="AE40" s="356"/>
      <c r="AF40" s="356"/>
      <c r="AG40" s="356"/>
      <c r="AH40" s="356"/>
      <c r="AI40" s="356"/>
      <c r="AJ40" s="356"/>
      <c r="AK40" s="356"/>
      <c r="AL40" s="356"/>
      <c r="AM40" s="356"/>
      <c r="AN40" s="356"/>
      <c r="AO40" s="356"/>
      <c r="AP40" s="356"/>
    </row>
    <row r="41">
      <c r="B41" s="205" t="s">
        <v>78</v>
      </c>
      <c r="C41" s="273">
        <v>0.98421</v>
      </c>
      <c r="D41" s="272">
        <v>0.85315</v>
      </c>
      <c r="E41" s="205">
        <v>1.0</v>
      </c>
      <c r="F41" s="272">
        <v>0.992</v>
      </c>
      <c r="G41" s="402">
        <v>1.0</v>
      </c>
      <c r="H41" s="402">
        <v>1.01</v>
      </c>
      <c r="I41" s="272">
        <v>0.0012</v>
      </c>
      <c r="J41" s="272">
        <v>1.3136</v>
      </c>
      <c r="K41" s="272">
        <v>0.0049</v>
      </c>
      <c r="L41" s="402">
        <v>0.94</v>
      </c>
      <c r="M41" s="272">
        <v>0.9885</v>
      </c>
      <c r="N41" s="205">
        <v>12.008</v>
      </c>
      <c r="O41" s="402">
        <v>1.0</v>
      </c>
    </row>
    <row r="42">
      <c r="A42" s="205">
        <v>8.0</v>
      </c>
      <c r="B42" s="205" t="s">
        <v>80</v>
      </c>
      <c r="C42" s="275">
        <f>'1. Tổng doanh thu'!N20</f>
        <v>1.203057812</v>
      </c>
      <c r="D42" s="275">
        <f t="shared" ref="D42:P42" si="12">D40</f>
        <v>0.8152</v>
      </c>
      <c r="E42" s="496">
        <f t="shared" si="12"/>
        <v>1</v>
      </c>
      <c r="F42" s="275">
        <f t="shared" si="12"/>
        <v>0.9947</v>
      </c>
      <c r="G42" s="275">
        <f t="shared" si="12"/>
        <v>1</v>
      </c>
      <c r="H42" s="498">
        <f t="shared" si="12"/>
        <v>0</v>
      </c>
      <c r="I42" s="275">
        <f t="shared" si="12"/>
        <v>0.00116</v>
      </c>
      <c r="J42" s="275">
        <f t="shared" si="12"/>
        <v>1.328</v>
      </c>
      <c r="K42" s="275">
        <f t="shared" si="12"/>
        <v>0.0046</v>
      </c>
      <c r="L42" s="275">
        <f t="shared" si="12"/>
        <v>0.94</v>
      </c>
      <c r="M42" s="275">
        <f t="shared" si="12"/>
        <v>0.98843404</v>
      </c>
      <c r="N42" s="496">
        <f t="shared" si="12"/>
        <v>7.03</v>
      </c>
      <c r="O42" s="275">
        <f t="shared" si="12"/>
        <v>1</v>
      </c>
      <c r="P42" s="275">
        <f t="shared" si="12"/>
        <v>1</v>
      </c>
    </row>
    <row r="43">
      <c r="A43" s="205">
        <v>9.0</v>
      </c>
      <c r="B43" s="205" t="s">
        <v>81</v>
      </c>
      <c r="C43" s="275">
        <f>'1. Tổng doanh thu'!N21</f>
        <v>1.203057812</v>
      </c>
      <c r="D43" s="275">
        <f t="shared" ref="D43:P43" si="13">D40</f>
        <v>0.8152</v>
      </c>
      <c r="E43" s="496">
        <f t="shared" si="13"/>
        <v>1</v>
      </c>
      <c r="F43" s="275">
        <f t="shared" si="13"/>
        <v>0.9947</v>
      </c>
      <c r="G43" s="275">
        <f t="shared" si="13"/>
        <v>1</v>
      </c>
      <c r="H43" s="498">
        <f t="shared" si="13"/>
        <v>0</v>
      </c>
      <c r="I43" s="275">
        <f t="shared" si="13"/>
        <v>0.00116</v>
      </c>
      <c r="J43" s="275">
        <f t="shared" si="13"/>
        <v>1.328</v>
      </c>
      <c r="K43" s="275">
        <f t="shared" si="13"/>
        <v>0.0046</v>
      </c>
      <c r="L43" s="275">
        <f t="shared" si="13"/>
        <v>0.94</v>
      </c>
      <c r="M43" s="275">
        <f t="shared" si="13"/>
        <v>0.98843404</v>
      </c>
      <c r="N43" s="496">
        <f t="shared" si="13"/>
        <v>7.03</v>
      </c>
      <c r="O43" s="275">
        <f t="shared" si="13"/>
        <v>1</v>
      </c>
      <c r="P43" s="275">
        <f t="shared" si="13"/>
        <v>1</v>
      </c>
    </row>
    <row r="46">
      <c r="A46" s="1"/>
      <c r="B46" s="6"/>
      <c r="C46" s="8" t="s">
        <v>62</v>
      </c>
      <c r="D46" s="7"/>
      <c r="E46" s="7"/>
      <c r="F46" s="7"/>
      <c r="G46" s="7"/>
      <c r="H46" s="7"/>
      <c r="I46" s="7"/>
      <c r="J46" s="7"/>
      <c r="K46" s="7"/>
      <c r="L46" s="7"/>
      <c r="M46" s="7"/>
      <c r="N46" s="7"/>
      <c r="O46" s="7"/>
      <c r="P46" s="9"/>
      <c r="Q46" s="127"/>
    </row>
    <row r="47">
      <c r="A47" s="11"/>
      <c r="B47" s="15" t="s">
        <v>2</v>
      </c>
      <c r="C47" s="16" t="s">
        <v>3</v>
      </c>
      <c r="D47" s="18" t="s">
        <v>66</v>
      </c>
      <c r="E47" s="18" t="s">
        <v>67</v>
      </c>
      <c r="F47" s="18" t="s">
        <v>68</v>
      </c>
      <c r="G47" s="21" t="s">
        <v>69</v>
      </c>
      <c r="H47" s="21" t="s">
        <v>8</v>
      </c>
      <c r="I47" s="21" t="s">
        <v>9</v>
      </c>
      <c r="J47" s="18" t="s">
        <v>70</v>
      </c>
      <c r="K47" s="18" t="s">
        <v>71</v>
      </c>
      <c r="L47" s="21" t="s">
        <v>72</v>
      </c>
      <c r="M47" s="18" t="s">
        <v>13</v>
      </c>
      <c r="N47" s="18" t="s">
        <v>14</v>
      </c>
      <c r="O47" s="18" t="s">
        <v>73</v>
      </c>
      <c r="P47" s="18" t="s">
        <v>74</v>
      </c>
      <c r="Q47" s="135" t="s">
        <v>18</v>
      </c>
    </row>
    <row r="48">
      <c r="B48" s="72" t="s">
        <v>20</v>
      </c>
      <c r="C48" s="193">
        <v>0.15</v>
      </c>
      <c r="D48" s="136">
        <v>0.1</v>
      </c>
      <c r="E48" s="136">
        <v>0.05</v>
      </c>
      <c r="F48" s="136">
        <v>0.05</v>
      </c>
      <c r="G48" s="136">
        <v>0.05</v>
      </c>
      <c r="H48" s="136">
        <v>0.05</v>
      </c>
      <c r="I48" s="136">
        <v>0.05</v>
      </c>
      <c r="J48" s="136">
        <v>0.05</v>
      </c>
      <c r="K48" s="136">
        <v>0.05</v>
      </c>
      <c r="L48" s="136">
        <v>0.05</v>
      </c>
      <c r="M48" s="32">
        <v>0.1</v>
      </c>
      <c r="N48" s="136">
        <v>0.05</v>
      </c>
      <c r="O48" s="136">
        <v>0.2</v>
      </c>
      <c r="P48" s="136">
        <v>0.0</v>
      </c>
      <c r="Q48" s="138">
        <f>sum(C48:P48)</f>
        <v>1</v>
      </c>
    </row>
    <row r="49">
      <c r="A49" s="26" t="s">
        <v>28</v>
      </c>
      <c r="B49" s="139" t="s">
        <v>30</v>
      </c>
      <c r="C49" s="196">
        <v>126.175</v>
      </c>
      <c r="D49" s="53">
        <v>0.98</v>
      </c>
      <c r="E49" s="74">
        <v>1.0</v>
      </c>
      <c r="F49" s="141">
        <v>0.98</v>
      </c>
      <c r="G49" s="53">
        <v>0.99</v>
      </c>
      <c r="H49" s="53">
        <v>0.02</v>
      </c>
      <c r="I49" s="50">
        <v>6.5E-4</v>
      </c>
      <c r="J49" s="199" t="s">
        <v>79</v>
      </c>
      <c r="K49" s="53">
        <v>0.005</v>
      </c>
      <c r="L49" s="53">
        <v>0.98</v>
      </c>
      <c r="M49" s="141">
        <v>0.99</v>
      </c>
      <c r="N49" s="74">
        <v>3.0</v>
      </c>
      <c r="O49" s="35">
        <v>1.0</v>
      </c>
      <c r="P49" s="202"/>
      <c r="Q49" s="147"/>
    </row>
    <row r="50">
      <c r="A50" s="54">
        <v>1.0</v>
      </c>
      <c r="B50" s="148" t="s">
        <v>42</v>
      </c>
      <c r="C50" s="149">
        <f t="shared" ref="C50:C57" si="14">MAX(-4.5,MIN(4.5,((C33-100%)/0.2%)*$C$48))</f>
        <v>-0.9650309119</v>
      </c>
      <c r="D50" s="151">
        <f t="shared" ref="D50:D57" si="15">MAX(-3,MIN(3,((98%-D33)/1%)*$D$48))</f>
        <v>-0.056</v>
      </c>
      <c r="E50" s="153">
        <f t="shared" ref="E50:E57" si="16">MAX(-5,MIN(3,((E33-1)/1%)*0.1*$E$48))</f>
        <v>0</v>
      </c>
      <c r="F50" s="151">
        <f t="shared" ref="F50:F57" si="17">MAX(-1.5,MIN(1.5,((F33-98%)/0.1%)*1.5*$F$48))</f>
        <v>0.975</v>
      </c>
      <c r="G50" s="151">
        <f t="shared" ref="G50:G57" si="18">MAX(-1.5,MIN(1.5,((G33-99%)/1%)*0.5*$G$48))</f>
        <v>0.025</v>
      </c>
      <c r="H50" s="151">
        <f t="shared" ref="H50:H57" si="19">MAX(-1.5,MIN(1.5,((H33-2%)/0.1%)*1.5*$H$48))</f>
        <v>-1.5</v>
      </c>
      <c r="I50" s="151">
        <f t="shared" ref="I50:I57" si="20">MAX(-1.5,MIN(1.5,((0.065%-I33)/0.005%)*2.3*$I$48))</f>
        <v>-0.115</v>
      </c>
      <c r="J50" s="151">
        <f t="shared" ref="J50:J57" si="21">MAX(-1.5,MIN(1.5,(-(J33-100%)/3%)*0.5*$J$48))</f>
        <v>-0.09366666667</v>
      </c>
      <c r="K50" s="151">
        <f t="shared" ref="K50:K57" si="22">MAX(-1.5,MIN(1.5,((K12-0.5%)/0.1%)*6*$K$48))</f>
        <v>-1.5</v>
      </c>
      <c r="L50" s="151">
        <f t="shared" ref="L50:L56" si="23">MAX(-1.5,MIN(1.5,((L12-98%)/0.1%)*1.5*$L$48))</f>
        <v>-1.5</v>
      </c>
      <c r="M50" s="151">
        <f t="shared" ref="M50:M57" si="24">MAX(-3,MIN(3,((M33-99%)/0.1%)*3*$M$48))</f>
        <v>-0.76113</v>
      </c>
      <c r="N50" s="151">
        <f t="shared" ref="N50:N57" si="25">MAX(-1.5,MIN(1.5,((3-N33)/0.1)*$N$48))</f>
        <v>-1.38</v>
      </c>
      <c r="O50" s="151">
        <f t="shared" ref="O50:O57" si="26">MAX(-6,MIN(0,((O33-100%)/2%)*$O$48))</f>
        <v>0</v>
      </c>
      <c r="P50" s="153">
        <v>0.0</v>
      </c>
      <c r="Q50" s="154">
        <f t="shared" ref="Q50:Q58" si="27">100+sum(C50:P50)</f>
        <v>93.12917242</v>
      </c>
    </row>
    <row r="51">
      <c r="A51" s="54">
        <v>2.0</v>
      </c>
      <c r="B51" s="156" t="s">
        <v>44</v>
      </c>
      <c r="C51" s="158">
        <f t="shared" si="14"/>
        <v>-0.8078730905</v>
      </c>
      <c r="D51" s="159">
        <f t="shared" si="15"/>
        <v>-0.258</v>
      </c>
      <c r="E51" s="160">
        <f t="shared" si="16"/>
        <v>0</v>
      </c>
      <c r="F51" s="159">
        <f t="shared" si="17"/>
        <v>0.405</v>
      </c>
      <c r="G51" s="159">
        <f t="shared" si="18"/>
        <v>0.025</v>
      </c>
      <c r="H51" s="159">
        <f t="shared" si="19"/>
        <v>-1.5</v>
      </c>
      <c r="I51" s="159">
        <f t="shared" si="20"/>
        <v>-1.5</v>
      </c>
      <c r="J51" s="159">
        <f t="shared" si="21"/>
        <v>-0.03816666667</v>
      </c>
      <c r="K51" s="159">
        <f t="shared" si="22"/>
        <v>-1.35</v>
      </c>
      <c r="L51" s="159">
        <f t="shared" si="23"/>
        <v>0.75</v>
      </c>
      <c r="M51" s="159">
        <f t="shared" si="24"/>
        <v>-1.121394</v>
      </c>
      <c r="N51" s="159">
        <f t="shared" si="25"/>
        <v>-1.5</v>
      </c>
      <c r="O51" s="159">
        <f t="shared" si="26"/>
        <v>0</v>
      </c>
      <c r="P51" s="160">
        <v>0.0</v>
      </c>
      <c r="Q51" s="161">
        <f t="shared" si="27"/>
        <v>93.10456624</v>
      </c>
    </row>
    <row r="52">
      <c r="A52" s="54">
        <v>3.0</v>
      </c>
      <c r="B52" s="156" t="s">
        <v>45</v>
      </c>
      <c r="C52" s="158">
        <f t="shared" si="14"/>
        <v>1.359162631</v>
      </c>
      <c r="D52" s="159">
        <f t="shared" si="15"/>
        <v>2.502</v>
      </c>
      <c r="E52" s="160">
        <f t="shared" si="16"/>
        <v>0</v>
      </c>
      <c r="F52" s="159">
        <f t="shared" si="17"/>
        <v>0.9075</v>
      </c>
      <c r="G52" s="159">
        <f t="shared" si="18"/>
        <v>0.025</v>
      </c>
      <c r="H52" s="159">
        <f t="shared" si="19"/>
        <v>-1.5</v>
      </c>
      <c r="I52" s="159">
        <f t="shared" si="20"/>
        <v>0.184</v>
      </c>
      <c r="J52" s="159">
        <f t="shared" si="21"/>
        <v>-0.1861666667</v>
      </c>
      <c r="K52" s="159">
        <f t="shared" si="22"/>
        <v>-1.5</v>
      </c>
      <c r="L52" s="159">
        <f t="shared" si="23"/>
        <v>1.5</v>
      </c>
      <c r="M52" s="159">
        <f t="shared" si="24"/>
        <v>-1.333236</v>
      </c>
      <c r="N52" s="159">
        <f t="shared" si="25"/>
        <v>0.62</v>
      </c>
      <c r="O52" s="159">
        <f t="shared" si="26"/>
        <v>0</v>
      </c>
      <c r="P52" s="160">
        <v>0.0</v>
      </c>
      <c r="Q52" s="161">
        <f t="shared" si="27"/>
        <v>102.57826</v>
      </c>
    </row>
    <row r="53">
      <c r="A53" s="54">
        <v>4.0</v>
      </c>
      <c r="B53" s="156" t="s">
        <v>47</v>
      </c>
      <c r="C53" s="158">
        <f t="shared" si="14"/>
        <v>1.01131712</v>
      </c>
      <c r="D53" s="159">
        <f t="shared" si="15"/>
        <v>1.394</v>
      </c>
      <c r="E53" s="160">
        <f t="shared" si="16"/>
        <v>0</v>
      </c>
      <c r="F53" s="159">
        <f t="shared" si="17"/>
        <v>1.1025</v>
      </c>
      <c r="G53" s="159">
        <f t="shared" si="18"/>
        <v>0.025</v>
      </c>
      <c r="H53" s="159">
        <f t="shared" si="19"/>
        <v>-1.5</v>
      </c>
      <c r="I53" s="159">
        <f t="shared" si="20"/>
        <v>0.253</v>
      </c>
      <c r="J53" s="159">
        <f t="shared" si="21"/>
        <v>-0.1580833333</v>
      </c>
      <c r="K53" s="159">
        <f t="shared" si="22"/>
        <v>-1.5</v>
      </c>
      <c r="L53" s="159">
        <f t="shared" si="23"/>
        <v>-1.5</v>
      </c>
      <c r="M53" s="159">
        <f t="shared" si="24"/>
        <v>-0.95013</v>
      </c>
      <c r="N53" s="159">
        <f t="shared" si="25"/>
        <v>-0.575</v>
      </c>
      <c r="O53" s="159">
        <f t="shared" si="26"/>
        <v>0</v>
      </c>
      <c r="P53" s="160">
        <v>0.0</v>
      </c>
      <c r="Q53" s="161">
        <f t="shared" si="27"/>
        <v>97.60260379</v>
      </c>
    </row>
    <row r="54">
      <c r="A54" s="54">
        <v>5.0</v>
      </c>
      <c r="B54" s="156" t="s">
        <v>48</v>
      </c>
      <c r="C54" s="158">
        <f t="shared" si="14"/>
        <v>0.30526411</v>
      </c>
      <c r="D54" s="159">
        <f t="shared" si="15"/>
        <v>3</v>
      </c>
      <c r="E54" s="160">
        <f t="shared" si="16"/>
        <v>0</v>
      </c>
      <c r="F54" s="159">
        <f t="shared" si="17"/>
        <v>1.5</v>
      </c>
      <c r="G54" s="159">
        <f t="shared" si="18"/>
        <v>0.025</v>
      </c>
      <c r="H54" s="159">
        <f t="shared" si="19"/>
        <v>-1.5</v>
      </c>
      <c r="I54" s="159">
        <f t="shared" si="20"/>
        <v>-1.5</v>
      </c>
      <c r="J54" s="159">
        <f t="shared" si="21"/>
        <v>-0.628</v>
      </c>
      <c r="K54" s="159">
        <f t="shared" si="22"/>
        <v>-1.5</v>
      </c>
      <c r="L54" s="159">
        <f t="shared" si="23"/>
        <v>-1.5</v>
      </c>
      <c r="M54" s="159">
        <f t="shared" si="24"/>
        <v>-1.038108</v>
      </c>
      <c r="N54" s="159">
        <f t="shared" si="25"/>
        <v>0.44</v>
      </c>
      <c r="O54" s="159">
        <f t="shared" si="26"/>
        <v>0</v>
      </c>
      <c r="P54" s="160">
        <v>0.0</v>
      </c>
      <c r="Q54" s="161">
        <f t="shared" si="27"/>
        <v>97.60415611</v>
      </c>
    </row>
    <row r="55">
      <c r="A55" s="54">
        <v>6.0</v>
      </c>
      <c r="B55" s="156" t="s">
        <v>49</v>
      </c>
      <c r="C55" s="158">
        <f t="shared" si="14"/>
        <v>0.8313539192</v>
      </c>
      <c r="D55" s="159">
        <f t="shared" si="15"/>
        <v>2.556</v>
      </c>
      <c r="E55" s="160">
        <f t="shared" si="16"/>
        <v>0</v>
      </c>
      <c r="F55" s="159">
        <f t="shared" si="17"/>
        <v>1.5</v>
      </c>
      <c r="G55" s="159">
        <f t="shared" si="18"/>
        <v>0.025</v>
      </c>
      <c r="H55" s="159">
        <f t="shared" si="19"/>
        <v>-1.5</v>
      </c>
      <c r="I55" s="159">
        <f t="shared" si="20"/>
        <v>-0.874</v>
      </c>
      <c r="J55" s="159">
        <f t="shared" si="21"/>
        <v>-0.392</v>
      </c>
      <c r="K55" s="159">
        <f t="shared" si="22"/>
        <v>-1.5</v>
      </c>
      <c r="L55" s="159">
        <f t="shared" si="23"/>
        <v>-1.5</v>
      </c>
      <c r="M55" s="159">
        <f t="shared" si="24"/>
        <v>-3</v>
      </c>
      <c r="N55" s="159">
        <f t="shared" si="25"/>
        <v>-0.585</v>
      </c>
      <c r="O55" s="159">
        <f t="shared" si="26"/>
        <v>0</v>
      </c>
      <c r="P55" s="160">
        <v>0.0</v>
      </c>
      <c r="Q55" s="161">
        <f t="shared" si="27"/>
        <v>95.56135392</v>
      </c>
    </row>
    <row r="56">
      <c r="A56" s="54">
        <v>7.0</v>
      </c>
      <c r="B56" s="165" t="s">
        <v>43</v>
      </c>
      <c r="C56" s="206">
        <f t="shared" si="14"/>
        <v>-1.283938011</v>
      </c>
      <c r="D56" s="207">
        <f t="shared" si="15"/>
        <v>0.916</v>
      </c>
      <c r="E56" s="208">
        <f t="shared" si="16"/>
        <v>0</v>
      </c>
      <c r="F56" s="207">
        <f t="shared" si="17"/>
        <v>0.735</v>
      </c>
      <c r="G56" s="207">
        <f t="shared" si="18"/>
        <v>0.025</v>
      </c>
      <c r="H56" s="207">
        <f t="shared" si="19"/>
        <v>-1.5</v>
      </c>
      <c r="I56" s="207">
        <f t="shared" si="20"/>
        <v>-0.345</v>
      </c>
      <c r="J56" s="207">
        <f t="shared" si="21"/>
        <v>-0.6361666667</v>
      </c>
      <c r="K56" s="207">
        <f t="shared" si="22"/>
        <v>1.5</v>
      </c>
      <c r="L56" s="207">
        <f t="shared" si="23"/>
        <v>-1.5</v>
      </c>
      <c r="M56" s="207">
        <f t="shared" si="24"/>
        <v>-1.05516</v>
      </c>
      <c r="N56" s="207">
        <f t="shared" si="25"/>
        <v>-1.5</v>
      </c>
      <c r="O56" s="207">
        <f t="shared" si="26"/>
        <v>0</v>
      </c>
      <c r="P56" s="168">
        <v>0.0</v>
      </c>
      <c r="Q56" s="170">
        <f t="shared" si="27"/>
        <v>95.35573532</v>
      </c>
    </row>
    <row r="57">
      <c r="A57" s="89"/>
      <c r="B57" s="209" t="s">
        <v>50</v>
      </c>
      <c r="C57" s="210">
        <f t="shared" si="14"/>
        <v>0.01568734715</v>
      </c>
      <c r="D57" s="211">
        <f t="shared" si="15"/>
        <v>1.648</v>
      </c>
      <c r="E57" s="212">
        <f t="shared" si="16"/>
        <v>0</v>
      </c>
      <c r="F57" s="211">
        <f t="shared" si="17"/>
        <v>1.1025</v>
      </c>
      <c r="G57" s="211">
        <f t="shared" si="18"/>
        <v>0.025</v>
      </c>
      <c r="H57" s="211">
        <f t="shared" si="19"/>
        <v>-1.5</v>
      </c>
      <c r="I57" s="211">
        <f t="shared" si="20"/>
        <v>-1.173</v>
      </c>
      <c r="J57" s="211">
        <f t="shared" si="21"/>
        <v>-0.2733333333</v>
      </c>
      <c r="K57" s="211">
        <f t="shared" si="22"/>
        <v>-0.12</v>
      </c>
      <c r="L57" s="213">
        <f>MAX(-1.5,MIN(1.5,((L19-98%)/1%)*1*$L$48))</f>
        <v>-0.2</v>
      </c>
      <c r="M57" s="211">
        <f t="shared" si="24"/>
        <v>-0.469788</v>
      </c>
      <c r="N57" s="211">
        <f t="shared" si="25"/>
        <v>-1.5</v>
      </c>
      <c r="O57" s="211">
        <f t="shared" si="26"/>
        <v>0</v>
      </c>
      <c r="P57" s="153">
        <v>0.0</v>
      </c>
      <c r="Q57" s="214">
        <f t="shared" si="27"/>
        <v>97.55506601</v>
      </c>
    </row>
    <row r="58">
      <c r="A58" s="89"/>
      <c r="B58" s="215" t="s">
        <v>63</v>
      </c>
      <c r="C58" s="216">
        <v>-1.184</v>
      </c>
      <c r="D58" s="216">
        <v>1.439</v>
      </c>
      <c r="E58" s="217">
        <v>0.0</v>
      </c>
      <c r="F58" s="216">
        <v>0.9</v>
      </c>
      <c r="G58" s="216">
        <v>0.025</v>
      </c>
      <c r="H58" s="216">
        <v>-0.015</v>
      </c>
      <c r="I58" s="216">
        <v>-1.265</v>
      </c>
      <c r="J58" s="216">
        <v>-0.261</v>
      </c>
      <c r="K58" s="216">
        <v>0.03</v>
      </c>
      <c r="L58" s="216">
        <v>-0.2</v>
      </c>
      <c r="M58" s="216">
        <v>-0.45</v>
      </c>
      <c r="N58" s="216">
        <v>-1.5</v>
      </c>
      <c r="O58" s="216">
        <v>0.0</v>
      </c>
      <c r="P58" s="216">
        <v>0.0</v>
      </c>
      <c r="Q58" s="218">
        <f t="shared" si="27"/>
        <v>97.519</v>
      </c>
    </row>
    <row r="59">
      <c r="B59" s="219" t="s">
        <v>64</v>
      </c>
      <c r="C59" s="131">
        <f t="shared" ref="C59:Q59" si="28">abs(C57-C58)</f>
        <v>1.199687347</v>
      </c>
      <c r="D59" s="131">
        <f t="shared" si="28"/>
        <v>0.209</v>
      </c>
      <c r="E59" s="131">
        <f t="shared" si="28"/>
        <v>0</v>
      </c>
      <c r="F59" s="131">
        <f t="shared" si="28"/>
        <v>0.2025</v>
      </c>
      <c r="G59" s="131">
        <f t="shared" si="28"/>
        <v>0</v>
      </c>
      <c r="H59" s="131">
        <f t="shared" si="28"/>
        <v>1.485</v>
      </c>
      <c r="I59" s="131">
        <f t="shared" si="28"/>
        <v>0.092</v>
      </c>
      <c r="J59" s="131">
        <f t="shared" si="28"/>
        <v>0.01233333333</v>
      </c>
      <c r="K59" s="131">
        <f t="shared" si="28"/>
        <v>0.15</v>
      </c>
      <c r="L59" s="131">
        <f t="shared" si="28"/>
        <v>0</v>
      </c>
      <c r="M59" s="131">
        <f t="shared" si="28"/>
        <v>0.019788</v>
      </c>
      <c r="N59" s="131">
        <f t="shared" si="28"/>
        <v>0</v>
      </c>
      <c r="O59" s="131">
        <f t="shared" si="28"/>
        <v>0</v>
      </c>
      <c r="P59" s="131">
        <f t="shared" si="28"/>
        <v>0</v>
      </c>
      <c r="Q59" s="131">
        <f t="shared" si="28"/>
        <v>0.03606601382</v>
      </c>
    </row>
    <row r="60">
      <c r="A60" s="205">
        <v>8.0</v>
      </c>
      <c r="B60" s="205" t="s">
        <v>80</v>
      </c>
    </row>
    <row r="61">
      <c r="A61" s="205">
        <v>9.0</v>
      </c>
      <c r="B61" s="205" t="s">
        <v>81</v>
      </c>
    </row>
    <row r="65">
      <c r="C65" s="335" t="s">
        <v>172</v>
      </c>
      <c r="D65" s="7"/>
      <c r="E65" s="9"/>
      <c r="F65" s="433" t="s">
        <v>99</v>
      </c>
      <c r="G65" s="7"/>
      <c r="H65" s="7"/>
      <c r="I65" s="7"/>
      <c r="J65" s="7"/>
      <c r="K65" s="9"/>
      <c r="L65" s="433" t="s">
        <v>173</v>
      </c>
      <c r="M65" s="7"/>
      <c r="N65" s="9"/>
      <c r="O65" s="545" t="s">
        <v>304</v>
      </c>
    </row>
    <row r="66">
      <c r="C66" s="341" t="s">
        <v>174</v>
      </c>
      <c r="D66" s="343" t="s">
        <v>175</v>
      </c>
      <c r="E66" s="343" t="s">
        <v>176</v>
      </c>
      <c r="F66" s="346" t="s">
        <v>2</v>
      </c>
      <c r="G66" s="346" t="s">
        <v>101</v>
      </c>
      <c r="H66" s="346" t="s">
        <v>20</v>
      </c>
      <c r="I66" s="346" t="s">
        <v>30</v>
      </c>
      <c r="J66" s="346" t="s">
        <v>102</v>
      </c>
      <c r="K66" s="346" t="s">
        <v>103</v>
      </c>
      <c r="L66" s="346" t="s">
        <v>173</v>
      </c>
      <c r="M66" s="350" t="s">
        <v>177</v>
      </c>
      <c r="N66" s="350" t="s">
        <v>178</v>
      </c>
      <c r="O66" s="388"/>
    </row>
    <row r="67">
      <c r="C67" s="352" t="s">
        <v>179</v>
      </c>
      <c r="D67" s="353" t="s">
        <v>180</v>
      </c>
      <c r="E67" s="355">
        <v>0.3</v>
      </c>
      <c r="F67" s="358"/>
      <c r="G67" s="358"/>
      <c r="H67" s="359"/>
      <c r="I67" s="359"/>
      <c r="J67" s="357"/>
      <c r="K67" s="357"/>
      <c r="L67" s="360"/>
      <c r="M67" s="558"/>
      <c r="N67" s="558"/>
      <c r="O67" s="560"/>
    </row>
    <row r="68">
      <c r="C68" s="362">
        <v>1.0</v>
      </c>
      <c r="D68" s="362" t="s">
        <v>183</v>
      </c>
      <c r="E68" s="363">
        <v>0.15</v>
      </c>
      <c r="F68" s="364" t="s">
        <v>184</v>
      </c>
      <c r="G68" s="365" t="s">
        <v>185</v>
      </c>
      <c r="H68" s="436">
        <v>0.15</v>
      </c>
      <c r="I68" s="362">
        <v>126.175</v>
      </c>
      <c r="J68" s="367" t="s">
        <v>148</v>
      </c>
      <c r="K68" s="441" t="s">
        <v>306</v>
      </c>
      <c r="L68" s="365" t="s">
        <v>187</v>
      </c>
      <c r="M68" s="562" t="s">
        <v>188</v>
      </c>
      <c r="N68" s="562" t="s">
        <v>189</v>
      </c>
      <c r="O68" s="563">
        <v>46146.0</v>
      </c>
    </row>
    <row r="69">
      <c r="C69" s="404">
        <v>2.0</v>
      </c>
      <c r="D69" s="404" t="s">
        <v>195</v>
      </c>
      <c r="E69" s="405">
        <v>0.15</v>
      </c>
      <c r="F69" s="364" t="s">
        <v>196</v>
      </c>
      <c r="G69" s="381"/>
      <c r="H69" s="360"/>
      <c r="I69" s="382"/>
      <c r="J69" s="383"/>
      <c r="K69" s="384"/>
      <c r="L69" s="381"/>
      <c r="M69" s="558"/>
      <c r="N69" s="558"/>
      <c r="O69" s="567">
        <v>0.0</v>
      </c>
    </row>
    <row r="70">
      <c r="C70" s="385"/>
      <c r="D70" s="385"/>
      <c r="E70" s="385"/>
      <c r="F70" s="387" t="s">
        <v>198</v>
      </c>
      <c r="G70" s="365" t="s">
        <v>166</v>
      </c>
      <c r="H70" s="436">
        <v>0.1</v>
      </c>
      <c r="I70" s="363">
        <v>0.98</v>
      </c>
      <c r="J70" s="368" t="s">
        <v>307</v>
      </c>
      <c r="K70" s="441" t="s">
        <v>200</v>
      </c>
      <c r="L70" s="365" t="s">
        <v>187</v>
      </c>
      <c r="M70" s="562" t="s">
        <v>188</v>
      </c>
      <c r="N70" s="562" t="s">
        <v>201</v>
      </c>
      <c r="O70" s="567">
        <v>3.0</v>
      </c>
    </row>
    <row r="71">
      <c r="C71" s="388"/>
      <c r="D71" s="388"/>
      <c r="E71" s="388"/>
      <c r="F71" s="389" t="s">
        <v>202</v>
      </c>
      <c r="G71" s="365" t="s">
        <v>166</v>
      </c>
      <c r="H71" s="436">
        <v>0.05</v>
      </c>
      <c r="I71" s="362">
        <v>1.0</v>
      </c>
      <c r="J71" s="368" t="s">
        <v>308</v>
      </c>
      <c r="K71" s="441" t="s">
        <v>264</v>
      </c>
      <c r="L71" s="365" t="s">
        <v>187</v>
      </c>
      <c r="M71" s="562" t="s">
        <v>188</v>
      </c>
      <c r="N71" s="562" t="s">
        <v>201</v>
      </c>
      <c r="O71" s="563">
        <v>46143.0</v>
      </c>
    </row>
    <row r="72">
      <c r="C72" s="352" t="s">
        <v>204</v>
      </c>
      <c r="D72" s="353" t="s">
        <v>205</v>
      </c>
      <c r="E72" s="355">
        <v>0.25</v>
      </c>
      <c r="F72" s="360"/>
      <c r="G72" s="360"/>
      <c r="H72" s="359"/>
      <c r="I72" s="359"/>
      <c r="J72" s="393"/>
      <c r="K72" s="393"/>
      <c r="L72" s="360"/>
      <c r="M72" s="558"/>
      <c r="N72" s="558"/>
      <c r="O72" s="567">
        <v>0.0</v>
      </c>
    </row>
    <row r="73">
      <c r="C73" s="403">
        <v>3.0</v>
      </c>
      <c r="D73" s="404" t="s">
        <v>207</v>
      </c>
      <c r="E73" s="405">
        <v>0.2</v>
      </c>
      <c r="F73" s="395" t="s">
        <v>208</v>
      </c>
      <c r="G73" s="381"/>
      <c r="H73" s="360"/>
      <c r="I73" s="382"/>
      <c r="J73" s="383"/>
      <c r="K73" s="383"/>
      <c r="L73" s="381"/>
      <c r="M73" s="558"/>
      <c r="N73" s="558"/>
      <c r="O73" s="567">
        <v>0.0</v>
      </c>
    </row>
    <row r="74">
      <c r="C74" s="385"/>
      <c r="D74" s="385"/>
      <c r="E74" s="385"/>
      <c r="F74" s="376" t="s">
        <v>265</v>
      </c>
      <c r="G74" s="365" t="s">
        <v>166</v>
      </c>
      <c r="H74" s="436">
        <v>0.05</v>
      </c>
      <c r="I74" s="363">
        <v>0.98</v>
      </c>
      <c r="J74" s="368" t="s">
        <v>151</v>
      </c>
      <c r="K74" s="441" t="s">
        <v>267</v>
      </c>
      <c r="L74" s="365" t="s">
        <v>215</v>
      </c>
      <c r="M74" s="369" t="s">
        <v>216</v>
      </c>
      <c r="N74" s="369" t="s">
        <v>226</v>
      </c>
      <c r="O74" s="563">
        <v>46143.0</v>
      </c>
    </row>
    <row r="75">
      <c r="C75" s="385"/>
      <c r="D75" s="385"/>
      <c r="E75" s="385"/>
      <c r="F75" s="376" t="s">
        <v>270</v>
      </c>
      <c r="G75" s="365" t="s">
        <v>166</v>
      </c>
      <c r="H75" s="436">
        <v>0.05</v>
      </c>
      <c r="I75" s="363">
        <v>0.99</v>
      </c>
      <c r="J75" s="368" t="s">
        <v>151</v>
      </c>
      <c r="K75" s="441" t="s">
        <v>272</v>
      </c>
      <c r="L75" s="365" t="s">
        <v>215</v>
      </c>
      <c r="M75" s="369" t="s">
        <v>216</v>
      </c>
      <c r="N75" s="369" t="s">
        <v>226</v>
      </c>
      <c r="O75" s="563">
        <v>46143.0</v>
      </c>
    </row>
    <row r="76">
      <c r="C76" s="385"/>
      <c r="D76" s="385"/>
      <c r="E76" s="385"/>
      <c r="F76" s="376" t="s">
        <v>118</v>
      </c>
      <c r="G76" s="365" t="s">
        <v>166</v>
      </c>
      <c r="H76" s="436">
        <v>0.05</v>
      </c>
      <c r="I76" s="363">
        <v>0.02</v>
      </c>
      <c r="J76" s="368" t="s">
        <v>318</v>
      </c>
      <c r="K76" s="441" t="s">
        <v>267</v>
      </c>
      <c r="L76" s="365" t="s">
        <v>215</v>
      </c>
      <c r="M76" s="369" t="s">
        <v>216</v>
      </c>
      <c r="N76" s="369" t="s">
        <v>219</v>
      </c>
      <c r="O76" s="563">
        <v>46143.0</v>
      </c>
    </row>
    <row r="77">
      <c r="C77" s="388"/>
      <c r="D77" s="388"/>
      <c r="E77" s="388"/>
      <c r="F77" s="376" t="s">
        <v>220</v>
      </c>
      <c r="G77" s="365" t="s">
        <v>166</v>
      </c>
      <c r="H77" s="436">
        <v>0.05</v>
      </c>
      <c r="I77" s="396">
        <v>0.65</v>
      </c>
      <c r="J77" s="368" t="s">
        <v>313</v>
      </c>
      <c r="K77" s="441" t="s">
        <v>321</v>
      </c>
      <c r="L77" s="365" t="s">
        <v>215</v>
      </c>
      <c r="M77" s="369" t="s">
        <v>216</v>
      </c>
      <c r="N77" s="369" t="s">
        <v>322</v>
      </c>
      <c r="O77" s="563">
        <v>46143.0</v>
      </c>
    </row>
    <row r="78">
      <c r="C78" s="403">
        <v>4.0</v>
      </c>
      <c r="D78" s="404" t="s">
        <v>227</v>
      </c>
      <c r="E78" s="405">
        <v>0.05</v>
      </c>
      <c r="F78" s="395" t="s">
        <v>228</v>
      </c>
      <c r="G78" s="381"/>
      <c r="H78" s="360"/>
      <c r="I78" s="382"/>
      <c r="J78" s="383"/>
      <c r="K78" s="383"/>
      <c r="L78" s="381"/>
      <c r="M78" s="558"/>
      <c r="N78" s="558"/>
      <c r="O78" s="567">
        <v>0.0</v>
      </c>
    </row>
    <row r="79">
      <c r="C79" s="385"/>
      <c r="D79" s="385"/>
      <c r="E79" s="385"/>
      <c r="F79" s="395" t="s">
        <v>229</v>
      </c>
      <c r="G79" s="381"/>
      <c r="H79" s="360"/>
      <c r="I79" s="382"/>
      <c r="J79" s="383"/>
      <c r="K79" s="383"/>
      <c r="L79" s="381"/>
      <c r="M79" s="558"/>
      <c r="N79" s="558"/>
      <c r="O79" s="567">
        <v>0.0</v>
      </c>
    </row>
    <row r="80">
      <c r="C80" s="385"/>
      <c r="D80" s="385"/>
      <c r="E80" s="385"/>
      <c r="F80" s="376" t="s">
        <v>230</v>
      </c>
      <c r="G80" s="365" t="s">
        <v>167</v>
      </c>
      <c r="H80" s="436">
        <v>0.05</v>
      </c>
      <c r="I80" s="362">
        <v>2.299</v>
      </c>
      <c r="J80" s="368" t="s">
        <v>231</v>
      </c>
      <c r="K80" s="441" t="s">
        <v>279</v>
      </c>
      <c r="L80" s="365" t="s">
        <v>192</v>
      </c>
      <c r="M80" s="369" t="s">
        <v>232</v>
      </c>
      <c r="N80" s="369" t="s">
        <v>233</v>
      </c>
      <c r="O80" s="563">
        <v>46143.0</v>
      </c>
    </row>
    <row r="81">
      <c r="C81" s="352" t="s">
        <v>234</v>
      </c>
      <c r="D81" s="409" t="s">
        <v>235</v>
      </c>
      <c r="E81" s="410">
        <v>0.45</v>
      </c>
      <c r="F81" s="360"/>
      <c r="G81" s="360"/>
      <c r="H81" s="359"/>
      <c r="I81" s="359"/>
      <c r="J81" s="393"/>
      <c r="K81" s="393"/>
      <c r="L81" s="360"/>
      <c r="M81" s="558"/>
      <c r="N81" s="558"/>
      <c r="O81" s="567">
        <v>0.0</v>
      </c>
    </row>
    <row r="82">
      <c r="C82" s="403">
        <v>5.0</v>
      </c>
      <c r="D82" s="404" t="s">
        <v>236</v>
      </c>
      <c r="E82" s="405">
        <v>0.25</v>
      </c>
      <c r="F82" s="368" t="s">
        <v>130</v>
      </c>
      <c r="G82" s="365" t="s">
        <v>166</v>
      </c>
      <c r="H82" s="436">
        <v>0.05</v>
      </c>
      <c r="I82" s="362" t="s">
        <v>237</v>
      </c>
      <c r="J82" s="368" t="s">
        <v>156</v>
      </c>
      <c r="K82" s="376" t="s">
        <v>238</v>
      </c>
      <c r="L82" s="365" t="s">
        <v>215</v>
      </c>
      <c r="M82" s="369" t="s">
        <v>216</v>
      </c>
      <c r="N82" s="369" t="s">
        <v>322</v>
      </c>
      <c r="O82" s="563">
        <v>46143.0</v>
      </c>
    </row>
    <row r="83">
      <c r="C83" s="385"/>
      <c r="D83" s="385"/>
      <c r="E83" s="385"/>
      <c r="F83" s="368" t="s">
        <v>282</v>
      </c>
      <c r="G83" s="365" t="s">
        <v>166</v>
      </c>
      <c r="H83" s="436">
        <v>0.05</v>
      </c>
      <c r="I83" s="362" t="s">
        <v>283</v>
      </c>
      <c r="J83" s="368" t="s">
        <v>157</v>
      </c>
      <c r="K83" s="414" t="s">
        <v>267</v>
      </c>
      <c r="L83" s="365" t="s">
        <v>215</v>
      </c>
      <c r="M83" s="369" t="s">
        <v>216</v>
      </c>
      <c r="N83" s="369" t="s">
        <v>322</v>
      </c>
      <c r="O83" s="563">
        <v>46143.0</v>
      </c>
    </row>
    <row r="84">
      <c r="C84" s="385"/>
      <c r="D84" s="385"/>
      <c r="E84" s="385"/>
      <c r="F84" s="368" t="s">
        <v>133</v>
      </c>
      <c r="G84" s="365" t="s">
        <v>166</v>
      </c>
      <c r="H84" s="436">
        <v>0.1</v>
      </c>
      <c r="I84" s="396">
        <v>0.99</v>
      </c>
      <c r="J84" s="383"/>
      <c r="K84" s="414" t="s">
        <v>284</v>
      </c>
      <c r="L84" s="365" t="s">
        <v>215</v>
      </c>
      <c r="M84" s="369" t="s">
        <v>216</v>
      </c>
      <c r="N84" s="369" t="s">
        <v>322</v>
      </c>
      <c r="O84" s="567">
        <v>3.0</v>
      </c>
    </row>
    <row r="85">
      <c r="C85" s="385"/>
      <c r="D85" s="385"/>
      <c r="E85" s="385"/>
      <c r="F85" s="368" t="s">
        <v>135</v>
      </c>
      <c r="G85" s="365" t="s">
        <v>168</v>
      </c>
      <c r="H85" s="436">
        <v>0.05</v>
      </c>
      <c r="I85" s="362">
        <v>3.0</v>
      </c>
      <c r="J85" s="368" t="s">
        <v>159</v>
      </c>
      <c r="K85" s="414" t="s">
        <v>285</v>
      </c>
      <c r="L85" s="365" t="s">
        <v>215</v>
      </c>
      <c r="M85" s="369" t="s">
        <v>216</v>
      </c>
      <c r="N85" s="369" t="s">
        <v>226</v>
      </c>
      <c r="O85" s="563">
        <v>46143.0</v>
      </c>
    </row>
    <row r="86">
      <c r="C86" s="415">
        <v>7.0</v>
      </c>
      <c r="D86" s="362" t="s">
        <v>242</v>
      </c>
      <c r="E86" s="363">
        <v>0.2</v>
      </c>
      <c r="F86" s="368" t="s">
        <v>243</v>
      </c>
      <c r="G86" s="365" t="s">
        <v>166</v>
      </c>
      <c r="H86" s="436">
        <v>0.2</v>
      </c>
      <c r="I86" s="363">
        <v>1.0</v>
      </c>
      <c r="J86" s="368" t="s">
        <v>244</v>
      </c>
      <c r="K86" s="414" t="s">
        <v>245</v>
      </c>
      <c r="L86" s="365" t="s">
        <v>246</v>
      </c>
      <c r="M86" s="369" t="s">
        <v>247</v>
      </c>
      <c r="N86" s="369" t="s">
        <v>248</v>
      </c>
      <c r="O86" s="567">
        <v>6.0</v>
      </c>
    </row>
    <row r="87">
      <c r="C87" s="415">
        <v>8.0</v>
      </c>
      <c r="D87" s="362" t="s">
        <v>249</v>
      </c>
      <c r="E87" s="362" t="s">
        <v>250</v>
      </c>
      <c r="F87" s="368" t="s">
        <v>251</v>
      </c>
      <c r="G87" s="384"/>
      <c r="H87" s="436">
        <v>0.0</v>
      </c>
      <c r="I87" s="382"/>
      <c r="J87" s="368" t="s">
        <v>46</v>
      </c>
      <c r="K87" s="376" t="s">
        <v>252</v>
      </c>
      <c r="L87" s="365" t="s">
        <v>246</v>
      </c>
      <c r="M87" s="369" t="s">
        <v>247</v>
      </c>
      <c r="N87" s="369" t="s">
        <v>248</v>
      </c>
      <c r="O87" s="560"/>
    </row>
    <row r="88">
      <c r="C88" s="417"/>
      <c r="D88" s="395" t="s">
        <v>253</v>
      </c>
      <c r="E88" s="363">
        <v>1.0</v>
      </c>
      <c r="F88" s="418"/>
      <c r="G88" s="419"/>
      <c r="H88" s="410">
        <v>1.0</v>
      </c>
      <c r="I88" s="382"/>
      <c r="J88" s="418"/>
      <c r="K88" s="418"/>
      <c r="L88" s="381"/>
      <c r="M88" s="558"/>
      <c r="N88" s="558"/>
      <c r="O88" s="560"/>
    </row>
    <row r="89">
      <c r="C89" s="417"/>
      <c r="D89" s="395" t="s">
        <v>254</v>
      </c>
      <c r="E89" s="362">
        <v>8.0</v>
      </c>
      <c r="F89" s="418"/>
      <c r="G89" s="419"/>
      <c r="H89" s="420">
        <v>13.0</v>
      </c>
      <c r="I89" s="374">
        <v>13.0</v>
      </c>
      <c r="J89" s="418"/>
      <c r="K89" s="418"/>
      <c r="L89" s="381"/>
      <c r="M89" s="558"/>
      <c r="N89" s="558"/>
      <c r="O89" s="560"/>
    </row>
  </sheetData>
  <mergeCells count="19">
    <mergeCell ref="C6:P6"/>
    <mergeCell ref="C27:P27"/>
    <mergeCell ref="C46:P46"/>
    <mergeCell ref="C65:E65"/>
    <mergeCell ref="F65:K65"/>
    <mergeCell ref="L65:N65"/>
    <mergeCell ref="O65:O66"/>
    <mergeCell ref="D78:D80"/>
    <mergeCell ref="E78:E80"/>
    <mergeCell ref="C82:C85"/>
    <mergeCell ref="D82:D85"/>
    <mergeCell ref="E82:E85"/>
    <mergeCell ref="C69:C71"/>
    <mergeCell ref="D69:D71"/>
    <mergeCell ref="E69:E71"/>
    <mergeCell ref="C73:C77"/>
    <mergeCell ref="D73:D77"/>
    <mergeCell ref="E73:E77"/>
    <mergeCell ref="C78:C80"/>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4.5"/>
    <col customWidth="1" min="9" max="9" width="22.0"/>
    <col customWidth="1" min="12" max="12" width="13.88"/>
    <col customWidth="1" min="13" max="13" width="11.63"/>
    <col customWidth="1" min="14" max="14" width="15.13"/>
  </cols>
  <sheetData>
    <row r="6">
      <c r="A6" s="1"/>
      <c r="B6" s="6"/>
      <c r="C6" s="8" t="s">
        <v>294</v>
      </c>
      <c r="D6" s="7"/>
      <c r="E6" s="7"/>
      <c r="F6" s="7"/>
      <c r="G6" s="7"/>
      <c r="H6" s="7"/>
      <c r="I6" s="7"/>
      <c r="J6" s="7"/>
      <c r="K6" s="7"/>
      <c r="L6" s="7"/>
      <c r="M6" s="7"/>
      <c r="N6" s="7"/>
      <c r="O6" s="7"/>
      <c r="P6" s="9"/>
      <c r="Q6" s="3"/>
      <c r="R6" s="3"/>
      <c r="S6" s="3"/>
      <c r="T6" s="3"/>
      <c r="U6" s="3"/>
      <c r="V6" s="3"/>
      <c r="W6" s="3"/>
      <c r="X6" s="3"/>
      <c r="Y6" s="3"/>
      <c r="Z6" s="3"/>
      <c r="AA6" s="3"/>
      <c r="AB6" s="3"/>
      <c r="AC6" s="3"/>
      <c r="AD6" s="3"/>
      <c r="AE6" s="3"/>
      <c r="AF6" s="3"/>
      <c r="AG6" s="3"/>
      <c r="AH6" s="3"/>
      <c r="AI6" s="3"/>
      <c r="AJ6" s="3"/>
      <c r="AK6" s="3"/>
      <c r="AL6" s="3"/>
      <c r="AM6" s="3"/>
      <c r="AN6" s="3"/>
      <c r="AO6" s="3"/>
      <c r="AP6" s="3"/>
    </row>
    <row r="7" ht="96.75" customHeight="1">
      <c r="A7" s="11"/>
      <c r="B7" s="15" t="s">
        <v>2</v>
      </c>
      <c r="C7" s="16" t="s">
        <v>3</v>
      </c>
      <c r="D7" s="21" t="s">
        <v>66</v>
      </c>
      <c r="E7" s="18" t="s">
        <v>67</v>
      </c>
      <c r="F7" s="21" t="s">
        <v>68</v>
      </c>
      <c r="G7" s="18" t="s">
        <v>69</v>
      </c>
      <c r="H7" s="18" t="s">
        <v>8</v>
      </c>
      <c r="I7" s="21" t="s">
        <v>9</v>
      </c>
      <c r="J7" s="21" t="s">
        <v>70</v>
      </c>
      <c r="K7" s="21" t="s">
        <v>71</v>
      </c>
      <c r="L7" s="21" t="s">
        <v>72</v>
      </c>
      <c r="M7" s="21" t="s">
        <v>13</v>
      </c>
      <c r="N7" s="21" t="s">
        <v>14</v>
      </c>
      <c r="O7" s="18" t="s">
        <v>73</v>
      </c>
      <c r="P7" s="18" t="s">
        <v>74</v>
      </c>
      <c r="Q7" s="135" t="s">
        <v>18</v>
      </c>
      <c r="S7" s="3"/>
      <c r="T7" s="3"/>
      <c r="U7" s="3"/>
      <c r="V7" s="3"/>
      <c r="W7" s="3"/>
      <c r="X7" s="3"/>
      <c r="Y7" s="3"/>
      <c r="Z7" s="3"/>
      <c r="AA7" s="3"/>
      <c r="AB7" s="3"/>
      <c r="AC7" s="3"/>
      <c r="AD7" s="3"/>
      <c r="AE7" s="3"/>
      <c r="AF7" s="3"/>
      <c r="AG7" s="3"/>
      <c r="AH7" s="3"/>
      <c r="AI7" s="3"/>
      <c r="AJ7" s="3"/>
      <c r="AK7" s="3"/>
      <c r="AL7" s="3"/>
      <c r="AM7" s="3"/>
      <c r="AN7" s="3"/>
      <c r="AO7" s="3"/>
      <c r="AP7" s="3"/>
    </row>
    <row r="8">
      <c r="A8" s="26"/>
      <c r="B8" s="250" t="s">
        <v>20</v>
      </c>
      <c r="C8" s="193">
        <v>0.15</v>
      </c>
      <c r="D8" s="136">
        <v>0.1</v>
      </c>
      <c r="E8" s="136">
        <v>0.05</v>
      </c>
      <c r="F8" s="136">
        <v>0.05</v>
      </c>
      <c r="G8" s="136">
        <v>0.05</v>
      </c>
      <c r="H8" s="136">
        <v>0.05</v>
      </c>
      <c r="I8" s="136">
        <v>0.05</v>
      </c>
      <c r="J8" s="136">
        <v>0.05</v>
      </c>
      <c r="K8" s="136">
        <v>0.05</v>
      </c>
      <c r="L8" s="136">
        <v>0.05</v>
      </c>
      <c r="M8" s="32">
        <v>0.1</v>
      </c>
      <c r="N8" s="136">
        <v>0.05</v>
      </c>
      <c r="O8" s="136">
        <v>0.2</v>
      </c>
      <c r="P8" s="136">
        <v>0.0</v>
      </c>
      <c r="Q8" s="469">
        <f>sum(C8:P8)</f>
        <v>1</v>
      </c>
      <c r="S8" s="3"/>
      <c r="T8" s="3"/>
      <c r="U8" s="3"/>
      <c r="V8" s="3"/>
      <c r="W8" s="3"/>
      <c r="X8" s="3"/>
      <c r="Y8" s="3"/>
      <c r="Z8" s="3"/>
      <c r="AA8" s="3"/>
      <c r="AB8" s="3"/>
      <c r="AC8" s="3"/>
      <c r="AD8" s="3"/>
      <c r="AE8" s="3"/>
      <c r="AF8" s="3"/>
      <c r="AG8" s="3"/>
      <c r="AH8" s="3"/>
      <c r="AI8" s="3"/>
      <c r="AJ8" s="3"/>
      <c r="AK8" s="3"/>
      <c r="AL8" s="3"/>
      <c r="AM8" s="3"/>
      <c r="AN8" s="3"/>
      <c r="AO8" s="3"/>
      <c r="AP8" s="3"/>
    </row>
    <row r="9">
      <c r="A9" s="71"/>
      <c r="B9" s="470" t="s">
        <v>24</v>
      </c>
      <c r="C9" s="46" t="s">
        <v>148</v>
      </c>
      <c r="D9" s="47" t="s">
        <v>149</v>
      </c>
      <c r="E9" s="47" t="s">
        <v>150</v>
      </c>
      <c r="F9" s="47" t="s">
        <v>151</v>
      </c>
      <c r="G9" s="47" t="s">
        <v>271</v>
      </c>
      <c r="H9" s="47" t="s">
        <v>218</v>
      </c>
      <c r="I9" s="47" t="s">
        <v>291</v>
      </c>
      <c r="J9" s="47" t="s">
        <v>278</v>
      </c>
      <c r="K9" s="47" t="s">
        <v>156</v>
      </c>
      <c r="L9" s="47" t="s">
        <v>157</v>
      </c>
      <c r="M9" s="47" t="s">
        <v>36</v>
      </c>
      <c r="N9" s="47" t="s">
        <v>159</v>
      </c>
      <c r="O9" s="47" t="s">
        <v>244</v>
      </c>
      <c r="P9" s="47"/>
      <c r="Q9" s="471"/>
      <c r="S9" s="52"/>
      <c r="T9" s="52"/>
      <c r="U9" s="52"/>
      <c r="V9" s="52"/>
      <c r="W9" s="52"/>
      <c r="X9" s="52"/>
      <c r="Y9" s="52"/>
      <c r="Z9" s="52"/>
      <c r="AA9" s="52"/>
      <c r="AB9" s="52"/>
      <c r="AC9" s="52"/>
      <c r="AD9" s="52"/>
      <c r="AE9" s="52"/>
      <c r="AF9" s="52"/>
      <c r="AG9" s="52"/>
      <c r="AH9" s="52"/>
      <c r="AI9" s="52"/>
      <c r="AJ9" s="52"/>
      <c r="AK9" s="52"/>
      <c r="AL9" s="52"/>
      <c r="AM9" s="52"/>
      <c r="AN9" s="52"/>
      <c r="AO9" s="52"/>
      <c r="AP9" s="52"/>
    </row>
    <row r="10">
      <c r="B10" s="472" t="s">
        <v>22</v>
      </c>
      <c r="C10" s="304" t="s">
        <v>23</v>
      </c>
      <c r="D10" s="74" t="s">
        <v>166</v>
      </c>
      <c r="E10" s="74"/>
      <c r="F10" s="74" t="s">
        <v>166</v>
      </c>
      <c r="G10" s="74" t="s">
        <v>166</v>
      </c>
      <c r="H10" s="74" t="s">
        <v>166</v>
      </c>
      <c r="I10" s="74" t="s">
        <v>166</v>
      </c>
      <c r="J10" s="74" t="s">
        <v>167</v>
      </c>
      <c r="K10" s="78" t="s">
        <v>166</v>
      </c>
      <c r="L10" s="74" t="s">
        <v>166</v>
      </c>
      <c r="M10" s="74" t="s">
        <v>166</v>
      </c>
      <c r="N10" s="74" t="s">
        <v>168</v>
      </c>
      <c r="O10" s="74" t="s">
        <v>166</v>
      </c>
      <c r="P10" s="306" t="s">
        <v>166</v>
      </c>
      <c r="Q10" s="274"/>
      <c r="S10" s="69"/>
      <c r="T10" s="69"/>
      <c r="U10" s="69"/>
      <c r="V10" s="69"/>
      <c r="W10" s="69"/>
      <c r="X10" s="69"/>
      <c r="Y10" s="69"/>
      <c r="Z10" s="69"/>
      <c r="AA10" s="69"/>
      <c r="AB10" s="69"/>
      <c r="AC10" s="69"/>
      <c r="AD10" s="69"/>
      <c r="AE10" s="69"/>
      <c r="AF10" s="69"/>
      <c r="AG10" s="69"/>
      <c r="AH10" s="69"/>
      <c r="AI10" s="69"/>
      <c r="AJ10" s="69"/>
      <c r="AK10" s="69"/>
      <c r="AL10" s="69"/>
      <c r="AM10" s="69"/>
      <c r="AN10" s="69"/>
      <c r="AO10" s="69"/>
      <c r="AP10" s="69"/>
    </row>
    <row r="11">
      <c r="A11" s="26" t="s">
        <v>28</v>
      </c>
      <c r="B11" s="139" t="s">
        <v>30</v>
      </c>
      <c r="C11" s="261">
        <v>130221.0</v>
      </c>
      <c r="D11" s="141">
        <v>0.98</v>
      </c>
      <c r="E11" s="142">
        <v>1.0</v>
      </c>
      <c r="F11" s="141">
        <v>0.98</v>
      </c>
      <c r="G11" s="141">
        <v>0.99</v>
      </c>
      <c r="H11" s="141">
        <v>0.02</v>
      </c>
      <c r="I11" s="143">
        <v>5.5E-4</v>
      </c>
      <c r="J11" s="144" t="s">
        <v>295</v>
      </c>
      <c r="K11" s="141">
        <v>0.005</v>
      </c>
      <c r="L11" s="141">
        <v>0.98</v>
      </c>
      <c r="M11" s="141">
        <v>0.99</v>
      </c>
      <c r="N11" s="142">
        <v>3.0</v>
      </c>
      <c r="O11" s="145">
        <v>1.0</v>
      </c>
      <c r="P11" s="146">
        <v>1.0</v>
      </c>
      <c r="Q11" s="147"/>
      <c r="S11" s="69"/>
      <c r="T11" s="69"/>
      <c r="U11" s="69"/>
      <c r="V11" s="69"/>
      <c r="W11" s="69"/>
      <c r="X11" s="69"/>
      <c r="Y11" s="69"/>
      <c r="Z11" s="69"/>
      <c r="AA11" s="69"/>
      <c r="AB11" s="69"/>
      <c r="AC11" s="69"/>
      <c r="AD11" s="69"/>
      <c r="AE11" s="69"/>
      <c r="AF11" s="69"/>
      <c r="AG11" s="69"/>
      <c r="AH11" s="69"/>
      <c r="AI11" s="69"/>
      <c r="AJ11" s="69"/>
      <c r="AK11" s="69"/>
      <c r="AL11" s="69"/>
      <c r="AM11" s="69"/>
      <c r="AN11" s="69"/>
      <c r="AO11" s="69"/>
      <c r="AP11" s="69"/>
    </row>
    <row r="12">
      <c r="A12" s="54">
        <v>1.0</v>
      </c>
      <c r="B12" s="473" t="s">
        <v>42</v>
      </c>
      <c r="C12" s="474">
        <f>'1. Tổng doanh thu'!P12</f>
        <v>25868</v>
      </c>
      <c r="D12" s="475">
        <f>'2. SD Điện tiết kiệm'!U13</f>
        <v>1.35</v>
      </c>
      <c r="E12" s="476">
        <v>1.0</v>
      </c>
      <c r="F12" s="477">
        <v>0.9963</v>
      </c>
      <c r="G12" s="478">
        <v>1.0</v>
      </c>
      <c r="H12" s="479">
        <v>0.0199335548172757</v>
      </c>
      <c r="I12" s="480">
        <v>8.0E-4</v>
      </c>
      <c r="J12" s="312">
        <f>'8. SLTB hủy'!F13</f>
        <v>0.9734</v>
      </c>
      <c r="K12" s="317">
        <v>0.0404</v>
      </c>
      <c r="L12" s="318">
        <v>1.0</v>
      </c>
      <c r="M12" s="406">
        <v>0.98652552</v>
      </c>
      <c r="N12" s="319">
        <v>11.35</v>
      </c>
      <c r="O12" s="312">
        <v>1.0</v>
      </c>
      <c r="P12" s="481">
        <v>1.0</v>
      </c>
      <c r="Q12" s="321"/>
      <c r="S12" s="3"/>
      <c r="T12" s="3"/>
      <c r="U12" s="3"/>
      <c r="V12" s="3"/>
      <c r="W12" s="3"/>
      <c r="X12" s="3"/>
      <c r="Y12" s="3"/>
      <c r="Z12" s="3"/>
      <c r="AA12" s="3"/>
      <c r="AB12" s="3"/>
      <c r="AC12" s="3"/>
      <c r="AD12" s="3"/>
      <c r="AE12" s="3"/>
      <c r="AF12" s="3"/>
      <c r="AG12" s="3"/>
      <c r="AH12" s="3"/>
      <c r="AI12" s="3"/>
      <c r="AJ12" s="3"/>
      <c r="AK12" s="3"/>
      <c r="AL12" s="3"/>
      <c r="AM12" s="3"/>
      <c r="AN12" s="3"/>
      <c r="AO12" s="3"/>
      <c r="AP12" s="3"/>
    </row>
    <row r="13">
      <c r="A13" s="54">
        <v>2.0</v>
      </c>
      <c r="B13" s="310" t="s">
        <v>44</v>
      </c>
      <c r="C13" s="482">
        <f>'1. Tổng doanh thu'!P14</f>
        <v>14315</v>
      </c>
      <c r="D13" s="483">
        <f>'2. SD Điện tiết kiệm'!U14</f>
        <v>1.6358</v>
      </c>
      <c r="E13" s="484">
        <v>1.0</v>
      </c>
      <c r="F13" s="485">
        <v>0.9902</v>
      </c>
      <c r="G13" s="486">
        <v>1.0</v>
      </c>
      <c r="H13" s="487">
        <v>0.038961038961039</v>
      </c>
      <c r="I13" s="488">
        <v>0.00175</v>
      </c>
      <c r="J13" s="84">
        <f>'8. SLTB hủy'!F14</f>
        <v>1.6741</v>
      </c>
      <c r="K13" s="325">
        <v>0.0</v>
      </c>
      <c r="L13" s="324">
        <v>0.9286</v>
      </c>
      <c r="M13" s="84">
        <v>0.98627754</v>
      </c>
      <c r="N13" s="326">
        <v>17.39</v>
      </c>
      <c r="O13" s="84">
        <v>1.0</v>
      </c>
      <c r="P13" s="465">
        <v>1.0</v>
      </c>
      <c r="Q13" s="274"/>
      <c r="S13" s="3"/>
      <c r="T13" s="3"/>
      <c r="U13" s="3"/>
      <c r="V13" s="3"/>
      <c r="W13" s="3"/>
      <c r="X13" s="3"/>
      <c r="Y13" s="3"/>
      <c r="Z13" s="3"/>
      <c r="AA13" s="3"/>
      <c r="AB13" s="3"/>
      <c r="AC13" s="3"/>
      <c r="AD13" s="3"/>
      <c r="AE13" s="3"/>
      <c r="AF13" s="3"/>
      <c r="AG13" s="3"/>
      <c r="AH13" s="3"/>
      <c r="AI13" s="3"/>
      <c r="AJ13" s="3"/>
      <c r="AK13" s="3"/>
      <c r="AL13" s="3"/>
      <c r="AM13" s="3"/>
      <c r="AN13" s="3"/>
      <c r="AO13" s="3"/>
      <c r="AP13" s="3"/>
    </row>
    <row r="14">
      <c r="A14" s="54">
        <v>3.0</v>
      </c>
      <c r="B14" s="310" t="s">
        <v>45</v>
      </c>
      <c r="C14" s="482">
        <f>'1. Tổng doanh thu'!P15</f>
        <v>13080</v>
      </c>
      <c r="D14" s="483">
        <f>'2. SD Điện tiết kiệm'!U15</f>
        <v>0.8361</v>
      </c>
      <c r="E14" s="484">
        <v>1.0</v>
      </c>
      <c r="F14" s="485">
        <v>0.9903</v>
      </c>
      <c r="G14" s="486">
        <v>1.0</v>
      </c>
      <c r="H14" s="487">
        <v>0.0534979423868313</v>
      </c>
      <c r="I14" s="491">
        <v>0.00111</v>
      </c>
      <c r="J14" s="84">
        <f>'8. SLTB hủy'!F15</f>
        <v>1.0386</v>
      </c>
      <c r="K14" s="325">
        <v>0.0093</v>
      </c>
      <c r="L14" s="324">
        <v>1.0</v>
      </c>
      <c r="M14" s="84">
        <v>0.98385144</v>
      </c>
      <c r="N14" s="326">
        <v>4.32</v>
      </c>
      <c r="O14" s="84">
        <v>1.0</v>
      </c>
      <c r="P14" s="465">
        <v>1.0</v>
      </c>
      <c r="Q14" s="274"/>
      <c r="S14" s="3"/>
      <c r="T14" s="3"/>
      <c r="U14" s="3"/>
      <c r="V14" s="3"/>
      <c r="W14" s="3"/>
      <c r="X14" s="3"/>
      <c r="Y14" s="3"/>
      <c r="Z14" s="3"/>
      <c r="AA14" s="3"/>
      <c r="AB14" s="3"/>
      <c r="AC14" s="3"/>
      <c r="AD14" s="3"/>
      <c r="AE14" s="3"/>
      <c r="AF14" s="3"/>
      <c r="AG14" s="3"/>
      <c r="AH14" s="3"/>
      <c r="AI14" s="3"/>
      <c r="AJ14" s="3"/>
      <c r="AK14" s="3"/>
      <c r="AL14" s="3"/>
      <c r="AM14" s="3"/>
      <c r="AN14" s="3"/>
      <c r="AO14" s="3"/>
      <c r="AP14" s="3"/>
    </row>
    <row r="15">
      <c r="A15" s="54">
        <v>4.0</v>
      </c>
      <c r="B15" s="310" t="s">
        <v>47</v>
      </c>
      <c r="C15" s="482">
        <f>'1. Tổng doanh thu'!P16</f>
        <v>25744</v>
      </c>
      <c r="D15" s="483">
        <f>'2. SD Điện tiết kiệm'!U16</f>
        <v>0.8835</v>
      </c>
      <c r="E15" s="484">
        <v>1.0</v>
      </c>
      <c r="F15" s="485">
        <v>0.9917</v>
      </c>
      <c r="G15" s="486">
        <v>1.0</v>
      </c>
      <c r="H15" s="487">
        <v>0.015</v>
      </c>
      <c r="I15" s="488">
        <v>9.3E-4</v>
      </c>
      <c r="J15" s="84">
        <f>'8. SLTB hủy'!F16</f>
        <v>1.3385</v>
      </c>
      <c r="K15" s="325">
        <v>0.0</v>
      </c>
      <c r="L15" s="324">
        <v>0.6667</v>
      </c>
      <c r="M15" s="84">
        <v>0.98603942</v>
      </c>
      <c r="N15" s="326">
        <v>1.87</v>
      </c>
      <c r="O15" s="84">
        <v>1.0</v>
      </c>
      <c r="P15" s="465">
        <v>1.0</v>
      </c>
      <c r="Q15" s="274"/>
      <c r="S15" s="3"/>
      <c r="T15" s="3"/>
      <c r="U15" s="3"/>
      <c r="V15" s="3"/>
      <c r="W15" s="3"/>
      <c r="X15" s="3"/>
      <c r="Y15" s="3"/>
      <c r="Z15" s="3"/>
      <c r="AA15" s="3"/>
      <c r="AB15" s="3"/>
      <c r="AC15" s="3"/>
      <c r="AD15" s="3"/>
      <c r="AE15" s="3"/>
      <c r="AF15" s="3"/>
      <c r="AG15" s="3"/>
      <c r="AH15" s="3"/>
      <c r="AI15" s="3"/>
      <c r="AJ15" s="3"/>
      <c r="AK15" s="3"/>
      <c r="AL15" s="3"/>
      <c r="AM15" s="3"/>
      <c r="AN15" s="3"/>
      <c r="AO15" s="3"/>
      <c r="AP15" s="3"/>
    </row>
    <row r="16">
      <c r="A16" s="54">
        <v>5.0</v>
      </c>
      <c r="B16" s="310" t="s">
        <v>48</v>
      </c>
      <c r="C16" s="482">
        <f>'1. Tổng doanh thu'!P17</f>
        <v>10548</v>
      </c>
      <c r="D16" s="483">
        <f>'2. SD Điện tiết kiệm'!U17</f>
        <v>1.1858</v>
      </c>
      <c r="E16" s="484">
        <v>1.0</v>
      </c>
      <c r="F16" s="485">
        <v>0.9923</v>
      </c>
      <c r="G16" s="486">
        <v>1.0</v>
      </c>
      <c r="H16" s="487">
        <v>0.0367892976588629</v>
      </c>
      <c r="I16" s="488">
        <v>0.00258</v>
      </c>
      <c r="J16" s="84">
        <f>'8. SLTB hủy'!F17</f>
        <v>1.0797</v>
      </c>
      <c r="K16" s="325">
        <v>0.0085</v>
      </c>
      <c r="L16" s="324">
        <v>1.0</v>
      </c>
      <c r="M16" s="84">
        <v>0.9867489</v>
      </c>
      <c r="N16" s="326">
        <v>10.12</v>
      </c>
      <c r="O16" s="84">
        <v>1.0</v>
      </c>
      <c r="P16" s="465">
        <v>1.0</v>
      </c>
      <c r="Q16" s="150"/>
      <c r="S16" s="3"/>
      <c r="T16" s="3"/>
      <c r="U16" s="3"/>
      <c r="V16" s="3"/>
      <c r="W16" s="3"/>
      <c r="X16" s="3"/>
      <c r="Y16" s="3"/>
      <c r="Z16" s="3"/>
      <c r="AA16" s="3"/>
      <c r="AB16" s="3"/>
      <c r="AC16" s="3"/>
      <c r="AD16" s="3"/>
      <c r="AE16" s="3"/>
      <c r="AF16" s="3"/>
      <c r="AG16" s="3"/>
      <c r="AH16" s="3"/>
      <c r="AI16" s="3"/>
      <c r="AJ16" s="3"/>
      <c r="AK16" s="3"/>
      <c r="AL16" s="3"/>
      <c r="AM16" s="3"/>
      <c r="AN16" s="3"/>
      <c r="AO16" s="3"/>
      <c r="AP16" s="3"/>
    </row>
    <row r="17">
      <c r="A17" s="54">
        <v>6.0</v>
      </c>
      <c r="B17" s="310" t="s">
        <v>49</v>
      </c>
      <c r="C17" s="482">
        <f>'1. Tổng doanh thu'!P18</f>
        <v>17229</v>
      </c>
      <c r="D17" s="483">
        <f>'2. SD Điện tiết kiệm'!U18</f>
        <v>1.6437</v>
      </c>
      <c r="E17" s="484">
        <v>1.0</v>
      </c>
      <c r="F17" s="485">
        <v>0.9965</v>
      </c>
      <c r="G17" s="486">
        <v>1.0</v>
      </c>
      <c r="H17" s="487">
        <v>0.013953488372093</v>
      </c>
      <c r="I17" s="491">
        <v>0.0011</v>
      </c>
      <c r="J17" s="84">
        <f>'8. SLTB hủy'!F18</f>
        <v>1.7129</v>
      </c>
      <c r="K17" s="325">
        <v>0.0058</v>
      </c>
      <c r="L17" s="324">
        <v>1.0</v>
      </c>
      <c r="M17" s="84">
        <v>0.98792396</v>
      </c>
      <c r="N17" s="326">
        <v>5.97</v>
      </c>
      <c r="O17" s="84">
        <v>1.0</v>
      </c>
      <c r="P17" s="465">
        <v>1.0</v>
      </c>
      <c r="Q17" s="331"/>
      <c r="S17" s="3"/>
      <c r="T17" s="3"/>
      <c r="U17" s="3"/>
      <c r="V17" s="3"/>
      <c r="W17" s="3"/>
      <c r="X17" s="3"/>
      <c r="Y17" s="3"/>
      <c r="Z17" s="3"/>
      <c r="AA17" s="3"/>
      <c r="AB17" s="3"/>
      <c r="AC17" s="3"/>
      <c r="AD17" s="3"/>
      <c r="AE17" s="3"/>
      <c r="AF17" s="3"/>
      <c r="AG17" s="3"/>
      <c r="AH17" s="3"/>
      <c r="AI17" s="3"/>
      <c r="AJ17" s="3"/>
      <c r="AK17" s="3"/>
      <c r="AL17" s="3"/>
      <c r="AM17" s="3"/>
      <c r="AN17" s="3"/>
      <c r="AO17" s="3"/>
      <c r="AP17" s="3"/>
    </row>
    <row r="18">
      <c r="A18" s="54">
        <v>7.0</v>
      </c>
      <c r="B18" s="332" t="s">
        <v>43</v>
      </c>
      <c r="C18" s="499">
        <f>'1. Tổng doanh thu'!P13</f>
        <v>16524</v>
      </c>
      <c r="D18" s="483">
        <f>'2. SD Điện tiết kiệm'!U19</f>
        <v>0.7889</v>
      </c>
      <c r="E18" s="484">
        <v>1.0</v>
      </c>
      <c r="F18" s="485">
        <v>0.9966</v>
      </c>
      <c r="G18" s="486">
        <v>1.0</v>
      </c>
      <c r="H18" s="487">
        <v>0.0278422273781903</v>
      </c>
      <c r="I18" s="488">
        <v>0.00141</v>
      </c>
      <c r="J18" s="84">
        <f>'8. SLTB hủy'!F19</f>
        <v>1.413</v>
      </c>
      <c r="K18" s="325">
        <v>0.0037</v>
      </c>
      <c r="L18" s="324">
        <v>0.8</v>
      </c>
      <c r="M18" s="84">
        <v>0.98494718</v>
      </c>
      <c r="N18" s="326">
        <v>14.41</v>
      </c>
      <c r="O18" s="110">
        <v>1.0</v>
      </c>
      <c r="P18" s="465">
        <v>1.0</v>
      </c>
      <c r="Q18" s="334"/>
      <c r="S18" s="3"/>
      <c r="T18" s="3"/>
      <c r="U18" s="3"/>
      <c r="V18" s="3"/>
      <c r="W18" s="3"/>
      <c r="X18" s="3"/>
      <c r="Y18" s="3"/>
      <c r="Z18" s="3"/>
      <c r="AA18" s="3"/>
      <c r="AB18" s="3"/>
      <c r="AC18" s="3"/>
      <c r="AD18" s="3"/>
      <c r="AE18" s="3"/>
      <c r="AF18" s="3"/>
      <c r="AG18" s="3"/>
      <c r="AH18" s="3"/>
      <c r="AI18" s="3"/>
      <c r="AJ18" s="3"/>
      <c r="AK18" s="3"/>
      <c r="AL18" s="3"/>
      <c r="AM18" s="3"/>
      <c r="AN18" s="3"/>
      <c r="AO18" s="3"/>
      <c r="AP18" s="3"/>
    </row>
    <row r="19">
      <c r="A19" s="89"/>
      <c r="B19" s="209" t="s">
        <v>50</v>
      </c>
      <c r="C19" s="337">
        <f>sum(C12:C18)</f>
        <v>123308</v>
      </c>
      <c r="D19" s="501">
        <f>'2. SD Điện tiết kiệm'!U20</f>
        <v>1.1246</v>
      </c>
      <c r="E19" s="502">
        <v>1.0</v>
      </c>
      <c r="F19" s="503">
        <v>0.9926</v>
      </c>
      <c r="G19" s="504">
        <v>1.0</v>
      </c>
      <c r="H19" s="505">
        <v>0.0265388868411353</v>
      </c>
      <c r="I19" s="506">
        <v>0.00129</v>
      </c>
      <c r="J19" s="490">
        <f>'8. SLTB hủy'!F12</f>
        <v>1.2583</v>
      </c>
      <c r="K19" s="348">
        <v>0.0128</v>
      </c>
      <c r="L19" s="349">
        <v>0.9265</v>
      </c>
      <c r="M19" s="349">
        <v>0.9881765</v>
      </c>
      <c r="N19" s="209">
        <v>9.67</v>
      </c>
      <c r="O19" s="492">
        <v>1.0</v>
      </c>
      <c r="P19" s="493">
        <v>1.0</v>
      </c>
      <c r="Q19" s="354"/>
      <c r="R19" s="356"/>
      <c r="S19" s="356"/>
      <c r="T19" s="356"/>
      <c r="U19" s="356"/>
      <c r="V19" s="356"/>
      <c r="W19" s="356"/>
      <c r="X19" s="356"/>
      <c r="Y19" s="356"/>
      <c r="Z19" s="356"/>
      <c r="AA19" s="356"/>
      <c r="AB19" s="356"/>
      <c r="AC19" s="356"/>
      <c r="AD19" s="356"/>
      <c r="AE19" s="356"/>
      <c r="AF19" s="356"/>
      <c r="AG19" s="356"/>
      <c r="AH19" s="356"/>
      <c r="AI19" s="356"/>
      <c r="AJ19" s="356"/>
      <c r="AK19" s="356"/>
      <c r="AL19" s="356"/>
      <c r="AM19" s="356"/>
      <c r="AN19" s="356"/>
      <c r="AO19" s="356"/>
      <c r="AP19" s="356"/>
    </row>
    <row r="20">
      <c r="F20" s="205" t="s">
        <v>181</v>
      </c>
      <c r="L20" s="205" t="s">
        <v>298</v>
      </c>
    </row>
    <row r="21">
      <c r="B21" s="205" t="s">
        <v>78</v>
      </c>
      <c r="C21" s="494">
        <v>125315.0</v>
      </c>
    </row>
    <row r="22">
      <c r="A22" s="205">
        <v>8.0</v>
      </c>
      <c r="B22" s="205" t="s">
        <v>299</v>
      </c>
      <c r="C22" s="495">
        <f>'1. Tổng doanh thu'!P20</f>
        <v>5573</v>
      </c>
      <c r="D22" s="275">
        <f t="shared" ref="D22:P22" si="1">D19</f>
        <v>1.1246</v>
      </c>
      <c r="E22" s="496">
        <f t="shared" si="1"/>
        <v>1</v>
      </c>
      <c r="F22" s="275">
        <f t="shared" si="1"/>
        <v>0.9926</v>
      </c>
      <c r="G22" s="275">
        <f t="shared" si="1"/>
        <v>1</v>
      </c>
      <c r="H22" s="498">
        <f t="shared" si="1"/>
        <v>0.02653888684</v>
      </c>
      <c r="I22" s="498">
        <f t="shared" si="1"/>
        <v>0.00129</v>
      </c>
      <c r="J22" s="275">
        <f t="shared" si="1"/>
        <v>1.2583</v>
      </c>
      <c r="K22" s="275">
        <f t="shared" si="1"/>
        <v>0.0128</v>
      </c>
      <c r="L22" s="275">
        <f t="shared" si="1"/>
        <v>0.9265</v>
      </c>
      <c r="M22" s="275">
        <f t="shared" si="1"/>
        <v>0.9881765</v>
      </c>
      <c r="N22" s="496">
        <f t="shared" si="1"/>
        <v>9.67</v>
      </c>
      <c r="O22" s="275">
        <f t="shared" si="1"/>
        <v>1</v>
      </c>
      <c r="P22" s="275">
        <f t="shared" si="1"/>
        <v>1</v>
      </c>
    </row>
    <row r="23">
      <c r="A23" s="205">
        <v>9.0</v>
      </c>
      <c r="B23" s="205" t="s">
        <v>300</v>
      </c>
      <c r="C23" s="495">
        <f>'1. Tổng doanh thu'!P21</f>
        <v>5573</v>
      </c>
      <c r="D23" s="275">
        <f t="shared" ref="D23:P23" si="2">D19</f>
        <v>1.1246</v>
      </c>
      <c r="E23" s="496">
        <f t="shared" si="2"/>
        <v>1</v>
      </c>
      <c r="F23" s="275">
        <f t="shared" si="2"/>
        <v>0.9926</v>
      </c>
      <c r="G23" s="275">
        <f t="shared" si="2"/>
        <v>1</v>
      </c>
      <c r="H23" s="498">
        <f t="shared" si="2"/>
        <v>0.02653888684</v>
      </c>
      <c r="I23" s="498">
        <f t="shared" si="2"/>
        <v>0.00129</v>
      </c>
      <c r="J23" s="275">
        <f t="shared" si="2"/>
        <v>1.2583</v>
      </c>
      <c r="K23" s="275">
        <f t="shared" si="2"/>
        <v>0.0128</v>
      </c>
      <c r="L23" s="275">
        <f t="shared" si="2"/>
        <v>0.9265</v>
      </c>
      <c r="M23" s="275">
        <f t="shared" si="2"/>
        <v>0.9881765</v>
      </c>
      <c r="N23" s="496">
        <f t="shared" si="2"/>
        <v>9.67</v>
      </c>
      <c r="O23" s="275">
        <f t="shared" si="2"/>
        <v>1</v>
      </c>
      <c r="P23" s="275">
        <f t="shared" si="2"/>
        <v>1</v>
      </c>
    </row>
    <row r="28">
      <c r="A28" s="1"/>
      <c r="B28" s="6"/>
      <c r="C28" s="8" t="s">
        <v>301</v>
      </c>
      <c r="D28" s="7"/>
      <c r="E28" s="7"/>
      <c r="F28" s="7"/>
      <c r="G28" s="7"/>
      <c r="H28" s="7"/>
      <c r="I28" s="7"/>
      <c r="J28" s="7"/>
      <c r="K28" s="7"/>
      <c r="L28" s="7"/>
      <c r="M28" s="7"/>
      <c r="N28" s="7"/>
      <c r="O28" s="7"/>
      <c r="P28" s="9"/>
      <c r="Q28" s="3"/>
    </row>
    <row r="29">
      <c r="A29" s="11"/>
      <c r="B29" s="15" t="s">
        <v>2</v>
      </c>
      <c r="C29" s="16" t="s">
        <v>3</v>
      </c>
      <c r="D29" s="21" t="s">
        <v>66</v>
      </c>
      <c r="E29" s="18" t="s">
        <v>67</v>
      </c>
      <c r="F29" s="21" t="s">
        <v>68</v>
      </c>
      <c r="G29" s="18" t="s">
        <v>69</v>
      </c>
      <c r="H29" s="18" t="s">
        <v>8</v>
      </c>
      <c r="I29" s="21" t="s">
        <v>9</v>
      </c>
      <c r="J29" s="21" t="s">
        <v>70</v>
      </c>
      <c r="K29" s="21" t="s">
        <v>71</v>
      </c>
      <c r="L29" s="21" t="s">
        <v>72</v>
      </c>
      <c r="M29" s="21" t="s">
        <v>13</v>
      </c>
      <c r="N29" s="21" t="s">
        <v>14</v>
      </c>
      <c r="O29" s="18" t="s">
        <v>73</v>
      </c>
      <c r="P29" s="18" t="s">
        <v>74</v>
      </c>
      <c r="Q29" s="135" t="s">
        <v>18</v>
      </c>
    </row>
    <row r="30">
      <c r="A30" s="26"/>
      <c r="B30" s="500" t="s">
        <v>20</v>
      </c>
      <c r="C30" s="193">
        <v>0.15</v>
      </c>
      <c r="D30" s="136">
        <v>0.1</v>
      </c>
      <c r="E30" s="136">
        <v>0.05</v>
      </c>
      <c r="F30" s="136">
        <v>0.05</v>
      </c>
      <c r="G30" s="136">
        <v>0.05</v>
      </c>
      <c r="H30" s="136">
        <v>0.05</v>
      </c>
      <c r="I30" s="136">
        <v>0.05</v>
      </c>
      <c r="J30" s="136">
        <v>0.05</v>
      </c>
      <c r="K30" s="136">
        <v>0.05</v>
      </c>
      <c r="L30" s="136">
        <v>0.05</v>
      </c>
      <c r="M30" s="32">
        <v>0.1</v>
      </c>
      <c r="N30" s="136">
        <v>0.05</v>
      </c>
      <c r="O30" s="136">
        <v>0.2</v>
      </c>
      <c r="P30" s="136">
        <v>0.0</v>
      </c>
      <c r="Q30" s="469">
        <f>sum(C30:P30)</f>
        <v>1</v>
      </c>
    </row>
    <row r="31">
      <c r="A31" s="71"/>
      <c r="B31" s="470" t="s">
        <v>24</v>
      </c>
      <c r="C31" s="46" t="s">
        <v>148</v>
      </c>
      <c r="D31" s="47" t="s">
        <v>149</v>
      </c>
      <c r="E31" s="47" t="s">
        <v>150</v>
      </c>
      <c r="F31" s="47" t="s">
        <v>151</v>
      </c>
      <c r="G31" s="47" t="s">
        <v>271</v>
      </c>
      <c r="H31" s="47" t="s">
        <v>218</v>
      </c>
      <c r="I31" s="47" t="s">
        <v>291</v>
      </c>
      <c r="J31" s="47" t="s">
        <v>155</v>
      </c>
      <c r="K31" s="47" t="s">
        <v>156</v>
      </c>
      <c r="L31" s="47" t="s">
        <v>157</v>
      </c>
      <c r="M31" s="47"/>
      <c r="N31" s="47" t="s">
        <v>159</v>
      </c>
      <c r="O31" s="47" t="s">
        <v>244</v>
      </c>
      <c r="P31" s="47"/>
      <c r="Q31" s="471"/>
    </row>
    <row r="32">
      <c r="A32" s="26"/>
      <c r="B32" s="72" t="s">
        <v>22</v>
      </c>
      <c r="C32" s="511" t="s">
        <v>23</v>
      </c>
      <c r="D32" s="74" t="s">
        <v>166</v>
      </c>
      <c r="E32" s="74"/>
      <c r="F32" s="74" t="s">
        <v>166</v>
      </c>
      <c r="G32" s="74" t="s">
        <v>166</v>
      </c>
      <c r="H32" s="74" t="s">
        <v>166</v>
      </c>
      <c r="I32" s="74" t="s">
        <v>166</v>
      </c>
      <c r="J32" s="74" t="s">
        <v>167</v>
      </c>
      <c r="K32" s="78" t="s">
        <v>166</v>
      </c>
      <c r="L32" s="74" t="s">
        <v>166</v>
      </c>
      <c r="M32" s="74" t="s">
        <v>166</v>
      </c>
      <c r="N32" s="74" t="s">
        <v>168</v>
      </c>
      <c r="O32" s="74" t="s">
        <v>166</v>
      </c>
      <c r="P32" s="306" t="s">
        <v>166</v>
      </c>
      <c r="Q32" s="274"/>
    </row>
    <row r="33">
      <c r="A33" s="26" t="s">
        <v>28</v>
      </c>
      <c r="B33" s="139" t="s">
        <v>30</v>
      </c>
      <c r="C33" s="512">
        <v>125315.22</v>
      </c>
      <c r="D33" s="141">
        <v>0.98</v>
      </c>
      <c r="E33" s="142">
        <v>1.0</v>
      </c>
      <c r="F33" s="141">
        <v>0.98</v>
      </c>
      <c r="G33" s="141">
        <v>0.99</v>
      </c>
      <c r="H33" s="141">
        <v>0.02</v>
      </c>
      <c r="I33" s="143">
        <v>5.5E-4</v>
      </c>
      <c r="J33" s="144" t="s">
        <v>75</v>
      </c>
      <c r="K33" s="141">
        <v>0.005</v>
      </c>
      <c r="L33" s="141">
        <v>0.98</v>
      </c>
      <c r="M33" s="141">
        <v>0.99</v>
      </c>
      <c r="N33" s="142">
        <v>3.0</v>
      </c>
      <c r="O33" s="145">
        <v>1.0</v>
      </c>
      <c r="P33" s="146">
        <v>1.0</v>
      </c>
      <c r="Q33" s="147"/>
    </row>
    <row r="34">
      <c r="A34" s="54">
        <v>1.0</v>
      </c>
      <c r="B34" s="513" t="s">
        <v>42</v>
      </c>
      <c r="C34" s="311">
        <f>'1. Tổng doanh thu'!Q12</f>
        <v>0.9789214759</v>
      </c>
      <c r="D34" s="312">
        <v>1.35</v>
      </c>
      <c r="E34" s="316">
        <v>1.0</v>
      </c>
      <c r="F34" s="314">
        <v>0.9963</v>
      </c>
      <c r="G34" s="311">
        <v>1.0</v>
      </c>
      <c r="H34" s="315">
        <v>0.0199335548172757</v>
      </c>
      <c r="I34" s="514">
        <v>8.0E-4</v>
      </c>
      <c r="J34" s="445">
        <v>1.0469</v>
      </c>
      <c r="K34" s="317">
        <v>0.0404</v>
      </c>
      <c r="L34" s="406">
        <v>1.0</v>
      </c>
      <c r="M34" s="406">
        <v>0.98652552</v>
      </c>
      <c r="N34" s="446">
        <v>11.35</v>
      </c>
      <c r="O34" s="312">
        <v>1.0</v>
      </c>
      <c r="P34" s="481">
        <v>1.0</v>
      </c>
      <c r="Q34" s="391"/>
    </row>
    <row r="35">
      <c r="A35" s="54">
        <v>2.0</v>
      </c>
      <c r="B35" s="55" t="s">
        <v>44</v>
      </c>
      <c r="C35" s="322">
        <f>'1. Tổng doanh thu'!Q14</f>
        <v>0.9102759761</v>
      </c>
      <c r="D35" s="84">
        <v>1.6358</v>
      </c>
      <c r="E35" s="87">
        <v>1.0</v>
      </c>
      <c r="F35" s="324">
        <v>0.9902</v>
      </c>
      <c r="G35" s="322">
        <v>1.0</v>
      </c>
      <c r="H35" s="86">
        <v>0.038961038961039</v>
      </c>
      <c r="I35" s="508">
        <v>0.00175</v>
      </c>
      <c r="J35" s="83">
        <v>1.5475</v>
      </c>
      <c r="K35" s="325">
        <v>0.0</v>
      </c>
      <c r="L35" s="324">
        <v>0.9286</v>
      </c>
      <c r="M35" s="84">
        <v>0.98627754</v>
      </c>
      <c r="N35" s="326">
        <v>17.39</v>
      </c>
      <c r="O35" s="84">
        <v>1.0</v>
      </c>
      <c r="P35" s="465">
        <v>1.0</v>
      </c>
      <c r="Q35" s="150"/>
    </row>
    <row r="36">
      <c r="A36" s="54">
        <v>3.0</v>
      </c>
      <c r="B36" s="55" t="s">
        <v>45</v>
      </c>
      <c r="C36" s="322">
        <f>'1. Tổng doanh thu'!Q15</f>
        <v>0.9898592402</v>
      </c>
      <c r="D36" s="84">
        <v>0.8361</v>
      </c>
      <c r="E36" s="87">
        <v>1.0</v>
      </c>
      <c r="F36" s="324">
        <v>0.9903</v>
      </c>
      <c r="G36" s="322">
        <v>1.0</v>
      </c>
      <c r="H36" s="86">
        <v>0.0534979423868313</v>
      </c>
      <c r="I36" s="465">
        <v>0.00111</v>
      </c>
      <c r="J36" s="83">
        <v>1.8113</v>
      </c>
      <c r="K36" s="325">
        <v>0.0093</v>
      </c>
      <c r="L36" s="324">
        <v>1.0</v>
      </c>
      <c r="M36" s="84">
        <v>0.98385144</v>
      </c>
      <c r="N36" s="326">
        <v>4.32</v>
      </c>
      <c r="O36" s="84">
        <v>1.0</v>
      </c>
      <c r="P36" s="465">
        <v>1.0</v>
      </c>
      <c r="Q36" s="150"/>
    </row>
    <row r="37">
      <c r="A37" s="54">
        <v>4.0</v>
      </c>
      <c r="B37" s="55" t="s">
        <v>47</v>
      </c>
      <c r="C37" s="322">
        <f>'1. Tổng doanh thu'!Q16</f>
        <v>1.008066411</v>
      </c>
      <c r="D37" s="84">
        <v>0.8835</v>
      </c>
      <c r="E37" s="87">
        <v>1.0</v>
      </c>
      <c r="F37" s="324">
        <v>0.9917</v>
      </c>
      <c r="G37" s="322">
        <v>1.0</v>
      </c>
      <c r="H37" s="86">
        <v>0.015</v>
      </c>
      <c r="I37" s="508">
        <v>9.3E-4</v>
      </c>
      <c r="J37" s="83">
        <v>1.108</v>
      </c>
      <c r="K37" s="325">
        <v>0.0</v>
      </c>
      <c r="L37" s="324">
        <v>0.6667</v>
      </c>
      <c r="M37" s="84">
        <v>0.98603942</v>
      </c>
      <c r="N37" s="326">
        <v>1.87</v>
      </c>
      <c r="O37" s="84">
        <v>1.0</v>
      </c>
      <c r="P37" s="465">
        <v>1.0</v>
      </c>
      <c r="Q37" s="150"/>
    </row>
    <row r="38">
      <c r="A38" s="54">
        <v>5.0</v>
      </c>
      <c r="B38" s="55" t="s">
        <v>48</v>
      </c>
      <c r="C38" s="322">
        <f>'1. Tổng doanh thu'!Q17</f>
        <v>0.9282759835</v>
      </c>
      <c r="D38" s="84">
        <v>1.1858</v>
      </c>
      <c r="E38" s="87">
        <v>1.0</v>
      </c>
      <c r="F38" s="324">
        <v>0.9923</v>
      </c>
      <c r="G38" s="322">
        <v>1.0</v>
      </c>
      <c r="H38" s="86">
        <v>0.0367892976588629</v>
      </c>
      <c r="I38" s="508">
        <v>0.00258</v>
      </c>
      <c r="J38" s="83">
        <v>1.486</v>
      </c>
      <c r="K38" s="325">
        <v>0.0085</v>
      </c>
      <c r="L38" s="324">
        <v>1.0</v>
      </c>
      <c r="M38" s="84">
        <v>0.9867489</v>
      </c>
      <c r="N38" s="326">
        <v>10.12</v>
      </c>
      <c r="O38" s="84">
        <v>1.0</v>
      </c>
      <c r="P38" s="465">
        <v>1.0</v>
      </c>
      <c r="Q38" s="150"/>
    </row>
    <row r="39">
      <c r="A39" s="54">
        <v>6.0</v>
      </c>
      <c r="B39" s="55" t="s">
        <v>49</v>
      </c>
      <c r="C39" s="322">
        <f>'1. Tổng doanh thu'!Q18</f>
        <v>0.9505130751</v>
      </c>
      <c r="D39" s="84">
        <v>1.6437</v>
      </c>
      <c r="E39" s="87">
        <v>1.0</v>
      </c>
      <c r="F39" s="324">
        <v>0.9965</v>
      </c>
      <c r="G39" s="322">
        <v>1.0</v>
      </c>
      <c r="H39" s="86">
        <v>0.013953488372093</v>
      </c>
      <c r="I39" s="465">
        <v>0.0011</v>
      </c>
      <c r="J39" s="83">
        <v>1.1254</v>
      </c>
      <c r="K39" s="325">
        <v>0.0058</v>
      </c>
      <c r="L39" s="324">
        <v>1.0</v>
      </c>
      <c r="M39" s="84">
        <v>0.98792396</v>
      </c>
      <c r="N39" s="326">
        <v>5.97</v>
      </c>
      <c r="O39" s="84">
        <v>1.0</v>
      </c>
      <c r="P39" s="465">
        <v>1.0</v>
      </c>
      <c r="Q39" s="150"/>
    </row>
    <row r="40">
      <c r="A40" s="54">
        <v>7.0</v>
      </c>
      <c r="B40" s="510" t="s">
        <v>43</v>
      </c>
      <c r="C40" s="516">
        <f>'1. Tổng doanh thu'!Q13</f>
        <v>0.9714285714</v>
      </c>
      <c r="D40" s="84">
        <v>0.7889</v>
      </c>
      <c r="E40" s="87">
        <v>1.0</v>
      </c>
      <c r="F40" s="324">
        <v>0.9966</v>
      </c>
      <c r="G40" s="322">
        <v>1.0</v>
      </c>
      <c r="H40" s="86">
        <v>0.0278422273781903</v>
      </c>
      <c r="I40" s="508">
        <v>0.00141</v>
      </c>
      <c r="J40" s="83">
        <v>1.8492</v>
      </c>
      <c r="K40" s="325">
        <v>0.0037</v>
      </c>
      <c r="L40" s="324">
        <v>0.8</v>
      </c>
      <c r="M40" s="84">
        <v>0.98494718</v>
      </c>
      <c r="N40" s="326">
        <v>14.41</v>
      </c>
      <c r="O40" s="110">
        <v>1.0</v>
      </c>
      <c r="P40" s="465">
        <v>1.0</v>
      </c>
      <c r="Q40" s="400"/>
    </row>
    <row r="41">
      <c r="A41" s="89"/>
      <c r="B41" s="209" t="s">
        <v>50</v>
      </c>
      <c r="C41" s="28">
        <f>'1. Tổng doanh thu'!Q19</f>
        <v>0.9678654966</v>
      </c>
      <c r="D41" s="338">
        <v>1.1246</v>
      </c>
      <c r="E41" s="339">
        <v>1.0</v>
      </c>
      <c r="F41" s="450">
        <v>0.9926</v>
      </c>
      <c r="G41" s="342">
        <v>1.0</v>
      </c>
      <c r="H41" s="344">
        <v>0.0265388868411353</v>
      </c>
      <c r="I41" s="517">
        <v>0.00129</v>
      </c>
      <c r="J41" s="451">
        <v>1.3561</v>
      </c>
      <c r="K41" s="348">
        <v>0.0128</v>
      </c>
      <c r="L41" s="349">
        <v>0.9265</v>
      </c>
      <c r="M41" s="349">
        <v>0.9881765</v>
      </c>
      <c r="N41" s="209">
        <v>9.67</v>
      </c>
      <c r="O41" s="492">
        <v>1.0</v>
      </c>
      <c r="P41" s="493">
        <v>1.0</v>
      </c>
      <c r="Q41" s="354"/>
      <c r="R41" s="356"/>
      <c r="S41" s="356"/>
      <c r="T41" s="356"/>
      <c r="U41" s="356"/>
      <c r="V41" s="356"/>
      <c r="W41" s="356"/>
      <c r="X41" s="356"/>
      <c r="Y41" s="356"/>
      <c r="Z41" s="356"/>
      <c r="AA41" s="356"/>
      <c r="AB41" s="356"/>
      <c r="AC41" s="356"/>
      <c r="AD41" s="356"/>
      <c r="AE41" s="356"/>
      <c r="AF41" s="356"/>
      <c r="AG41" s="356"/>
      <c r="AH41" s="356"/>
      <c r="AI41" s="356"/>
      <c r="AJ41" s="356"/>
      <c r="AK41" s="356"/>
      <c r="AL41" s="356"/>
      <c r="AM41" s="356"/>
      <c r="AN41" s="356"/>
      <c r="AO41" s="356"/>
      <c r="AP41" s="356"/>
    </row>
    <row r="42">
      <c r="B42" s="205" t="s">
        <v>78</v>
      </c>
      <c r="C42" s="273">
        <v>0.96233</v>
      </c>
      <c r="D42" s="273">
        <v>1.1557</v>
      </c>
      <c r="E42" s="205">
        <v>1.0</v>
      </c>
      <c r="F42" s="273">
        <v>0.9948</v>
      </c>
      <c r="G42" s="273">
        <v>1.0</v>
      </c>
      <c r="H42" s="273">
        <v>0.0265</v>
      </c>
      <c r="I42" s="273">
        <v>0.0014</v>
      </c>
      <c r="J42" s="273">
        <v>1.3298</v>
      </c>
      <c r="K42" s="273">
        <v>0.0019</v>
      </c>
      <c r="L42" s="273">
        <v>0.9358</v>
      </c>
      <c r="M42" s="273">
        <v>0.9867</v>
      </c>
      <c r="N42" s="205">
        <v>9.574</v>
      </c>
      <c r="O42" s="273">
        <v>1.0</v>
      </c>
      <c r="P42" s="498"/>
      <c r="Q42" s="498"/>
    </row>
    <row r="43">
      <c r="A43" s="205">
        <v>8.0</v>
      </c>
      <c r="B43" s="205" t="s">
        <v>299</v>
      </c>
      <c r="C43" s="402"/>
    </row>
    <row r="44">
      <c r="A44" s="205">
        <v>9.0</v>
      </c>
      <c r="B44" s="205" t="s">
        <v>300</v>
      </c>
      <c r="C44" s="402"/>
    </row>
    <row r="45">
      <c r="C45" s="402"/>
    </row>
    <row r="48">
      <c r="A48" s="1"/>
      <c r="B48" s="6"/>
      <c r="C48" s="8" t="s">
        <v>62</v>
      </c>
      <c r="D48" s="7"/>
      <c r="E48" s="7"/>
      <c r="F48" s="7"/>
      <c r="G48" s="7"/>
      <c r="H48" s="7"/>
      <c r="I48" s="7"/>
      <c r="J48" s="7"/>
      <c r="K48" s="7"/>
      <c r="L48" s="7"/>
      <c r="M48" s="7"/>
      <c r="N48" s="7"/>
      <c r="O48" s="7"/>
      <c r="P48" s="9"/>
      <c r="Q48" s="127"/>
    </row>
    <row r="49">
      <c r="A49" s="11"/>
      <c r="B49" s="15" t="s">
        <v>2</v>
      </c>
      <c r="C49" s="16" t="s">
        <v>3</v>
      </c>
      <c r="D49" s="18" t="s">
        <v>66</v>
      </c>
      <c r="E49" s="18" t="s">
        <v>67</v>
      </c>
      <c r="F49" s="18" t="s">
        <v>68</v>
      </c>
      <c r="G49" s="18" t="s">
        <v>69</v>
      </c>
      <c r="H49" s="18" t="s">
        <v>8</v>
      </c>
      <c r="I49" s="18" t="s">
        <v>9</v>
      </c>
      <c r="J49" s="18" t="s">
        <v>70</v>
      </c>
      <c r="K49" s="18" t="s">
        <v>71</v>
      </c>
      <c r="L49" s="18" t="s">
        <v>72</v>
      </c>
      <c r="M49" s="18" t="s">
        <v>13</v>
      </c>
      <c r="N49" s="18" t="s">
        <v>14</v>
      </c>
      <c r="O49" s="18" t="s">
        <v>73</v>
      </c>
      <c r="P49" s="18" t="s">
        <v>74</v>
      </c>
      <c r="Q49" s="135" t="s">
        <v>18</v>
      </c>
    </row>
    <row r="50">
      <c r="B50" s="72" t="s">
        <v>20</v>
      </c>
      <c r="C50" s="28">
        <v>0.15</v>
      </c>
      <c r="D50" s="136">
        <v>0.1</v>
      </c>
      <c r="E50" s="136">
        <v>0.05</v>
      </c>
      <c r="F50" s="136">
        <v>0.05</v>
      </c>
      <c r="G50" s="136">
        <v>0.05</v>
      </c>
      <c r="H50" s="136">
        <v>0.05</v>
      </c>
      <c r="I50" s="136">
        <v>0.05</v>
      </c>
      <c r="J50" s="136">
        <v>0.05</v>
      </c>
      <c r="K50" s="136">
        <v>0.05</v>
      </c>
      <c r="L50" s="136">
        <v>0.05</v>
      </c>
      <c r="M50" s="32">
        <v>0.1</v>
      </c>
      <c r="N50" s="136">
        <v>0.05</v>
      </c>
      <c r="O50" s="136">
        <v>0.2</v>
      </c>
      <c r="P50" s="136">
        <v>0.0</v>
      </c>
      <c r="Q50" s="138">
        <f>sum(C50:P50)</f>
        <v>1</v>
      </c>
    </row>
    <row r="51">
      <c r="A51" s="26" t="s">
        <v>28</v>
      </c>
      <c r="B51" s="139" t="s">
        <v>30</v>
      </c>
      <c r="C51" s="140">
        <v>125315.22</v>
      </c>
      <c r="D51" s="141">
        <v>0.98</v>
      </c>
      <c r="E51" s="142">
        <v>1.0</v>
      </c>
      <c r="F51" s="141">
        <v>0.98</v>
      </c>
      <c r="G51" s="141">
        <v>0.99</v>
      </c>
      <c r="H51" s="141">
        <v>0.02</v>
      </c>
      <c r="I51" s="143">
        <v>5.5E-4</v>
      </c>
      <c r="J51" s="144" t="s">
        <v>75</v>
      </c>
      <c r="K51" s="141">
        <v>0.005</v>
      </c>
      <c r="L51" s="141">
        <v>0.98</v>
      </c>
      <c r="M51" s="141">
        <v>0.99</v>
      </c>
      <c r="N51" s="142">
        <v>3.0</v>
      </c>
      <c r="O51" s="145">
        <v>1.0</v>
      </c>
      <c r="P51" s="146">
        <v>1.0</v>
      </c>
      <c r="Q51" s="147"/>
    </row>
    <row r="52">
      <c r="A52" s="54">
        <v>1.0</v>
      </c>
      <c r="B52" s="148" t="s">
        <v>42</v>
      </c>
      <c r="C52" s="149">
        <f t="shared" ref="C52:C59" si="3">IF(C34&lt;95%,
((C34-95%)/0.5%)*$C$50,
IF(C34&lt;100%,
((C34-100%)/0.5%)*0.5*$C$50,
MIN(((C34-100%)/0.5%)*$C$50,10)))</f>
        <v>-0.3161778619</v>
      </c>
      <c r="D52" s="151">
        <f t="shared" ref="D52:D59" si="4">((98%-D34)/1%)*$D$50</f>
        <v>-3.7</v>
      </c>
      <c r="E52" s="153">
        <f t="shared" ref="E52:E59" si="5">MIN(MAX(((E34-1)/0.01)*0.1*$E$50,-5),3)</f>
        <v>0</v>
      </c>
      <c r="F52" s="151">
        <f t="shared" ref="F52:F59" si="6">((F34-98%)/0.1%)*1.5*$F$50</f>
        <v>1.2225</v>
      </c>
      <c r="G52" s="151">
        <f t="shared" ref="G52:G59" si="7">((G34-99%)/0.1%)*3*$G$50</f>
        <v>1.5</v>
      </c>
      <c r="H52" s="151">
        <f t="shared" ref="H52:H59" si="8">((2%-H34)/0.1%)*1.5*$H$50</f>
        <v>0.004983388704</v>
      </c>
      <c r="I52" s="151">
        <f t="shared" ref="I52:I59" si="9">((0.055%-I34)/0.001%)*0.545*$I$50</f>
        <v>-0.68125</v>
      </c>
      <c r="J52" s="151">
        <f t="shared" ref="J52:J59" si="10">(-(J34-100%)/3%)*0.5*$J$50</f>
        <v>-0.03908333333</v>
      </c>
      <c r="K52" s="151">
        <f t="shared" ref="K52:K59" si="11">(-(K34-0.5%)/0.1%)*6*$K$50</f>
        <v>-10.62</v>
      </c>
      <c r="L52" s="151">
        <f t="shared" ref="L52:L59" si="12">((L34-98%)/0.1%)*1.5*$L$50</f>
        <v>1.5</v>
      </c>
      <c r="M52" s="151">
        <f t="shared" ref="M52:M59" si="13">((M34-99%)/0.1%)*3*$M$50</f>
        <v>-1.042344</v>
      </c>
      <c r="N52" s="151">
        <f t="shared" ref="N52:N59" si="14">((3-N34)/0.1)*$N$50</f>
        <v>-4.175</v>
      </c>
      <c r="O52" s="151">
        <f t="shared" ref="O52:O59" si="15">MIN((O34-100%)/2%,0)*$O$50</f>
        <v>0</v>
      </c>
      <c r="P52" s="153">
        <v>0.0</v>
      </c>
      <c r="Q52" s="154">
        <f t="shared" ref="Q52:Q60" si="16">100+sum(C52:P52)</f>
        <v>83.65362819</v>
      </c>
    </row>
    <row r="53">
      <c r="A53" s="54">
        <v>2.0</v>
      </c>
      <c r="B53" s="156" t="s">
        <v>44</v>
      </c>
      <c r="C53" s="158">
        <f t="shared" si="3"/>
        <v>-1.191720717</v>
      </c>
      <c r="D53" s="159">
        <f t="shared" si="4"/>
        <v>-6.558</v>
      </c>
      <c r="E53" s="160">
        <f t="shared" si="5"/>
        <v>0</v>
      </c>
      <c r="F53" s="159">
        <f t="shared" si="6"/>
        <v>0.765</v>
      </c>
      <c r="G53" s="159">
        <f t="shared" si="7"/>
        <v>1.5</v>
      </c>
      <c r="H53" s="159">
        <f t="shared" si="8"/>
        <v>-1.422077922</v>
      </c>
      <c r="I53" s="159">
        <f t="shared" si="9"/>
        <v>-3.27</v>
      </c>
      <c r="J53" s="159">
        <f t="shared" si="10"/>
        <v>-0.45625</v>
      </c>
      <c r="K53" s="159">
        <f t="shared" si="11"/>
        <v>1.5</v>
      </c>
      <c r="L53" s="159">
        <f t="shared" si="12"/>
        <v>-3.855</v>
      </c>
      <c r="M53" s="159">
        <f t="shared" si="13"/>
        <v>-1.116738</v>
      </c>
      <c r="N53" s="159">
        <f t="shared" si="14"/>
        <v>-7.195</v>
      </c>
      <c r="O53" s="159">
        <f t="shared" si="15"/>
        <v>0</v>
      </c>
      <c r="P53" s="160">
        <v>0.0</v>
      </c>
      <c r="Q53" s="161">
        <f t="shared" si="16"/>
        <v>78.70021336</v>
      </c>
    </row>
    <row r="54">
      <c r="A54" s="54">
        <v>3.0</v>
      </c>
      <c r="B54" s="156" t="s">
        <v>45</v>
      </c>
      <c r="C54" s="158">
        <f t="shared" si="3"/>
        <v>-0.152111397</v>
      </c>
      <c r="D54" s="159">
        <f t="shared" si="4"/>
        <v>1.439</v>
      </c>
      <c r="E54" s="160">
        <f t="shared" si="5"/>
        <v>0</v>
      </c>
      <c r="F54" s="159">
        <f t="shared" si="6"/>
        <v>0.7725</v>
      </c>
      <c r="G54" s="159">
        <f t="shared" si="7"/>
        <v>1.5</v>
      </c>
      <c r="H54" s="159">
        <f t="shared" si="8"/>
        <v>-2.512345679</v>
      </c>
      <c r="I54" s="159">
        <f t="shared" si="9"/>
        <v>-1.526</v>
      </c>
      <c r="J54" s="159">
        <f t="shared" si="10"/>
        <v>-0.6760833333</v>
      </c>
      <c r="K54" s="159">
        <f t="shared" si="11"/>
        <v>-1.29</v>
      </c>
      <c r="L54" s="159">
        <f t="shared" si="12"/>
        <v>1.5</v>
      </c>
      <c r="M54" s="159">
        <f t="shared" si="13"/>
        <v>-1.844568</v>
      </c>
      <c r="N54" s="159">
        <f t="shared" si="14"/>
        <v>-0.66</v>
      </c>
      <c r="O54" s="159">
        <f t="shared" si="15"/>
        <v>0</v>
      </c>
      <c r="P54" s="160">
        <v>0.0</v>
      </c>
      <c r="Q54" s="161">
        <f t="shared" si="16"/>
        <v>96.55039159</v>
      </c>
    </row>
    <row r="55">
      <c r="A55" s="54">
        <v>4.0</v>
      </c>
      <c r="B55" s="156" t="s">
        <v>47</v>
      </c>
      <c r="C55" s="158">
        <f t="shared" si="3"/>
        <v>0.2419923252</v>
      </c>
      <c r="D55" s="159">
        <f t="shared" si="4"/>
        <v>0.965</v>
      </c>
      <c r="E55" s="160">
        <f t="shared" si="5"/>
        <v>0</v>
      </c>
      <c r="F55" s="159">
        <f t="shared" si="6"/>
        <v>0.8775</v>
      </c>
      <c r="G55" s="159">
        <f t="shared" si="7"/>
        <v>1.5</v>
      </c>
      <c r="H55" s="159">
        <f t="shared" si="8"/>
        <v>0.375</v>
      </c>
      <c r="I55" s="159">
        <f t="shared" si="9"/>
        <v>-1.0355</v>
      </c>
      <c r="J55" s="159">
        <f t="shared" si="10"/>
        <v>-0.09</v>
      </c>
      <c r="K55" s="159">
        <f t="shared" si="11"/>
        <v>1.5</v>
      </c>
      <c r="L55" s="159">
        <f t="shared" si="12"/>
        <v>-23.4975</v>
      </c>
      <c r="M55" s="159">
        <f t="shared" si="13"/>
        <v>-1.188174</v>
      </c>
      <c r="N55" s="159">
        <f t="shared" si="14"/>
        <v>0.565</v>
      </c>
      <c r="O55" s="159">
        <f t="shared" si="15"/>
        <v>0</v>
      </c>
      <c r="P55" s="160">
        <v>0.0</v>
      </c>
      <c r="Q55" s="161">
        <f t="shared" si="16"/>
        <v>80.21331833</v>
      </c>
    </row>
    <row r="56">
      <c r="A56" s="54">
        <v>5.0</v>
      </c>
      <c r="B56" s="156" t="s">
        <v>48</v>
      </c>
      <c r="C56" s="158">
        <f t="shared" si="3"/>
        <v>-0.6517204963</v>
      </c>
      <c r="D56" s="159">
        <f t="shared" si="4"/>
        <v>-2.058</v>
      </c>
      <c r="E56" s="160">
        <f t="shared" si="5"/>
        <v>0</v>
      </c>
      <c r="F56" s="159">
        <f t="shared" si="6"/>
        <v>0.9225</v>
      </c>
      <c r="G56" s="159">
        <f t="shared" si="7"/>
        <v>1.5</v>
      </c>
      <c r="H56" s="159">
        <f t="shared" si="8"/>
        <v>-1.259197324</v>
      </c>
      <c r="I56" s="159">
        <f t="shared" si="9"/>
        <v>-5.53175</v>
      </c>
      <c r="J56" s="159">
        <f t="shared" si="10"/>
        <v>-0.405</v>
      </c>
      <c r="K56" s="159">
        <f t="shared" si="11"/>
        <v>-1.05</v>
      </c>
      <c r="L56" s="159">
        <f t="shared" si="12"/>
        <v>1.5</v>
      </c>
      <c r="M56" s="159">
        <f t="shared" si="13"/>
        <v>-0.97533</v>
      </c>
      <c r="N56" s="159">
        <f t="shared" si="14"/>
        <v>-3.56</v>
      </c>
      <c r="O56" s="159">
        <f t="shared" si="15"/>
        <v>0</v>
      </c>
      <c r="P56" s="160">
        <v>0.0</v>
      </c>
      <c r="Q56" s="161">
        <f t="shared" si="16"/>
        <v>88.43150218</v>
      </c>
    </row>
    <row r="57">
      <c r="A57" s="54">
        <v>6.0</v>
      </c>
      <c r="B57" s="156" t="s">
        <v>49</v>
      </c>
      <c r="C57" s="158">
        <f t="shared" si="3"/>
        <v>-0.7423038729</v>
      </c>
      <c r="D57" s="159">
        <f t="shared" si="4"/>
        <v>-6.637</v>
      </c>
      <c r="E57" s="160">
        <f t="shared" si="5"/>
        <v>0</v>
      </c>
      <c r="F57" s="159">
        <f t="shared" si="6"/>
        <v>1.2375</v>
      </c>
      <c r="G57" s="159">
        <f t="shared" si="7"/>
        <v>1.5</v>
      </c>
      <c r="H57" s="159">
        <f t="shared" si="8"/>
        <v>0.4534883721</v>
      </c>
      <c r="I57" s="159">
        <f t="shared" si="9"/>
        <v>-1.49875</v>
      </c>
      <c r="J57" s="159">
        <f t="shared" si="10"/>
        <v>-0.1045</v>
      </c>
      <c r="K57" s="159">
        <f t="shared" si="11"/>
        <v>-0.24</v>
      </c>
      <c r="L57" s="159">
        <f t="shared" si="12"/>
        <v>1.5</v>
      </c>
      <c r="M57" s="159">
        <f t="shared" si="13"/>
        <v>-0.622812</v>
      </c>
      <c r="N57" s="159">
        <f t="shared" si="14"/>
        <v>-1.485</v>
      </c>
      <c r="O57" s="159">
        <f t="shared" si="15"/>
        <v>0</v>
      </c>
      <c r="P57" s="160">
        <v>0.0</v>
      </c>
      <c r="Q57" s="161">
        <f t="shared" si="16"/>
        <v>93.3606225</v>
      </c>
    </row>
    <row r="58">
      <c r="A58" s="54">
        <v>7.0</v>
      </c>
      <c r="B58" s="165" t="s">
        <v>43</v>
      </c>
      <c r="C58" s="166">
        <f t="shared" si="3"/>
        <v>-0.4285714286</v>
      </c>
      <c r="D58" s="167">
        <f t="shared" si="4"/>
        <v>1.911</v>
      </c>
      <c r="E58" s="168">
        <f t="shared" si="5"/>
        <v>0</v>
      </c>
      <c r="F58" s="167">
        <f t="shared" si="6"/>
        <v>1.245</v>
      </c>
      <c r="G58" s="167">
        <f t="shared" si="7"/>
        <v>1.5</v>
      </c>
      <c r="H58" s="167">
        <f t="shared" si="8"/>
        <v>-0.5881670534</v>
      </c>
      <c r="I58" s="167">
        <f t="shared" si="9"/>
        <v>-2.3435</v>
      </c>
      <c r="J58" s="167">
        <f t="shared" si="10"/>
        <v>-0.7076666667</v>
      </c>
      <c r="K58" s="167">
        <f t="shared" si="11"/>
        <v>0.39</v>
      </c>
      <c r="L58" s="167">
        <f t="shared" si="12"/>
        <v>-13.5</v>
      </c>
      <c r="M58" s="167">
        <f t="shared" si="13"/>
        <v>-1.515846</v>
      </c>
      <c r="N58" s="167">
        <f t="shared" si="14"/>
        <v>-5.705</v>
      </c>
      <c r="O58" s="167">
        <f t="shared" si="15"/>
        <v>0</v>
      </c>
      <c r="P58" s="168">
        <v>0.0</v>
      </c>
      <c r="Q58" s="170">
        <f t="shared" si="16"/>
        <v>80.25724885</v>
      </c>
    </row>
    <row r="59">
      <c r="A59" s="89"/>
      <c r="B59" s="171" t="s">
        <v>50</v>
      </c>
      <c r="C59" s="172">
        <f t="shared" si="3"/>
        <v>-0.4820175507</v>
      </c>
      <c r="D59" s="173">
        <f t="shared" si="4"/>
        <v>-1.446</v>
      </c>
      <c r="E59" s="174">
        <f t="shared" si="5"/>
        <v>0</v>
      </c>
      <c r="F59" s="173">
        <f t="shared" si="6"/>
        <v>0.945</v>
      </c>
      <c r="G59" s="173">
        <f t="shared" si="7"/>
        <v>1.5</v>
      </c>
      <c r="H59" s="173">
        <f t="shared" si="8"/>
        <v>-0.4904165131</v>
      </c>
      <c r="I59" s="173">
        <f t="shared" si="9"/>
        <v>-2.0165</v>
      </c>
      <c r="J59" s="173">
        <f t="shared" si="10"/>
        <v>-0.29675</v>
      </c>
      <c r="K59" s="173">
        <f t="shared" si="11"/>
        <v>-2.34</v>
      </c>
      <c r="L59" s="173">
        <f t="shared" si="12"/>
        <v>-4.0125</v>
      </c>
      <c r="M59" s="173">
        <f t="shared" si="13"/>
        <v>-0.54705</v>
      </c>
      <c r="N59" s="173">
        <f t="shared" si="14"/>
        <v>-3.335</v>
      </c>
      <c r="O59" s="173">
        <f t="shared" si="15"/>
        <v>0</v>
      </c>
      <c r="P59" s="174">
        <v>0.0</v>
      </c>
      <c r="Q59" s="177">
        <f t="shared" si="16"/>
        <v>87.47876594</v>
      </c>
    </row>
    <row r="60">
      <c r="A60" s="89"/>
      <c r="B60" s="123" t="s">
        <v>63</v>
      </c>
      <c r="C60" s="178">
        <v>-0.565</v>
      </c>
      <c r="D60" s="180">
        <v>-1.757</v>
      </c>
      <c r="E60" s="181">
        <v>0.0</v>
      </c>
      <c r="F60" s="178">
        <v>1.11</v>
      </c>
      <c r="G60" s="181">
        <v>1.5</v>
      </c>
      <c r="H60" s="178">
        <v>-0.488</v>
      </c>
      <c r="I60" s="181">
        <v>-2.316</v>
      </c>
      <c r="J60" s="184">
        <v>-0.275</v>
      </c>
      <c r="K60" s="181">
        <v>0.93</v>
      </c>
      <c r="L60" s="181">
        <v>-3.315</v>
      </c>
      <c r="M60" s="181">
        <v>-0.99</v>
      </c>
      <c r="N60" s="181">
        <v>-1.644</v>
      </c>
      <c r="O60" s="181">
        <v>0.0</v>
      </c>
      <c r="P60" s="181">
        <v>0.0</v>
      </c>
      <c r="Q60" s="186">
        <f t="shared" si="16"/>
        <v>92.19</v>
      </c>
    </row>
    <row r="61">
      <c r="A61" s="89"/>
      <c r="B61" s="130" t="s">
        <v>64</v>
      </c>
      <c r="C61" s="187">
        <f t="shared" ref="C61:Q61" si="17">abs(C59-C60)</f>
        <v>0.08298244926</v>
      </c>
      <c r="D61" s="187">
        <f t="shared" si="17"/>
        <v>0.311</v>
      </c>
      <c r="E61" s="187">
        <f t="shared" si="17"/>
        <v>0</v>
      </c>
      <c r="F61" s="187">
        <f t="shared" si="17"/>
        <v>0.165</v>
      </c>
      <c r="G61" s="187">
        <f t="shared" si="17"/>
        <v>0</v>
      </c>
      <c r="H61" s="187">
        <f t="shared" si="17"/>
        <v>0.002416513085</v>
      </c>
      <c r="I61" s="187">
        <f t="shared" si="17"/>
        <v>0.2995</v>
      </c>
      <c r="J61" s="187">
        <f t="shared" si="17"/>
        <v>0.02175</v>
      </c>
      <c r="K61" s="187">
        <f t="shared" si="17"/>
        <v>3.27</v>
      </c>
      <c r="L61" s="187">
        <f t="shared" si="17"/>
        <v>0.6975</v>
      </c>
      <c r="M61" s="187">
        <f t="shared" si="17"/>
        <v>0.44295</v>
      </c>
      <c r="N61" s="187">
        <f t="shared" si="17"/>
        <v>1.691</v>
      </c>
      <c r="O61" s="187">
        <f t="shared" si="17"/>
        <v>0</v>
      </c>
      <c r="P61" s="187">
        <f t="shared" si="17"/>
        <v>0</v>
      </c>
      <c r="Q61" s="187">
        <f t="shared" si="17"/>
        <v>4.711234064</v>
      </c>
    </row>
    <row r="62">
      <c r="A62" s="205">
        <v>8.0</v>
      </c>
      <c r="B62" s="205" t="s">
        <v>299</v>
      </c>
      <c r="E62" s="399"/>
    </row>
    <row r="63">
      <c r="A63" s="205">
        <v>9.0</v>
      </c>
      <c r="B63" s="205" t="s">
        <v>300</v>
      </c>
      <c r="E63" s="399"/>
    </row>
    <row r="64">
      <c r="E64" s="399"/>
    </row>
    <row r="65">
      <c r="A65" s="89"/>
      <c r="B65" s="89"/>
      <c r="E65" s="399"/>
    </row>
    <row r="66">
      <c r="A66" s="89"/>
      <c r="B66" s="89"/>
      <c r="E66" s="399"/>
    </row>
    <row r="69">
      <c r="C69" s="335" t="s">
        <v>172</v>
      </c>
      <c r="D69" s="431"/>
      <c r="E69" s="432"/>
      <c r="F69" s="433" t="s">
        <v>99</v>
      </c>
      <c r="G69" s="434"/>
      <c r="H69" s="434"/>
      <c r="I69" s="434"/>
      <c r="J69" s="434"/>
      <c r="K69" s="435"/>
      <c r="L69" s="433" t="s">
        <v>173</v>
      </c>
      <c r="M69" s="434"/>
      <c r="N69" s="435"/>
    </row>
    <row r="70">
      <c r="C70" s="341" t="s">
        <v>174</v>
      </c>
      <c r="D70" s="343" t="s">
        <v>175</v>
      </c>
      <c r="E70" s="343" t="s">
        <v>176</v>
      </c>
      <c r="F70" s="346" t="s">
        <v>2</v>
      </c>
      <c r="G70" s="346" t="s">
        <v>101</v>
      </c>
      <c r="H70" s="346" t="s">
        <v>20</v>
      </c>
      <c r="I70" s="346" t="s">
        <v>30</v>
      </c>
      <c r="J70" s="346" t="s">
        <v>102</v>
      </c>
      <c r="K70" s="346" t="s">
        <v>103</v>
      </c>
      <c r="L70" s="346" t="s">
        <v>173</v>
      </c>
      <c r="M70" s="350" t="s">
        <v>177</v>
      </c>
      <c r="N70" s="350" t="s">
        <v>178</v>
      </c>
    </row>
    <row r="71">
      <c r="C71" s="352" t="s">
        <v>179</v>
      </c>
      <c r="D71" s="353" t="s">
        <v>180</v>
      </c>
      <c r="E71" s="355">
        <v>0.3</v>
      </c>
      <c r="F71" s="357"/>
      <c r="G71" s="358"/>
      <c r="H71" s="359"/>
      <c r="I71" s="359"/>
      <c r="J71" s="357"/>
      <c r="K71" s="357"/>
      <c r="L71" s="360"/>
      <c r="M71" s="361"/>
      <c r="N71" s="361"/>
    </row>
    <row r="72">
      <c r="C72" s="362">
        <v>1.0</v>
      </c>
      <c r="D72" s="362" t="s">
        <v>183</v>
      </c>
      <c r="E72" s="363">
        <v>0.15</v>
      </c>
      <c r="F72" s="364" t="s">
        <v>184</v>
      </c>
      <c r="G72" s="365" t="s">
        <v>185</v>
      </c>
      <c r="H72" s="436">
        <v>0.15</v>
      </c>
      <c r="I72" s="362">
        <v>130.221</v>
      </c>
      <c r="J72" s="367" t="s">
        <v>148</v>
      </c>
      <c r="K72" s="368" t="s">
        <v>257</v>
      </c>
      <c r="L72" s="365" t="s">
        <v>187</v>
      </c>
      <c r="M72" s="369" t="s">
        <v>258</v>
      </c>
      <c r="N72" s="369" t="s">
        <v>259</v>
      </c>
    </row>
    <row r="73">
      <c r="C73" s="404">
        <v>2.0</v>
      </c>
      <c r="D73" s="404" t="s">
        <v>195</v>
      </c>
      <c r="E73" s="405">
        <v>0.15</v>
      </c>
      <c r="F73" s="364" t="s">
        <v>196</v>
      </c>
      <c r="G73" s="381"/>
      <c r="H73" s="360"/>
      <c r="I73" s="382"/>
      <c r="J73" s="383"/>
      <c r="K73" s="384"/>
      <c r="L73" s="381"/>
      <c r="M73" s="361"/>
      <c r="N73" s="361"/>
    </row>
    <row r="74">
      <c r="C74" s="437"/>
      <c r="D74" s="437"/>
      <c r="E74" s="438"/>
      <c r="F74" s="387" t="s">
        <v>198</v>
      </c>
      <c r="G74" s="365" t="s">
        <v>166</v>
      </c>
      <c r="H74" s="436">
        <v>0.1</v>
      </c>
      <c r="I74" s="363">
        <v>0.98</v>
      </c>
      <c r="J74" s="368" t="s">
        <v>260</v>
      </c>
      <c r="K74" s="368" t="s">
        <v>200</v>
      </c>
      <c r="L74" s="365" t="s">
        <v>187</v>
      </c>
      <c r="M74" s="369" t="s">
        <v>258</v>
      </c>
      <c r="N74" s="369" t="s">
        <v>261</v>
      </c>
    </row>
    <row r="75">
      <c r="C75" s="439"/>
      <c r="D75" s="439"/>
      <c r="E75" s="440"/>
      <c r="F75" s="389" t="s">
        <v>202</v>
      </c>
      <c r="G75" s="365" t="s">
        <v>166</v>
      </c>
      <c r="H75" s="436">
        <v>0.05</v>
      </c>
      <c r="I75" s="362">
        <v>1.0</v>
      </c>
      <c r="J75" s="368" t="s">
        <v>263</v>
      </c>
      <c r="K75" s="441" t="s">
        <v>264</v>
      </c>
      <c r="L75" s="365" t="s">
        <v>187</v>
      </c>
      <c r="M75" s="369" t="s">
        <v>258</v>
      </c>
      <c r="N75" s="369" t="s">
        <v>261</v>
      </c>
    </row>
    <row r="76">
      <c r="C76" s="352" t="s">
        <v>204</v>
      </c>
      <c r="D76" s="353" t="s">
        <v>205</v>
      </c>
      <c r="E76" s="355">
        <v>0.25</v>
      </c>
      <c r="F76" s="360"/>
      <c r="G76" s="360"/>
      <c r="H76" s="359"/>
      <c r="I76" s="359"/>
      <c r="J76" s="393"/>
      <c r="K76" s="393"/>
      <c r="L76" s="360"/>
      <c r="M76" s="361"/>
      <c r="N76" s="361"/>
    </row>
    <row r="77">
      <c r="C77" s="403">
        <v>3.0</v>
      </c>
      <c r="D77" s="404" t="s">
        <v>207</v>
      </c>
      <c r="E77" s="405">
        <v>0.2</v>
      </c>
      <c r="F77" s="395" t="s">
        <v>208</v>
      </c>
      <c r="G77" s="381"/>
      <c r="H77" s="360"/>
      <c r="I77" s="382"/>
      <c r="J77" s="383"/>
      <c r="K77" s="383"/>
      <c r="L77" s="381"/>
      <c r="M77" s="361"/>
      <c r="N77" s="361"/>
    </row>
    <row r="78">
      <c r="C78" s="442"/>
      <c r="D78" s="437"/>
      <c r="E78" s="438"/>
      <c r="F78" s="376" t="s">
        <v>265</v>
      </c>
      <c r="G78" s="365" t="s">
        <v>166</v>
      </c>
      <c r="H78" s="436">
        <v>0.05</v>
      </c>
      <c r="I78" s="363">
        <v>0.98</v>
      </c>
      <c r="J78" s="368" t="s">
        <v>151</v>
      </c>
      <c r="K78" s="441" t="s">
        <v>267</v>
      </c>
      <c r="L78" s="365" t="s">
        <v>215</v>
      </c>
      <c r="M78" s="369" t="s">
        <v>268</v>
      </c>
      <c r="N78" s="369" t="s">
        <v>269</v>
      </c>
    </row>
    <row r="79">
      <c r="C79" s="442"/>
      <c r="D79" s="437"/>
      <c r="E79" s="438"/>
      <c r="F79" s="376" t="s">
        <v>270</v>
      </c>
      <c r="G79" s="365" t="s">
        <v>166</v>
      </c>
      <c r="H79" s="436">
        <v>0.05</v>
      </c>
      <c r="I79" s="363">
        <v>0.99</v>
      </c>
      <c r="J79" s="368" t="s">
        <v>271</v>
      </c>
      <c r="K79" s="441" t="s">
        <v>272</v>
      </c>
      <c r="L79" s="365" t="s">
        <v>215</v>
      </c>
      <c r="M79" s="369" t="s">
        <v>268</v>
      </c>
      <c r="N79" s="369" t="s">
        <v>269</v>
      </c>
    </row>
    <row r="80">
      <c r="C80" s="442"/>
      <c r="D80" s="437"/>
      <c r="E80" s="438"/>
      <c r="F80" s="376" t="s">
        <v>118</v>
      </c>
      <c r="G80" s="365" t="s">
        <v>166</v>
      </c>
      <c r="H80" s="436">
        <v>0.05</v>
      </c>
      <c r="I80" s="363">
        <v>0.02</v>
      </c>
      <c r="J80" s="368" t="s">
        <v>218</v>
      </c>
      <c r="K80" s="441" t="s">
        <v>273</v>
      </c>
      <c r="L80" s="365" t="s">
        <v>215</v>
      </c>
      <c r="M80" s="369" t="s">
        <v>268</v>
      </c>
      <c r="N80" s="369" t="s">
        <v>274</v>
      </c>
    </row>
    <row r="81">
      <c r="C81" s="443"/>
      <c r="D81" s="439"/>
      <c r="E81" s="440"/>
      <c r="F81" s="376" t="s">
        <v>220</v>
      </c>
      <c r="G81" s="365" t="s">
        <v>166</v>
      </c>
      <c r="H81" s="436">
        <v>0.05</v>
      </c>
      <c r="I81" s="396">
        <v>0.55</v>
      </c>
      <c r="J81" s="368" t="s">
        <v>275</v>
      </c>
      <c r="K81" s="441" t="s">
        <v>276</v>
      </c>
      <c r="L81" s="365" t="s">
        <v>215</v>
      </c>
      <c r="M81" s="369" t="s">
        <v>268</v>
      </c>
      <c r="N81" s="369" t="s">
        <v>277</v>
      </c>
    </row>
    <row r="82">
      <c r="C82" s="403">
        <v>4.0</v>
      </c>
      <c r="D82" s="404" t="s">
        <v>227</v>
      </c>
      <c r="E82" s="405">
        <v>0.05</v>
      </c>
      <c r="F82" s="395" t="s">
        <v>228</v>
      </c>
      <c r="G82" s="381"/>
      <c r="H82" s="360"/>
      <c r="I82" s="382"/>
      <c r="J82" s="383"/>
      <c r="K82" s="383"/>
      <c r="L82" s="381"/>
      <c r="M82" s="361"/>
      <c r="N82" s="361"/>
    </row>
    <row r="83">
      <c r="C83" s="442"/>
      <c r="D83" s="437"/>
      <c r="E83" s="438"/>
      <c r="F83" s="395" t="s">
        <v>229</v>
      </c>
      <c r="G83" s="381"/>
      <c r="H83" s="360"/>
      <c r="I83" s="382"/>
      <c r="J83" s="383"/>
      <c r="K83" s="383"/>
      <c r="L83" s="381"/>
      <c r="M83" s="361"/>
      <c r="N83" s="361"/>
    </row>
    <row r="84">
      <c r="C84" s="442"/>
      <c r="D84" s="437"/>
      <c r="E84" s="438"/>
      <c r="F84" s="376" t="s">
        <v>230</v>
      </c>
      <c r="G84" s="365" t="s">
        <v>167</v>
      </c>
      <c r="H84" s="436">
        <v>0.05</v>
      </c>
      <c r="I84" s="362">
        <v>2.28</v>
      </c>
      <c r="J84" s="368" t="s">
        <v>278</v>
      </c>
      <c r="K84" s="441" t="s">
        <v>279</v>
      </c>
      <c r="L84" s="365" t="s">
        <v>192</v>
      </c>
      <c r="M84" s="369" t="s">
        <v>280</v>
      </c>
      <c r="N84" s="369" t="s">
        <v>281</v>
      </c>
    </row>
    <row r="85">
      <c r="C85" s="352" t="s">
        <v>234</v>
      </c>
      <c r="D85" s="409" t="s">
        <v>235</v>
      </c>
      <c r="E85" s="410">
        <v>0.45</v>
      </c>
      <c r="F85" s="360"/>
      <c r="G85" s="360"/>
      <c r="H85" s="359"/>
      <c r="I85" s="359"/>
      <c r="J85" s="393"/>
      <c r="K85" s="393"/>
      <c r="L85" s="360"/>
      <c r="M85" s="361"/>
      <c r="N85" s="361"/>
    </row>
    <row r="86">
      <c r="C86" s="403">
        <v>5.0</v>
      </c>
      <c r="D86" s="404" t="s">
        <v>236</v>
      </c>
      <c r="E86" s="405">
        <v>0.25</v>
      </c>
      <c r="F86" s="368" t="s">
        <v>130</v>
      </c>
      <c r="G86" s="365" t="s">
        <v>166</v>
      </c>
      <c r="H86" s="436">
        <v>0.05</v>
      </c>
      <c r="I86" s="362" t="s">
        <v>237</v>
      </c>
      <c r="J86" s="368" t="s">
        <v>156</v>
      </c>
      <c r="K86" s="376" t="s">
        <v>238</v>
      </c>
      <c r="L86" s="365" t="s">
        <v>215</v>
      </c>
      <c r="M86" s="369" t="s">
        <v>268</v>
      </c>
      <c r="N86" s="369" t="s">
        <v>277</v>
      </c>
    </row>
    <row r="87">
      <c r="C87" s="442"/>
      <c r="D87" s="437"/>
      <c r="E87" s="438"/>
      <c r="F87" s="368" t="s">
        <v>282</v>
      </c>
      <c r="G87" s="365" t="s">
        <v>166</v>
      </c>
      <c r="H87" s="436">
        <v>0.05</v>
      </c>
      <c r="I87" s="362" t="s">
        <v>283</v>
      </c>
      <c r="J87" s="368" t="s">
        <v>157</v>
      </c>
      <c r="K87" s="414" t="s">
        <v>267</v>
      </c>
      <c r="L87" s="365" t="s">
        <v>215</v>
      </c>
      <c r="M87" s="369" t="s">
        <v>268</v>
      </c>
      <c r="N87" s="369" t="s">
        <v>277</v>
      </c>
    </row>
    <row r="88">
      <c r="C88" s="442"/>
      <c r="D88" s="437"/>
      <c r="E88" s="438"/>
      <c r="F88" s="368" t="s">
        <v>133</v>
      </c>
      <c r="G88" s="365" t="s">
        <v>166</v>
      </c>
      <c r="H88" s="436">
        <v>0.1</v>
      </c>
      <c r="I88" s="396">
        <v>0.99</v>
      </c>
      <c r="J88" s="383"/>
      <c r="K88" s="414" t="s">
        <v>284</v>
      </c>
      <c r="L88" s="365" t="s">
        <v>215</v>
      </c>
      <c r="M88" s="369" t="s">
        <v>268</v>
      </c>
      <c r="N88" s="369" t="s">
        <v>277</v>
      </c>
    </row>
    <row r="89">
      <c r="C89" s="442"/>
      <c r="D89" s="437"/>
      <c r="E89" s="438"/>
      <c r="F89" s="368" t="s">
        <v>135</v>
      </c>
      <c r="G89" s="365" t="s">
        <v>168</v>
      </c>
      <c r="H89" s="436">
        <v>0.05</v>
      </c>
      <c r="I89" s="362">
        <v>3.0</v>
      </c>
      <c r="J89" s="368" t="s">
        <v>159</v>
      </c>
      <c r="K89" s="414" t="s">
        <v>285</v>
      </c>
      <c r="L89" s="365" t="s">
        <v>215</v>
      </c>
      <c r="M89" s="369" t="s">
        <v>268</v>
      </c>
      <c r="N89" s="369" t="s">
        <v>269</v>
      </c>
    </row>
    <row r="90">
      <c r="C90" s="415">
        <v>7.0</v>
      </c>
      <c r="D90" s="362" t="s">
        <v>242</v>
      </c>
      <c r="E90" s="363">
        <v>0.2</v>
      </c>
      <c r="F90" s="368" t="s">
        <v>243</v>
      </c>
      <c r="G90" s="365" t="s">
        <v>166</v>
      </c>
      <c r="H90" s="436">
        <v>0.2</v>
      </c>
      <c r="I90" s="363">
        <v>1.0</v>
      </c>
      <c r="J90" s="368" t="s">
        <v>244</v>
      </c>
      <c r="K90" s="376" t="s">
        <v>245</v>
      </c>
      <c r="L90" s="365" t="s">
        <v>246</v>
      </c>
      <c r="M90" s="369" t="s">
        <v>286</v>
      </c>
      <c r="N90" s="369" t="s">
        <v>287</v>
      </c>
    </row>
    <row r="91">
      <c r="C91" s="415">
        <v>8.0</v>
      </c>
      <c r="D91" s="362" t="s">
        <v>249</v>
      </c>
      <c r="E91" s="362" t="s">
        <v>250</v>
      </c>
      <c r="F91" s="368" t="s">
        <v>251</v>
      </c>
      <c r="G91" s="384"/>
      <c r="H91" s="436">
        <v>0.0</v>
      </c>
      <c r="I91" s="382"/>
      <c r="J91" s="368" t="s">
        <v>46</v>
      </c>
      <c r="K91" s="376" t="s">
        <v>288</v>
      </c>
      <c r="L91" s="365" t="s">
        <v>246</v>
      </c>
      <c r="M91" s="369" t="s">
        <v>286</v>
      </c>
      <c r="N91" s="369" t="s">
        <v>287</v>
      </c>
    </row>
    <row r="92">
      <c r="C92" s="417"/>
      <c r="D92" s="395" t="s">
        <v>253</v>
      </c>
      <c r="E92" s="363">
        <v>1.0</v>
      </c>
      <c r="F92" s="418"/>
      <c r="G92" s="419"/>
      <c r="H92" s="410">
        <v>1.0</v>
      </c>
      <c r="I92" s="382"/>
      <c r="J92" s="418"/>
      <c r="K92" s="418"/>
      <c r="L92" s="381"/>
      <c r="M92" s="361"/>
      <c r="N92" s="361"/>
    </row>
    <row r="93">
      <c r="C93" s="417"/>
      <c r="D93" s="395" t="s">
        <v>254</v>
      </c>
      <c r="E93" s="362">
        <v>8.0</v>
      </c>
      <c r="F93" s="418"/>
      <c r="G93" s="419"/>
      <c r="H93" s="420">
        <v>13.0</v>
      </c>
      <c r="I93" s="374">
        <v>13.0</v>
      </c>
      <c r="J93" s="418"/>
      <c r="K93" s="418"/>
      <c r="L93" s="381"/>
      <c r="M93" s="361"/>
      <c r="N93" s="361"/>
    </row>
  </sheetData>
  <mergeCells count="3">
    <mergeCell ref="C6:P6"/>
    <mergeCell ref="C28:P28"/>
    <mergeCell ref="C48:P48"/>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4.5"/>
    <col customWidth="1" min="2" max="2" width="12.88"/>
    <col customWidth="1" min="3" max="3" width="13.63"/>
    <col customWidth="1" min="4" max="4" width="12.0"/>
    <col customWidth="1" min="5" max="5" width="13.0"/>
    <col customWidth="1" min="6" max="6" width="10.25"/>
    <col customWidth="1" min="7" max="7" width="12.63"/>
    <col customWidth="1" min="8" max="8" width="13.38"/>
    <col customWidth="1" min="9" max="9" width="13.5"/>
    <col customWidth="1" min="10" max="10" width="13.13"/>
    <col customWidth="1" min="11" max="11" width="11.75"/>
    <col customWidth="1" min="12" max="12" width="14.25"/>
    <col customWidth="1" min="13" max="13" width="13.0"/>
    <col customWidth="1" min="14" max="14" width="16.25"/>
    <col customWidth="1" min="15" max="15" width="15.63"/>
    <col customWidth="1" min="16" max="16" width="17.25"/>
    <col customWidth="1" min="17" max="17" width="17.75"/>
  </cols>
  <sheetData>
    <row r="1">
      <c r="B1" s="1"/>
      <c r="C1" s="2"/>
      <c r="D1" s="2"/>
      <c r="E1" s="2"/>
      <c r="F1" s="2"/>
      <c r="G1" s="2"/>
      <c r="H1" s="2"/>
      <c r="I1" s="2"/>
      <c r="J1" s="2"/>
      <c r="K1" s="2"/>
      <c r="L1" s="2"/>
      <c r="M1" s="2"/>
      <c r="N1" s="2"/>
      <c r="O1" s="2"/>
      <c r="P1" s="2"/>
      <c r="Q1" s="2"/>
      <c r="R1" s="3"/>
      <c r="S1" s="3"/>
      <c r="T1" s="3"/>
      <c r="U1" s="3"/>
      <c r="V1" s="3"/>
      <c r="W1" s="3"/>
      <c r="X1" s="3"/>
      <c r="Y1" s="3"/>
      <c r="Z1" s="3"/>
      <c r="AA1" s="3"/>
      <c r="AB1" s="3"/>
      <c r="AC1" s="3"/>
      <c r="AD1" s="3"/>
      <c r="AE1" s="3"/>
      <c r="AF1" s="3"/>
      <c r="AG1" s="3"/>
      <c r="AH1" s="3"/>
      <c r="AI1" s="3"/>
      <c r="AJ1" s="3"/>
      <c r="AK1" s="3"/>
      <c r="AL1" s="3"/>
      <c r="AM1" s="3"/>
      <c r="AN1" s="3"/>
      <c r="AO1" s="3"/>
      <c r="AP1" s="3"/>
      <c r="AQ1" s="3"/>
    </row>
    <row r="2">
      <c r="B2" s="1"/>
      <c r="C2" s="2"/>
      <c r="D2" s="2"/>
      <c r="E2" s="2"/>
      <c r="F2" s="2"/>
      <c r="G2" s="2"/>
      <c r="H2" s="2"/>
      <c r="I2" s="2"/>
      <c r="J2" s="2"/>
      <c r="K2" s="2"/>
      <c r="L2" s="2"/>
      <c r="M2" s="2"/>
      <c r="N2" s="2"/>
      <c r="O2" s="2"/>
      <c r="P2" s="2"/>
      <c r="Q2" s="2"/>
      <c r="R2" s="3"/>
      <c r="S2" s="3"/>
      <c r="T2" s="3"/>
      <c r="U2" s="3"/>
      <c r="V2" s="3"/>
      <c r="W2" s="3"/>
      <c r="X2" s="3"/>
      <c r="Y2" s="3"/>
      <c r="Z2" s="3"/>
      <c r="AA2" s="3"/>
      <c r="AB2" s="3"/>
      <c r="AC2" s="3"/>
      <c r="AD2" s="3"/>
      <c r="AE2" s="3"/>
      <c r="AF2" s="3"/>
      <c r="AG2" s="3"/>
      <c r="AH2" s="3"/>
      <c r="AI2" s="3"/>
      <c r="AJ2" s="3"/>
      <c r="AK2" s="3"/>
      <c r="AL2" s="3"/>
      <c r="AM2" s="3"/>
      <c r="AN2" s="3"/>
      <c r="AO2" s="3"/>
      <c r="AP2" s="3"/>
      <c r="AQ2" s="3"/>
    </row>
    <row r="3">
      <c r="B3" s="1"/>
      <c r="C3" s="2"/>
      <c r="D3" s="2"/>
      <c r="E3" s="2"/>
      <c r="F3" s="2"/>
      <c r="G3" s="2"/>
      <c r="H3" s="2"/>
      <c r="I3" s="2"/>
      <c r="J3" s="2"/>
      <c r="K3" s="2"/>
      <c r="L3" s="2"/>
      <c r="M3" s="2"/>
      <c r="N3" s="2"/>
      <c r="O3" s="2"/>
      <c r="P3" s="2"/>
      <c r="Q3" s="2"/>
      <c r="R3" s="3"/>
      <c r="S3" s="3"/>
      <c r="T3" s="3"/>
      <c r="U3" s="3"/>
      <c r="V3" s="3"/>
      <c r="W3" s="3"/>
      <c r="X3" s="3"/>
      <c r="Y3" s="3"/>
      <c r="Z3" s="3"/>
      <c r="AA3" s="3"/>
      <c r="AB3" s="3"/>
      <c r="AC3" s="3"/>
      <c r="AD3" s="3"/>
      <c r="AE3" s="3"/>
      <c r="AF3" s="3"/>
      <c r="AG3" s="3"/>
      <c r="AH3" s="3"/>
      <c r="AI3" s="3"/>
      <c r="AJ3" s="3"/>
      <c r="AK3" s="3"/>
      <c r="AL3" s="3"/>
      <c r="AM3" s="3"/>
      <c r="AN3" s="3"/>
      <c r="AO3" s="3"/>
      <c r="AP3" s="3"/>
      <c r="AQ3" s="3"/>
    </row>
    <row r="4">
      <c r="B4" s="1"/>
      <c r="C4" s="2"/>
      <c r="D4" s="2"/>
      <c r="E4" s="2"/>
      <c r="F4" s="2"/>
      <c r="G4" s="2"/>
      <c r="H4" s="2"/>
      <c r="I4" s="2"/>
      <c r="J4" s="2"/>
      <c r="K4" s="2"/>
      <c r="L4" s="2"/>
      <c r="M4" s="2"/>
      <c r="N4" s="2"/>
      <c r="O4" s="2"/>
      <c r="P4" s="2"/>
      <c r="Q4" s="2"/>
      <c r="R4" s="3"/>
      <c r="S4" s="3"/>
      <c r="T4" s="3"/>
      <c r="U4" s="3"/>
      <c r="V4" s="3"/>
      <c r="W4" s="3"/>
      <c r="X4" s="3"/>
      <c r="Y4" s="3"/>
      <c r="Z4" s="3"/>
      <c r="AA4" s="3"/>
      <c r="AB4" s="3"/>
      <c r="AC4" s="3"/>
      <c r="AD4" s="3"/>
      <c r="AE4" s="3"/>
      <c r="AF4" s="3"/>
      <c r="AG4" s="3"/>
      <c r="AH4" s="3"/>
      <c r="AI4" s="3"/>
      <c r="AJ4" s="3"/>
      <c r="AK4" s="3"/>
      <c r="AL4" s="3"/>
      <c r="AM4" s="3"/>
      <c r="AN4" s="3"/>
      <c r="AO4" s="3"/>
      <c r="AP4" s="3"/>
      <c r="AQ4" s="3"/>
    </row>
    <row r="5">
      <c r="B5" s="1"/>
      <c r="C5" s="2"/>
      <c r="D5" s="2"/>
      <c r="E5" s="2"/>
      <c r="F5" s="2"/>
      <c r="G5" s="2"/>
      <c r="H5" s="2"/>
      <c r="I5" s="2"/>
      <c r="J5" s="2"/>
      <c r="K5" s="2"/>
      <c r="L5" s="2"/>
      <c r="M5" s="2"/>
      <c r="N5" s="2"/>
      <c r="O5" s="2"/>
      <c r="P5" s="2"/>
      <c r="Q5" s="2"/>
      <c r="R5" s="3"/>
      <c r="S5" s="3"/>
      <c r="T5" s="3"/>
      <c r="U5" s="3"/>
      <c r="V5" s="3"/>
      <c r="W5" s="3"/>
      <c r="X5" s="3"/>
      <c r="Y5" s="3"/>
      <c r="Z5" s="3"/>
      <c r="AA5" s="3"/>
      <c r="AB5" s="3"/>
      <c r="AC5" s="3"/>
      <c r="AD5" s="3"/>
      <c r="AE5" s="3"/>
      <c r="AF5" s="3"/>
      <c r="AG5" s="3"/>
      <c r="AH5" s="3"/>
      <c r="AI5" s="3"/>
      <c r="AJ5" s="3"/>
      <c r="AK5" s="3"/>
      <c r="AL5" s="3"/>
      <c r="AM5" s="3"/>
      <c r="AN5" s="3"/>
      <c r="AO5" s="3"/>
      <c r="AP5" s="3"/>
      <c r="AQ5" s="3"/>
    </row>
    <row r="6">
      <c r="A6" s="1"/>
      <c r="B6" s="4"/>
      <c r="C6" s="5" t="s">
        <v>21</v>
      </c>
      <c r="D6" s="7"/>
      <c r="E6" s="7"/>
      <c r="F6" s="7"/>
      <c r="G6" s="7"/>
      <c r="H6" s="7"/>
      <c r="I6" s="7"/>
      <c r="J6" s="7"/>
      <c r="K6" s="7"/>
      <c r="L6" s="7"/>
      <c r="M6" s="7"/>
      <c r="N6" s="7"/>
      <c r="O6" s="7"/>
      <c r="P6" s="7"/>
      <c r="Q6" s="9"/>
      <c r="R6" s="10"/>
      <c r="S6" s="3"/>
      <c r="T6" s="3"/>
      <c r="U6" s="3"/>
      <c r="V6" s="3"/>
      <c r="W6" s="3"/>
      <c r="X6" s="3"/>
      <c r="Y6" s="3"/>
      <c r="Z6" s="3"/>
      <c r="AA6" s="3"/>
      <c r="AB6" s="3"/>
      <c r="AC6" s="3"/>
      <c r="AD6" s="3"/>
      <c r="AE6" s="3"/>
      <c r="AF6" s="3"/>
      <c r="AG6" s="3"/>
      <c r="AH6" s="3"/>
      <c r="AI6" s="3"/>
      <c r="AJ6" s="3"/>
      <c r="AK6" s="3"/>
      <c r="AL6" s="3"/>
      <c r="AM6" s="3"/>
      <c r="AN6" s="3"/>
      <c r="AO6" s="3"/>
      <c r="AP6" s="3"/>
      <c r="AQ6" s="3"/>
    </row>
    <row r="7">
      <c r="A7" s="11"/>
      <c r="B7" s="12" t="s">
        <v>2</v>
      </c>
      <c r="C7" s="13" t="s">
        <v>3</v>
      </c>
      <c r="D7" s="14" t="s">
        <v>4</v>
      </c>
      <c r="E7" s="14" t="s">
        <v>5</v>
      </c>
      <c r="F7" s="14" t="s">
        <v>6</v>
      </c>
      <c r="G7" s="14" t="s">
        <v>7</v>
      </c>
      <c r="H7" s="14" t="s">
        <v>8</v>
      </c>
      <c r="I7" s="14" t="s">
        <v>9</v>
      </c>
      <c r="J7" s="14" t="s">
        <v>10</v>
      </c>
      <c r="K7" s="14" t="s">
        <v>11</v>
      </c>
      <c r="L7" s="14" t="s">
        <v>12</v>
      </c>
      <c r="M7" s="14" t="s">
        <v>13</v>
      </c>
      <c r="N7" s="14" t="s">
        <v>14</v>
      </c>
      <c r="O7" s="14" t="s">
        <v>15</v>
      </c>
      <c r="P7" s="14" t="s">
        <v>16</v>
      </c>
      <c r="Q7" s="22" t="s">
        <v>40</v>
      </c>
      <c r="R7" s="25" t="s">
        <v>18</v>
      </c>
      <c r="S7" s="3"/>
      <c r="T7" s="3"/>
      <c r="U7" s="3"/>
      <c r="V7" s="3"/>
      <c r="W7" s="3"/>
      <c r="X7" s="3"/>
      <c r="Y7" s="3"/>
      <c r="Z7" s="3"/>
      <c r="AA7" s="3"/>
      <c r="AB7" s="3"/>
      <c r="AC7" s="3"/>
      <c r="AD7" s="3"/>
      <c r="AE7" s="3"/>
      <c r="AF7" s="3"/>
      <c r="AG7" s="3"/>
      <c r="AH7" s="3"/>
      <c r="AI7" s="3"/>
      <c r="AJ7" s="3"/>
      <c r="AK7" s="3"/>
      <c r="AL7" s="3"/>
      <c r="AM7" s="3"/>
      <c r="AN7" s="3"/>
      <c r="AO7" s="3"/>
      <c r="AP7" s="3"/>
      <c r="AQ7" s="3"/>
    </row>
    <row r="8">
      <c r="A8" s="26"/>
      <c r="B8" s="27" t="s">
        <v>20</v>
      </c>
      <c r="C8" s="29">
        <v>0.1</v>
      </c>
      <c r="D8" s="31">
        <v>0.05</v>
      </c>
      <c r="E8" s="33">
        <v>0.1</v>
      </c>
      <c r="F8" s="33">
        <v>0.05</v>
      </c>
      <c r="G8" s="33">
        <v>0.1</v>
      </c>
      <c r="H8" s="33">
        <v>0.05</v>
      </c>
      <c r="I8" s="33">
        <v>0.05</v>
      </c>
      <c r="J8" s="33">
        <v>0.05</v>
      </c>
      <c r="K8" s="33">
        <v>0.05</v>
      </c>
      <c r="L8" s="33">
        <v>0.05</v>
      </c>
      <c r="M8" s="33">
        <v>0.1</v>
      </c>
      <c r="N8" s="33">
        <v>0.1</v>
      </c>
      <c r="O8" s="33">
        <v>0.05</v>
      </c>
      <c r="P8" s="33">
        <v>0.1</v>
      </c>
      <c r="Q8" s="35">
        <v>0.0</v>
      </c>
      <c r="R8" s="68">
        <f>sum(C8:Q8)</f>
        <v>1</v>
      </c>
      <c r="S8" s="3"/>
      <c r="T8" s="3"/>
      <c r="U8" s="3"/>
      <c r="V8" s="3"/>
      <c r="W8" s="3"/>
      <c r="X8" s="3"/>
      <c r="Y8" s="3"/>
      <c r="Z8" s="3"/>
      <c r="AA8" s="3"/>
      <c r="AB8" s="3"/>
      <c r="AC8" s="3"/>
      <c r="AD8" s="3"/>
      <c r="AE8" s="3"/>
      <c r="AF8" s="3"/>
      <c r="AG8" s="3"/>
      <c r="AH8" s="3"/>
      <c r="AI8" s="3"/>
      <c r="AJ8" s="3"/>
      <c r="AK8" s="3"/>
      <c r="AL8" s="3"/>
      <c r="AM8" s="3"/>
      <c r="AN8" s="3"/>
      <c r="AO8" s="3"/>
      <c r="AP8" s="3"/>
      <c r="AQ8" s="3"/>
    </row>
    <row r="9">
      <c r="A9" s="71"/>
      <c r="B9" s="73" t="s">
        <v>24</v>
      </c>
      <c r="C9" s="75" t="s">
        <v>25</v>
      </c>
      <c r="D9" s="76" t="s">
        <v>25</v>
      </c>
      <c r="E9" s="77" t="s">
        <v>26</v>
      </c>
      <c r="F9" s="77" t="s">
        <v>27</v>
      </c>
      <c r="G9" s="77" t="s">
        <v>29</v>
      </c>
      <c r="H9" s="77" t="s">
        <v>31</v>
      </c>
      <c r="I9" s="77" t="s">
        <v>32</v>
      </c>
      <c r="J9" s="77" t="s">
        <v>33</v>
      </c>
      <c r="K9" s="77" t="s">
        <v>34</v>
      </c>
      <c r="L9" s="77" t="s">
        <v>35</v>
      </c>
      <c r="M9" s="77" t="s">
        <v>36</v>
      </c>
      <c r="N9" s="77" t="s">
        <v>37</v>
      </c>
      <c r="O9" s="77" t="s">
        <v>38</v>
      </c>
      <c r="P9" s="77" t="s">
        <v>39</v>
      </c>
      <c r="Q9" s="79" t="s">
        <v>46</v>
      </c>
      <c r="R9" s="80"/>
      <c r="S9" s="3"/>
      <c r="T9" s="3"/>
      <c r="U9" s="3"/>
      <c r="V9" s="3"/>
      <c r="W9" s="3"/>
      <c r="X9" s="3"/>
      <c r="Y9" s="3"/>
      <c r="Z9" s="3"/>
      <c r="AA9" s="3"/>
      <c r="AB9" s="3"/>
      <c r="AC9" s="3"/>
      <c r="AD9" s="3"/>
      <c r="AE9" s="3"/>
      <c r="AF9" s="3"/>
      <c r="AG9" s="3"/>
      <c r="AH9" s="3"/>
      <c r="AI9" s="3"/>
      <c r="AJ9" s="3"/>
      <c r="AK9" s="3"/>
      <c r="AL9" s="3"/>
      <c r="AM9" s="3"/>
      <c r="AN9" s="3"/>
      <c r="AO9" s="3"/>
      <c r="AP9" s="3"/>
      <c r="AQ9" s="3"/>
    </row>
    <row r="10">
      <c r="B10" s="27" t="s">
        <v>22</v>
      </c>
      <c r="C10" s="38" t="s">
        <v>23</v>
      </c>
      <c r="D10" s="85" t="s">
        <v>23</v>
      </c>
      <c r="E10" s="40"/>
      <c r="F10" s="41"/>
      <c r="G10" s="40"/>
      <c r="H10" s="40"/>
      <c r="I10" s="42"/>
      <c r="J10" s="40"/>
      <c r="K10" s="44"/>
      <c r="L10" s="40"/>
      <c r="M10" s="40"/>
      <c r="N10" s="41"/>
      <c r="O10" s="40"/>
      <c r="P10" s="40"/>
      <c r="Q10" s="40"/>
      <c r="R10" s="4"/>
      <c r="S10" s="3"/>
      <c r="T10" s="3"/>
      <c r="U10" s="3"/>
      <c r="V10" s="3"/>
      <c r="W10" s="3"/>
      <c r="X10" s="3"/>
      <c r="Y10" s="3"/>
      <c r="Z10" s="3"/>
      <c r="AA10" s="3"/>
      <c r="AB10" s="3"/>
      <c r="AC10" s="3"/>
      <c r="AD10" s="3"/>
      <c r="AE10" s="3"/>
      <c r="AF10" s="3"/>
      <c r="AG10" s="3"/>
      <c r="AH10" s="3"/>
      <c r="AI10" s="3"/>
      <c r="AJ10" s="3"/>
      <c r="AK10" s="3"/>
      <c r="AL10" s="3"/>
      <c r="AM10" s="3"/>
      <c r="AN10" s="3"/>
      <c r="AO10" s="3"/>
      <c r="AP10" s="3"/>
      <c r="AQ10" s="3"/>
    </row>
    <row r="11">
      <c r="A11" s="26" t="s">
        <v>28</v>
      </c>
      <c r="B11" s="27" t="s">
        <v>30</v>
      </c>
      <c r="C11" s="78">
        <v>132695.0</v>
      </c>
      <c r="D11" s="49">
        <v>1.397147082E9</v>
      </c>
      <c r="E11" s="29">
        <v>0.98</v>
      </c>
      <c r="F11" s="38">
        <v>1.0</v>
      </c>
      <c r="G11" s="29">
        <v>0.98</v>
      </c>
      <c r="H11" s="29">
        <v>0.02</v>
      </c>
      <c r="I11" s="93">
        <v>4.6E-4</v>
      </c>
      <c r="J11" s="29">
        <v>0.998</v>
      </c>
      <c r="K11" s="51" t="s">
        <v>41</v>
      </c>
      <c r="L11" s="29">
        <v>0.005</v>
      </c>
      <c r="M11" s="29">
        <v>0.99</v>
      </c>
      <c r="N11" s="38">
        <v>3.0</v>
      </c>
      <c r="O11" s="29">
        <v>0.9</v>
      </c>
      <c r="P11" s="29">
        <v>1.0</v>
      </c>
      <c r="Q11" s="53">
        <v>1.0</v>
      </c>
      <c r="R11" s="4"/>
      <c r="S11" s="3"/>
      <c r="T11" s="3"/>
      <c r="U11" s="3"/>
      <c r="V11" s="3"/>
      <c r="W11" s="3"/>
      <c r="X11" s="3"/>
      <c r="Y11" s="3"/>
      <c r="Z11" s="3"/>
      <c r="AA11" s="3"/>
      <c r="AB11" s="3"/>
      <c r="AC11" s="3"/>
      <c r="AD11" s="3"/>
      <c r="AE11" s="3"/>
      <c r="AF11" s="3"/>
      <c r="AG11" s="3"/>
      <c r="AH11" s="3"/>
      <c r="AI11" s="3"/>
      <c r="AJ11" s="3"/>
      <c r="AK11" s="3"/>
      <c r="AL11" s="3"/>
      <c r="AM11" s="3"/>
      <c r="AN11" s="3"/>
      <c r="AO11" s="3"/>
      <c r="AP11" s="3"/>
      <c r="AQ11" s="3"/>
    </row>
    <row r="12">
      <c r="A12" s="54">
        <v>1.0</v>
      </c>
      <c r="B12" s="55" t="s">
        <v>42</v>
      </c>
      <c r="C12" s="97">
        <f>'1. Tổng doanh thu'!S12</f>
        <v>27374</v>
      </c>
      <c r="D12" s="98">
        <f>'2. Doanh thu cho thuê HT'!H56</f>
        <v>154407642</v>
      </c>
      <c r="E12" s="99">
        <f>'2. SD Điện tiết kiệm'!Y13</f>
        <v>0.9417</v>
      </c>
      <c r="F12" s="87">
        <v>1.0</v>
      </c>
      <c r="G12" s="99">
        <f>'5. TL phiếu thực hiện XLSC đúng'!E12</f>
        <v>0.9345238095</v>
      </c>
      <c r="H12" s="99">
        <f>'6. Đảm bảo năng lực hạ tầng mạn'!T12</f>
        <v>0.00726744186</v>
      </c>
      <c r="I12" s="100">
        <f>'7.  TLTB BRCĐMyTVTSLC'!N12</f>
        <v>0.00121</v>
      </c>
      <c r="J12" s="84">
        <v>1.0</v>
      </c>
      <c r="K12" s="99">
        <f>'8. SLTB hủy'!I13</f>
        <v>0.9983</v>
      </c>
      <c r="L12" s="84">
        <v>0.0</v>
      </c>
      <c r="M12" s="99">
        <f>'11. CLHT VT-CNTT (QoSQoE)'!AE27%</f>
        <v>0.98467065</v>
      </c>
      <c r="N12" s="67">
        <f>'12. TG MLL TBDĐ'!T13</f>
        <v>2.35</v>
      </c>
      <c r="O12" s="99">
        <f>'13. TL CC và cấu hình DVTĐ BRCĐ'!E12</f>
        <v>0.8695</v>
      </c>
      <c r="P12" s="84">
        <v>1.0</v>
      </c>
      <c r="Q12" s="84">
        <v>1.0</v>
      </c>
      <c r="R12" s="102"/>
      <c r="S12" s="3"/>
      <c r="T12" s="3"/>
      <c r="U12" s="3"/>
      <c r="V12" s="3"/>
      <c r="W12" s="3"/>
      <c r="X12" s="3"/>
      <c r="Y12" s="3"/>
      <c r="Z12" s="3"/>
      <c r="AA12" s="3"/>
      <c r="AB12" s="3"/>
      <c r="AC12" s="3"/>
      <c r="AD12" s="3"/>
      <c r="AE12" s="3"/>
      <c r="AF12" s="3"/>
      <c r="AG12" s="3"/>
      <c r="AH12" s="3"/>
      <c r="AI12" s="3"/>
      <c r="AJ12" s="3"/>
      <c r="AK12" s="3"/>
      <c r="AL12" s="3"/>
      <c r="AM12" s="3"/>
      <c r="AN12" s="3"/>
      <c r="AO12" s="3"/>
      <c r="AP12" s="3"/>
      <c r="AQ12" s="3"/>
    </row>
    <row r="13">
      <c r="A13" s="54">
        <v>2.0</v>
      </c>
      <c r="B13" s="55" t="s">
        <v>43</v>
      </c>
      <c r="C13" s="97">
        <f>'1. Tổng doanh thu'!S13</f>
        <v>16473</v>
      </c>
      <c r="D13" s="98">
        <f>'2. Doanh thu cho thuê HT'!H57</f>
        <v>206349522</v>
      </c>
      <c r="E13" s="99">
        <f>'2. SD Điện tiết kiệm'!Y19</f>
        <v>0.9671</v>
      </c>
      <c r="F13" s="87">
        <v>1.0</v>
      </c>
      <c r="G13" s="99">
        <f>'5. TL phiếu thực hiện XLSC đúng'!E13</f>
        <v>0.8803088803</v>
      </c>
      <c r="H13" s="99">
        <f>'6. Đảm bảo năng lực hạ tầng mạn'!T13</f>
        <v>0.04651162791</v>
      </c>
      <c r="I13" s="100">
        <f>'7.  TLTB BRCĐMyTVTSLC'!N13</f>
        <v>0.00219</v>
      </c>
      <c r="J13" s="84">
        <v>1.0</v>
      </c>
      <c r="K13" s="99">
        <f>'8. SLTB hủy'!I14</f>
        <v>1.4121</v>
      </c>
      <c r="L13" s="99">
        <v>0.0861</v>
      </c>
      <c r="M13" s="99">
        <f>'11. CLHT VT-CNTT (QoSQoE)'!AE28%</f>
        <v>0.98337388</v>
      </c>
      <c r="N13" s="67">
        <f>'12. TG MLL TBDĐ'!T14</f>
        <v>6.67</v>
      </c>
      <c r="O13" s="99">
        <f>'13. TL CC và cấu hình DVTĐ BRCĐ'!E13</f>
        <v>0.9269</v>
      </c>
      <c r="P13" s="84">
        <v>1.0</v>
      </c>
      <c r="Q13" s="84">
        <v>1.0</v>
      </c>
      <c r="R13" s="102"/>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c r="A14" s="54">
        <v>3.0</v>
      </c>
      <c r="B14" s="55" t="s">
        <v>44</v>
      </c>
      <c r="C14" s="97">
        <f>'1. Tổng doanh thu'!S14</f>
        <v>14269</v>
      </c>
      <c r="D14" s="98">
        <f>'2. Doanh thu cho thuê HT'!H58</f>
        <v>141882864</v>
      </c>
      <c r="E14" s="99">
        <f>'2. SD Điện tiết kiệm'!Y14</f>
        <v>0.9027</v>
      </c>
      <c r="F14" s="87">
        <v>1.0</v>
      </c>
      <c r="G14" s="99">
        <f>'5. TL phiếu thực hiện XLSC đúng'!E14</f>
        <v>0.9358552632</v>
      </c>
      <c r="H14" s="99">
        <f>'6. Đảm bảo năng lực hạ tầng mạn'!T14</f>
        <v>0.01315789474</v>
      </c>
      <c r="I14" s="100">
        <f>'7.  TLTB BRCĐMyTVTSLC'!N14</f>
        <v>0.00321</v>
      </c>
      <c r="J14" s="84">
        <v>1.0</v>
      </c>
      <c r="K14" s="99">
        <f>'8. SLTB hủy'!I15</f>
        <v>0.4363</v>
      </c>
      <c r="L14" s="99">
        <v>0.0046</v>
      </c>
      <c r="M14" s="99">
        <f>'11. CLHT VT-CNTT (QoSQoE)'!AE29%</f>
        <v>0.98329077</v>
      </c>
      <c r="N14" s="67">
        <f>'12. TG MLL TBDĐ'!T15</f>
        <v>7.62</v>
      </c>
      <c r="O14" s="99">
        <f>'13. TL CC và cấu hình DVTĐ BRCĐ'!E14</f>
        <v>0.8571</v>
      </c>
      <c r="P14" s="84">
        <v>1.0</v>
      </c>
      <c r="Q14" s="84">
        <v>1.0</v>
      </c>
      <c r="R14" s="102"/>
      <c r="S14" s="3"/>
      <c r="T14" s="3"/>
      <c r="U14" s="3"/>
      <c r="V14" s="3"/>
      <c r="W14" s="3"/>
      <c r="X14" s="3"/>
      <c r="Y14" s="3"/>
      <c r="Z14" s="3"/>
      <c r="AA14" s="3"/>
      <c r="AB14" s="3"/>
      <c r="AC14" s="3"/>
      <c r="AD14" s="3"/>
      <c r="AE14" s="3"/>
      <c r="AF14" s="3"/>
      <c r="AG14" s="3"/>
      <c r="AH14" s="3"/>
      <c r="AI14" s="3"/>
      <c r="AJ14" s="3"/>
      <c r="AK14" s="3"/>
      <c r="AL14" s="3"/>
      <c r="AM14" s="3"/>
      <c r="AN14" s="3"/>
      <c r="AO14" s="3"/>
      <c r="AP14" s="3"/>
      <c r="AQ14" s="3"/>
    </row>
    <row r="15">
      <c r="A15" s="54">
        <v>4.0</v>
      </c>
      <c r="B15" s="55" t="s">
        <v>45</v>
      </c>
      <c r="C15" s="97">
        <f>'1. Tổng doanh thu'!S15</f>
        <v>12715</v>
      </c>
      <c r="D15" s="98">
        <f>'2. Doanh thu cho thuê HT'!H59</f>
        <v>568606111</v>
      </c>
      <c r="E15" s="99">
        <f>'2. SD Điện tiết kiệm'!Y15</f>
        <v>0.6893</v>
      </c>
      <c r="F15" s="87">
        <v>1.0</v>
      </c>
      <c r="G15" s="99">
        <f>'5. TL phiếu thực hiện XLSC đúng'!E15</f>
        <v>0.9713114754</v>
      </c>
      <c r="H15" s="99">
        <f>'6. Đảm bảo năng lực hạ tầng mạn'!T15</f>
        <v>0.08994708995</v>
      </c>
      <c r="I15" s="100">
        <f>'7.  TLTB BRCĐMyTVTSLC'!N15</f>
        <v>0.00203</v>
      </c>
      <c r="J15" s="84">
        <v>1.0</v>
      </c>
      <c r="K15" s="99">
        <f>'8. SLTB hủy'!I16</f>
        <v>1.0667</v>
      </c>
      <c r="L15" s="99">
        <v>0.0215</v>
      </c>
      <c r="M15" s="99">
        <f>'11. CLHT VT-CNTT (QoSQoE)'!AE30%</f>
        <v>0.97927729</v>
      </c>
      <c r="N15" s="67">
        <f>'12. TG MLL TBDĐ'!T16</f>
        <v>3.35</v>
      </c>
      <c r="O15" s="99">
        <f>'13. TL CC và cấu hình DVTĐ BRCĐ'!E15</f>
        <v>0.8443</v>
      </c>
      <c r="P15" s="84">
        <v>1.0</v>
      </c>
      <c r="Q15" s="84">
        <v>1.0</v>
      </c>
      <c r="R15" s="102"/>
      <c r="S15" s="3"/>
      <c r="T15" s="3"/>
      <c r="U15" s="3"/>
      <c r="V15" s="3"/>
      <c r="W15" s="3"/>
      <c r="X15" s="3"/>
      <c r="Y15" s="3"/>
      <c r="Z15" s="3"/>
      <c r="AA15" s="3"/>
      <c r="AB15" s="3"/>
      <c r="AC15" s="3"/>
      <c r="AD15" s="3"/>
      <c r="AE15" s="3"/>
      <c r="AF15" s="3"/>
      <c r="AG15" s="3"/>
      <c r="AH15" s="3"/>
      <c r="AI15" s="3"/>
      <c r="AJ15" s="3"/>
      <c r="AK15" s="3"/>
      <c r="AL15" s="3"/>
      <c r="AM15" s="3"/>
      <c r="AN15" s="3"/>
      <c r="AO15" s="3"/>
      <c r="AP15" s="3"/>
      <c r="AQ15" s="3"/>
    </row>
    <row r="16">
      <c r="A16" s="54">
        <v>5.0</v>
      </c>
      <c r="B16" s="55" t="s">
        <v>47</v>
      </c>
      <c r="C16" s="97">
        <f>'1. Tổng doanh thu'!S16</f>
        <v>27304</v>
      </c>
      <c r="D16" s="98">
        <f>'2. Doanh thu cho thuê HT'!H60</f>
        <v>124514844</v>
      </c>
      <c r="E16" s="99">
        <f>'2. SD Điện tiết kiệm'!Y16</f>
        <v>0.9342</v>
      </c>
      <c r="F16" s="87">
        <v>1.0</v>
      </c>
      <c r="G16" s="99">
        <f>'5. TL phiếu thực hiện XLSC đúng'!E16</f>
        <v>0.9083820663</v>
      </c>
      <c r="H16" s="99">
        <f>'6. Đảm bảo năng lực hạ tầng mạn'!T16</f>
        <v>0.0509383378</v>
      </c>
      <c r="I16" s="100">
        <f>'7.  TLTB BRCĐMyTVTSLC'!N16</f>
        <v>0.00115</v>
      </c>
      <c r="J16" s="84">
        <v>1.0</v>
      </c>
      <c r="K16" s="99">
        <f>'8. SLTB hủy'!I17</f>
        <v>0.9121</v>
      </c>
      <c r="L16" s="99">
        <v>0.0351</v>
      </c>
      <c r="M16" s="99">
        <f>'11. CLHT VT-CNTT (QoSQoE)'!AE31%</f>
        <v>0.98459019</v>
      </c>
      <c r="N16" s="67">
        <f>'12. TG MLL TBDĐ'!T17</f>
        <v>2.63</v>
      </c>
      <c r="O16" s="99">
        <f>'13. TL CC và cấu hình DVTĐ BRCĐ'!E16</f>
        <v>0.8741</v>
      </c>
      <c r="P16" s="84">
        <v>1.0</v>
      </c>
      <c r="Q16" s="84">
        <v>1.0</v>
      </c>
      <c r="R16" s="102"/>
      <c r="S16" s="3"/>
      <c r="T16" s="3"/>
      <c r="U16" s="3"/>
      <c r="V16" s="3"/>
      <c r="W16" s="3"/>
      <c r="X16" s="3"/>
      <c r="Y16" s="3"/>
      <c r="Z16" s="3"/>
      <c r="AA16" s="3"/>
      <c r="AB16" s="3"/>
      <c r="AC16" s="3"/>
      <c r="AD16" s="3"/>
      <c r="AE16" s="3"/>
      <c r="AF16" s="3"/>
      <c r="AG16" s="3"/>
      <c r="AH16" s="3"/>
      <c r="AI16" s="3"/>
      <c r="AJ16" s="3"/>
      <c r="AK16" s="3"/>
      <c r="AL16" s="3"/>
      <c r="AM16" s="3"/>
      <c r="AN16" s="3"/>
      <c r="AO16" s="3"/>
      <c r="AP16" s="3"/>
      <c r="AQ16" s="3"/>
    </row>
    <row r="17">
      <c r="A17" s="54">
        <v>6.0</v>
      </c>
      <c r="B17" s="55" t="s">
        <v>48</v>
      </c>
      <c r="C17" s="97">
        <f>'1. Tổng doanh thu'!S17</f>
        <v>11047</v>
      </c>
      <c r="D17" s="98">
        <f>'2. Doanh thu cho thuê HT'!H61</f>
        <v>202578170</v>
      </c>
      <c r="E17" s="99">
        <f>'2. SD Điện tiết kiệm'!Y17</f>
        <v>0.8528</v>
      </c>
      <c r="F17" s="87">
        <v>1.0</v>
      </c>
      <c r="G17" s="99">
        <f>'5. TL phiếu thực hiện XLSC đúng'!E17</f>
        <v>0.8959537572</v>
      </c>
      <c r="H17" s="99">
        <f>'6. Đảm bảo năng lực hạ tầng mạn'!T17</f>
        <v>0.01457725948</v>
      </c>
      <c r="I17" s="100">
        <f>'7.  TLTB BRCĐMyTVTSLC'!N17</f>
        <v>0.00219</v>
      </c>
      <c r="J17" s="84">
        <v>1.0</v>
      </c>
      <c r="K17" s="99">
        <f>'8. SLTB hủy'!I18</f>
        <v>0.7177</v>
      </c>
      <c r="L17" s="99">
        <v>0.0186</v>
      </c>
      <c r="M17" s="99">
        <f>'11. CLHT VT-CNTT (QoSQoE)'!AE32%</f>
        <v>0.98553763</v>
      </c>
      <c r="N17" s="67">
        <f>'12. TG MLL TBDĐ'!T18</f>
        <v>4.41</v>
      </c>
      <c r="O17" s="99">
        <f>'13. TL CC và cấu hình DVTĐ BRCĐ'!E17</f>
        <v>0.8814</v>
      </c>
      <c r="P17" s="84">
        <v>1.0</v>
      </c>
      <c r="Q17" s="84">
        <v>1.0</v>
      </c>
      <c r="R17" s="102"/>
      <c r="S17" s="3"/>
      <c r="T17" s="3"/>
      <c r="U17" s="3"/>
      <c r="V17" s="3"/>
      <c r="W17" s="3"/>
      <c r="X17" s="3"/>
      <c r="Y17" s="3"/>
      <c r="Z17" s="3"/>
      <c r="AA17" s="3"/>
      <c r="AB17" s="3"/>
      <c r="AC17" s="3"/>
      <c r="AD17" s="3"/>
      <c r="AE17" s="3"/>
      <c r="AF17" s="3"/>
      <c r="AG17" s="3"/>
      <c r="AH17" s="3"/>
      <c r="AI17" s="3"/>
      <c r="AJ17" s="3"/>
      <c r="AK17" s="3"/>
      <c r="AL17" s="3"/>
      <c r="AM17" s="3"/>
      <c r="AN17" s="3"/>
      <c r="AO17" s="3"/>
      <c r="AP17" s="3"/>
      <c r="AQ17" s="3"/>
    </row>
    <row r="18">
      <c r="A18" s="54">
        <v>7.0</v>
      </c>
      <c r="B18" s="55" t="s">
        <v>49</v>
      </c>
      <c r="C18" s="97">
        <f>'1. Tổng doanh thu'!S18</f>
        <v>17148</v>
      </c>
      <c r="D18" s="98">
        <f>'2. Doanh thu cho thuê HT'!H62</f>
        <v>141191165</v>
      </c>
      <c r="E18" s="163">
        <f>'2. SD Điện tiết kiệm'!Y18</f>
        <v>0.5871</v>
      </c>
      <c r="F18" s="87">
        <v>1.0</v>
      </c>
      <c r="G18" s="99">
        <f>'5. TL phiếu thực hiện XLSC đúng'!E18</f>
        <v>0.9761570827</v>
      </c>
      <c r="H18" s="99">
        <f>'6. Đảm bảo năng lực hạ tầng mạn'!T18</f>
        <v>0.006182380216</v>
      </c>
      <c r="I18" s="100">
        <f>'7.  TLTB BRCĐMyTVTSLC'!N18</f>
        <v>0.00187</v>
      </c>
      <c r="J18" s="84">
        <v>1.0</v>
      </c>
      <c r="K18" s="99">
        <f>'8. SLTB hủy'!I19</f>
        <v>0.8348</v>
      </c>
      <c r="L18" s="99">
        <v>0.0029</v>
      </c>
      <c r="M18" s="99">
        <f>'11. CLHT VT-CNTT (QoSQoE)'!AE33%</f>
        <v>0.98667417</v>
      </c>
      <c r="N18" s="67">
        <f>'12. TG MLL TBDĐ'!T19</f>
        <v>4.74</v>
      </c>
      <c r="O18" s="99">
        <f>'13. TL CC và cấu hình DVTĐ BRCĐ'!E18</f>
        <v>0.7956</v>
      </c>
      <c r="P18" s="84">
        <v>1.0</v>
      </c>
      <c r="Q18" s="84">
        <v>1.0</v>
      </c>
      <c r="R18" s="169"/>
      <c r="S18" s="3"/>
      <c r="T18" s="3"/>
      <c r="U18" s="3"/>
      <c r="V18" s="3"/>
      <c r="W18" s="3"/>
      <c r="X18" s="3"/>
      <c r="Y18" s="3"/>
      <c r="Z18" s="3"/>
      <c r="AA18" s="3"/>
      <c r="AB18" s="3"/>
      <c r="AC18" s="3"/>
      <c r="AD18" s="3"/>
      <c r="AE18" s="3"/>
      <c r="AF18" s="3"/>
      <c r="AG18" s="3"/>
      <c r="AH18" s="3"/>
      <c r="AI18" s="3"/>
      <c r="AJ18" s="3"/>
      <c r="AK18" s="3"/>
      <c r="AL18" s="3"/>
      <c r="AM18" s="3"/>
      <c r="AN18" s="3"/>
      <c r="AO18" s="3"/>
      <c r="AP18" s="3"/>
      <c r="AQ18" s="3"/>
    </row>
    <row r="19">
      <c r="A19" s="115"/>
      <c r="B19" s="175" t="s">
        <v>50</v>
      </c>
      <c r="C19" s="176">
        <f>'1. Tổng doanh thu'!S19</f>
        <v>126330</v>
      </c>
      <c r="D19" s="179">
        <f>'2. Doanh thu cho thuê HT'!H63</f>
        <v>1539530318</v>
      </c>
      <c r="E19" s="182">
        <f>'2. SD Điện tiết kiệm'!Y20</f>
        <v>0.8205</v>
      </c>
      <c r="F19" s="183">
        <v>1.0</v>
      </c>
      <c r="G19" s="185">
        <f>'5. TL phiếu thực hiện XLSC đúng'!E19</f>
        <v>0.9293492023</v>
      </c>
      <c r="H19" s="185">
        <f>'6. Đảm bảo năng lực hạ tầng mạn'!T19</f>
        <v>0.02519058668</v>
      </c>
      <c r="I19" s="188">
        <f>'7.  TLTB BRCĐMyTVTSLC'!N19</f>
        <v>0.00185</v>
      </c>
      <c r="J19" s="189">
        <v>1.0</v>
      </c>
      <c r="K19" s="182">
        <f>'8. SLTB hủy'!I12</f>
        <v>0.9333</v>
      </c>
      <c r="L19" s="190">
        <v>0.0224</v>
      </c>
      <c r="M19" s="185">
        <f>'11. CLHT VT-CNTT (QoSQoE)'!AE34%</f>
        <v>0.98677939</v>
      </c>
      <c r="N19" s="191">
        <f>'12. TG MLL TBDĐ'!T12</f>
        <v>4.64</v>
      </c>
      <c r="O19" s="185">
        <f>'13. TL CC và cấu hình DVTĐ BRCĐ'!E19</f>
        <v>0.8501</v>
      </c>
      <c r="P19" s="192">
        <v>1.0</v>
      </c>
      <c r="Q19" s="53">
        <v>1.0</v>
      </c>
      <c r="R19" s="194"/>
      <c r="S19" s="195"/>
      <c r="T19" s="195"/>
      <c r="U19" s="195"/>
      <c r="V19" s="195"/>
      <c r="W19" s="195"/>
      <c r="X19" s="195"/>
      <c r="Y19" s="195"/>
      <c r="Z19" s="195"/>
      <c r="AA19" s="195"/>
      <c r="AB19" s="195"/>
      <c r="AC19" s="195"/>
      <c r="AD19" s="195"/>
      <c r="AE19" s="195"/>
      <c r="AF19" s="195"/>
      <c r="AG19" s="195"/>
      <c r="AH19" s="195"/>
      <c r="AI19" s="195"/>
      <c r="AJ19" s="195"/>
      <c r="AK19" s="195"/>
      <c r="AL19" s="195"/>
      <c r="AM19" s="195"/>
      <c r="AN19" s="195"/>
      <c r="AO19" s="195"/>
      <c r="AP19" s="195"/>
      <c r="AQ19" s="195"/>
    </row>
    <row r="20">
      <c r="B20" s="198" t="s">
        <v>78</v>
      </c>
      <c r="C20" s="200">
        <v>128944.55</v>
      </c>
      <c r="D20" s="200">
        <v>1403.0</v>
      </c>
      <c r="E20" s="201"/>
      <c r="F20" s="201"/>
      <c r="G20" s="201"/>
      <c r="H20" s="201"/>
      <c r="I20" s="201"/>
      <c r="J20" s="201"/>
      <c r="K20" s="201"/>
      <c r="L20" s="201"/>
      <c r="M20" s="201"/>
      <c r="N20" s="201"/>
      <c r="O20" s="201"/>
      <c r="P20" s="201"/>
      <c r="Q20" s="201"/>
      <c r="R20" s="204"/>
      <c r="S20" s="3"/>
      <c r="T20" s="3"/>
      <c r="U20" s="3"/>
      <c r="V20" s="3"/>
      <c r="W20" s="3"/>
      <c r="X20" s="3"/>
      <c r="Y20" s="3"/>
      <c r="Z20" s="3"/>
      <c r="AA20" s="3"/>
      <c r="AB20" s="3"/>
      <c r="AC20" s="3"/>
      <c r="AD20" s="3"/>
      <c r="AE20" s="3"/>
      <c r="AF20" s="3"/>
      <c r="AG20" s="3"/>
      <c r="AH20" s="3"/>
      <c r="AI20" s="3"/>
      <c r="AJ20" s="3"/>
      <c r="AK20" s="3"/>
      <c r="AL20" s="3"/>
      <c r="AM20" s="3"/>
      <c r="AN20" s="3"/>
      <c r="AO20" s="3"/>
      <c r="AP20" s="3"/>
      <c r="AQ20" s="3"/>
    </row>
    <row r="21">
      <c r="A21" s="205">
        <v>8.0</v>
      </c>
      <c r="B21" s="198" t="s">
        <v>80</v>
      </c>
      <c r="C21" s="201"/>
      <c r="D21" s="201"/>
      <c r="E21" s="201"/>
      <c r="F21" s="201"/>
      <c r="G21" s="201"/>
      <c r="H21" s="201"/>
      <c r="I21" s="201"/>
      <c r="J21" s="201"/>
      <c r="K21" s="201"/>
      <c r="L21" s="201"/>
      <c r="M21" s="201"/>
      <c r="N21" s="201"/>
      <c r="O21" s="201"/>
      <c r="P21" s="201"/>
      <c r="Q21" s="201"/>
      <c r="R21" s="204"/>
      <c r="S21" s="3"/>
      <c r="T21" s="3"/>
      <c r="U21" s="3"/>
      <c r="V21" s="3"/>
      <c r="W21" s="3"/>
      <c r="X21" s="3"/>
      <c r="Y21" s="3"/>
      <c r="Z21" s="3"/>
      <c r="AA21" s="3"/>
      <c r="AB21" s="3"/>
      <c r="AC21" s="3"/>
      <c r="AD21" s="3"/>
      <c r="AE21" s="3"/>
      <c r="AF21" s="3"/>
      <c r="AG21" s="3"/>
      <c r="AH21" s="3"/>
      <c r="AI21" s="3"/>
      <c r="AJ21" s="3"/>
      <c r="AK21" s="3"/>
      <c r="AL21" s="3"/>
      <c r="AM21" s="3"/>
      <c r="AN21" s="3"/>
      <c r="AO21" s="3"/>
      <c r="AP21" s="3"/>
      <c r="AQ21" s="3"/>
    </row>
    <row r="22">
      <c r="A22" s="205">
        <v>9.0</v>
      </c>
      <c r="B22" s="198" t="s">
        <v>81</v>
      </c>
      <c r="C22" s="201"/>
      <c r="D22" s="201"/>
      <c r="E22" s="201"/>
      <c r="F22" s="201"/>
      <c r="G22" s="201"/>
      <c r="H22" s="201"/>
      <c r="I22" s="201"/>
      <c r="J22" s="201"/>
      <c r="K22" s="201"/>
      <c r="L22" s="201"/>
      <c r="M22" s="201"/>
      <c r="N22" s="201"/>
      <c r="O22" s="201"/>
      <c r="P22" s="201"/>
      <c r="Q22" s="201"/>
      <c r="R22" s="204"/>
      <c r="S22" s="3"/>
      <c r="T22" s="3"/>
      <c r="U22" s="3"/>
      <c r="V22" s="3"/>
      <c r="W22" s="3"/>
      <c r="X22" s="3"/>
      <c r="Y22" s="3"/>
      <c r="Z22" s="3"/>
      <c r="AA22" s="3"/>
      <c r="AB22" s="3"/>
      <c r="AC22" s="3"/>
      <c r="AD22" s="3"/>
      <c r="AE22" s="3"/>
      <c r="AF22" s="3"/>
      <c r="AG22" s="3"/>
      <c r="AH22" s="3"/>
      <c r="AI22" s="3"/>
      <c r="AJ22" s="3"/>
      <c r="AK22" s="3"/>
      <c r="AL22" s="3"/>
      <c r="AM22" s="3"/>
      <c r="AN22" s="3"/>
      <c r="AO22" s="3"/>
      <c r="AP22" s="3"/>
      <c r="AQ22" s="3"/>
    </row>
    <row r="23">
      <c r="B23" s="1"/>
      <c r="C23" s="2"/>
      <c r="D23" s="2"/>
      <c r="E23" s="2"/>
      <c r="F23" s="2"/>
      <c r="G23" s="2"/>
      <c r="H23" s="2"/>
      <c r="I23" s="2"/>
      <c r="J23" s="2"/>
      <c r="K23" s="2"/>
      <c r="L23" s="2"/>
      <c r="M23" s="2"/>
      <c r="N23" s="2"/>
      <c r="O23" s="2"/>
      <c r="P23" s="2"/>
      <c r="Q23" s="2"/>
      <c r="R23" s="3"/>
      <c r="S23" s="3"/>
      <c r="T23" s="3"/>
      <c r="U23" s="3"/>
      <c r="V23" s="3"/>
      <c r="W23" s="3"/>
      <c r="X23" s="3"/>
      <c r="Y23" s="3"/>
      <c r="Z23" s="3"/>
      <c r="AA23" s="3"/>
      <c r="AB23" s="3"/>
      <c r="AC23" s="3"/>
      <c r="AD23" s="3"/>
      <c r="AE23" s="3"/>
      <c r="AF23" s="3"/>
      <c r="AG23" s="3"/>
      <c r="AH23" s="3"/>
      <c r="AI23" s="3"/>
      <c r="AJ23" s="3"/>
      <c r="AK23" s="3"/>
      <c r="AL23" s="3"/>
      <c r="AM23" s="3"/>
      <c r="AN23" s="3"/>
      <c r="AO23" s="3"/>
      <c r="AP23" s="3"/>
      <c r="AQ23" s="3"/>
    </row>
    <row r="24">
      <c r="B24" s="1"/>
      <c r="C24" s="2"/>
      <c r="D24" s="2"/>
      <c r="E24" s="2"/>
      <c r="F24" s="2"/>
      <c r="G24" s="2"/>
      <c r="H24" s="2"/>
      <c r="I24" s="2"/>
      <c r="J24" s="2"/>
      <c r="K24" s="2"/>
      <c r="L24" s="2"/>
      <c r="M24" s="2"/>
      <c r="N24" s="2"/>
      <c r="O24" s="2"/>
      <c r="P24" s="2"/>
      <c r="Q24" s="2"/>
      <c r="R24" s="3"/>
      <c r="S24" s="3"/>
      <c r="T24" s="3"/>
      <c r="U24" s="3"/>
      <c r="V24" s="3"/>
      <c r="W24" s="3"/>
      <c r="X24" s="3"/>
      <c r="Y24" s="3"/>
      <c r="Z24" s="3"/>
      <c r="AA24" s="3"/>
      <c r="AB24" s="3"/>
      <c r="AC24" s="3"/>
      <c r="AD24" s="3"/>
      <c r="AE24" s="3"/>
      <c r="AF24" s="3"/>
      <c r="AG24" s="3"/>
      <c r="AH24" s="3"/>
      <c r="AI24" s="3"/>
      <c r="AJ24" s="3"/>
      <c r="AK24" s="3"/>
      <c r="AL24" s="3"/>
      <c r="AM24" s="3"/>
      <c r="AN24" s="3"/>
      <c r="AO24" s="3"/>
      <c r="AP24" s="3"/>
      <c r="AQ24" s="3"/>
    </row>
    <row r="26">
      <c r="A26" s="1"/>
      <c r="B26" s="4"/>
      <c r="C26" s="5" t="s">
        <v>82</v>
      </c>
      <c r="D26" s="7"/>
      <c r="E26" s="7"/>
      <c r="F26" s="7"/>
      <c r="G26" s="7"/>
      <c r="H26" s="7"/>
      <c r="I26" s="7"/>
      <c r="J26" s="7"/>
      <c r="K26" s="7"/>
      <c r="L26" s="7"/>
      <c r="M26" s="7"/>
      <c r="N26" s="7"/>
      <c r="O26" s="7"/>
      <c r="P26" s="7"/>
      <c r="Q26" s="9"/>
      <c r="R26" s="10"/>
    </row>
    <row r="27">
      <c r="A27" s="11"/>
      <c r="B27" s="12" t="s">
        <v>2</v>
      </c>
      <c r="C27" s="13" t="s">
        <v>3</v>
      </c>
      <c r="D27" s="14" t="s">
        <v>4</v>
      </c>
      <c r="E27" s="14" t="s">
        <v>5</v>
      </c>
      <c r="F27" s="14" t="s">
        <v>6</v>
      </c>
      <c r="G27" s="14" t="s">
        <v>7</v>
      </c>
      <c r="H27" s="14" t="s">
        <v>8</v>
      </c>
      <c r="I27" s="14" t="s">
        <v>9</v>
      </c>
      <c r="J27" s="14" t="s">
        <v>10</v>
      </c>
      <c r="K27" s="14" t="s">
        <v>11</v>
      </c>
      <c r="L27" s="14" t="s">
        <v>12</v>
      </c>
      <c r="M27" s="14" t="s">
        <v>13</v>
      </c>
      <c r="N27" s="14" t="s">
        <v>14</v>
      </c>
      <c r="O27" s="14" t="s">
        <v>15</v>
      </c>
      <c r="P27" s="14" t="s">
        <v>16</v>
      </c>
      <c r="Q27" s="22" t="s">
        <v>40</v>
      </c>
      <c r="R27" s="25" t="s">
        <v>18</v>
      </c>
    </row>
    <row r="28">
      <c r="A28" s="26"/>
      <c r="B28" s="27" t="s">
        <v>20</v>
      </c>
      <c r="C28" s="29">
        <v>0.1</v>
      </c>
      <c r="D28" s="31">
        <v>0.05</v>
      </c>
      <c r="E28" s="33">
        <v>0.1</v>
      </c>
      <c r="F28" s="33">
        <v>0.05</v>
      </c>
      <c r="G28" s="33">
        <v>0.1</v>
      </c>
      <c r="H28" s="33">
        <v>0.05</v>
      </c>
      <c r="I28" s="33">
        <v>0.05</v>
      </c>
      <c r="J28" s="33">
        <v>0.05</v>
      </c>
      <c r="K28" s="33">
        <v>0.05</v>
      </c>
      <c r="L28" s="33">
        <v>0.05</v>
      </c>
      <c r="M28" s="33">
        <v>0.1</v>
      </c>
      <c r="N28" s="33">
        <v>0.1</v>
      </c>
      <c r="O28" s="33">
        <v>0.05</v>
      </c>
      <c r="P28" s="33">
        <v>0.1</v>
      </c>
      <c r="Q28" s="35">
        <v>0.0</v>
      </c>
      <c r="R28" s="68">
        <f>sum(C28:P28)</f>
        <v>1</v>
      </c>
    </row>
    <row r="29">
      <c r="A29" s="71"/>
      <c r="B29" s="220" t="s">
        <v>24</v>
      </c>
      <c r="C29" s="221" t="s">
        <v>25</v>
      </c>
      <c r="D29" s="76" t="s">
        <v>25</v>
      </c>
      <c r="E29" s="77" t="s">
        <v>26</v>
      </c>
      <c r="F29" s="77" t="s">
        <v>27</v>
      </c>
      <c r="G29" s="77" t="s">
        <v>29</v>
      </c>
      <c r="H29" s="77" t="s">
        <v>31</v>
      </c>
      <c r="I29" s="77" t="s">
        <v>32</v>
      </c>
      <c r="J29" s="77" t="s">
        <v>33</v>
      </c>
      <c r="K29" s="77" t="s">
        <v>34</v>
      </c>
      <c r="L29" s="77" t="s">
        <v>35</v>
      </c>
      <c r="M29" s="77" t="s">
        <v>36</v>
      </c>
      <c r="N29" s="77" t="s">
        <v>37</v>
      </c>
      <c r="O29" s="77" t="s">
        <v>38</v>
      </c>
      <c r="P29" s="77" t="s">
        <v>39</v>
      </c>
      <c r="Q29" s="79" t="s">
        <v>46</v>
      </c>
      <c r="R29" s="80"/>
    </row>
    <row r="30">
      <c r="B30" s="27" t="s">
        <v>22</v>
      </c>
      <c r="C30" s="222" t="s">
        <v>23</v>
      </c>
      <c r="D30" s="223" t="s">
        <v>23</v>
      </c>
      <c r="E30" s="224"/>
      <c r="F30" s="225"/>
      <c r="G30" s="224"/>
      <c r="H30" s="224"/>
      <c r="I30" s="227"/>
      <c r="J30" s="224"/>
      <c r="K30" s="228"/>
      <c r="L30" s="224"/>
      <c r="M30" s="224"/>
      <c r="N30" s="225"/>
      <c r="O30" s="224"/>
      <c r="P30" s="224"/>
      <c r="Q30" s="224"/>
      <c r="R30" s="102"/>
    </row>
    <row r="31">
      <c r="A31" s="26" t="s">
        <v>28</v>
      </c>
      <c r="B31" s="27" t="s">
        <v>30</v>
      </c>
      <c r="C31" s="78">
        <v>132695.0</v>
      </c>
      <c r="D31" s="49">
        <v>1397.147082</v>
      </c>
      <c r="E31" s="29">
        <v>0.98</v>
      </c>
      <c r="F31" s="38">
        <v>1.0</v>
      </c>
      <c r="G31" s="29">
        <v>0.98</v>
      </c>
      <c r="H31" s="29">
        <v>0.02</v>
      </c>
      <c r="I31" s="93">
        <v>4.6E-4</v>
      </c>
      <c r="J31" s="29">
        <v>0.998</v>
      </c>
      <c r="K31" s="51" t="s">
        <v>41</v>
      </c>
      <c r="L31" s="29">
        <v>0.005</v>
      </c>
      <c r="M31" s="29">
        <v>0.99</v>
      </c>
      <c r="N31" s="38">
        <v>3.0</v>
      </c>
      <c r="O31" s="29">
        <v>0.9</v>
      </c>
      <c r="P31" s="29">
        <v>1.0</v>
      </c>
      <c r="Q31" s="53">
        <v>1.0</v>
      </c>
      <c r="R31" s="4"/>
    </row>
    <row r="32">
      <c r="A32" s="54">
        <v>1.0</v>
      </c>
      <c r="B32" s="81" t="s">
        <v>42</v>
      </c>
      <c r="C32" s="82">
        <f>'1. Tổng doanh thu'!T12</f>
        <v>1.028054231</v>
      </c>
      <c r="D32" s="83">
        <v>1.0</v>
      </c>
      <c r="E32" s="84">
        <f t="shared" ref="E32:Q32" si="1">E12</f>
        <v>0.9417</v>
      </c>
      <c r="F32" s="87">
        <f t="shared" si="1"/>
        <v>1</v>
      </c>
      <c r="G32" s="84">
        <f t="shared" si="1"/>
        <v>0.9345238095</v>
      </c>
      <c r="H32" s="84">
        <f t="shared" si="1"/>
        <v>0.00726744186</v>
      </c>
      <c r="I32" s="86">
        <f t="shared" si="1"/>
        <v>0.00121</v>
      </c>
      <c r="J32" s="84">
        <f t="shared" si="1"/>
        <v>1</v>
      </c>
      <c r="K32" s="84">
        <f t="shared" si="1"/>
        <v>0.9983</v>
      </c>
      <c r="L32" s="84">
        <f t="shared" si="1"/>
        <v>0</v>
      </c>
      <c r="M32" s="84">
        <f t="shared" si="1"/>
        <v>0.98467065</v>
      </c>
      <c r="N32" s="87">
        <f t="shared" si="1"/>
        <v>2.35</v>
      </c>
      <c r="O32" s="84">
        <f t="shared" si="1"/>
        <v>0.8695</v>
      </c>
      <c r="P32" s="84">
        <f t="shared" si="1"/>
        <v>1</v>
      </c>
      <c r="Q32" s="99">
        <f t="shared" si="1"/>
        <v>1</v>
      </c>
      <c r="R32" s="102"/>
    </row>
    <row r="33">
      <c r="A33" s="54">
        <v>2.0</v>
      </c>
      <c r="B33" s="88" t="s">
        <v>43</v>
      </c>
      <c r="C33" s="82">
        <f>'1. Tổng doanh thu'!T13</f>
        <v>0.9627703098</v>
      </c>
      <c r="D33" s="83">
        <v>1.0</v>
      </c>
      <c r="E33" s="99">
        <f t="shared" ref="E33:Q33" si="2">E13</f>
        <v>0.9671</v>
      </c>
      <c r="F33" s="87">
        <f t="shared" si="2"/>
        <v>1</v>
      </c>
      <c r="G33" s="84">
        <f t="shared" si="2"/>
        <v>0.8803088803</v>
      </c>
      <c r="H33" s="84">
        <f t="shared" si="2"/>
        <v>0.04651162791</v>
      </c>
      <c r="I33" s="86">
        <f t="shared" si="2"/>
        <v>0.00219</v>
      </c>
      <c r="J33" s="84">
        <f t="shared" si="2"/>
        <v>1</v>
      </c>
      <c r="K33" s="84">
        <f t="shared" si="2"/>
        <v>1.4121</v>
      </c>
      <c r="L33" s="84">
        <f t="shared" si="2"/>
        <v>0.0861</v>
      </c>
      <c r="M33" s="84">
        <f t="shared" si="2"/>
        <v>0.98337388</v>
      </c>
      <c r="N33" s="87">
        <f t="shared" si="2"/>
        <v>6.67</v>
      </c>
      <c r="O33" s="84">
        <f t="shared" si="2"/>
        <v>0.9269</v>
      </c>
      <c r="P33" s="84">
        <f t="shared" si="2"/>
        <v>1</v>
      </c>
      <c r="Q33" s="99">
        <f t="shared" si="2"/>
        <v>1</v>
      </c>
      <c r="R33" s="102"/>
    </row>
    <row r="34">
      <c r="A34" s="54">
        <v>3.0</v>
      </c>
      <c r="B34" s="88" t="s">
        <v>44</v>
      </c>
      <c r="C34" s="82">
        <f>'1. Tổng doanh thu'!T14</f>
        <v>0.8995145937</v>
      </c>
      <c r="D34" s="83">
        <v>1.0</v>
      </c>
      <c r="E34" s="99">
        <f t="shared" ref="E34:Q34" si="3">E14</f>
        <v>0.9027</v>
      </c>
      <c r="F34" s="87">
        <f t="shared" si="3"/>
        <v>1</v>
      </c>
      <c r="G34" s="84">
        <f t="shared" si="3"/>
        <v>0.9358552632</v>
      </c>
      <c r="H34" s="84">
        <f t="shared" si="3"/>
        <v>0.01315789474</v>
      </c>
      <c r="I34" s="86">
        <f t="shared" si="3"/>
        <v>0.00321</v>
      </c>
      <c r="J34" s="84">
        <f t="shared" si="3"/>
        <v>1</v>
      </c>
      <c r="K34" s="84">
        <f t="shared" si="3"/>
        <v>0.4363</v>
      </c>
      <c r="L34" s="84">
        <f t="shared" si="3"/>
        <v>0.0046</v>
      </c>
      <c r="M34" s="84">
        <f t="shared" si="3"/>
        <v>0.98329077</v>
      </c>
      <c r="N34" s="87">
        <f t="shared" si="3"/>
        <v>7.62</v>
      </c>
      <c r="O34" s="84">
        <f t="shared" si="3"/>
        <v>0.8571</v>
      </c>
      <c r="P34" s="84">
        <f t="shared" si="3"/>
        <v>1</v>
      </c>
      <c r="Q34" s="99">
        <f t="shared" si="3"/>
        <v>1</v>
      </c>
      <c r="R34" s="102"/>
    </row>
    <row r="35">
      <c r="A35" s="54">
        <v>4.0</v>
      </c>
      <c r="B35" s="88" t="s">
        <v>45</v>
      </c>
      <c r="C35" s="82">
        <f>'1. Tổng doanh thu'!T15</f>
        <v>0.9524344569</v>
      </c>
      <c r="D35" s="83">
        <v>1.0</v>
      </c>
      <c r="E35" s="99">
        <f t="shared" ref="E35:Q35" si="4">E15</f>
        <v>0.6893</v>
      </c>
      <c r="F35" s="87">
        <f t="shared" si="4"/>
        <v>1</v>
      </c>
      <c r="G35" s="84">
        <f t="shared" si="4"/>
        <v>0.9713114754</v>
      </c>
      <c r="H35" s="84">
        <f t="shared" si="4"/>
        <v>0.08994708995</v>
      </c>
      <c r="I35" s="86">
        <f t="shared" si="4"/>
        <v>0.00203</v>
      </c>
      <c r="J35" s="84">
        <f t="shared" si="4"/>
        <v>1</v>
      </c>
      <c r="K35" s="84">
        <f t="shared" si="4"/>
        <v>1.0667</v>
      </c>
      <c r="L35" s="84">
        <f t="shared" si="4"/>
        <v>0.0215</v>
      </c>
      <c r="M35" s="84">
        <f t="shared" si="4"/>
        <v>0.97927729</v>
      </c>
      <c r="N35" s="87">
        <f t="shared" si="4"/>
        <v>3.35</v>
      </c>
      <c r="O35" s="84">
        <f t="shared" si="4"/>
        <v>0.8443</v>
      </c>
      <c r="P35" s="84">
        <f t="shared" si="4"/>
        <v>1</v>
      </c>
      <c r="Q35" s="99">
        <f t="shared" si="4"/>
        <v>1</v>
      </c>
      <c r="R35" s="102"/>
    </row>
    <row r="36">
      <c r="A36" s="54">
        <v>5.0</v>
      </c>
      <c r="B36" s="88" t="s">
        <v>47</v>
      </c>
      <c r="C36" s="82">
        <f>'1. Tổng doanh thu'!T16</f>
        <v>1.06232978</v>
      </c>
      <c r="D36" s="83">
        <v>1.0</v>
      </c>
      <c r="E36" s="99">
        <f t="shared" ref="E36:Q36" si="5">E16</f>
        <v>0.9342</v>
      </c>
      <c r="F36" s="87">
        <f t="shared" si="5"/>
        <v>1</v>
      </c>
      <c r="G36" s="84">
        <f t="shared" si="5"/>
        <v>0.9083820663</v>
      </c>
      <c r="H36" s="84">
        <f t="shared" si="5"/>
        <v>0.0509383378</v>
      </c>
      <c r="I36" s="86">
        <f t="shared" si="5"/>
        <v>0.00115</v>
      </c>
      <c r="J36" s="84">
        <f t="shared" si="5"/>
        <v>1</v>
      </c>
      <c r="K36" s="84">
        <f t="shared" si="5"/>
        <v>0.9121</v>
      </c>
      <c r="L36" s="84">
        <f t="shared" si="5"/>
        <v>0.0351</v>
      </c>
      <c r="M36" s="84">
        <f t="shared" si="5"/>
        <v>0.98459019</v>
      </c>
      <c r="N36" s="87">
        <f t="shared" si="5"/>
        <v>2.63</v>
      </c>
      <c r="O36" s="84">
        <f t="shared" si="5"/>
        <v>0.8741</v>
      </c>
      <c r="P36" s="84">
        <f t="shared" si="5"/>
        <v>1</v>
      </c>
      <c r="Q36" s="99">
        <f t="shared" si="5"/>
        <v>1</v>
      </c>
      <c r="R36" s="102"/>
    </row>
    <row r="37">
      <c r="A37" s="54">
        <v>6.0</v>
      </c>
      <c r="B37" s="88" t="s">
        <v>48</v>
      </c>
      <c r="C37" s="82">
        <f>'1. Tổng doanh thu'!T17</f>
        <v>0.9605251717</v>
      </c>
      <c r="D37" s="83">
        <v>1.0</v>
      </c>
      <c r="E37" s="99">
        <f t="shared" ref="E37:Q37" si="6">E17</f>
        <v>0.8528</v>
      </c>
      <c r="F37" s="87">
        <f t="shared" si="6"/>
        <v>1</v>
      </c>
      <c r="G37" s="84">
        <f t="shared" si="6"/>
        <v>0.8959537572</v>
      </c>
      <c r="H37" s="84">
        <f t="shared" si="6"/>
        <v>0.01457725948</v>
      </c>
      <c r="I37" s="86">
        <f t="shared" si="6"/>
        <v>0.00219</v>
      </c>
      <c r="J37" s="84">
        <f t="shared" si="6"/>
        <v>1</v>
      </c>
      <c r="K37" s="84">
        <f t="shared" si="6"/>
        <v>0.7177</v>
      </c>
      <c r="L37" s="84">
        <f t="shared" si="6"/>
        <v>0.0186</v>
      </c>
      <c r="M37" s="84">
        <f t="shared" si="6"/>
        <v>0.98553763</v>
      </c>
      <c r="N37" s="87">
        <f t="shared" si="6"/>
        <v>4.41</v>
      </c>
      <c r="O37" s="84">
        <f t="shared" si="6"/>
        <v>0.8814</v>
      </c>
      <c r="P37" s="84">
        <f t="shared" si="6"/>
        <v>1</v>
      </c>
      <c r="Q37" s="99">
        <f t="shared" si="6"/>
        <v>1</v>
      </c>
      <c r="R37" s="102"/>
    </row>
    <row r="38">
      <c r="A38" s="54">
        <v>7.0</v>
      </c>
      <c r="B38" s="114" t="s">
        <v>49</v>
      </c>
      <c r="C38" s="82">
        <f>'1. Tổng doanh thu'!T18</f>
        <v>0.9383310534</v>
      </c>
      <c r="D38" s="108">
        <v>1.0</v>
      </c>
      <c r="E38" s="99">
        <f t="shared" ref="E38:Q38" si="7">E18</f>
        <v>0.5871</v>
      </c>
      <c r="F38" s="87">
        <f t="shared" si="7"/>
        <v>1</v>
      </c>
      <c r="G38" s="84">
        <f t="shared" si="7"/>
        <v>0.9761570827</v>
      </c>
      <c r="H38" s="84">
        <f t="shared" si="7"/>
        <v>0.006182380216</v>
      </c>
      <c r="I38" s="86">
        <f t="shared" si="7"/>
        <v>0.00187</v>
      </c>
      <c r="J38" s="84">
        <f t="shared" si="7"/>
        <v>1</v>
      </c>
      <c r="K38" s="84">
        <f t="shared" si="7"/>
        <v>0.8348</v>
      </c>
      <c r="L38" s="84">
        <f t="shared" si="7"/>
        <v>0.0029</v>
      </c>
      <c r="M38" s="84">
        <f t="shared" si="7"/>
        <v>0.98667417</v>
      </c>
      <c r="N38" s="87">
        <f t="shared" si="7"/>
        <v>4.74</v>
      </c>
      <c r="O38" s="84">
        <f t="shared" si="7"/>
        <v>0.7956</v>
      </c>
      <c r="P38" s="84">
        <f t="shared" si="7"/>
        <v>1</v>
      </c>
      <c r="Q38" s="99">
        <f t="shared" si="7"/>
        <v>1</v>
      </c>
      <c r="R38" s="169"/>
    </row>
    <row r="39">
      <c r="A39" s="115"/>
      <c r="B39" s="175" t="s">
        <v>50</v>
      </c>
      <c r="C39" s="248">
        <f>'1. Tổng doanh thu'!T19</f>
        <v>0.9836639985</v>
      </c>
      <c r="D39" s="249">
        <v>1.0</v>
      </c>
      <c r="E39" s="185">
        <f t="shared" ref="E39:Q39" si="8">E19</f>
        <v>0.8205</v>
      </c>
      <c r="F39" s="253">
        <f t="shared" si="8"/>
        <v>1</v>
      </c>
      <c r="G39" s="254">
        <f t="shared" si="8"/>
        <v>0.9293492023</v>
      </c>
      <c r="H39" s="254">
        <f t="shared" si="8"/>
        <v>0.02519058668</v>
      </c>
      <c r="I39" s="256">
        <f t="shared" si="8"/>
        <v>0.00185</v>
      </c>
      <c r="J39" s="254">
        <f t="shared" si="8"/>
        <v>1</v>
      </c>
      <c r="K39" s="254">
        <f t="shared" si="8"/>
        <v>0.9333</v>
      </c>
      <c r="L39" s="254">
        <f t="shared" si="8"/>
        <v>0.0224</v>
      </c>
      <c r="M39" s="254">
        <f t="shared" si="8"/>
        <v>0.98677939</v>
      </c>
      <c r="N39" s="259">
        <f t="shared" si="8"/>
        <v>4.64</v>
      </c>
      <c r="O39" s="254">
        <f t="shared" si="8"/>
        <v>0.8501</v>
      </c>
      <c r="P39" s="262">
        <f t="shared" si="8"/>
        <v>1</v>
      </c>
      <c r="Q39" s="263">
        <f t="shared" si="8"/>
        <v>1</v>
      </c>
      <c r="R39" s="265"/>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row>
    <row r="40">
      <c r="B40" s="205" t="s">
        <v>78</v>
      </c>
      <c r="C40" s="272">
        <v>0.97173</v>
      </c>
      <c r="D40" s="272">
        <v>1.00419</v>
      </c>
      <c r="E40" s="272">
        <v>0.8196</v>
      </c>
      <c r="F40" s="205">
        <v>1.46</v>
      </c>
      <c r="G40" s="272">
        <v>0.9279</v>
      </c>
      <c r="H40" s="272">
        <v>0.0115</v>
      </c>
      <c r="I40" s="273">
        <v>0.00192</v>
      </c>
      <c r="J40" s="272">
        <v>1.0</v>
      </c>
      <c r="K40" s="272">
        <v>1.0588</v>
      </c>
      <c r="L40" s="272">
        <v>0.0039</v>
      </c>
      <c r="M40" s="272">
        <v>0.9868</v>
      </c>
      <c r="N40" s="205">
        <v>4.33</v>
      </c>
      <c r="O40" s="272">
        <v>0.8813</v>
      </c>
      <c r="P40" s="272">
        <v>1.0</v>
      </c>
      <c r="Q40" s="275"/>
    </row>
    <row r="41">
      <c r="A41" s="205">
        <v>8.0</v>
      </c>
      <c r="B41" s="205" t="s">
        <v>80</v>
      </c>
    </row>
    <row r="42">
      <c r="A42" s="205">
        <v>9.0</v>
      </c>
      <c r="B42" s="205" t="s">
        <v>81</v>
      </c>
    </row>
    <row r="47">
      <c r="A47" s="1"/>
      <c r="B47" s="4"/>
      <c r="C47" s="5" t="s">
        <v>62</v>
      </c>
      <c r="D47" s="7"/>
      <c r="E47" s="7"/>
      <c r="F47" s="7"/>
      <c r="G47" s="7"/>
      <c r="H47" s="7"/>
      <c r="I47" s="7"/>
      <c r="J47" s="7"/>
      <c r="K47" s="7"/>
      <c r="L47" s="7"/>
      <c r="M47" s="7"/>
      <c r="N47" s="7"/>
      <c r="O47" s="7"/>
      <c r="P47" s="7"/>
      <c r="Q47" s="9"/>
      <c r="R47" s="10"/>
    </row>
    <row r="48">
      <c r="A48" s="11"/>
      <c r="B48" s="12" t="s">
        <v>2</v>
      </c>
      <c r="C48" s="13" t="s">
        <v>3</v>
      </c>
      <c r="D48" s="14" t="s">
        <v>4</v>
      </c>
      <c r="E48" s="14" t="s">
        <v>5</v>
      </c>
      <c r="F48" s="14" t="s">
        <v>6</v>
      </c>
      <c r="G48" s="14" t="s">
        <v>7</v>
      </c>
      <c r="H48" s="14" t="s">
        <v>8</v>
      </c>
      <c r="I48" s="14" t="s">
        <v>9</v>
      </c>
      <c r="J48" s="14" t="s">
        <v>10</v>
      </c>
      <c r="K48" s="14" t="s">
        <v>11</v>
      </c>
      <c r="L48" s="14" t="s">
        <v>12</v>
      </c>
      <c r="M48" s="14" t="s">
        <v>13</v>
      </c>
      <c r="N48" s="14" t="s">
        <v>14</v>
      </c>
      <c r="O48" s="14" t="s">
        <v>15</v>
      </c>
      <c r="P48" s="14" t="s">
        <v>16</v>
      </c>
      <c r="Q48" s="22" t="s">
        <v>40</v>
      </c>
      <c r="R48" s="25" t="s">
        <v>18</v>
      </c>
    </row>
    <row r="49">
      <c r="A49" s="26"/>
      <c r="B49" s="27" t="s">
        <v>20</v>
      </c>
      <c r="C49" s="29">
        <v>0.1</v>
      </c>
      <c r="D49" s="31">
        <v>0.05</v>
      </c>
      <c r="E49" s="33">
        <v>0.1</v>
      </c>
      <c r="F49" s="33">
        <v>0.05</v>
      </c>
      <c r="G49" s="33">
        <v>0.1</v>
      </c>
      <c r="H49" s="33">
        <v>0.05</v>
      </c>
      <c r="I49" s="33">
        <v>0.05</v>
      </c>
      <c r="J49" s="33">
        <v>0.05</v>
      </c>
      <c r="K49" s="33">
        <v>0.05</v>
      </c>
      <c r="L49" s="33">
        <v>0.05</v>
      </c>
      <c r="M49" s="33">
        <v>0.1</v>
      </c>
      <c r="N49" s="33">
        <v>0.1</v>
      </c>
      <c r="O49" s="33">
        <v>0.05</v>
      </c>
      <c r="P49" s="33">
        <v>0.1</v>
      </c>
      <c r="Q49" s="35">
        <v>0.0</v>
      </c>
      <c r="R49" s="36">
        <f>sum(C49:P49)</f>
        <v>1</v>
      </c>
    </row>
    <row r="50">
      <c r="B50" s="27" t="s">
        <v>22</v>
      </c>
      <c r="C50" s="38" t="s">
        <v>23</v>
      </c>
      <c r="D50" s="39" t="s">
        <v>23</v>
      </c>
      <c r="E50" s="40"/>
      <c r="F50" s="41"/>
      <c r="G50" s="40"/>
      <c r="H50" s="40"/>
      <c r="I50" s="42"/>
      <c r="J50" s="40"/>
      <c r="K50" s="44"/>
      <c r="L50" s="40"/>
      <c r="M50" s="40"/>
      <c r="N50" s="41"/>
      <c r="O50" s="40"/>
      <c r="P50" s="40"/>
      <c r="Q50" s="40"/>
      <c r="R50" s="4"/>
    </row>
    <row r="51">
      <c r="A51" s="26" t="s">
        <v>28</v>
      </c>
      <c r="B51" s="27" t="s">
        <v>30</v>
      </c>
      <c r="C51" s="78">
        <v>132695.0</v>
      </c>
      <c r="D51" s="49">
        <v>1397.147082</v>
      </c>
      <c r="E51" s="29">
        <v>0.98</v>
      </c>
      <c r="F51" s="38">
        <v>1.0</v>
      </c>
      <c r="G51" s="29">
        <v>0.98</v>
      </c>
      <c r="H51" s="29">
        <v>0.02</v>
      </c>
      <c r="I51" s="93">
        <v>4.6E-4</v>
      </c>
      <c r="J51" s="29">
        <v>0.998</v>
      </c>
      <c r="K51" s="35">
        <v>1.0</v>
      </c>
      <c r="L51" s="29">
        <v>0.005</v>
      </c>
      <c r="M51" s="29">
        <v>0.99</v>
      </c>
      <c r="N51" s="38">
        <v>3.0</v>
      </c>
      <c r="O51" s="29">
        <v>0.9</v>
      </c>
      <c r="P51" s="29">
        <v>1.0</v>
      </c>
      <c r="Q51" s="53">
        <v>1.0</v>
      </c>
      <c r="R51" s="4"/>
    </row>
    <row r="52">
      <c r="A52" s="54">
        <v>1.0</v>
      </c>
      <c r="B52" s="81" t="s">
        <v>42</v>
      </c>
      <c r="C52" s="103">
        <f t="shared" ref="C52:C60" si="9">IF(C32&lt;95%,
MAX(-10,((C32-95%)/0.5%)*$C$49),
IF(C32&lt;100%,
((C32-100%)/0.5%)*0.5*$C$49,
MIN(10,((C32-100%)/0.5%)*$C$49)))</f>
        <v>0.5610846134</v>
      </c>
      <c r="D52" s="104">
        <f t="shared" ref="D52:D60" si="10">IF(D32&lt;95%,
MAX(-10,((D32-95%)/0.5%)*$D$49),
IF(D32&lt;100%,
((D32-100%)/0.5%)*0.5*$D$49,
MIN(10,((D32-100%)/0.5%)*$D$49)))</f>
        <v>0</v>
      </c>
      <c r="E52" s="67">
        <f t="shared" ref="E52:E60" si="11">((98%-E32)/1%)*$E$49</f>
        <v>0.383</v>
      </c>
      <c r="F52" s="60">
        <f t="shared" ref="F52:F60" si="12">MIN(3,MAX(-5,((F32-1)/0.01)*0.1))*$F$49</f>
        <v>0</v>
      </c>
      <c r="G52" s="58">
        <f t="shared" ref="G52:G60" si="13">((G32-98%)/0.1%*1.5)*$G$49</f>
        <v>-6.821428571</v>
      </c>
      <c r="H52" s="58">
        <f t="shared" ref="H52:H60" si="14">((2%-H32)/0.1%*1.5)*$H$49</f>
        <v>0.9549418605</v>
      </c>
      <c r="I52" s="67">
        <f t="shared" ref="I52:I60" si="15">((0.046%-I32)/0.001%*0.65)*$I$49</f>
        <v>-2.4375</v>
      </c>
      <c r="J52" s="58">
        <f t="shared" ref="J52:J60" si="16">IF(J32&gt;=99.8%,
     ((J32-99.8%)/0.01%*1.5)*$J$49,
     MAX(-2,((J32-99.8%)/0.01%*1.5)*$J$49))</f>
        <v>1.5</v>
      </c>
      <c r="K52" s="62">
        <f t="shared" ref="K52:K60" si="17">(-(K32-100%)/3%*0.5)*$K$49</f>
        <v>0.001416666667</v>
      </c>
      <c r="L52" s="58">
        <f t="shared" ref="L52:L60" si="18">((L32-0.5%)/0.1%*6)*$L$49</f>
        <v>-1.5</v>
      </c>
      <c r="M52" s="58">
        <f t="shared" ref="M52:M60" si="19">((M32-99%)/0.1%*3)*$M$49</f>
        <v>-1.598805</v>
      </c>
      <c r="N52" s="58">
        <f t="shared" ref="N52:N60" si="20">((3-N32)/0.1*0.5)*$N$49</f>
        <v>0.325</v>
      </c>
      <c r="O52" s="58">
        <f t="shared" ref="O52:O60" si="21">IF(O32&gt;=90%,((O32-90%)/1%*3)*$O$49,MAX(-3,((O32-90%)/1%*3)*$O$49))</f>
        <v>-0.4575</v>
      </c>
      <c r="P52" s="58">
        <f t="shared" ref="P52:P60" si="22">IF(P32&gt;=100%,0,((P32-100%)/2%)*$P$49)</f>
        <v>0</v>
      </c>
      <c r="Q52" s="87">
        <v>0.0</v>
      </c>
      <c r="R52" s="105">
        <f t="shared" ref="R52:R59" si="23">100+sum(C52:Q52)</f>
        <v>90.91020957</v>
      </c>
    </row>
    <row r="53">
      <c r="A53" s="54">
        <v>2.0</v>
      </c>
      <c r="B53" s="88" t="s">
        <v>43</v>
      </c>
      <c r="C53" s="103">
        <f t="shared" si="9"/>
        <v>-0.3722969024</v>
      </c>
      <c r="D53" s="104">
        <f t="shared" si="10"/>
        <v>0</v>
      </c>
      <c r="E53" s="67">
        <f t="shared" si="11"/>
        <v>0.129</v>
      </c>
      <c r="F53" s="60">
        <f t="shared" si="12"/>
        <v>0</v>
      </c>
      <c r="G53" s="58">
        <f t="shared" si="13"/>
        <v>-14.95366795</v>
      </c>
      <c r="H53" s="58">
        <f t="shared" si="14"/>
        <v>-1.988372093</v>
      </c>
      <c r="I53" s="67">
        <f t="shared" si="15"/>
        <v>-5.6225</v>
      </c>
      <c r="J53" s="58">
        <f t="shared" si="16"/>
        <v>1.5</v>
      </c>
      <c r="K53" s="62">
        <f t="shared" si="17"/>
        <v>-0.3434166667</v>
      </c>
      <c r="L53" s="58">
        <f t="shared" si="18"/>
        <v>24.33</v>
      </c>
      <c r="M53" s="58">
        <f t="shared" si="19"/>
        <v>-1.987836</v>
      </c>
      <c r="N53" s="58">
        <f t="shared" si="20"/>
        <v>-1.835</v>
      </c>
      <c r="O53" s="58">
        <f t="shared" si="21"/>
        <v>0.4035</v>
      </c>
      <c r="P53" s="58">
        <f t="shared" si="22"/>
        <v>0</v>
      </c>
      <c r="Q53" s="87">
        <v>0.0</v>
      </c>
      <c r="R53" s="105">
        <f t="shared" si="23"/>
        <v>99.25941038</v>
      </c>
    </row>
    <row r="54">
      <c r="A54" s="54">
        <v>3.0</v>
      </c>
      <c r="B54" s="88" t="s">
        <v>44</v>
      </c>
      <c r="C54" s="103">
        <f t="shared" si="9"/>
        <v>-1.009708126</v>
      </c>
      <c r="D54" s="104">
        <f t="shared" si="10"/>
        <v>0</v>
      </c>
      <c r="E54" s="67">
        <f t="shared" si="11"/>
        <v>0.773</v>
      </c>
      <c r="F54" s="60">
        <f t="shared" si="12"/>
        <v>0</v>
      </c>
      <c r="G54" s="58">
        <f t="shared" si="13"/>
        <v>-6.621710526</v>
      </c>
      <c r="H54" s="58">
        <f t="shared" si="14"/>
        <v>0.5131578947</v>
      </c>
      <c r="I54" s="67">
        <f t="shared" si="15"/>
        <v>-8.9375</v>
      </c>
      <c r="J54" s="58">
        <f t="shared" si="16"/>
        <v>1.5</v>
      </c>
      <c r="K54" s="62">
        <f t="shared" si="17"/>
        <v>0.46975</v>
      </c>
      <c r="L54" s="58">
        <f t="shared" si="18"/>
        <v>-0.12</v>
      </c>
      <c r="M54" s="58">
        <f t="shared" si="19"/>
        <v>-2.012769</v>
      </c>
      <c r="N54" s="58">
        <f t="shared" si="20"/>
        <v>-2.31</v>
      </c>
      <c r="O54" s="58">
        <f t="shared" si="21"/>
        <v>-0.6435</v>
      </c>
      <c r="P54" s="58">
        <f t="shared" si="22"/>
        <v>0</v>
      </c>
      <c r="Q54" s="87">
        <v>0.0</v>
      </c>
      <c r="R54" s="105">
        <f t="shared" si="23"/>
        <v>81.60072024</v>
      </c>
    </row>
    <row r="55">
      <c r="A55" s="54">
        <v>4.0</v>
      </c>
      <c r="B55" s="88" t="s">
        <v>45</v>
      </c>
      <c r="C55" s="103">
        <f t="shared" si="9"/>
        <v>-0.4756554307</v>
      </c>
      <c r="D55" s="104">
        <f t="shared" si="10"/>
        <v>0</v>
      </c>
      <c r="E55" s="67">
        <f t="shared" si="11"/>
        <v>2.907</v>
      </c>
      <c r="F55" s="60">
        <f t="shared" si="12"/>
        <v>0</v>
      </c>
      <c r="G55" s="58">
        <f t="shared" si="13"/>
        <v>-1.303278689</v>
      </c>
      <c r="H55" s="58">
        <f t="shared" si="14"/>
        <v>-5.246031746</v>
      </c>
      <c r="I55" s="67">
        <f t="shared" si="15"/>
        <v>-5.1025</v>
      </c>
      <c r="J55" s="58">
        <f t="shared" si="16"/>
        <v>1.5</v>
      </c>
      <c r="K55" s="62">
        <f t="shared" si="17"/>
        <v>-0.05558333333</v>
      </c>
      <c r="L55" s="58">
        <f t="shared" si="18"/>
        <v>4.95</v>
      </c>
      <c r="M55" s="58">
        <f t="shared" si="19"/>
        <v>-3.216813</v>
      </c>
      <c r="N55" s="58">
        <f t="shared" si="20"/>
        <v>-0.175</v>
      </c>
      <c r="O55" s="58">
        <f t="shared" si="21"/>
        <v>-0.8355</v>
      </c>
      <c r="P55" s="58">
        <f t="shared" si="22"/>
        <v>0</v>
      </c>
      <c r="Q55" s="87">
        <v>0.0</v>
      </c>
      <c r="R55" s="105">
        <f t="shared" si="23"/>
        <v>92.9466378</v>
      </c>
    </row>
    <row r="56">
      <c r="A56" s="54">
        <v>5.0</v>
      </c>
      <c r="B56" s="88" t="s">
        <v>47</v>
      </c>
      <c r="C56" s="103">
        <f t="shared" si="9"/>
        <v>1.246595596</v>
      </c>
      <c r="D56" s="104">
        <f t="shared" si="10"/>
        <v>0</v>
      </c>
      <c r="E56" s="67">
        <f t="shared" si="11"/>
        <v>0.458</v>
      </c>
      <c r="F56" s="60">
        <f t="shared" si="12"/>
        <v>0</v>
      </c>
      <c r="G56" s="58">
        <f t="shared" si="13"/>
        <v>-10.74269006</v>
      </c>
      <c r="H56" s="58">
        <f t="shared" si="14"/>
        <v>-2.320375335</v>
      </c>
      <c r="I56" s="67">
        <f t="shared" si="15"/>
        <v>-2.2425</v>
      </c>
      <c r="J56" s="58">
        <f t="shared" si="16"/>
        <v>1.5</v>
      </c>
      <c r="K56" s="62">
        <f t="shared" si="17"/>
        <v>0.07325</v>
      </c>
      <c r="L56" s="58">
        <f t="shared" si="18"/>
        <v>9.03</v>
      </c>
      <c r="M56" s="58">
        <f t="shared" si="19"/>
        <v>-1.622943</v>
      </c>
      <c r="N56" s="58">
        <f t="shared" si="20"/>
        <v>0.185</v>
      </c>
      <c r="O56" s="58">
        <f t="shared" si="21"/>
        <v>-0.3885</v>
      </c>
      <c r="P56" s="58">
        <f t="shared" si="22"/>
        <v>0</v>
      </c>
      <c r="Q56" s="87">
        <v>0.0</v>
      </c>
      <c r="R56" s="105">
        <f t="shared" si="23"/>
        <v>95.1758372</v>
      </c>
    </row>
    <row r="57">
      <c r="A57" s="54">
        <v>6.0</v>
      </c>
      <c r="B57" s="88" t="s">
        <v>48</v>
      </c>
      <c r="C57" s="103">
        <f t="shared" si="9"/>
        <v>-0.3947482828</v>
      </c>
      <c r="D57" s="104">
        <f t="shared" si="10"/>
        <v>0</v>
      </c>
      <c r="E57" s="67">
        <f t="shared" si="11"/>
        <v>1.272</v>
      </c>
      <c r="F57" s="60">
        <f t="shared" si="12"/>
        <v>0</v>
      </c>
      <c r="G57" s="58">
        <f t="shared" si="13"/>
        <v>-12.60693642</v>
      </c>
      <c r="H57" s="58">
        <f t="shared" si="14"/>
        <v>0.4067055394</v>
      </c>
      <c r="I57" s="67">
        <f t="shared" si="15"/>
        <v>-5.6225</v>
      </c>
      <c r="J57" s="58">
        <f t="shared" si="16"/>
        <v>1.5</v>
      </c>
      <c r="K57" s="62">
        <f t="shared" si="17"/>
        <v>0.23525</v>
      </c>
      <c r="L57" s="58">
        <f t="shared" si="18"/>
        <v>4.08</v>
      </c>
      <c r="M57" s="58">
        <f t="shared" si="19"/>
        <v>-1.338711</v>
      </c>
      <c r="N57" s="58">
        <f t="shared" si="20"/>
        <v>-0.705</v>
      </c>
      <c r="O57" s="58">
        <f t="shared" si="21"/>
        <v>-0.279</v>
      </c>
      <c r="P57" s="58">
        <f t="shared" si="22"/>
        <v>0</v>
      </c>
      <c r="Q57" s="87">
        <v>0.0</v>
      </c>
      <c r="R57" s="105">
        <f t="shared" si="23"/>
        <v>86.54705984</v>
      </c>
    </row>
    <row r="58">
      <c r="A58" s="54">
        <v>7.0</v>
      </c>
      <c r="B58" s="114" t="s">
        <v>49</v>
      </c>
      <c r="C58" s="103">
        <f t="shared" si="9"/>
        <v>-0.233378933</v>
      </c>
      <c r="D58" s="104">
        <f t="shared" si="10"/>
        <v>0</v>
      </c>
      <c r="E58" s="67">
        <f t="shared" si="11"/>
        <v>3.929</v>
      </c>
      <c r="F58" s="60">
        <f t="shared" si="12"/>
        <v>0</v>
      </c>
      <c r="G58" s="58">
        <f t="shared" si="13"/>
        <v>-0.5764375877</v>
      </c>
      <c r="H58" s="58">
        <f t="shared" si="14"/>
        <v>1.036321484</v>
      </c>
      <c r="I58" s="67">
        <f t="shared" si="15"/>
        <v>-4.5825</v>
      </c>
      <c r="J58" s="58">
        <f t="shared" si="16"/>
        <v>1.5</v>
      </c>
      <c r="K58" s="62">
        <f t="shared" si="17"/>
        <v>0.1376666667</v>
      </c>
      <c r="L58" s="58">
        <f t="shared" si="18"/>
        <v>-0.63</v>
      </c>
      <c r="M58" s="58">
        <f t="shared" si="19"/>
        <v>-0.997749</v>
      </c>
      <c r="N58" s="58">
        <f t="shared" si="20"/>
        <v>-0.87</v>
      </c>
      <c r="O58" s="58">
        <f t="shared" si="21"/>
        <v>-1.566</v>
      </c>
      <c r="P58" s="58">
        <f t="shared" si="22"/>
        <v>0</v>
      </c>
      <c r="Q58" s="87">
        <v>0.0</v>
      </c>
      <c r="R58" s="105">
        <f t="shared" si="23"/>
        <v>97.14692263</v>
      </c>
    </row>
    <row r="59">
      <c r="A59" s="115"/>
      <c r="B59" s="116" t="s">
        <v>50</v>
      </c>
      <c r="C59" s="117">
        <f t="shared" si="9"/>
        <v>-0.163360015</v>
      </c>
      <c r="D59" s="118">
        <f t="shared" si="10"/>
        <v>0</v>
      </c>
      <c r="E59" s="118">
        <f t="shared" si="11"/>
        <v>1.595</v>
      </c>
      <c r="F59" s="119">
        <f t="shared" si="12"/>
        <v>0</v>
      </c>
      <c r="G59" s="117">
        <f t="shared" si="13"/>
        <v>-7.597619651</v>
      </c>
      <c r="H59" s="117">
        <f t="shared" si="14"/>
        <v>-0.3892940007</v>
      </c>
      <c r="I59" s="118">
        <f t="shared" si="15"/>
        <v>-4.5175</v>
      </c>
      <c r="J59" s="117">
        <f t="shared" si="16"/>
        <v>1.5</v>
      </c>
      <c r="K59" s="120">
        <f t="shared" si="17"/>
        <v>0.05558333333</v>
      </c>
      <c r="L59" s="117">
        <f t="shared" si="18"/>
        <v>5.22</v>
      </c>
      <c r="M59" s="117">
        <f t="shared" si="19"/>
        <v>-0.966183</v>
      </c>
      <c r="N59" s="117">
        <f t="shared" si="20"/>
        <v>-0.82</v>
      </c>
      <c r="O59" s="117">
        <f t="shared" si="21"/>
        <v>-0.7485</v>
      </c>
      <c r="P59" s="117">
        <f t="shared" si="22"/>
        <v>0</v>
      </c>
      <c r="Q59" s="121">
        <v>0.0</v>
      </c>
      <c r="R59" s="122">
        <f t="shared" si="23"/>
        <v>93.16812667</v>
      </c>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row>
    <row r="60">
      <c r="A60" s="129"/>
      <c r="B60" s="295" t="s">
        <v>147</v>
      </c>
      <c r="C60" s="296">
        <f t="shared" si="9"/>
        <v>-0.2827</v>
      </c>
      <c r="D60" s="120">
        <f t="shared" si="10"/>
        <v>0.0419</v>
      </c>
      <c r="E60" s="120">
        <f t="shared" si="11"/>
        <v>1.604</v>
      </c>
      <c r="F60" s="297">
        <f t="shared" si="12"/>
        <v>0.15</v>
      </c>
      <c r="G60" s="296">
        <f t="shared" si="13"/>
        <v>-7.815</v>
      </c>
      <c r="H60" s="296">
        <f t="shared" si="14"/>
        <v>0.6375</v>
      </c>
      <c r="I60" s="296">
        <f t="shared" si="15"/>
        <v>-4.745</v>
      </c>
      <c r="J60" s="296">
        <f t="shared" si="16"/>
        <v>1.5</v>
      </c>
      <c r="K60" s="120">
        <f t="shared" si="17"/>
        <v>-0.049</v>
      </c>
      <c r="L60" s="120">
        <f t="shared" si="18"/>
        <v>-0.33</v>
      </c>
      <c r="M60" s="296">
        <f t="shared" si="19"/>
        <v>-0.96</v>
      </c>
      <c r="N60" s="120">
        <f t="shared" si="20"/>
        <v>-0.665</v>
      </c>
      <c r="O60" s="296">
        <f t="shared" si="21"/>
        <v>-0.2805</v>
      </c>
      <c r="P60" s="120">
        <f t="shared" si="22"/>
        <v>0</v>
      </c>
      <c r="Q60" s="298"/>
      <c r="R60" s="299"/>
      <c r="S60" s="129"/>
      <c r="T60" s="129"/>
      <c r="U60" s="129"/>
      <c r="V60" s="129"/>
      <c r="W60" s="129"/>
      <c r="X60" s="129"/>
      <c r="Y60" s="129"/>
      <c r="Z60" s="129"/>
      <c r="AA60" s="129"/>
      <c r="AB60" s="129"/>
      <c r="AC60" s="129"/>
      <c r="AD60" s="129"/>
      <c r="AE60" s="129"/>
      <c r="AF60" s="129"/>
      <c r="AG60" s="129"/>
      <c r="AH60" s="129"/>
      <c r="AI60" s="129"/>
      <c r="AJ60" s="129"/>
      <c r="AK60" s="129"/>
      <c r="AL60" s="129"/>
      <c r="AM60" s="129"/>
      <c r="AN60" s="129"/>
      <c r="AO60" s="129"/>
      <c r="AP60" s="129"/>
      <c r="AQ60" s="129"/>
    </row>
    <row r="61">
      <c r="B61" s="123" t="s">
        <v>63</v>
      </c>
      <c r="C61" s="124">
        <v>-0.141</v>
      </c>
      <c r="D61" s="125">
        <v>0.042</v>
      </c>
      <c r="E61" s="125">
        <v>1.604</v>
      </c>
      <c r="F61" s="125">
        <v>-0.002</v>
      </c>
      <c r="G61" s="125">
        <v>-5.0</v>
      </c>
      <c r="H61" s="125">
        <v>0.425</v>
      </c>
      <c r="I61" s="125">
        <v>-2.5</v>
      </c>
      <c r="J61" s="125">
        <v>1.0</v>
      </c>
      <c r="K61" s="125">
        <v>-0.049</v>
      </c>
      <c r="L61" s="126">
        <v>0.33</v>
      </c>
      <c r="M61" s="125">
        <v>-0.64</v>
      </c>
      <c r="N61" s="125">
        <v>-0.667</v>
      </c>
      <c r="O61" s="125">
        <v>-0.187</v>
      </c>
      <c r="P61" s="125">
        <v>0.0</v>
      </c>
      <c r="Q61" s="125">
        <v>0.0</v>
      </c>
      <c r="R61" s="128">
        <f>100+sum(C61:Q61)</f>
        <v>94.215</v>
      </c>
    </row>
    <row r="62">
      <c r="A62" s="129"/>
      <c r="B62" s="130" t="s">
        <v>64</v>
      </c>
      <c r="C62" s="131">
        <f t="shared" ref="C62:R62" si="24">abs(C59-C61)</f>
        <v>0.02236001495</v>
      </c>
      <c r="D62" s="131">
        <f t="shared" si="24"/>
        <v>0.042</v>
      </c>
      <c r="E62" s="131">
        <f t="shared" si="24"/>
        <v>0.009</v>
      </c>
      <c r="F62" s="131">
        <f t="shared" si="24"/>
        <v>0.002</v>
      </c>
      <c r="G62" s="131">
        <f t="shared" si="24"/>
        <v>2.597619651</v>
      </c>
      <c r="H62" s="131">
        <f t="shared" si="24"/>
        <v>0.8142940007</v>
      </c>
      <c r="I62" s="131">
        <f t="shared" si="24"/>
        <v>2.0175</v>
      </c>
      <c r="J62" s="131">
        <f t="shared" si="24"/>
        <v>0.5</v>
      </c>
      <c r="K62" s="131">
        <f t="shared" si="24"/>
        <v>0.1045833333</v>
      </c>
      <c r="L62" s="131">
        <f t="shared" si="24"/>
        <v>4.89</v>
      </c>
      <c r="M62" s="131">
        <f t="shared" si="24"/>
        <v>0.326183</v>
      </c>
      <c r="N62" s="131">
        <f t="shared" si="24"/>
        <v>0.153</v>
      </c>
      <c r="O62" s="131">
        <f t="shared" si="24"/>
        <v>0.5615</v>
      </c>
      <c r="P62" s="131">
        <f t="shared" si="24"/>
        <v>0</v>
      </c>
      <c r="Q62" s="131">
        <f t="shared" si="24"/>
        <v>0</v>
      </c>
      <c r="R62" s="131">
        <f t="shared" si="24"/>
        <v>1.046873333</v>
      </c>
      <c r="S62" s="129"/>
      <c r="T62" s="129"/>
      <c r="U62" s="129"/>
      <c r="V62" s="129"/>
      <c r="W62" s="129"/>
      <c r="X62" s="129"/>
      <c r="Y62" s="129"/>
      <c r="Z62" s="129"/>
      <c r="AA62" s="129"/>
      <c r="AB62" s="129"/>
      <c r="AC62" s="129"/>
      <c r="AD62" s="129"/>
      <c r="AE62" s="129"/>
      <c r="AF62" s="129"/>
      <c r="AG62" s="129"/>
      <c r="AH62" s="129"/>
      <c r="AI62" s="129"/>
      <c r="AJ62" s="129"/>
      <c r="AK62" s="129"/>
      <c r="AL62" s="129"/>
      <c r="AM62" s="129"/>
      <c r="AN62" s="129"/>
      <c r="AO62" s="129"/>
      <c r="AP62" s="129"/>
      <c r="AQ62" s="129"/>
    </row>
    <row r="63">
      <c r="A63" s="308"/>
      <c r="B63" s="309" t="s">
        <v>170</v>
      </c>
      <c r="C63" s="308">
        <f>IF(C40&lt;95%,
MAX(-5,((C40-95%)/1%)*$C$49),
IF(C40&lt;100%,
((C40-100%)/1%)*0.5*$C$49,
MIN(5,((C40-100%)/0.5%)*$C$49)))</f>
        <v>-0.14135</v>
      </c>
      <c r="D63" s="308">
        <f>IF(D40&lt;95%,
MAX(-5,((D40-95%)/1%)*$D$49),
IF(D40&lt;100%,
((D40-100%)/1%)*0.5*$D$49,
MIN(5,((D40-100%)/0.5%)*$D$49)))</f>
        <v>0.0419</v>
      </c>
      <c r="E63" s="308">
        <f>IF(E40="","",((-(E40-98%)/1%)*1)*$E$49)</f>
        <v>1.604</v>
      </c>
      <c r="F63" s="328">
        <f>IF(F40="","",MIN(MAX(-(F40-1)*10*$F$49,-5),3))</f>
        <v>-0.23</v>
      </c>
      <c r="G63" s="308">
        <f>IF(G40="","",MAX((((G40-98%)/0.1%)*1)*$G$49,-5))</f>
        <v>-5</v>
      </c>
      <c r="H63" s="308">
        <f>IF(H40="","",MAX((((2%-H40)/0.1%)*1)*$H$49,-2.5))</f>
        <v>0.425</v>
      </c>
      <c r="I63" s="308">
        <f>IF(I40="","",MAX((((0.046%-I40)/0.001%)*0.65)*$I$49,-2.5))</f>
        <v>-2.5</v>
      </c>
      <c r="J63" s="308">
        <f>IF(J40="","",MAX((((J40-99.8%)/0.01%)*1)*$J$49,-2.5))</f>
        <v>1</v>
      </c>
      <c r="K63" s="308">
        <f>IF(K40="","",((-(K40-100%)/3%)*0.5)*$K$49)</f>
        <v>-0.049</v>
      </c>
      <c r="L63" s="308">
        <f>IF(L40="","",MAX((((0.5%-L40)/0.1%)*6)*$L$49,-2.5))</f>
        <v>0.33</v>
      </c>
      <c r="M63" s="308">
        <f>IF(M40="","",MAX((((M40-99%)/0.1%)*2)*$M$49,-5))</f>
        <v>-0.64</v>
      </c>
      <c r="N63" s="308">
        <f>IF(N40="","",MAX((((3-N40)/0.1)*0.5)*$N$49,-2.5))</f>
        <v>-0.665</v>
      </c>
      <c r="O63" s="308">
        <f>IF(O40="","",MAX((((O40-90%)/1%)*2)*$O$49,-2.5))</f>
        <v>-0.187</v>
      </c>
      <c r="P63" s="308">
        <f>IF(P40&gt;=100%,0,((P40-100%)/2%)*$P$49)</f>
        <v>0</v>
      </c>
      <c r="Q63" s="308"/>
      <c r="R63" s="308"/>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row>
    <row r="64">
      <c r="A64" s="205">
        <v>8.0</v>
      </c>
      <c r="B64" s="205" t="s">
        <v>80</v>
      </c>
    </row>
    <row r="65">
      <c r="A65" s="205">
        <v>9.0</v>
      </c>
      <c r="B65" s="205" t="s">
        <v>81</v>
      </c>
    </row>
    <row r="68">
      <c r="C68" s="335" t="s">
        <v>172</v>
      </c>
      <c r="D68" s="7"/>
      <c r="E68" s="9"/>
      <c r="F68" s="336" t="s">
        <v>99</v>
      </c>
      <c r="G68" s="7"/>
      <c r="H68" s="7"/>
      <c r="I68" s="7"/>
      <c r="J68" s="7"/>
      <c r="K68" s="9"/>
      <c r="L68" s="336" t="s">
        <v>173</v>
      </c>
      <c r="M68" s="7"/>
      <c r="N68" s="9"/>
    </row>
    <row r="69">
      <c r="C69" s="341" t="s">
        <v>174</v>
      </c>
      <c r="D69" s="343" t="s">
        <v>175</v>
      </c>
      <c r="E69" s="343" t="s">
        <v>176</v>
      </c>
      <c r="F69" s="346" t="s">
        <v>2</v>
      </c>
      <c r="G69" s="346" t="s">
        <v>101</v>
      </c>
      <c r="H69" s="346" t="s">
        <v>20</v>
      </c>
      <c r="I69" s="346" t="s">
        <v>30</v>
      </c>
      <c r="J69" s="346" t="s">
        <v>102</v>
      </c>
      <c r="K69" s="346" t="s">
        <v>103</v>
      </c>
      <c r="L69" s="346" t="s">
        <v>173</v>
      </c>
      <c r="M69" s="350" t="s">
        <v>177</v>
      </c>
      <c r="N69" s="350" t="s">
        <v>178</v>
      </c>
    </row>
    <row r="70">
      <c r="C70" s="352" t="s">
        <v>179</v>
      </c>
      <c r="D70" s="353" t="s">
        <v>180</v>
      </c>
      <c r="E70" s="355">
        <v>0.3</v>
      </c>
      <c r="F70" s="357"/>
      <c r="G70" s="358"/>
      <c r="H70" s="359"/>
      <c r="I70" s="359"/>
      <c r="J70" s="357"/>
      <c r="K70" s="357"/>
      <c r="L70" s="360"/>
      <c r="M70" s="361"/>
      <c r="N70" s="361"/>
    </row>
    <row r="71">
      <c r="C71" s="362">
        <v>1.0</v>
      </c>
      <c r="D71" s="362" t="s">
        <v>183</v>
      </c>
      <c r="E71" s="363">
        <v>0.1</v>
      </c>
      <c r="F71" s="364" t="s">
        <v>184</v>
      </c>
      <c r="G71" s="365" t="s">
        <v>185</v>
      </c>
      <c r="H71" s="366">
        <v>0.1</v>
      </c>
      <c r="I71" s="362">
        <v>132.695</v>
      </c>
      <c r="J71" s="367" t="s">
        <v>148</v>
      </c>
      <c r="K71" s="368" t="s">
        <v>186</v>
      </c>
      <c r="L71" s="365" t="s">
        <v>187</v>
      </c>
      <c r="M71" s="369" t="s">
        <v>188</v>
      </c>
      <c r="N71" s="369" t="s">
        <v>189</v>
      </c>
    </row>
    <row r="72">
      <c r="C72" s="370">
        <v>2.0</v>
      </c>
      <c r="D72" s="371" t="s">
        <v>190</v>
      </c>
      <c r="E72" s="372">
        <v>0.05</v>
      </c>
      <c r="F72" s="373" t="s">
        <v>107</v>
      </c>
      <c r="G72" s="365" t="s">
        <v>185</v>
      </c>
      <c r="H72" s="366">
        <v>0.05</v>
      </c>
      <c r="I72" s="374">
        <v>1.397</v>
      </c>
      <c r="J72" s="375" t="s">
        <v>191</v>
      </c>
      <c r="K72" s="376" t="s">
        <v>186</v>
      </c>
      <c r="L72" s="377" t="s">
        <v>192</v>
      </c>
      <c r="M72" s="378" t="s">
        <v>193</v>
      </c>
      <c r="N72" s="378" t="s">
        <v>194</v>
      </c>
    </row>
    <row r="73">
      <c r="C73" s="379">
        <v>3.0</v>
      </c>
      <c r="D73" s="379" t="s">
        <v>195</v>
      </c>
      <c r="E73" s="380">
        <v>0.15</v>
      </c>
      <c r="F73" s="364" t="s">
        <v>196</v>
      </c>
      <c r="G73" s="381"/>
      <c r="H73" s="360"/>
      <c r="I73" s="382"/>
      <c r="J73" s="383"/>
      <c r="K73" s="384"/>
      <c r="L73" s="381"/>
      <c r="M73" s="361"/>
      <c r="N73" s="361"/>
    </row>
    <row r="74">
      <c r="C74" s="385"/>
      <c r="D74" s="385"/>
      <c r="E74" s="385"/>
      <c r="F74" s="387" t="s">
        <v>198</v>
      </c>
      <c r="G74" s="365" t="s">
        <v>166</v>
      </c>
      <c r="H74" s="366">
        <v>0.1</v>
      </c>
      <c r="I74" s="363">
        <v>0.98</v>
      </c>
      <c r="J74" s="368" t="s">
        <v>199</v>
      </c>
      <c r="K74" s="368" t="s">
        <v>200</v>
      </c>
      <c r="L74" s="365" t="s">
        <v>187</v>
      </c>
      <c r="M74" s="369" t="s">
        <v>188</v>
      </c>
      <c r="N74" s="369" t="s">
        <v>201</v>
      </c>
    </row>
    <row r="75">
      <c r="C75" s="388"/>
      <c r="D75" s="388"/>
      <c r="E75" s="388"/>
      <c r="F75" s="389" t="s">
        <v>202</v>
      </c>
      <c r="G75" s="365" t="s">
        <v>166</v>
      </c>
      <c r="H75" s="366">
        <v>0.05</v>
      </c>
      <c r="I75" s="362">
        <v>1.0</v>
      </c>
      <c r="J75" s="368" t="s">
        <v>203</v>
      </c>
      <c r="K75" s="383" t="str">
        <f>+/-0,1 điểm/1% vượt/không đạt tỷ lệ hoàn thành KH. Thưởng tối đa 3 điểm, trừ tối đa 5 điểm.</f>
        <v>#ERROR!</v>
      </c>
      <c r="L75" s="365" t="s">
        <v>187</v>
      </c>
      <c r="M75" s="369" t="s">
        <v>188</v>
      </c>
      <c r="N75" s="369" t="s">
        <v>201</v>
      </c>
    </row>
    <row r="76">
      <c r="C76" s="352" t="s">
        <v>204</v>
      </c>
      <c r="D76" s="353" t="s">
        <v>205</v>
      </c>
      <c r="E76" s="355">
        <v>0.3</v>
      </c>
      <c r="F76" s="360"/>
      <c r="G76" s="360"/>
      <c r="H76" s="359"/>
      <c r="I76" s="359"/>
      <c r="J76" s="393"/>
      <c r="K76" s="393"/>
      <c r="L76" s="360"/>
      <c r="M76" s="361"/>
      <c r="N76" s="361"/>
    </row>
    <row r="77">
      <c r="C77" s="394">
        <v>4.0</v>
      </c>
      <c r="D77" s="379" t="s">
        <v>207</v>
      </c>
      <c r="E77" s="380">
        <v>0.25</v>
      </c>
      <c r="F77" s="395" t="s">
        <v>208</v>
      </c>
      <c r="G77" s="381"/>
      <c r="H77" s="360"/>
      <c r="I77" s="382"/>
      <c r="J77" s="383"/>
      <c r="K77" s="383"/>
      <c r="L77" s="381"/>
      <c r="M77" s="361"/>
      <c r="N77" s="361"/>
    </row>
    <row r="78">
      <c r="C78" s="385"/>
      <c r="D78" s="385"/>
      <c r="E78" s="385"/>
      <c r="F78" s="376" t="s">
        <v>213</v>
      </c>
      <c r="G78" s="365" t="s">
        <v>166</v>
      </c>
      <c r="H78" s="366">
        <v>0.1</v>
      </c>
      <c r="I78" s="363">
        <v>0.98</v>
      </c>
      <c r="J78" s="368" t="s">
        <v>214</v>
      </c>
      <c r="K78" s="383" t="str">
        <f>+/-1.5 điểm/0.1% vượt/không đạt so với KH</f>
        <v>#ERROR!</v>
      </c>
      <c r="L78" s="365" t="s">
        <v>215</v>
      </c>
      <c r="M78" s="369" t="s">
        <v>216</v>
      </c>
      <c r="N78" s="369" t="s">
        <v>217</v>
      </c>
    </row>
    <row r="79">
      <c r="C79" s="385"/>
      <c r="D79" s="385"/>
      <c r="E79" s="385"/>
      <c r="F79" s="376" t="s">
        <v>118</v>
      </c>
      <c r="G79" s="377" t="s">
        <v>166</v>
      </c>
      <c r="H79" s="366">
        <v>0.05</v>
      </c>
      <c r="I79" s="396">
        <v>0.02</v>
      </c>
      <c r="J79" s="376" t="s">
        <v>218</v>
      </c>
      <c r="K79" s="398" t="str">
        <f>+/-1.5 điểm/0.1% giảm/tăng so với KH</f>
        <v>#ERROR!</v>
      </c>
      <c r="L79" s="365" t="s">
        <v>215</v>
      </c>
      <c r="M79" s="369" t="s">
        <v>216</v>
      </c>
      <c r="N79" s="369" t="s">
        <v>219</v>
      </c>
    </row>
    <row r="80">
      <c r="C80" s="385"/>
      <c r="D80" s="385"/>
      <c r="E80" s="385"/>
      <c r="F80" s="376" t="s">
        <v>220</v>
      </c>
      <c r="G80" s="377" t="s">
        <v>166</v>
      </c>
      <c r="H80" s="366">
        <v>0.05</v>
      </c>
      <c r="I80" s="396">
        <v>0.46</v>
      </c>
      <c r="J80" s="376" t="s">
        <v>221</v>
      </c>
      <c r="K80" s="398" t="str">
        <f>+/-0.65 điểm/0.001% giảm/tăng so với KH</f>
        <v>#ERROR!</v>
      </c>
      <c r="L80" s="365" t="s">
        <v>215</v>
      </c>
      <c r="M80" s="369" t="s">
        <v>216</v>
      </c>
      <c r="N80" s="369" t="s">
        <v>222</v>
      </c>
    </row>
    <row r="81">
      <c r="C81" s="388"/>
      <c r="D81" s="388"/>
      <c r="E81" s="388"/>
      <c r="F81" s="376" t="s">
        <v>223</v>
      </c>
      <c r="G81" s="377" t="s">
        <v>166</v>
      </c>
      <c r="H81" s="366">
        <v>0.05</v>
      </c>
      <c r="I81" s="374" t="s">
        <v>224</v>
      </c>
      <c r="J81" s="376" t="s">
        <v>225</v>
      </c>
      <c r="K81" s="401" t="str">
        <f>+/- 1.5 điểm/0.01% tăng so với kế hoạch
 Điểm trừ tối đa 2 điểm(đã nhân với trọng số KPI)</f>
        <v>#ERROR!</v>
      </c>
      <c r="L81" s="365" t="s">
        <v>215</v>
      </c>
      <c r="M81" s="369" t="s">
        <v>216</v>
      </c>
      <c r="N81" s="369" t="s">
        <v>226</v>
      </c>
    </row>
    <row r="82">
      <c r="C82" s="403">
        <v>5.0</v>
      </c>
      <c r="D82" s="404" t="s">
        <v>227</v>
      </c>
      <c r="E82" s="405">
        <v>0.05</v>
      </c>
      <c r="F82" s="395" t="s">
        <v>228</v>
      </c>
      <c r="G82" s="381"/>
      <c r="H82" s="360"/>
      <c r="I82" s="382"/>
      <c r="J82" s="383"/>
      <c r="K82" s="383"/>
      <c r="L82" s="381"/>
      <c r="M82" s="361"/>
      <c r="N82" s="361"/>
    </row>
    <row r="83">
      <c r="C83" s="385"/>
      <c r="D83" s="385"/>
      <c r="E83" s="385"/>
      <c r="F83" s="395" t="s">
        <v>229</v>
      </c>
      <c r="G83" s="381"/>
      <c r="H83" s="360"/>
      <c r="I83" s="382"/>
      <c r="J83" s="383"/>
      <c r="K83" s="383"/>
      <c r="L83" s="381"/>
      <c r="M83" s="361"/>
      <c r="N83" s="361"/>
    </row>
    <row r="84">
      <c r="C84" s="385"/>
      <c r="D84" s="385"/>
      <c r="E84" s="385"/>
      <c r="F84" s="376" t="s">
        <v>230</v>
      </c>
      <c r="G84" s="365" t="s">
        <v>167</v>
      </c>
      <c r="H84" s="366">
        <v>0.05</v>
      </c>
      <c r="I84" s="362">
        <v>2.28</v>
      </c>
      <c r="J84" s="368" t="s">
        <v>231</v>
      </c>
      <c r="K84" s="383" t="str">
        <f>+/-0.5 điểm/3% vượt/không đạt KH</f>
        <v>#ERROR!</v>
      </c>
      <c r="L84" s="365" t="s">
        <v>192</v>
      </c>
      <c r="M84" s="369" t="s">
        <v>232</v>
      </c>
      <c r="N84" s="369" t="s">
        <v>233</v>
      </c>
    </row>
    <row r="85">
      <c r="C85" s="352" t="s">
        <v>234</v>
      </c>
      <c r="D85" s="409" t="s">
        <v>235</v>
      </c>
      <c r="E85" s="410">
        <v>0.4</v>
      </c>
      <c r="F85" s="360"/>
      <c r="G85" s="360"/>
      <c r="H85" s="359"/>
      <c r="I85" s="359"/>
      <c r="J85" s="393"/>
      <c r="K85" s="393"/>
      <c r="L85" s="360"/>
      <c r="M85" s="361"/>
      <c r="N85" s="361"/>
    </row>
    <row r="86">
      <c r="C86" s="394">
        <v>6.0</v>
      </c>
      <c r="D86" s="379" t="s">
        <v>236</v>
      </c>
      <c r="E86" s="380">
        <v>0.3</v>
      </c>
      <c r="F86" s="368" t="s">
        <v>130</v>
      </c>
      <c r="G86" s="365" t="s">
        <v>166</v>
      </c>
      <c r="H86" s="366">
        <v>0.05</v>
      </c>
      <c r="I86" s="362" t="s">
        <v>237</v>
      </c>
      <c r="J86" s="368" t="s">
        <v>156</v>
      </c>
      <c r="K86" s="376" t="s">
        <v>238</v>
      </c>
      <c r="L86" s="365" t="s">
        <v>215</v>
      </c>
      <c r="M86" s="369" t="s">
        <v>216</v>
      </c>
      <c r="N86" s="369" t="s">
        <v>219</v>
      </c>
    </row>
    <row r="87">
      <c r="C87" s="385"/>
      <c r="D87" s="385"/>
      <c r="E87" s="385"/>
      <c r="F87" s="368" t="s">
        <v>133</v>
      </c>
      <c r="G87" s="365" t="s">
        <v>166</v>
      </c>
      <c r="H87" s="366">
        <v>0.1</v>
      </c>
      <c r="I87" s="396">
        <v>0.99</v>
      </c>
      <c r="J87" s="383"/>
      <c r="K87" s="398" t="str">
        <f>+/-3 điểm/0.1% vượt/không đạt so với KH</f>
        <v>#ERROR!</v>
      </c>
      <c r="L87" s="365" t="s">
        <v>215</v>
      </c>
      <c r="M87" s="369" t="s">
        <v>216</v>
      </c>
      <c r="N87" s="369" t="s">
        <v>219</v>
      </c>
    </row>
    <row r="88">
      <c r="C88" s="385"/>
      <c r="D88" s="385"/>
      <c r="E88" s="385"/>
      <c r="F88" s="368" t="s">
        <v>135</v>
      </c>
      <c r="G88" s="365" t="s">
        <v>168</v>
      </c>
      <c r="H88" s="366">
        <v>0.1</v>
      </c>
      <c r="I88" s="362">
        <v>3.0</v>
      </c>
      <c r="J88" s="368" t="s">
        <v>159</v>
      </c>
      <c r="K88" s="398" t="str">
        <f>+/- 0,5 điểm/0,1 phút giảm/tăng so KH</f>
        <v>#ERROR!</v>
      </c>
      <c r="L88" s="365" t="s">
        <v>215</v>
      </c>
      <c r="M88" s="369" t="s">
        <v>216</v>
      </c>
      <c r="N88" s="369" t="s">
        <v>217</v>
      </c>
    </row>
    <row r="89">
      <c r="C89" s="388"/>
      <c r="D89" s="388"/>
      <c r="E89" s="388"/>
      <c r="F89" s="368" t="s">
        <v>239</v>
      </c>
      <c r="G89" s="365" t="s">
        <v>166</v>
      </c>
      <c r="H89" s="366">
        <v>0.05</v>
      </c>
      <c r="I89" s="363">
        <v>0.9</v>
      </c>
      <c r="J89" s="368" t="s">
        <v>240</v>
      </c>
      <c r="K89" s="414" t="s">
        <v>241</v>
      </c>
      <c r="L89" s="365" t="s">
        <v>215</v>
      </c>
      <c r="M89" s="369" t="s">
        <v>216</v>
      </c>
      <c r="N89" s="369" t="s">
        <v>222</v>
      </c>
    </row>
    <row r="90">
      <c r="C90" s="415">
        <v>7.0</v>
      </c>
      <c r="D90" s="362" t="s">
        <v>242</v>
      </c>
      <c r="E90" s="363">
        <v>0.1</v>
      </c>
      <c r="F90" s="368" t="s">
        <v>243</v>
      </c>
      <c r="G90" s="365" t="s">
        <v>166</v>
      </c>
      <c r="H90" s="366">
        <v>0.1</v>
      </c>
      <c r="I90" s="363">
        <v>1.0</v>
      </c>
      <c r="J90" s="368" t="s">
        <v>244</v>
      </c>
      <c r="K90" s="376" t="s">
        <v>245</v>
      </c>
      <c r="L90" s="365" t="s">
        <v>246</v>
      </c>
      <c r="M90" s="369" t="s">
        <v>247</v>
      </c>
      <c r="N90" s="369" t="s">
        <v>248</v>
      </c>
    </row>
    <row r="91">
      <c r="C91" s="415">
        <v>8.0</v>
      </c>
      <c r="D91" s="362" t="s">
        <v>249</v>
      </c>
      <c r="E91" s="362" t="s">
        <v>250</v>
      </c>
      <c r="F91" s="368" t="s">
        <v>251</v>
      </c>
      <c r="G91" s="384"/>
      <c r="H91" s="366">
        <v>0.0</v>
      </c>
      <c r="I91" s="382"/>
      <c r="J91" s="368" t="s">
        <v>46</v>
      </c>
      <c r="K91" s="376" t="s">
        <v>252</v>
      </c>
      <c r="L91" s="365" t="s">
        <v>246</v>
      </c>
      <c r="M91" s="369" t="s">
        <v>247</v>
      </c>
      <c r="N91" s="369" t="s">
        <v>248</v>
      </c>
    </row>
    <row r="92">
      <c r="C92" s="417"/>
      <c r="D92" s="395" t="s">
        <v>253</v>
      </c>
      <c r="E92" s="363">
        <v>1.0</v>
      </c>
      <c r="F92" s="418"/>
      <c r="G92" s="419"/>
      <c r="H92" s="410">
        <v>1.0</v>
      </c>
      <c r="I92" s="382"/>
      <c r="J92" s="418"/>
      <c r="K92" s="418"/>
      <c r="L92" s="381"/>
      <c r="M92" s="361"/>
      <c r="N92" s="361"/>
    </row>
    <row r="93">
      <c r="C93" s="417"/>
      <c r="D93" s="395" t="s">
        <v>254</v>
      </c>
      <c r="E93" s="362">
        <v>8.0</v>
      </c>
      <c r="F93" s="418"/>
      <c r="G93" s="419"/>
      <c r="H93" s="420">
        <v>14.0</v>
      </c>
      <c r="I93" s="374">
        <v>14.0</v>
      </c>
      <c r="J93" s="418"/>
      <c r="K93" s="418"/>
      <c r="L93" s="381"/>
      <c r="M93" s="361"/>
      <c r="N93" s="361"/>
    </row>
  </sheetData>
  <mergeCells count="18">
    <mergeCell ref="C6:Q6"/>
    <mergeCell ref="C26:Q26"/>
    <mergeCell ref="C47:Q47"/>
    <mergeCell ref="C68:E68"/>
    <mergeCell ref="F68:K68"/>
    <mergeCell ref="L68:N68"/>
    <mergeCell ref="C73:C75"/>
    <mergeCell ref="C82:C84"/>
    <mergeCell ref="C86:C89"/>
    <mergeCell ref="D86:D89"/>
    <mergeCell ref="E86:E89"/>
    <mergeCell ref="D73:D75"/>
    <mergeCell ref="E73:E75"/>
    <mergeCell ref="C77:C81"/>
    <mergeCell ref="D77:D81"/>
    <mergeCell ref="E77:E81"/>
    <mergeCell ref="D82:D84"/>
    <mergeCell ref="E82:E8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4.5"/>
    <col customWidth="1" min="2" max="2" width="12.88"/>
    <col customWidth="1" min="3" max="3" width="11.0"/>
    <col customWidth="1" min="4" max="4" width="12.0"/>
    <col customWidth="1" min="5" max="5" width="13.0"/>
    <col customWidth="1" min="6" max="6" width="7.88"/>
    <col customWidth="1" min="7" max="7" width="12.63"/>
    <col customWidth="1" min="8" max="8" width="13.38"/>
    <col customWidth="1" min="9" max="9" width="13.5"/>
    <col customWidth="1" min="10" max="10" width="13.13"/>
    <col customWidth="1" min="11" max="11" width="11.75"/>
    <col customWidth="1" min="12" max="12" width="14.25"/>
    <col customWidth="1" min="13" max="13" width="13.0"/>
    <col customWidth="1" min="14" max="14" width="12.88"/>
    <col customWidth="1" min="15" max="15" width="11.75"/>
    <col customWidth="1" min="16" max="16" width="12.75"/>
    <col customWidth="1" min="17" max="18" width="17.0"/>
  </cols>
  <sheetData>
    <row r="1">
      <c r="B1" s="1"/>
      <c r="C1" s="2"/>
      <c r="D1" s="2"/>
      <c r="E1" s="2"/>
      <c r="F1" s="2"/>
      <c r="G1" s="2"/>
      <c r="H1" s="2"/>
      <c r="I1" s="2"/>
      <c r="J1" s="2"/>
      <c r="K1" s="2"/>
      <c r="L1" s="2"/>
      <c r="M1" s="2"/>
      <c r="N1" s="2"/>
      <c r="O1" s="2"/>
      <c r="P1" s="2"/>
      <c r="Q1" s="2"/>
      <c r="R1" s="2"/>
      <c r="S1" s="3"/>
      <c r="T1" s="3"/>
      <c r="U1" s="3"/>
      <c r="V1" s="3"/>
      <c r="W1" s="3"/>
      <c r="X1" s="3"/>
      <c r="Y1" s="3"/>
      <c r="Z1" s="3"/>
      <c r="AA1" s="3"/>
      <c r="AB1" s="3"/>
      <c r="AC1" s="3"/>
      <c r="AD1" s="3"/>
      <c r="AE1" s="3"/>
      <c r="AF1" s="3"/>
      <c r="AG1" s="3"/>
      <c r="AH1" s="3"/>
      <c r="AI1" s="3"/>
      <c r="AJ1" s="3"/>
      <c r="AK1" s="3"/>
      <c r="AL1" s="3"/>
      <c r="AM1" s="3"/>
      <c r="AN1" s="3"/>
      <c r="AO1" s="3"/>
      <c r="AP1" s="3"/>
      <c r="AQ1" s="3"/>
      <c r="AR1" s="3"/>
    </row>
    <row r="2">
      <c r="B2" s="1"/>
      <c r="C2" s="2"/>
      <c r="D2" s="2"/>
      <c r="E2" s="2"/>
      <c r="F2" s="2"/>
      <c r="G2" s="2"/>
      <c r="H2" s="2"/>
      <c r="I2" s="2"/>
      <c r="J2" s="2"/>
      <c r="K2" s="2"/>
      <c r="L2" s="2"/>
      <c r="M2" s="2"/>
      <c r="N2" s="2"/>
      <c r="O2" s="2"/>
      <c r="P2" s="2"/>
      <c r="Q2" s="2"/>
      <c r="R2" s="2"/>
      <c r="S2" s="3"/>
      <c r="T2" s="3"/>
      <c r="U2" s="3"/>
      <c r="V2" s="3"/>
      <c r="W2" s="3"/>
      <c r="X2" s="3"/>
      <c r="Y2" s="3"/>
      <c r="Z2" s="3"/>
      <c r="AA2" s="3"/>
      <c r="AB2" s="3"/>
      <c r="AC2" s="3"/>
      <c r="AD2" s="3"/>
      <c r="AE2" s="3"/>
      <c r="AF2" s="3"/>
      <c r="AG2" s="3"/>
      <c r="AH2" s="3"/>
      <c r="AI2" s="3"/>
      <c r="AJ2" s="3"/>
      <c r="AK2" s="3"/>
      <c r="AL2" s="3"/>
      <c r="AM2" s="3"/>
      <c r="AN2" s="3"/>
      <c r="AO2" s="3"/>
      <c r="AP2" s="3"/>
      <c r="AQ2" s="3"/>
      <c r="AR2" s="3"/>
    </row>
    <row r="3">
      <c r="B3" s="1"/>
      <c r="C3" s="2"/>
      <c r="D3" s="2"/>
      <c r="E3" s="2"/>
      <c r="F3" s="2"/>
      <c r="G3" s="2"/>
      <c r="H3" s="2"/>
      <c r="I3" s="2"/>
      <c r="J3" s="2"/>
      <c r="K3" s="2"/>
      <c r="L3" s="2"/>
      <c r="M3" s="2"/>
      <c r="N3" s="2"/>
      <c r="O3" s="2"/>
      <c r="P3" s="2"/>
      <c r="Q3" s="2"/>
      <c r="R3" s="2"/>
      <c r="S3" s="3"/>
      <c r="T3" s="3"/>
      <c r="U3" s="3"/>
      <c r="V3" s="3"/>
      <c r="W3" s="3"/>
      <c r="X3" s="3"/>
      <c r="Y3" s="3"/>
      <c r="Z3" s="3"/>
      <c r="AA3" s="3"/>
      <c r="AB3" s="3"/>
      <c r="AC3" s="3"/>
      <c r="AD3" s="3"/>
      <c r="AE3" s="3"/>
      <c r="AF3" s="3"/>
      <c r="AG3" s="3"/>
      <c r="AH3" s="3"/>
      <c r="AI3" s="3"/>
      <c r="AJ3" s="3"/>
      <c r="AK3" s="3"/>
      <c r="AL3" s="3"/>
      <c r="AM3" s="3"/>
      <c r="AN3" s="3"/>
      <c r="AO3" s="3"/>
      <c r="AP3" s="3"/>
      <c r="AQ3" s="3"/>
      <c r="AR3" s="3"/>
    </row>
    <row r="4">
      <c r="B4" s="1"/>
      <c r="C4" s="2"/>
      <c r="D4" s="2"/>
      <c r="E4" s="2"/>
      <c r="F4" s="2"/>
      <c r="G4" s="2"/>
      <c r="H4" s="2"/>
      <c r="I4" s="2"/>
      <c r="J4" s="2"/>
      <c r="K4" s="2"/>
      <c r="L4" s="2"/>
      <c r="M4" s="2"/>
      <c r="N4" s="2"/>
      <c r="O4" s="2"/>
      <c r="P4" s="2"/>
      <c r="Q4" s="2"/>
      <c r="R4" s="2"/>
      <c r="S4" s="3"/>
      <c r="T4" s="3"/>
      <c r="U4" s="3"/>
      <c r="V4" s="3"/>
      <c r="W4" s="3"/>
      <c r="X4" s="3"/>
      <c r="Y4" s="3"/>
      <c r="Z4" s="3"/>
      <c r="AA4" s="3"/>
      <c r="AB4" s="3"/>
      <c r="AC4" s="3"/>
      <c r="AD4" s="3"/>
      <c r="AE4" s="3"/>
      <c r="AF4" s="3"/>
      <c r="AG4" s="3"/>
      <c r="AH4" s="3"/>
      <c r="AI4" s="3"/>
      <c r="AJ4" s="3"/>
      <c r="AK4" s="3"/>
      <c r="AL4" s="3"/>
      <c r="AM4" s="3"/>
      <c r="AN4" s="3"/>
      <c r="AO4" s="3"/>
      <c r="AP4" s="3"/>
      <c r="AQ4" s="3"/>
      <c r="AR4" s="3"/>
    </row>
    <row r="5">
      <c r="B5" s="1"/>
      <c r="C5" s="2"/>
      <c r="D5" s="2"/>
      <c r="E5" s="2"/>
      <c r="F5" s="2"/>
      <c r="G5" s="2"/>
      <c r="H5" s="2"/>
      <c r="I5" s="2"/>
      <c r="J5" s="2"/>
      <c r="K5" s="2"/>
      <c r="L5" s="2"/>
      <c r="M5" s="2"/>
      <c r="N5" s="2"/>
      <c r="O5" s="2"/>
      <c r="P5" s="2"/>
      <c r="Q5" s="2"/>
      <c r="R5" s="2"/>
      <c r="S5" s="3"/>
      <c r="T5" s="3"/>
      <c r="U5" s="3"/>
      <c r="V5" s="3"/>
      <c r="W5" s="3"/>
      <c r="X5" s="3"/>
      <c r="Y5" s="3"/>
      <c r="Z5" s="3"/>
      <c r="AA5" s="3"/>
      <c r="AB5" s="3"/>
      <c r="AC5" s="3"/>
      <c r="AD5" s="3"/>
      <c r="AE5" s="3"/>
      <c r="AF5" s="3"/>
      <c r="AG5" s="3"/>
      <c r="AH5" s="3"/>
      <c r="AI5" s="3"/>
      <c r="AJ5" s="3"/>
      <c r="AK5" s="3"/>
      <c r="AL5" s="3"/>
      <c r="AM5" s="3"/>
      <c r="AN5" s="3"/>
      <c r="AO5" s="3"/>
      <c r="AP5" s="3"/>
      <c r="AQ5" s="3"/>
      <c r="AR5" s="3"/>
    </row>
    <row r="6">
      <c r="A6" s="1"/>
      <c r="B6" s="4"/>
      <c r="C6" s="5" t="s">
        <v>317</v>
      </c>
      <c r="D6" s="7"/>
      <c r="E6" s="7"/>
      <c r="F6" s="7"/>
      <c r="G6" s="7"/>
      <c r="H6" s="7"/>
      <c r="I6" s="7"/>
      <c r="J6" s="7"/>
      <c r="K6" s="7"/>
      <c r="L6" s="7"/>
      <c r="M6" s="7"/>
      <c r="N6" s="7"/>
      <c r="O6" s="7"/>
      <c r="P6" s="7"/>
      <c r="Q6" s="7"/>
      <c r="R6" s="9"/>
      <c r="S6" s="10"/>
      <c r="T6" s="3"/>
      <c r="U6" s="3"/>
      <c r="V6" s="3"/>
      <c r="W6" s="3"/>
      <c r="X6" s="3"/>
      <c r="Y6" s="3"/>
      <c r="Z6" s="3"/>
      <c r="AA6" s="3"/>
      <c r="AB6" s="3"/>
      <c r="AC6" s="3"/>
      <c r="AD6" s="3"/>
      <c r="AE6" s="3"/>
      <c r="AF6" s="3"/>
      <c r="AG6" s="3"/>
      <c r="AH6" s="3"/>
      <c r="AI6" s="3"/>
      <c r="AJ6" s="3"/>
      <c r="AK6" s="3"/>
      <c r="AL6" s="3"/>
      <c r="AM6" s="3"/>
      <c r="AN6" s="3"/>
      <c r="AO6" s="3"/>
      <c r="AP6" s="3"/>
      <c r="AQ6" s="3"/>
      <c r="AR6" s="3"/>
    </row>
    <row r="7">
      <c r="A7" s="11"/>
      <c r="B7" s="12" t="s">
        <v>2</v>
      </c>
      <c r="C7" s="13" t="s">
        <v>3</v>
      </c>
      <c r="D7" s="14" t="s">
        <v>4</v>
      </c>
      <c r="E7" s="14" t="s">
        <v>5</v>
      </c>
      <c r="F7" s="14" t="s">
        <v>6</v>
      </c>
      <c r="G7" s="14" t="s">
        <v>7</v>
      </c>
      <c r="H7" s="14" t="s">
        <v>8</v>
      </c>
      <c r="I7" s="14" t="s">
        <v>9</v>
      </c>
      <c r="J7" s="14" t="s">
        <v>10</v>
      </c>
      <c r="K7" s="14" t="s">
        <v>11</v>
      </c>
      <c r="L7" s="14" t="s">
        <v>12</v>
      </c>
      <c r="M7" s="14" t="s">
        <v>13</v>
      </c>
      <c r="N7" s="14" t="s">
        <v>14</v>
      </c>
      <c r="O7" s="14" t="s">
        <v>15</v>
      </c>
      <c r="P7" s="14" t="s">
        <v>16</v>
      </c>
      <c r="Q7" s="22" t="s">
        <v>17</v>
      </c>
      <c r="R7" s="24" t="s">
        <v>19</v>
      </c>
      <c r="S7" s="25" t="s">
        <v>18</v>
      </c>
      <c r="T7" s="3"/>
      <c r="U7" s="3"/>
      <c r="V7" s="3"/>
      <c r="W7" s="3"/>
      <c r="X7" s="3"/>
      <c r="Y7" s="3"/>
      <c r="Z7" s="3"/>
      <c r="AA7" s="3"/>
      <c r="AB7" s="3"/>
      <c r="AC7" s="3"/>
      <c r="AD7" s="3"/>
      <c r="AE7" s="3"/>
      <c r="AF7" s="3"/>
      <c r="AG7" s="3"/>
      <c r="AH7" s="3"/>
      <c r="AI7" s="3"/>
      <c r="AJ7" s="3"/>
      <c r="AK7" s="3"/>
      <c r="AL7" s="3"/>
      <c r="AM7" s="3"/>
      <c r="AN7" s="3"/>
      <c r="AO7" s="3"/>
      <c r="AP7" s="3"/>
      <c r="AQ7" s="3"/>
      <c r="AR7" s="3"/>
    </row>
    <row r="8">
      <c r="A8" s="26"/>
      <c r="B8" s="27" t="s">
        <v>20</v>
      </c>
      <c r="C8" s="29">
        <v>0.1</v>
      </c>
      <c r="D8" s="31">
        <v>0.05</v>
      </c>
      <c r="E8" s="33">
        <v>0.1</v>
      </c>
      <c r="F8" s="33">
        <v>0.05</v>
      </c>
      <c r="G8" s="33">
        <v>0.1</v>
      </c>
      <c r="H8" s="33">
        <v>0.05</v>
      </c>
      <c r="I8" s="33">
        <v>0.05</v>
      </c>
      <c r="J8" s="33">
        <v>0.05</v>
      </c>
      <c r="K8" s="33">
        <v>0.05</v>
      </c>
      <c r="L8" s="33">
        <v>0.05</v>
      </c>
      <c r="M8" s="33">
        <v>0.1</v>
      </c>
      <c r="N8" s="33">
        <v>0.1</v>
      </c>
      <c r="O8" s="33">
        <v>0.05</v>
      </c>
      <c r="P8" s="34">
        <v>0.05</v>
      </c>
      <c r="Q8" s="35">
        <v>0.05</v>
      </c>
      <c r="R8" s="35">
        <v>0.0</v>
      </c>
      <c r="S8" s="578">
        <f>sum(C8:R8)</f>
        <v>1</v>
      </c>
      <c r="T8" s="3"/>
      <c r="U8" s="3"/>
      <c r="V8" s="3"/>
      <c r="W8" s="3"/>
      <c r="X8" s="3"/>
      <c r="Y8" s="3"/>
      <c r="Z8" s="3"/>
      <c r="AA8" s="3"/>
      <c r="AB8" s="3"/>
      <c r="AC8" s="3"/>
      <c r="AD8" s="3"/>
      <c r="AE8" s="3"/>
      <c r="AF8" s="3"/>
      <c r="AG8" s="3"/>
      <c r="AH8" s="3"/>
      <c r="AI8" s="3"/>
      <c r="AJ8" s="3"/>
      <c r="AK8" s="3"/>
      <c r="AL8" s="3"/>
      <c r="AM8" s="3"/>
      <c r="AN8" s="3"/>
      <c r="AO8" s="3"/>
      <c r="AP8" s="3"/>
      <c r="AQ8" s="3"/>
      <c r="AR8" s="3"/>
    </row>
    <row r="9" ht="99.0" customHeight="1">
      <c r="A9" s="71"/>
      <c r="B9" s="73" t="s">
        <v>24</v>
      </c>
      <c r="C9" s="75" t="s">
        <v>25</v>
      </c>
      <c r="D9" s="76" t="s">
        <v>25</v>
      </c>
      <c r="E9" s="77" t="s">
        <v>26</v>
      </c>
      <c r="F9" s="77" t="s">
        <v>27</v>
      </c>
      <c r="G9" s="77" t="s">
        <v>29</v>
      </c>
      <c r="H9" s="77" t="s">
        <v>31</v>
      </c>
      <c r="I9" s="77" t="s">
        <v>32</v>
      </c>
      <c r="J9" s="77" t="s">
        <v>33</v>
      </c>
      <c r="K9" s="77" t="s">
        <v>34</v>
      </c>
      <c r="L9" s="77" t="s">
        <v>35</v>
      </c>
      <c r="M9" s="77" t="s">
        <v>36</v>
      </c>
      <c r="N9" s="77" t="s">
        <v>37</v>
      </c>
      <c r="O9" s="77" t="s">
        <v>38</v>
      </c>
      <c r="P9" s="77" t="s">
        <v>39</v>
      </c>
      <c r="Q9" s="79" t="s">
        <v>323</v>
      </c>
      <c r="R9" s="582" t="s">
        <v>46</v>
      </c>
      <c r="S9" s="80"/>
      <c r="T9" s="3"/>
      <c r="U9" s="3"/>
      <c r="V9" s="3"/>
      <c r="W9" s="3"/>
      <c r="X9" s="3"/>
      <c r="Y9" s="3"/>
      <c r="Z9" s="3"/>
      <c r="AA9" s="3"/>
      <c r="AB9" s="3"/>
      <c r="AC9" s="3"/>
      <c r="AD9" s="3"/>
      <c r="AE9" s="3"/>
      <c r="AF9" s="3"/>
      <c r="AG9" s="3"/>
      <c r="AH9" s="3"/>
      <c r="AI9" s="3"/>
      <c r="AJ9" s="3"/>
      <c r="AK9" s="3"/>
      <c r="AL9" s="3"/>
      <c r="AM9" s="3"/>
      <c r="AN9" s="3"/>
      <c r="AO9" s="3"/>
      <c r="AP9" s="3"/>
      <c r="AQ9" s="3"/>
      <c r="AR9" s="3"/>
    </row>
    <row r="10">
      <c r="B10" s="27" t="s">
        <v>22</v>
      </c>
      <c r="C10" s="222" t="s">
        <v>23</v>
      </c>
      <c r="D10" s="223" t="s">
        <v>23</v>
      </c>
      <c r="E10" s="224"/>
      <c r="F10" s="225"/>
      <c r="G10" s="224"/>
      <c r="H10" s="224"/>
      <c r="I10" s="227"/>
      <c r="J10" s="224"/>
      <c r="K10" s="228"/>
      <c r="L10" s="224"/>
      <c r="M10" s="224"/>
      <c r="N10" s="583" t="s">
        <v>168</v>
      </c>
      <c r="O10" s="224"/>
      <c r="P10" s="224"/>
      <c r="Q10" s="224"/>
      <c r="R10" s="224"/>
      <c r="S10" s="102"/>
      <c r="T10" s="3"/>
      <c r="U10" s="3"/>
      <c r="V10" s="3"/>
      <c r="W10" s="3"/>
      <c r="X10" s="3"/>
      <c r="Y10" s="3"/>
      <c r="Z10" s="3"/>
      <c r="AA10" s="3"/>
      <c r="AB10" s="3"/>
      <c r="AC10" s="3"/>
      <c r="AD10" s="3"/>
      <c r="AE10" s="3"/>
      <c r="AF10" s="3"/>
      <c r="AG10" s="3"/>
      <c r="AH10" s="3"/>
      <c r="AI10" s="3"/>
      <c r="AJ10" s="3"/>
      <c r="AK10" s="3"/>
      <c r="AL10" s="3"/>
      <c r="AM10" s="3"/>
      <c r="AN10" s="3"/>
      <c r="AO10" s="3"/>
      <c r="AP10" s="3"/>
      <c r="AQ10" s="3"/>
      <c r="AR10" s="3"/>
    </row>
    <row r="11">
      <c r="A11" s="26" t="s">
        <v>28</v>
      </c>
      <c r="B11" s="27" t="s">
        <v>30</v>
      </c>
      <c r="C11" s="48">
        <v>139178.0</v>
      </c>
      <c r="D11" s="49">
        <v>1722.0</v>
      </c>
      <c r="E11" s="29">
        <v>0.98</v>
      </c>
      <c r="F11" s="38">
        <v>1.0</v>
      </c>
      <c r="G11" s="29">
        <v>0.98</v>
      </c>
      <c r="H11" s="29">
        <v>0.02</v>
      </c>
      <c r="I11" s="50">
        <v>3.7E-4</v>
      </c>
      <c r="J11" s="29">
        <v>0.998</v>
      </c>
      <c r="K11" s="51" t="s">
        <v>41</v>
      </c>
      <c r="L11" s="29">
        <v>0.005</v>
      </c>
      <c r="M11" s="29">
        <v>0.99</v>
      </c>
      <c r="N11" s="38">
        <v>3.0</v>
      </c>
      <c r="O11" s="29">
        <v>0.9</v>
      </c>
      <c r="P11" s="29">
        <v>1.0</v>
      </c>
      <c r="Q11" s="53">
        <v>1.0</v>
      </c>
      <c r="R11" s="53">
        <v>1.0</v>
      </c>
      <c r="S11" s="4"/>
      <c r="T11" s="3"/>
      <c r="U11" s="3"/>
      <c r="V11" s="3"/>
      <c r="W11" s="3"/>
      <c r="X11" s="3"/>
      <c r="Y11" s="3"/>
      <c r="Z11" s="3"/>
      <c r="AA11" s="3"/>
      <c r="AB11" s="3"/>
      <c r="AC11" s="3"/>
      <c r="AD11" s="3"/>
      <c r="AE11" s="3"/>
      <c r="AF11" s="3"/>
      <c r="AG11" s="3"/>
      <c r="AH11" s="3"/>
      <c r="AI11" s="3"/>
      <c r="AJ11" s="3"/>
      <c r="AK11" s="3"/>
      <c r="AL11" s="3"/>
      <c r="AM11" s="3"/>
      <c r="AN11" s="3"/>
      <c r="AO11" s="3"/>
      <c r="AP11" s="3"/>
      <c r="AQ11" s="3"/>
      <c r="AR11" s="3"/>
    </row>
    <row r="12">
      <c r="A12" s="54">
        <v>1.0</v>
      </c>
      <c r="B12" s="55" t="s">
        <v>42</v>
      </c>
      <c r="C12" s="163">
        <f>'1. Tổng doanh thu'!W12</f>
        <v>0</v>
      </c>
      <c r="D12" s="98">
        <f>'2. Doanh thu cho thuê HT'!I57</f>
        <v>206349522</v>
      </c>
      <c r="E12" s="87" t="s">
        <v>171</v>
      </c>
      <c r="F12" s="87">
        <v>1.0</v>
      </c>
      <c r="G12" s="99">
        <f>'5. TL phiếu thực hiện XLSC đúng'!H12</f>
        <v>0.9691358025</v>
      </c>
      <c r="H12" s="99">
        <f>'6. Đảm bảo năng lực hạ tầng mạn'!W12</f>
        <v>0.01309328969</v>
      </c>
      <c r="I12" s="100">
        <f>'7.  TLTB BRCĐMyTVTSLC'!P12</f>
        <v>0.0014</v>
      </c>
      <c r="J12" s="99">
        <f>'5. Tỷ lệ PAKH về CL MDĐ'!H13</f>
        <v>1</v>
      </c>
      <c r="K12" s="99">
        <f>'8. SLTB hủy'!L13</f>
        <v>1.096505824</v>
      </c>
      <c r="L12" s="99">
        <f>'9. TLTB BRCĐ bị gián đoạn DV'!I12</f>
        <v>0</v>
      </c>
      <c r="M12" s="99">
        <f>'11. CLHT VT-CNTT (QoSQoE)'!AL27%</f>
        <v>0.985255</v>
      </c>
      <c r="N12" s="67">
        <f>'12. TG MLL TBDĐ'!U13</f>
        <v>12.11</v>
      </c>
      <c r="O12" s="99">
        <f>'13. TL CC và cấu hình DVTĐ BRCĐ'!H13</f>
        <v>0.9448</v>
      </c>
      <c r="P12" s="84">
        <v>1.0</v>
      </c>
      <c r="Q12" s="84">
        <v>1.0</v>
      </c>
      <c r="R12" s="84">
        <v>1.0</v>
      </c>
      <c r="S12" s="102"/>
      <c r="T12" s="3"/>
      <c r="U12" s="3"/>
      <c r="V12" s="3"/>
      <c r="W12" s="3"/>
      <c r="X12" s="3"/>
      <c r="Y12" s="3"/>
      <c r="Z12" s="3"/>
      <c r="AA12" s="3"/>
      <c r="AB12" s="3"/>
      <c r="AC12" s="3"/>
      <c r="AD12" s="3"/>
      <c r="AE12" s="3"/>
      <c r="AF12" s="3"/>
      <c r="AG12" s="3"/>
      <c r="AH12" s="3"/>
      <c r="AI12" s="3"/>
      <c r="AJ12" s="3"/>
      <c r="AK12" s="3"/>
      <c r="AL12" s="3"/>
      <c r="AM12" s="3"/>
      <c r="AN12" s="3"/>
      <c r="AO12" s="3"/>
      <c r="AP12" s="3"/>
      <c r="AQ12" s="3"/>
      <c r="AR12" s="3"/>
    </row>
    <row r="13">
      <c r="A13" s="54">
        <v>2.0</v>
      </c>
      <c r="B13" s="55" t="s">
        <v>43</v>
      </c>
      <c r="C13" s="163">
        <f>'1. Tổng doanh thu'!W13</f>
        <v>0</v>
      </c>
      <c r="D13" s="98">
        <f>'2. Doanh thu cho thuê HT'!I56</f>
        <v>154407642</v>
      </c>
      <c r="E13" s="87" t="s">
        <v>171</v>
      </c>
      <c r="F13" s="87">
        <v>1.0</v>
      </c>
      <c r="G13" s="99">
        <f>'5. TL phiếu thực hiện XLSC đúng'!H18</f>
        <v>0.9844559585</v>
      </c>
      <c r="H13" s="99">
        <f>'6. Đảm bảo năng lực hạ tầng mạn'!W13</f>
        <v>0</v>
      </c>
      <c r="I13" s="100">
        <f>'7.  TLTB BRCĐMyTVTSLC'!P13</f>
        <v>0.00227</v>
      </c>
      <c r="J13" s="99">
        <f>'5. Tỷ lệ PAKH về CL MDĐ'!H14</f>
        <v>0.625</v>
      </c>
      <c r="K13" s="99">
        <f>'8. SLTB hủy'!L14</f>
        <v>0.8019169329</v>
      </c>
      <c r="L13" s="99">
        <f>'9. TLTB BRCĐ bị gián đoạn DV'!I13</f>
        <v>0</v>
      </c>
      <c r="M13" s="99">
        <f>'11. CLHT VT-CNTT (QoSQoE)'!AL28%</f>
        <v>0.98402692</v>
      </c>
      <c r="N13" s="67">
        <f>'12. TG MLL TBDĐ'!U14</f>
        <v>9.15</v>
      </c>
      <c r="O13" s="99">
        <f>'13. TL CC và cấu hình DVTĐ BRCĐ'!H14</f>
        <v>0.9635</v>
      </c>
      <c r="P13" s="84">
        <v>1.0</v>
      </c>
      <c r="Q13" s="84">
        <v>1.0</v>
      </c>
      <c r="R13" s="84">
        <v>1.0</v>
      </c>
      <c r="S13" s="102"/>
      <c r="T13" s="3"/>
      <c r="U13" s="3"/>
      <c r="V13" s="3"/>
      <c r="W13" s="3"/>
      <c r="X13" s="3"/>
      <c r="Y13" s="3"/>
      <c r="Z13" s="3"/>
      <c r="AA13" s="3"/>
      <c r="AB13" s="3"/>
      <c r="AC13" s="3"/>
      <c r="AD13" s="3"/>
      <c r="AE13" s="3"/>
      <c r="AF13" s="3"/>
      <c r="AG13" s="3"/>
      <c r="AH13" s="3"/>
      <c r="AI13" s="3"/>
      <c r="AJ13" s="3"/>
      <c r="AK13" s="3"/>
      <c r="AL13" s="3"/>
      <c r="AM13" s="3"/>
      <c r="AN13" s="3"/>
      <c r="AO13" s="3"/>
      <c r="AP13" s="3"/>
      <c r="AQ13" s="3"/>
      <c r="AR13" s="3"/>
    </row>
    <row r="14">
      <c r="A14" s="54">
        <v>3.0</v>
      </c>
      <c r="B14" s="55" t="s">
        <v>44</v>
      </c>
      <c r="C14" s="163">
        <f>'1. Tổng doanh thu'!W14</f>
        <v>0</v>
      </c>
      <c r="D14" s="98">
        <f>'2. Doanh thu cho thuê HT'!I62</f>
        <v>141191165</v>
      </c>
      <c r="E14" s="87" t="s">
        <v>171</v>
      </c>
      <c r="F14" s="87">
        <v>1.0</v>
      </c>
      <c r="G14" s="99">
        <f>'5. TL phiếu thực hiện XLSC đúng'!H13</f>
        <v>0.957957958</v>
      </c>
      <c r="H14" s="99">
        <f>'6. Đảm bảo năng lực hạ tầng mạn'!W14</f>
        <v>0</v>
      </c>
      <c r="I14" s="100">
        <f>'7.  TLTB BRCĐMyTVTSLC'!P14</f>
        <v>0.00439</v>
      </c>
      <c r="J14" s="99">
        <f>'5. Tỷ lệ PAKH về CL MDĐ'!H15</f>
        <v>0.8</v>
      </c>
      <c r="K14" s="99">
        <f>'8. SLTB hủy'!L15</f>
        <v>0.2741312741</v>
      </c>
      <c r="L14" s="99">
        <f>'9. TLTB BRCĐ bị gián đoạn DV'!I14</f>
        <v>0</v>
      </c>
      <c r="M14" s="99">
        <f>'11. CLHT VT-CNTT (QoSQoE)'!AL29%</f>
        <v>0.9835808</v>
      </c>
      <c r="N14" s="67">
        <f>'12. TG MLL TBDĐ'!U15</f>
        <v>4.81</v>
      </c>
      <c r="O14" s="99">
        <f>'13. TL CC và cấu hình DVTĐ BRCĐ'!H15</f>
        <v>0.9397</v>
      </c>
      <c r="P14" s="84">
        <v>1.0</v>
      </c>
      <c r="Q14" s="84">
        <v>1.0</v>
      </c>
      <c r="R14" s="84">
        <v>1.0</v>
      </c>
      <c r="S14" s="102"/>
      <c r="T14" s="3"/>
      <c r="U14" s="3"/>
      <c r="V14" s="3"/>
      <c r="W14" s="3"/>
      <c r="X14" s="3"/>
      <c r="Y14" s="3"/>
      <c r="Z14" s="3"/>
      <c r="AA14" s="3"/>
      <c r="AB14" s="3"/>
      <c r="AC14" s="3"/>
      <c r="AD14" s="3"/>
      <c r="AE14" s="3"/>
      <c r="AF14" s="3"/>
      <c r="AG14" s="3"/>
      <c r="AH14" s="3"/>
      <c r="AI14" s="3"/>
      <c r="AJ14" s="3"/>
      <c r="AK14" s="3"/>
      <c r="AL14" s="3"/>
      <c r="AM14" s="3"/>
      <c r="AN14" s="3"/>
      <c r="AO14" s="3"/>
      <c r="AP14" s="3"/>
      <c r="AQ14" s="3"/>
      <c r="AR14" s="3"/>
    </row>
    <row r="15">
      <c r="A15" s="54">
        <v>4.0</v>
      </c>
      <c r="B15" s="55" t="s">
        <v>45</v>
      </c>
      <c r="C15" s="163">
        <f>'1. Tổng doanh thu'!W15</f>
        <v>0</v>
      </c>
      <c r="D15" s="98">
        <f>'2. Doanh thu cho thuê HT'!I58</f>
        <v>141882864</v>
      </c>
      <c r="E15" s="87" t="s">
        <v>171</v>
      </c>
      <c r="F15" s="87">
        <v>1.0</v>
      </c>
      <c r="G15" s="99">
        <f>'5. TL phiếu thực hiện XLSC đúng'!H14</f>
        <v>0.9304123711</v>
      </c>
      <c r="H15" s="99">
        <f>'6. Đảm bảo năng lực hạ tầng mạn'!W15</f>
        <v>0.040625</v>
      </c>
      <c r="I15" s="100">
        <f>'7.  TLTB BRCĐMyTVTSLC'!P15</f>
        <v>0.00154</v>
      </c>
      <c r="J15" s="99">
        <f>'5. Tỷ lệ PAKH về CL MDĐ'!H16</f>
        <v>1</v>
      </c>
      <c r="K15" s="99">
        <f>'8. SLTB hủy'!L16</f>
        <v>0.6307692308</v>
      </c>
      <c r="L15" s="99">
        <f>'9. TLTB BRCĐ bị gián đoạn DV'!I15</f>
        <v>0.0096</v>
      </c>
      <c r="M15" s="99">
        <f>'11. CLHT VT-CNTT (QoSQoE)'!AL30%</f>
        <v>0.98449115</v>
      </c>
      <c r="N15" s="67">
        <f>'12. TG MLL TBDĐ'!U16</f>
        <v>4.55</v>
      </c>
      <c r="O15" s="99">
        <f>'13. TL CC và cấu hình DVTĐ BRCĐ'!H16</f>
        <v>0.9716</v>
      </c>
      <c r="P15" s="84">
        <v>1.0</v>
      </c>
      <c r="Q15" s="84">
        <v>1.0</v>
      </c>
      <c r="R15" s="84">
        <v>1.0</v>
      </c>
      <c r="S15" s="102"/>
      <c r="T15" s="3"/>
      <c r="U15" s="3"/>
      <c r="V15" s="3"/>
      <c r="W15" s="3"/>
      <c r="X15" s="3"/>
      <c r="Y15" s="3"/>
      <c r="Z15" s="3"/>
      <c r="AA15" s="3"/>
      <c r="AB15" s="3"/>
      <c r="AC15" s="3"/>
      <c r="AD15" s="3"/>
      <c r="AE15" s="3"/>
      <c r="AF15" s="3"/>
      <c r="AG15" s="3"/>
      <c r="AH15" s="3"/>
      <c r="AI15" s="3"/>
      <c r="AJ15" s="3"/>
      <c r="AK15" s="3"/>
      <c r="AL15" s="3"/>
      <c r="AM15" s="3"/>
      <c r="AN15" s="3"/>
      <c r="AO15" s="3"/>
      <c r="AP15" s="3"/>
      <c r="AQ15" s="3"/>
      <c r="AR15" s="3"/>
    </row>
    <row r="16">
      <c r="A16" s="54">
        <v>5.0</v>
      </c>
      <c r="B16" s="55" t="s">
        <v>47</v>
      </c>
      <c r="C16" s="163">
        <f>'1. Tổng doanh thu'!W16</f>
        <v>0</v>
      </c>
      <c r="D16" s="98">
        <f>'2. Doanh thu cho thuê HT'!I59</f>
        <v>568606111</v>
      </c>
      <c r="E16" s="87" t="s">
        <v>171</v>
      </c>
      <c r="F16" s="87">
        <v>1.0</v>
      </c>
      <c r="G16" s="99">
        <f>'5. TL phiếu thực hiện XLSC đúng'!H15</f>
        <v>0.9776785714</v>
      </c>
      <c r="H16" s="99">
        <f>'6. Đảm bảo năng lực hạ tầng mạn'!W16</f>
        <v>0.03465346535</v>
      </c>
      <c r="I16" s="100">
        <f>'7.  TLTB BRCĐMyTVTSLC'!P16</f>
        <v>0.00148</v>
      </c>
      <c r="J16" s="99">
        <f>'5. Tỷ lệ PAKH về CL MDĐ'!H17</f>
        <v>1</v>
      </c>
      <c r="K16" s="99">
        <f>'8. SLTB hủy'!L17</f>
        <v>0.4945054945</v>
      </c>
      <c r="L16" s="99">
        <f>'9. TLTB BRCĐ bị gián đoạn DV'!I16</f>
        <v>0.0502</v>
      </c>
      <c r="M16" s="99">
        <f>'11. CLHT VT-CNTT (QoSQoE)'!AL31%</f>
        <v>0.98439049</v>
      </c>
      <c r="N16" s="67">
        <f>'12. TG MLL TBDĐ'!U17</f>
        <v>3.9</v>
      </c>
      <c r="O16" s="99">
        <f>'13. TL CC và cấu hình DVTĐ BRCĐ'!H17</f>
        <v>0.9864</v>
      </c>
      <c r="P16" s="84">
        <v>1.0</v>
      </c>
      <c r="Q16" s="84">
        <v>1.0</v>
      </c>
      <c r="R16" s="84">
        <v>1.0</v>
      </c>
      <c r="S16" s="102"/>
      <c r="T16" s="3"/>
      <c r="U16" s="3"/>
      <c r="V16" s="3"/>
      <c r="W16" s="3"/>
      <c r="X16" s="3"/>
      <c r="Y16" s="3"/>
      <c r="Z16" s="3"/>
      <c r="AA16" s="3"/>
      <c r="AB16" s="3"/>
      <c r="AC16" s="3"/>
      <c r="AD16" s="3"/>
      <c r="AE16" s="3"/>
      <c r="AF16" s="3"/>
      <c r="AG16" s="3"/>
      <c r="AH16" s="3"/>
      <c r="AI16" s="3"/>
      <c r="AJ16" s="3"/>
      <c r="AK16" s="3"/>
      <c r="AL16" s="3"/>
      <c r="AM16" s="3"/>
      <c r="AN16" s="3"/>
      <c r="AO16" s="3"/>
      <c r="AP16" s="3"/>
      <c r="AQ16" s="3"/>
      <c r="AR16" s="3"/>
    </row>
    <row r="17">
      <c r="A17" s="54">
        <v>6.0</v>
      </c>
      <c r="B17" s="55" t="s">
        <v>48</v>
      </c>
      <c r="C17" s="163">
        <f>'1. Tổng doanh thu'!W17</f>
        <v>0</v>
      </c>
      <c r="D17" s="98">
        <f>'2. Doanh thu cho thuê HT'!I61</f>
        <v>202578170</v>
      </c>
      <c r="E17" s="87" t="s">
        <v>171</v>
      </c>
      <c r="F17" s="87">
        <v>1.0</v>
      </c>
      <c r="G17" s="99">
        <f>'5. TL phiếu thực hiện XLSC đúng'!H16</f>
        <v>0.9777777778</v>
      </c>
      <c r="H17" s="99">
        <f>'6. Đảm bảo năng lực hạ tầng mạn'!W17</f>
        <v>0.01119402985</v>
      </c>
      <c r="I17" s="99">
        <f>'7.  TLTB BRCĐMyTVTSLC'!P17</f>
        <v>0.00246</v>
      </c>
      <c r="J17" s="99">
        <f>'5. Tỷ lệ PAKH về CL MDĐ'!H18</f>
        <v>0</v>
      </c>
      <c r="K17" s="99">
        <f>'8. SLTB hủy'!L18</f>
        <v>0.5071770335</v>
      </c>
      <c r="L17" s="99">
        <f>'9. TLTB BRCĐ bị gián đoạn DV'!I17</f>
        <v>0.0445</v>
      </c>
      <c r="M17" s="99">
        <f>'11. CLHT VT-CNTT (QoSQoE)'!AL32%</f>
        <v>0.98618105</v>
      </c>
      <c r="N17" s="67">
        <f>'12. TG MLL TBDĐ'!U18</f>
        <v>3.67</v>
      </c>
      <c r="O17" s="99">
        <f>'13. TL CC và cấu hình DVTĐ BRCĐ'!H18</f>
        <v>0.9399</v>
      </c>
      <c r="P17" s="84">
        <v>1.0</v>
      </c>
      <c r="Q17" s="84">
        <v>1.0</v>
      </c>
      <c r="R17" s="84">
        <v>1.0</v>
      </c>
      <c r="S17" s="102"/>
      <c r="T17" s="3"/>
      <c r="U17" s="3"/>
      <c r="V17" s="3"/>
      <c r="W17" s="3"/>
      <c r="X17" s="3"/>
      <c r="Y17" s="3"/>
      <c r="Z17" s="3"/>
      <c r="AA17" s="3"/>
      <c r="AB17" s="3"/>
      <c r="AC17" s="3"/>
      <c r="AD17" s="3"/>
      <c r="AE17" s="3"/>
      <c r="AF17" s="3"/>
      <c r="AG17" s="3"/>
      <c r="AH17" s="3"/>
      <c r="AI17" s="3"/>
      <c r="AJ17" s="3"/>
      <c r="AK17" s="3"/>
      <c r="AL17" s="3"/>
      <c r="AM17" s="3"/>
      <c r="AN17" s="3"/>
      <c r="AO17" s="3"/>
      <c r="AP17" s="3"/>
      <c r="AQ17" s="3"/>
      <c r="AR17" s="3"/>
    </row>
    <row r="18">
      <c r="A18" s="54">
        <v>7.0</v>
      </c>
      <c r="B18" s="55" t="s">
        <v>49</v>
      </c>
      <c r="C18" s="163">
        <f>'1. Tổng doanh thu'!W18</f>
        <v>0</v>
      </c>
      <c r="D18" s="584">
        <f>'2. Doanh thu cho thuê HT'!I60</f>
        <v>124514844</v>
      </c>
      <c r="E18" s="87" t="s">
        <v>171</v>
      </c>
      <c r="F18" s="87">
        <v>1.0</v>
      </c>
      <c r="G18" s="99">
        <f>'5. TL phiếu thực hiện XLSC đúng'!H17</f>
        <v>0.9783783784</v>
      </c>
      <c r="H18" s="99">
        <f>'6. Đảm bảo năng lực hạ tầng mạn'!W18</f>
        <v>0.007614213198</v>
      </c>
      <c r="I18" s="100">
        <f>'7.  TLTB BRCĐMyTVTSLC'!P18</f>
        <v>0.00213</v>
      </c>
      <c r="J18" s="99">
        <f>'5. Tỷ lệ PAKH về CL MDĐ'!H19</f>
        <v>1</v>
      </c>
      <c r="K18" s="99">
        <f>'8. SLTB hủy'!L19</f>
        <v>0.7433628319</v>
      </c>
      <c r="L18" s="99">
        <f>'9. TLTB BRCĐ bị gián đoạn DV'!I18</f>
        <v>0.0268</v>
      </c>
      <c r="M18" s="99">
        <f>'11. CLHT VT-CNTT (QoSQoE)'!AL33%</f>
        <v>0.98664581</v>
      </c>
      <c r="N18" s="67">
        <f>'12. TG MLL TBDĐ'!U19</f>
        <v>1.87</v>
      </c>
      <c r="O18" s="99">
        <f>'13. TL CC và cấu hình DVTĐ BRCĐ'!H19</f>
        <v>0.9608</v>
      </c>
      <c r="P18" s="84">
        <v>1.0</v>
      </c>
      <c r="Q18" s="84">
        <v>1.0</v>
      </c>
      <c r="R18" s="84">
        <v>1.0</v>
      </c>
      <c r="S18" s="169"/>
      <c r="T18" s="3"/>
      <c r="U18" s="3"/>
      <c r="V18" s="3"/>
      <c r="W18" s="3"/>
      <c r="X18" s="3"/>
      <c r="Y18" s="3"/>
      <c r="Z18" s="3"/>
      <c r="AA18" s="3"/>
      <c r="AB18" s="3"/>
      <c r="AC18" s="3"/>
      <c r="AD18" s="3"/>
      <c r="AE18" s="3"/>
      <c r="AF18" s="3"/>
      <c r="AG18" s="3"/>
      <c r="AH18" s="3"/>
      <c r="AI18" s="3"/>
      <c r="AJ18" s="3"/>
      <c r="AK18" s="3"/>
      <c r="AL18" s="3"/>
      <c r="AM18" s="3"/>
      <c r="AN18" s="3"/>
      <c r="AO18" s="3"/>
      <c r="AP18" s="3"/>
      <c r="AQ18" s="3"/>
      <c r="AR18" s="3"/>
    </row>
    <row r="19">
      <c r="A19" s="115"/>
      <c r="B19" s="175" t="s">
        <v>50</v>
      </c>
      <c r="C19" s="263">
        <f>'1. Tổng doanh thu'!W19</f>
        <v>0</v>
      </c>
      <c r="D19" s="585">
        <f>sum(D12:D18)</f>
        <v>1539530318</v>
      </c>
      <c r="E19" s="253" t="s">
        <v>171</v>
      </c>
      <c r="F19" s="183">
        <v>1.0</v>
      </c>
      <c r="G19" s="182">
        <f>'5. TL phiếu thực hiện XLSC đúng'!H19</f>
        <v>0.9685069984</v>
      </c>
      <c r="H19" s="182">
        <f>'6. Đảm bảo năng lực hạ tầng mạn'!W19</f>
        <v>0.01560121766</v>
      </c>
      <c r="I19" s="586">
        <f>'7.  TLTB BRCĐMyTVTSLC'!P19</f>
        <v>0.00212</v>
      </c>
      <c r="J19" s="182">
        <f>'5. Tỷ lệ PAKH về CL MDĐ'!H12</f>
        <v>0.8333</v>
      </c>
      <c r="K19" s="182">
        <f>'8. SLTB hủy'!L12</f>
        <v>0.7201754386</v>
      </c>
      <c r="L19" s="182">
        <f>'9. TLTB BRCĐ bị gián đoạn DV'!I19</f>
        <v>0.0178</v>
      </c>
      <c r="M19" s="185">
        <f>'11. CLHT VT-CNTT (QoSQoE)'!AL34%</f>
        <v>0.9872809</v>
      </c>
      <c r="N19" s="183">
        <f>'12. TG MLL TBDĐ'!U12</f>
        <v>5.97</v>
      </c>
      <c r="O19" s="182">
        <f>'13. TL CC và cấu hình DVTĐ BRCĐ'!H12</f>
        <v>0.9586</v>
      </c>
      <c r="P19" s="189">
        <v>1.0</v>
      </c>
      <c r="Q19" s="189">
        <v>1.0</v>
      </c>
      <c r="R19" s="189">
        <v>1.0</v>
      </c>
      <c r="S19" s="265"/>
      <c r="T19" s="204"/>
      <c r="U19" s="204"/>
      <c r="V19" s="204"/>
      <c r="W19" s="204"/>
      <c r="X19" s="204"/>
      <c r="Y19" s="204"/>
      <c r="Z19" s="204"/>
      <c r="AA19" s="204"/>
      <c r="AB19" s="204"/>
      <c r="AC19" s="204"/>
      <c r="AD19" s="204"/>
      <c r="AE19" s="204"/>
      <c r="AF19" s="204"/>
      <c r="AG19" s="204"/>
      <c r="AH19" s="204"/>
      <c r="AI19" s="204"/>
      <c r="AJ19" s="204"/>
      <c r="AK19" s="204"/>
      <c r="AL19" s="204"/>
      <c r="AM19" s="204"/>
      <c r="AN19" s="204"/>
      <c r="AO19" s="204"/>
      <c r="AP19" s="204"/>
      <c r="AQ19" s="204"/>
      <c r="AR19" s="204"/>
    </row>
    <row r="20">
      <c r="A20" s="266"/>
      <c r="B20" s="587"/>
      <c r="C20" s="201" t="s">
        <v>324</v>
      </c>
      <c r="D20" s="201"/>
      <c r="E20" s="201" t="s">
        <v>324</v>
      </c>
      <c r="F20" s="201"/>
      <c r="G20" s="201"/>
      <c r="H20" s="201"/>
      <c r="I20" s="201"/>
      <c r="J20" s="201"/>
      <c r="K20" s="201"/>
      <c r="L20" s="201"/>
      <c r="M20" s="201"/>
      <c r="N20" s="201"/>
      <c r="O20" s="201"/>
      <c r="P20" s="201"/>
      <c r="Q20" s="201"/>
      <c r="R20" s="201"/>
      <c r="S20" s="204"/>
      <c r="T20" s="204"/>
      <c r="U20" s="204"/>
      <c r="V20" s="204"/>
      <c r="W20" s="204"/>
      <c r="X20" s="204"/>
      <c r="Y20" s="204"/>
      <c r="Z20" s="204"/>
      <c r="AA20" s="204"/>
      <c r="AB20" s="204"/>
      <c r="AC20" s="204"/>
      <c r="AD20" s="204"/>
      <c r="AE20" s="204"/>
      <c r="AF20" s="204"/>
      <c r="AG20" s="204"/>
      <c r="AH20" s="204"/>
      <c r="AI20" s="204"/>
      <c r="AJ20" s="204"/>
      <c r="AK20" s="204"/>
      <c r="AL20" s="204"/>
      <c r="AM20" s="204"/>
      <c r="AN20" s="204"/>
      <c r="AO20" s="204"/>
      <c r="AP20" s="204"/>
      <c r="AQ20" s="204"/>
      <c r="AR20" s="204"/>
    </row>
    <row r="21">
      <c r="B21" s="1"/>
      <c r="C21" s="2"/>
      <c r="D21" s="2"/>
      <c r="E21" s="2"/>
      <c r="F21" s="2"/>
      <c r="G21" s="2"/>
      <c r="H21" s="2"/>
      <c r="I21" s="2"/>
      <c r="J21" s="2"/>
      <c r="K21" s="2"/>
      <c r="L21" s="2"/>
      <c r="M21" s="2"/>
      <c r="N21" s="2"/>
      <c r="O21" s="2"/>
      <c r="P21" s="2"/>
      <c r="Q21" s="2"/>
      <c r="R21" s="2"/>
      <c r="S21" s="3"/>
      <c r="T21" s="3"/>
      <c r="U21" s="3"/>
      <c r="V21" s="3"/>
      <c r="W21" s="3"/>
      <c r="X21" s="3"/>
      <c r="Y21" s="3"/>
      <c r="Z21" s="3"/>
      <c r="AA21" s="3"/>
      <c r="AB21" s="3"/>
      <c r="AC21" s="3"/>
      <c r="AD21" s="3"/>
      <c r="AE21" s="3"/>
      <c r="AF21" s="3"/>
      <c r="AG21" s="3"/>
      <c r="AH21" s="3"/>
      <c r="AI21" s="3"/>
      <c r="AJ21" s="3"/>
      <c r="AK21" s="3"/>
      <c r="AL21" s="3"/>
      <c r="AM21" s="3"/>
      <c r="AN21" s="3"/>
      <c r="AO21" s="3"/>
      <c r="AP21" s="3"/>
      <c r="AQ21" s="3"/>
      <c r="AR21" s="3"/>
    </row>
    <row r="22">
      <c r="B22" s="1"/>
      <c r="C22" s="2"/>
      <c r="D22" s="2"/>
      <c r="E22" s="2"/>
      <c r="F22" s="2"/>
      <c r="G22" s="2"/>
      <c r="H22" s="2"/>
      <c r="I22" s="2"/>
      <c r="J22" s="2"/>
      <c r="K22" s="2"/>
      <c r="L22" s="2"/>
      <c r="M22" s="2"/>
      <c r="N22" s="2"/>
      <c r="O22" s="2"/>
      <c r="P22" s="2"/>
      <c r="Q22" s="2"/>
      <c r="R22" s="2"/>
      <c r="S22" s="3"/>
      <c r="T22" s="3"/>
      <c r="U22" s="3"/>
      <c r="V22" s="3"/>
      <c r="W22" s="3"/>
      <c r="X22" s="3"/>
      <c r="Y22" s="3"/>
      <c r="Z22" s="3"/>
      <c r="AA22" s="3"/>
      <c r="AB22" s="3"/>
      <c r="AC22" s="3"/>
      <c r="AD22" s="3"/>
      <c r="AE22" s="3"/>
      <c r="AF22" s="3"/>
      <c r="AG22" s="3"/>
      <c r="AH22" s="3"/>
      <c r="AI22" s="3"/>
      <c r="AJ22" s="3"/>
      <c r="AK22" s="3"/>
      <c r="AL22" s="3"/>
      <c r="AM22" s="3"/>
      <c r="AN22" s="3"/>
      <c r="AO22" s="3"/>
      <c r="AP22" s="3"/>
      <c r="AQ22" s="3"/>
      <c r="AR22" s="3"/>
    </row>
    <row r="24">
      <c r="A24" s="1"/>
      <c r="B24" s="4"/>
      <c r="C24" s="5" t="s">
        <v>325</v>
      </c>
      <c r="D24" s="7"/>
      <c r="E24" s="7"/>
      <c r="F24" s="7"/>
      <c r="G24" s="7"/>
      <c r="H24" s="7"/>
      <c r="I24" s="7"/>
      <c r="J24" s="7"/>
      <c r="K24" s="7"/>
      <c r="L24" s="7"/>
      <c r="M24" s="7"/>
      <c r="N24" s="7"/>
      <c r="O24" s="7"/>
      <c r="P24" s="7"/>
      <c r="Q24" s="7"/>
      <c r="R24" s="9"/>
      <c r="S24" s="10"/>
    </row>
    <row r="25">
      <c r="A25" s="11"/>
      <c r="B25" s="12" t="s">
        <v>2</v>
      </c>
      <c r="C25" s="13" t="s">
        <v>3</v>
      </c>
      <c r="D25" s="14" t="s">
        <v>4</v>
      </c>
      <c r="E25" s="14" t="s">
        <v>5</v>
      </c>
      <c r="F25" s="14" t="s">
        <v>6</v>
      </c>
      <c r="G25" s="14" t="s">
        <v>7</v>
      </c>
      <c r="H25" s="14" t="s">
        <v>8</v>
      </c>
      <c r="I25" s="14" t="s">
        <v>9</v>
      </c>
      <c r="J25" s="14" t="s">
        <v>10</v>
      </c>
      <c r="K25" s="14" t="s">
        <v>11</v>
      </c>
      <c r="L25" s="14" t="s">
        <v>12</v>
      </c>
      <c r="M25" s="14" t="s">
        <v>13</v>
      </c>
      <c r="N25" s="14" t="s">
        <v>14</v>
      </c>
      <c r="O25" s="14" t="s">
        <v>15</v>
      </c>
      <c r="P25" s="14" t="s">
        <v>16</v>
      </c>
      <c r="Q25" s="22" t="s">
        <v>17</v>
      </c>
      <c r="R25" s="24" t="s">
        <v>19</v>
      </c>
      <c r="S25" s="25" t="s">
        <v>18</v>
      </c>
    </row>
    <row r="26">
      <c r="A26" s="26"/>
      <c r="B26" s="27" t="s">
        <v>20</v>
      </c>
      <c r="C26" s="29">
        <v>0.1</v>
      </c>
      <c r="D26" s="31">
        <v>0.05</v>
      </c>
      <c r="E26" s="33">
        <v>0.1</v>
      </c>
      <c r="F26" s="33">
        <v>0.05</v>
      </c>
      <c r="G26" s="33">
        <v>0.1</v>
      </c>
      <c r="H26" s="33">
        <v>0.05</v>
      </c>
      <c r="I26" s="33">
        <v>0.05</v>
      </c>
      <c r="J26" s="33">
        <v>0.05</v>
      </c>
      <c r="K26" s="33">
        <v>0.05</v>
      </c>
      <c r="L26" s="33">
        <v>0.05</v>
      </c>
      <c r="M26" s="33">
        <v>0.1</v>
      </c>
      <c r="N26" s="33">
        <v>0.1</v>
      </c>
      <c r="O26" s="33">
        <v>0.05</v>
      </c>
      <c r="P26" s="34">
        <v>0.05</v>
      </c>
      <c r="Q26" s="35">
        <v>0.05</v>
      </c>
      <c r="R26" s="35">
        <v>0.0</v>
      </c>
      <c r="S26" s="68">
        <f>sum(C26:R26)</f>
        <v>1</v>
      </c>
    </row>
    <row r="27">
      <c r="A27" s="71"/>
      <c r="B27" s="73" t="s">
        <v>24</v>
      </c>
      <c r="C27" s="75" t="s">
        <v>25</v>
      </c>
      <c r="D27" s="76" t="s">
        <v>25</v>
      </c>
      <c r="E27" s="77" t="s">
        <v>26</v>
      </c>
      <c r="F27" s="77" t="s">
        <v>27</v>
      </c>
      <c r="G27" s="77" t="s">
        <v>29</v>
      </c>
      <c r="H27" s="77" t="s">
        <v>31</v>
      </c>
      <c r="I27" s="77" t="s">
        <v>32</v>
      </c>
      <c r="J27" s="77" t="s">
        <v>33</v>
      </c>
      <c r="K27" s="77" t="s">
        <v>34</v>
      </c>
      <c r="L27" s="77" t="s">
        <v>35</v>
      </c>
      <c r="M27" s="77" t="s">
        <v>36</v>
      </c>
      <c r="N27" s="77" t="s">
        <v>37</v>
      </c>
      <c r="O27" s="77" t="s">
        <v>38</v>
      </c>
      <c r="P27" s="77" t="s">
        <v>39</v>
      </c>
      <c r="Q27" s="79" t="s">
        <v>323</v>
      </c>
      <c r="R27" s="582" t="s">
        <v>46</v>
      </c>
      <c r="S27" s="80"/>
    </row>
    <row r="28">
      <c r="B28" s="27" t="s">
        <v>22</v>
      </c>
      <c r="C28" s="222" t="s">
        <v>23</v>
      </c>
      <c r="D28" s="223" t="s">
        <v>23</v>
      </c>
      <c r="E28" s="224"/>
      <c r="F28" s="225"/>
      <c r="G28" s="224"/>
      <c r="H28" s="224"/>
      <c r="I28" s="227"/>
      <c r="J28" s="224"/>
      <c r="K28" s="228"/>
      <c r="L28" s="224"/>
      <c r="M28" s="224"/>
      <c r="N28" s="225"/>
      <c r="O28" s="224"/>
      <c r="P28" s="224"/>
      <c r="Q28" s="224"/>
      <c r="R28" s="224"/>
      <c r="S28" s="102"/>
    </row>
    <row r="29">
      <c r="A29" s="26" t="s">
        <v>28</v>
      </c>
      <c r="B29" s="27" t="s">
        <v>30</v>
      </c>
      <c r="C29" s="48">
        <v>139178.0</v>
      </c>
      <c r="D29" s="49">
        <v>1722.0</v>
      </c>
      <c r="E29" s="29">
        <v>0.98</v>
      </c>
      <c r="F29" s="38">
        <v>1.0</v>
      </c>
      <c r="G29" s="29">
        <v>0.98</v>
      </c>
      <c r="H29" s="29">
        <v>0.02</v>
      </c>
      <c r="I29" s="50">
        <v>3.7E-4</v>
      </c>
      <c r="J29" s="29">
        <v>0.998</v>
      </c>
      <c r="K29" s="51" t="s">
        <v>41</v>
      </c>
      <c r="L29" s="29">
        <v>0.005</v>
      </c>
      <c r="M29" s="29">
        <v>0.99</v>
      </c>
      <c r="N29" s="38">
        <v>3.0</v>
      </c>
      <c r="O29" s="29">
        <v>0.9</v>
      </c>
      <c r="P29" s="29">
        <v>1.0</v>
      </c>
      <c r="Q29" s="53">
        <v>1.0</v>
      </c>
      <c r="R29" s="53">
        <v>1.0</v>
      </c>
      <c r="S29" s="4"/>
    </row>
    <row r="30">
      <c r="A30" s="54">
        <v>1.0</v>
      </c>
      <c r="B30" s="55" t="s">
        <v>42</v>
      </c>
      <c r="C30" s="322"/>
      <c r="D30" s="593">
        <f t="shared" ref="D30:D37" si="2">D12/D12</f>
        <v>1</v>
      </c>
      <c r="E30" s="87" t="s">
        <v>171</v>
      </c>
      <c r="F30" s="87">
        <v>1.0</v>
      </c>
      <c r="G30" s="84">
        <f t="shared" ref="G30:P30" si="1">G12</f>
        <v>0.9691358025</v>
      </c>
      <c r="H30" s="84">
        <f t="shared" si="1"/>
        <v>0.01309328969</v>
      </c>
      <c r="I30" s="86">
        <f t="shared" si="1"/>
        <v>0.0014</v>
      </c>
      <c r="J30" s="84">
        <f t="shared" si="1"/>
        <v>1</v>
      </c>
      <c r="K30" s="84">
        <f t="shared" si="1"/>
        <v>1.096505824</v>
      </c>
      <c r="L30" s="84">
        <f t="shared" si="1"/>
        <v>0</v>
      </c>
      <c r="M30" s="84">
        <f t="shared" si="1"/>
        <v>0.985255</v>
      </c>
      <c r="N30" s="87">
        <f t="shared" si="1"/>
        <v>12.11</v>
      </c>
      <c r="O30" s="84">
        <f t="shared" si="1"/>
        <v>0.9448</v>
      </c>
      <c r="P30" s="84">
        <f t="shared" si="1"/>
        <v>1</v>
      </c>
      <c r="Q30" s="84">
        <v>1.0</v>
      </c>
      <c r="R30" s="84">
        <v>1.0</v>
      </c>
      <c r="S30" s="102"/>
    </row>
    <row r="31">
      <c r="A31" s="54">
        <v>2.0</v>
      </c>
      <c r="B31" s="55" t="s">
        <v>43</v>
      </c>
      <c r="C31" s="322"/>
      <c r="D31" s="593">
        <f t="shared" si="2"/>
        <v>1</v>
      </c>
      <c r="E31" s="87" t="s">
        <v>171</v>
      </c>
      <c r="F31" s="87">
        <v>1.0</v>
      </c>
      <c r="G31" s="84">
        <f t="shared" ref="G31:P31" si="3">G13</f>
        <v>0.9844559585</v>
      </c>
      <c r="H31" s="84">
        <f t="shared" si="3"/>
        <v>0</v>
      </c>
      <c r="I31" s="86">
        <f t="shared" si="3"/>
        <v>0.00227</v>
      </c>
      <c r="J31" s="84">
        <f t="shared" si="3"/>
        <v>0.625</v>
      </c>
      <c r="K31" s="84">
        <f t="shared" si="3"/>
        <v>0.8019169329</v>
      </c>
      <c r="L31" s="84">
        <f t="shared" si="3"/>
        <v>0</v>
      </c>
      <c r="M31" s="84">
        <f t="shared" si="3"/>
        <v>0.98402692</v>
      </c>
      <c r="N31" s="87">
        <f t="shared" si="3"/>
        <v>9.15</v>
      </c>
      <c r="O31" s="84">
        <f t="shared" si="3"/>
        <v>0.9635</v>
      </c>
      <c r="P31" s="84">
        <f t="shared" si="3"/>
        <v>1</v>
      </c>
      <c r="Q31" s="84">
        <v>1.0</v>
      </c>
      <c r="R31" s="84">
        <v>1.0</v>
      </c>
      <c r="S31" s="102"/>
    </row>
    <row r="32">
      <c r="A32" s="54">
        <v>3.0</v>
      </c>
      <c r="B32" s="55" t="s">
        <v>44</v>
      </c>
      <c r="C32" s="322"/>
      <c r="D32" s="593">
        <f t="shared" si="2"/>
        <v>1</v>
      </c>
      <c r="E32" s="87" t="s">
        <v>171</v>
      </c>
      <c r="F32" s="87">
        <v>1.0</v>
      </c>
      <c r="G32" s="84">
        <f t="shared" ref="G32:P32" si="4">G14</f>
        <v>0.957957958</v>
      </c>
      <c r="H32" s="84">
        <f t="shared" si="4"/>
        <v>0</v>
      </c>
      <c r="I32" s="86">
        <f t="shared" si="4"/>
        <v>0.00439</v>
      </c>
      <c r="J32" s="84">
        <f t="shared" si="4"/>
        <v>0.8</v>
      </c>
      <c r="K32" s="84">
        <f t="shared" si="4"/>
        <v>0.2741312741</v>
      </c>
      <c r="L32" s="84">
        <f t="shared" si="4"/>
        <v>0</v>
      </c>
      <c r="M32" s="84">
        <f t="shared" si="4"/>
        <v>0.9835808</v>
      </c>
      <c r="N32" s="87">
        <f t="shared" si="4"/>
        <v>4.81</v>
      </c>
      <c r="O32" s="84">
        <f t="shared" si="4"/>
        <v>0.9397</v>
      </c>
      <c r="P32" s="84">
        <f t="shared" si="4"/>
        <v>1</v>
      </c>
      <c r="Q32" s="84">
        <v>1.0</v>
      </c>
      <c r="R32" s="84">
        <v>1.0</v>
      </c>
      <c r="S32" s="102"/>
    </row>
    <row r="33">
      <c r="A33" s="54">
        <v>4.0</v>
      </c>
      <c r="B33" s="55" t="s">
        <v>45</v>
      </c>
      <c r="C33" s="322"/>
      <c r="D33" s="593">
        <f t="shared" si="2"/>
        <v>1</v>
      </c>
      <c r="E33" s="87" t="s">
        <v>171</v>
      </c>
      <c r="F33" s="87">
        <v>1.0</v>
      </c>
      <c r="G33" s="84">
        <f t="shared" ref="G33:P33" si="5">G15</f>
        <v>0.9304123711</v>
      </c>
      <c r="H33" s="84">
        <f t="shared" si="5"/>
        <v>0.040625</v>
      </c>
      <c r="I33" s="86">
        <f t="shared" si="5"/>
        <v>0.00154</v>
      </c>
      <c r="J33" s="84">
        <f t="shared" si="5"/>
        <v>1</v>
      </c>
      <c r="K33" s="84">
        <f t="shared" si="5"/>
        <v>0.6307692308</v>
      </c>
      <c r="L33" s="84">
        <f t="shared" si="5"/>
        <v>0.0096</v>
      </c>
      <c r="M33" s="84">
        <f t="shared" si="5"/>
        <v>0.98449115</v>
      </c>
      <c r="N33" s="87">
        <f t="shared" si="5"/>
        <v>4.55</v>
      </c>
      <c r="O33" s="84">
        <f t="shared" si="5"/>
        <v>0.9716</v>
      </c>
      <c r="P33" s="84">
        <f t="shared" si="5"/>
        <v>1</v>
      </c>
      <c r="Q33" s="84">
        <v>1.0</v>
      </c>
      <c r="R33" s="84">
        <v>1.0</v>
      </c>
      <c r="S33" s="102"/>
    </row>
    <row r="34">
      <c r="A34" s="54">
        <v>5.0</v>
      </c>
      <c r="B34" s="55" t="s">
        <v>47</v>
      </c>
      <c r="C34" s="322"/>
      <c r="D34" s="593">
        <f t="shared" si="2"/>
        <v>1</v>
      </c>
      <c r="E34" s="87" t="s">
        <v>171</v>
      </c>
      <c r="F34" s="87">
        <v>1.0</v>
      </c>
      <c r="G34" s="84">
        <f t="shared" ref="G34:P34" si="6">G16</f>
        <v>0.9776785714</v>
      </c>
      <c r="H34" s="84">
        <f t="shared" si="6"/>
        <v>0.03465346535</v>
      </c>
      <c r="I34" s="86">
        <f t="shared" si="6"/>
        <v>0.00148</v>
      </c>
      <c r="J34" s="84">
        <f t="shared" si="6"/>
        <v>1</v>
      </c>
      <c r="K34" s="84">
        <f t="shared" si="6"/>
        <v>0.4945054945</v>
      </c>
      <c r="L34" s="84">
        <f t="shared" si="6"/>
        <v>0.0502</v>
      </c>
      <c r="M34" s="84">
        <f t="shared" si="6"/>
        <v>0.98439049</v>
      </c>
      <c r="N34" s="87">
        <f t="shared" si="6"/>
        <v>3.9</v>
      </c>
      <c r="O34" s="84">
        <f t="shared" si="6"/>
        <v>0.9864</v>
      </c>
      <c r="P34" s="84">
        <f t="shared" si="6"/>
        <v>1</v>
      </c>
      <c r="Q34" s="84">
        <v>1.0</v>
      </c>
      <c r="R34" s="84">
        <v>1.0</v>
      </c>
      <c r="S34" s="102"/>
    </row>
    <row r="35">
      <c r="A35" s="54">
        <v>6.0</v>
      </c>
      <c r="B35" s="55" t="s">
        <v>48</v>
      </c>
      <c r="C35" s="322"/>
      <c r="D35" s="593">
        <f t="shared" si="2"/>
        <v>1</v>
      </c>
      <c r="E35" s="87" t="s">
        <v>171</v>
      </c>
      <c r="F35" s="87">
        <v>1.0</v>
      </c>
      <c r="G35" s="84">
        <f t="shared" ref="G35:P35" si="7">G17</f>
        <v>0.9777777778</v>
      </c>
      <c r="H35" s="84">
        <f t="shared" si="7"/>
        <v>0.01119402985</v>
      </c>
      <c r="I35" s="86">
        <f t="shared" si="7"/>
        <v>0.00246</v>
      </c>
      <c r="J35" s="84">
        <f t="shared" si="7"/>
        <v>0</v>
      </c>
      <c r="K35" s="84">
        <f t="shared" si="7"/>
        <v>0.5071770335</v>
      </c>
      <c r="L35" s="84">
        <f t="shared" si="7"/>
        <v>0.0445</v>
      </c>
      <c r="M35" s="84">
        <f t="shared" si="7"/>
        <v>0.98618105</v>
      </c>
      <c r="N35" s="87">
        <f t="shared" si="7"/>
        <v>3.67</v>
      </c>
      <c r="O35" s="84">
        <f t="shared" si="7"/>
        <v>0.9399</v>
      </c>
      <c r="P35" s="84">
        <f t="shared" si="7"/>
        <v>1</v>
      </c>
      <c r="Q35" s="84">
        <v>1.0</v>
      </c>
      <c r="R35" s="84">
        <v>1.0</v>
      </c>
      <c r="S35" s="102"/>
    </row>
    <row r="36">
      <c r="A36" s="54">
        <v>7.0</v>
      </c>
      <c r="B36" s="55" t="s">
        <v>49</v>
      </c>
      <c r="C36" s="322"/>
      <c r="D36" s="593">
        <f t="shared" si="2"/>
        <v>1</v>
      </c>
      <c r="E36" s="87" t="s">
        <v>171</v>
      </c>
      <c r="F36" s="87">
        <v>1.0</v>
      </c>
      <c r="G36" s="84">
        <f t="shared" ref="G36:P36" si="8">G18</f>
        <v>0.9783783784</v>
      </c>
      <c r="H36" s="84">
        <f t="shared" si="8"/>
        <v>0.007614213198</v>
      </c>
      <c r="I36" s="86">
        <f t="shared" si="8"/>
        <v>0.00213</v>
      </c>
      <c r="J36" s="84">
        <f t="shared" si="8"/>
        <v>1</v>
      </c>
      <c r="K36" s="84">
        <f t="shared" si="8"/>
        <v>0.7433628319</v>
      </c>
      <c r="L36" s="84">
        <f t="shared" si="8"/>
        <v>0.0268</v>
      </c>
      <c r="M36" s="84">
        <f t="shared" si="8"/>
        <v>0.98664581</v>
      </c>
      <c r="N36" s="87">
        <f t="shared" si="8"/>
        <v>1.87</v>
      </c>
      <c r="O36" s="84">
        <f t="shared" si="8"/>
        <v>0.9608</v>
      </c>
      <c r="P36" s="84">
        <f t="shared" si="8"/>
        <v>1</v>
      </c>
      <c r="Q36" s="84">
        <v>1.0</v>
      </c>
      <c r="R36" s="84">
        <v>1.0</v>
      </c>
      <c r="S36" s="169"/>
    </row>
    <row r="37">
      <c r="A37" s="115"/>
      <c r="B37" s="175" t="s">
        <v>50</v>
      </c>
      <c r="C37" s="254"/>
      <c r="D37" s="614">
        <f t="shared" si="2"/>
        <v>1</v>
      </c>
      <c r="E37" s="615" t="s">
        <v>171</v>
      </c>
      <c r="F37" s="183">
        <v>1.0</v>
      </c>
      <c r="G37" s="254">
        <f t="shared" ref="G37:P37" si="9">G19</f>
        <v>0.9685069984</v>
      </c>
      <c r="H37" s="254">
        <f t="shared" si="9"/>
        <v>0.01560121766</v>
      </c>
      <c r="I37" s="256">
        <f t="shared" si="9"/>
        <v>0.00212</v>
      </c>
      <c r="J37" s="254">
        <f t="shared" si="9"/>
        <v>0.8333</v>
      </c>
      <c r="K37" s="254">
        <f t="shared" si="9"/>
        <v>0.7201754386</v>
      </c>
      <c r="L37" s="254">
        <f t="shared" si="9"/>
        <v>0.0178</v>
      </c>
      <c r="M37" s="254">
        <f t="shared" si="9"/>
        <v>0.9872809</v>
      </c>
      <c r="N37" s="615">
        <f t="shared" si="9"/>
        <v>5.97</v>
      </c>
      <c r="O37" s="254">
        <f t="shared" si="9"/>
        <v>0.9586</v>
      </c>
      <c r="P37" s="254">
        <f t="shared" si="9"/>
        <v>1</v>
      </c>
      <c r="Q37" s="189">
        <v>1.0</v>
      </c>
      <c r="R37" s="189">
        <v>1.0</v>
      </c>
      <c r="S37" s="616"/>
      <c r="T37" s="617"/>
      <c r="U37" s="617"/>
      <c r="V37" s="617"/>
      <c r="W37" s="617"/>
      <c r="X37" s="617"/>
      <c r="Y37" s="617"/>
      <c r="Z37" s="617"/>
      <c r="AA37" s="617"/>
      <c r="AB37" s="617"/>
      <c r="AC37" s="617"/>
      <c r="AD37" s="617"/>
      <c r="AE37" s="617"/>
      <c r="AF37" s="617"/>
      <c r="AG37" s="617"/>
      <c r="AH37" s="617"/>
      <c r="AI37" s="617"/>
      <c r="AJ37" s="617"/>
      <c r="AK37" s="617"/>
      <c r="AL37" s="617"/>
      <c r="AM37" s="617"/>
      <c r="AN37" s="617"/>
      <c r="AO37" s="617"/>
      <c r="AP37" s="617"/>
      <c r="AQ37" s="617"/>
      <c r="AR37" s="617"/>
    </row>
    <row r="41">
      <c r="A41" s="1"/>
      <c r="B41" s="4"/>
      <c r="C41" s="5" t="s">
        <v>62</v>
      </c>
      <c r="D41" s="7"/>
      <c r="E41" s="7"/>
      <c r="F41" s="7"/>
      <c r="G41" s="7"/>
      <c r="H41" s="7"/>
      <c r="I41" s="7"/>
      <c r="J41" s="7"/>
      <c r="K41" s="7"/>
      <c r="L41" s="7"/>
      <c r="M41" s="7"/>
      <c r="N41" s="7"/>
      <c r="O41" s="7"/>
      <c r="P41" s="7"/>
      <c r="Q41" s="7"/>
      <c r="R41" s="9"/>
      <c r="S41" s="10"/>
    </row>
    <row r="42">
      <c r="A42" s="11"/>
      <c r="B42" s="12" t="s">
        <v>2</v>
      </c>
      <c r="C42" s="13" t="s">
        <v>3</v>
      </c>
      <c r="D42" s="14" t="s">
        <v>4</v>
      </c>
      <c r="E42" s="14" t="s">
        <v>5</v>
      </c>
      <c r="F42" s="14" t="s">
        <v>6</v>
      </c>
      <c r="G42" s="14" t="s">
        <v>7</v>
      </c>
      <c r="H42" s="14" t="s">
        <v>8</v>
      </c>
      <c r="I42" s="14" t="s">
        <v>9</v>
      </c>
      <c r="J42" s="14" t="s">
        <v>10</v>
      </c>
      <c r="K42" s="14" t="s">
        <v>11</v>
      </c>
      <c r="L42" s="14" t="s">
        <v>12</v>
      </c>
      <c r="M42" s="14" t="s">
        <v>13</v>
      </c>
      <c r="N42" s="14" t="s">
        <v>14</v>
      </c>
      <c r="O42" s="14" t="s">
        <v>15</v>
      </c>
      <c r="P42" s="14" t="s">
        <v>16</v>
      </c>
      <c r="Q42" s="22" t="s">
        <v>17</v>
      </c>
      <c r="R42" s="24" t="s">
        <v>19</v>
      </c>
      <c r="S42" s="25" t="s">
        <v>18</v>
      </c>
    </row>
    <row r="43">
      <c r="A43" s="26"/>
      <c r="B43" s="27" t="s">
        <v>20</v>
      </c>
      <c r="C43" s="29">
        <v>0.1</v>
      </c>
      <c r="D43" s="31">
        <v>0.05</v>
      </c>
      <c r="E43" s="33">
        <v>0.1</v>
      </c>
      <c r="F43" s="33">
        <v>0.05</v>
      </c>
      <c r="G43" s="33">
        <v>0.1</v>
      </c>
      <c r="H43" s="33">
        <v>0.05</v>
      </c>
      <c r="I43" s="33">
        <v>0.05</v>
      </c>
      <c r="J43" s="33">
        <v>0.05</v>
      </c>
      <c r="K43" s="33">
        <v>0.05</v>
      </c>
      <c r="L43" s="33">
        <v>0.05</v>
      </c>
      <c r="M43" s="33">
        <v>0.1</v>
      </c>
      <c r="N43" s="33">
        <v>0.1</v>
      </c>
      <c r="O43" s="33">
        <v>0.05</v>
      </c>
      <c r="P43" s="34">
        <v>0.05</v>
      </c>
      <c r="Q43" s="35">
        <v>0.05</v>
      </c>
      <c r="R43" s="35">
        <v>0.0</v>
      </c>
      <c r="S43" s="36">
        <f>sum(C43:R43)</f>
        <v>1</v>
      </c>
    </row>
    <row r="44">
      <c r="B44" s="27" t="s">
        <v>22</v>
      </c>
      <c r="C44" s="38" t="s">
        <v>23</v>
      </c>
      <c r="D44" s="39" t="s">
        <v>23</v>
      </c>
      <c r="E44" s="40"/>
      <c r="F44" s="41"/>
      <c r="G44" s="40"/>
      <c r="H44" s="40"/>
      <c r="I44" s="42"/>
      <c r="J44" s="40"/>
      <c r="K44" s="44"/>
      <c r="L44" s="40"/>
      <c r="M44" s="40"/>
      <c r="N44" s="41"/>
      <c r="O44" s="40"/>
      <c r="P44" s="40"/>
      <c r="Q44" s="40"/>
      <c r="R44" s="40"/>
      <c r="S44" s="4"/>
    </row>
    <row r="45">
      <c r="A45" s="26" t="s">
        <v>28</v>
      </c>
      <c r="B45" s="27" t="s">
        <v>30</v>
      </c>
      <c r="C45" s="48">
        <v>139178.0</v>
      </c>
      <c r="D45" s="49">
        <v>1722.0</v>
      </c>
      <c r="E45" s="29">
        <v>0.98</v>
      </c>
      <c r="F45" s="38">
        <v>1.0</v>
      </c>
      <c r="G45" s="29">
        <v>0.98</v>
      </c>
      <c r="H45" s="29">
        <v>0.02</v>
      </c>
      <c r="I45" s="50">
        <v>3.7E-4</v>
      </c>
      <c r="J45" s="29">
        <v>0.998</v>
      </c>
      <c r="K45" s="51" t="s">
        <v>41</v>
      </c>
      <c r="L45" s="29">
        <v>0.005</v>
      </c>
      <c r="M45" s="29">
        <v>0.99</v>
      </c>
      <c r="N45" s="38">
        <v>3.0</v>
      </c>
      <c r="O45" s="29">
        <v>0.9</v>
      </c>
      <c r="P45" s="29">
        <v>1.0</v>
      </c>
      <c r="Q45" s="53">
        <v>1.0</v>
      </c>
      <c r="R45" s="53">
        <v>1.0</v>
      </c>
      <c r="S45" s="4"/>
    </row>
    <row r="46">
      <c r="A46" s="54">
        <v>1.0</v>
      </c>
      <c r="B46" s="55" t="s">
        <v>42</v>
      </c>
      <c r="C46" s="56">
        <f t="shared" ref="C46:C53" si="10">IF(C30&lt;95%,
MAX(-5,(C30-95%)/1%*$C$43),
IF(C30&lt;100%,
( C30-100% )/1%*0.5*$C$43,
MIN(5,(C30-100%)/1%*2*$C$43)))</f>
        <v>-5</v>
      </c>
      <c r="D46" s="57">
        <f t="shared" ref="D46:D53" si="11">IF(D30&lt;95%,
MAX(-5,(D30-95%)/1%*$D$43),
IF(D30&lt;100%,
( D30-100% )/1%*0.5*$D$43,
MIN(5,(D30-100%)/1%*2*$D$43)))</f>
        <v>0</v>
      </c>
      <c r="E46" s="58" t="str">
        <f t="shared" ref="E46:E53" si="12">(98%-E30)/1%*$E$43</f>
        <v>#VALUE!</v>
      </c>
      <c r="F46" s="60">
        <f t="shared" ref="F46:F53" si="13">IF(F30&gt;=1,
MIN(3,(F30-1)/1*0.1*$F$43),
MAX(-5,(F30-1)/1*0.1*$F$43))</f>
        <v>0</v>
      </c>
      <c r="G46" s="58">
        <f t="shared" ref="G46:G53" si="14">MAX(-5,MIN(5,((G30-98%)/0.1%)*$G$43))</f>
        <v>-1.086419753</v>
      </c>
      <c r="H46" s="58">
        <f t="shared" ref="H46:H53" si="15">MAX(-2.5,((2%-H30)/0.1%)*$H$43)</f>
        <v>0.3453355155</v>
      </c>
      <c r="I46" s="62">
        <f t="shared" ref="I46:I53" si="16">MAX(-2.5,((0.037%-I30)/0.001%)*0.65*$I$43)</f>
        <v>-2.5</v>
      </c>
      <c r="J46" s="58">
        <f t="shared" ref="J46:J53" si="17">MAX(-2.5,((J30-99.8%)/0.01%)*$J$43)</f>
        <v>1</v>
      </c>
      <c r="K46" s="58">
        <f t="shared" ref="K46:K53" si="18">((K30-100%)/3%)*0.5*$K$43</f>
        <v>0.08042151969</v>
      </c>
      <c r="L46" s="58">
        <f t="shared" ref="L46:L53" si="19">MAX(-2.5,((0.5%-L30)/0.1%)*6*$L$43)</f>
        <v>1.5</v>
      </c>
      <c r="M46" s="58">
        <f t="shared" ref="M46:M53" si="20">MAX(-5,((M30-99%)/0.1%)*2*$M$43)</f>
        <v>-0.949</v>
      </c>
      <c r="N46" s="67">
        <f t="shared" ref="N46:N53" si="21">MAX(-2.5,((3-N30)/0.1)*0.5*$N$43)</f>
        <v>-2.5</v>
      </c>
      <c r="O46" s="58">
        <f t="shared" ref="O46:O53" si="22">MAX(-2.5,((O30-90%)/1%)*2*$O$43)</f>
        <v>0.448</v>
      </c>
      <c r="P46" s="58">
        <f t="shared" ref="P46:P53" si="23">IF(P30&gt;=100%,0,((P30-100%)/2%)*$P$43)</f>
        <v>0</v>
      </c>
      <c r="Q46" s="62">
        <f t="shared" ref="Q46:Q53" si="24">IF(Q30&gt;=100%,0,-MIN((100%-Q30)/2%*$Q$43,5*$Q$43))</f>
        <v>0</v>
      </c>
      <c r="R46" s="60">
        <v>0.0</v>
      </c>
      <c r="S46" s="70" t="str">
        <f t="shared" ref="S46:S53" si="25">100+sum(C46:R46)</f>
        <v>#VALUE!</v>
      </c>
    </row>
    <row r="47">
      <c r="A47" s="54">
        <v>2.0</v>
      </c>
      <c r="B47" s="55" t="s">
        <v>43</v>
      </c>
      <c r="C47" s="56">
        <f t="shared" si="10"/>
        <v>-5</v>
      </c>
      <c r="D47" s="57">
        <f t="shared" si="11"/>
        <v>0</v>
      </c>
      <c r="E47" s="58" t="str">
        <f t="shared" si="12"/>
        <v>#VALUE!</v>
      </c>
      <c r="F47" s="60">
        <f t="shared" si="13"/>
        <v>0</v>
      </c>
      <c r="G47" s="58">
        <f t="shared" si="14"/>
        <v>0.4455958549</v>
      </c>
      <c r="H47" s="58">
        <f t="shared" si="15"/>
        <v>1</v>
      </c>
      <c r="I47" s="62">
        <f t="shared" si="16"/>
        <v>-2.5</v>
      </c>
      <c r="J47" s="58">
        <f t="shared" si="17"/>
        <v>-2.5</v>
      </c>
      <c r="K47" s="58">
        <f t="shared" si="18"/>
        <v>-0.1650692226</v>
      </c>
      <c r="L47" s="58">
        <f t="shared" si="19"/>
        <v>1.5</v>
      </c>
      <c r="M47" s="58">
        <f t="shared" si="20"/>
        <v>-1.194616</v>
      </c>
      <c r="N47" s="67">
        <f t="shared" si="21"/>
        <v>-2.5</v>
      </c>
      <c r="O47" s="58">
        <f t="shared" si="22"/>
        <v>0.635</v>
      </c>
      <c r="P47" s="58">
        <f t="shared" si="23"/>
        <v>0</v>
      </c>
      <c r="Q47" s="62">
        <f t="shared" si="24"/>
        <v>0</v>
      </c>
      <c r="R47" s="60">
        <v>0.0</v>
      </c>
      <c r="S47" s="70" t="str">
        <f t="shared" si="25"/>
        <v>#VALUE!</v>
      </c>
    </row>
    <row r="48">
      <c r="A48" s="54">
        <v>3.0</v>
      </c>
      <c r="B48" s="55" t="s">
        <v>44</v>
      </c>
      <c r="C48" s="56">
        <f t="shared" si="10"/>
        <v>-5</v>
      </c>
      <c r="D48" s="57">
        <f t="shared" si="11"/>
        <v>0</v>
      </c>
      <c r="E48" s="58" t="str">
        <f t="shared" si="12"/>
        <v>#VALUE!</v>
      </c>
      <c r="F48" s="60">
        <f t="shared" si="13"/>
        <v>0</v>
      </c>
      <c r="G48" s="58">
        <f t="shared" si="14"/>
        <v>-2.204204204</v>
      </c>
      <c r="H48" s="58">
        <f t="shared" si="15"/>
        <v>1</v>
      </c>
      <c r="I48" s="62">
        <f t="shared" si="16"/>
        <v>-2.5</v>
      </c>
      <c r="J48" s="58">
        <f t="shared" si="17"/>
        <v>-2.5</v>
      </c>
      <c r="K48" s="58">
        <f t="shared" si="18"/>
        <v>-0.6048906049</v>
      </c>
      <c r="L48" s="58">
        <f t="shared" si="19"/>
        <v>1.5</v>
      </c>
      <c r="M48" s="58">
        <f t="shared" si="20"/>
        <v>-1.28384</v>
      </c>
      <c r="N48" s="67">
        <f t="shared" si="21"/>
        <v>-0.905</v>
      </c>
      <c r="O48" s="58">
        <f t="shared" si="22"/>
        <v>0.397</v>
      </c>
      <c r="P48" s="58">
        <f t="shared" si="23"/>
        <v>0</v>
      </c>
      <c r="Q48" s="62">
        <f t="shared" si="24"/>
        <v>0</v>
      </c>
      <c r="R48" s="60">
        <v>0.0</v>
      </c>
      <c r="S48" s="70" t="str">
        <f t="shared" si="25"/>
        <v>#VALUE!</v>
      </c>
    </row>
    <row r="49">
      <c r="A49" s="54">
        <v>4.0</v>
      </c>
      <c r="B49" s="55" t="s">
        <v>45</v>
      </c>
      <c r="C49" s="56">
        <f t="shared" si="10"/>
        <v>-5</v>
      </c>
      <c r="D49" s="57">
        <f t="shared" si="11"/>
        <v>0</v>
      </c>
      <c r="E49" s="58" t="str">
        <f t="shared" si="12"/>
        <v>#VALUE!</v>
      </c>
      <c r="F49" s="60">
        <f t="shared" si="13"/>
        <v>0</v>
      </c>
      <c r="G49" s="58">
        <f t="shared" si="14"/>
        <v>-4.958762887</v>
      </c>
      <c r="H49" s="58">
        <f t="shared" si="15"/>
        <v>-1.03125</v>
      </c>
      <c r="I49" s="62">
        <f t="shared" si="16"/>
        <v>-2.5</v>
      </c>
      <c r="J49" s="58">
        <f t="shared" si="17"/>
        <v>1</v>
      </c>
      <c r="K49" s="58">
        <f t="shared" si="18"/>
        <v>-0.3076923077</v>
      </c>
      <c r="L49" s="58">
        <f t="shared" si="19"/>
        <v>-1.38</v>
      </c>
      <c r="M49" s="58">
        <f t="shared" si="20"/>
        <v>-1.10177</v>
      </c>
      <c r="N49" s="67">
        <f t="shared" si="21"/>
        <v>-0.775</v>
      </c>
      <c r="O49" s="58">
        <f t="shared" si="22"/>
        <v>0.716</v>
      </c>
      <c r="P49" s="58">
        <f t="shared" si="23"/>
        <v>0</v>
      </c>
      <c r="Q49" s="62">
        <f t="shared" si="24"/>
        <v>0</v>
      </c>
      <c r="R49" s="60">
        <v>0.0</v>
      </c>
      <c r="S49" s="70" t="str">
        <f t="shared" si="25"/>
        <v>#VALUE!</v>
      </c>
    </row>
    <row r="50">
      <c r="A50" s="54">
        <v>5.0</v>
      </c>
      <c r="B50" s="55" t="s">
        <v>47</v>
      </c>
      <c r="C50" s="56">
        <f t="shared" si="10"/>
        <v>-5</v>
      </c>
      <c r="D50" s="57">
        <f t="shared" si="11"/>
        <v>0</v>
      </c>
      <c r="E50" s="58" t="str">
        <f t="shared" si="12"/>
        <v>#VALUE!</v>
      </c>
      <c r="F50" s="60">
        <f t="shared" si="13"/>
        <v>0</v>
      </c>
      <c r="G50" s="58">
        <f t="shared" si="14"/>
        <v>-0.2321428571</v>
      </c>
      <c r="H50" s="58">
        <f t="shared" si="15"/>
        <v>-0.7326732673</v>
      </c>
      <c r="I50" s="62">
        <f t="shared" si="16"/>
        <v>-2.5</v>
      </c>
      <c r="J50" s="58">
        <f t="shared" si="17"/>
        <v>1</v>
      </c>
      <c r="K50" s="58">
        <f t="shared" si="18"/>
        <v>-0.4212454212</v>
      </c>
      <c r="L50" s="58">
        <f t="shared" si="19"/>
        <v>-2.5</v>
      </c>
      <c r="M50" s="58">
        <f t="shared" si="20"/>
        <v>-1.121902</v>
      </c>
      <c r="N50" s="67">
        <f t="shared" si="21"/>
        <v>-0.45</v>
      </c>
      <c r="O50" s="58">
        <f t="shared" si="22"/>
        <v>0.864</v>
      </c>
      <c r="P50" s="58">
        <f t="shared" si="23"/>
        <v>0</v>
      </c>
      <c r="Q50" s="62">
        <f t="shared" si="24"/>
        <v>0</v>
      </c>
      <c r="R50" s="60">
        <v>0.0</v>
      </c>
      <c r="S50" s="70" t="str">
        <f t="shared" si="25"/>
        <v>#VALUE!</v>
      </c>
    </row>
    <row r="51">
      <c r="A51" s="54">
        <v>6.0</v>
      </c>
      <c r="B51" s="55" t="s">
        <v>48</v>
      </c>
      <c r="C51" s="56">
        <f t="shared" si="10"/>
        <v>-5</v>
      </c>
      <c r="D51" s="57">
        <f t="shared" si="11"/>
        <v>0</v>
      </c>
      <c r="E51" s="58" t="str">
        <f t="shared" si="12"/>
        <v>#VALUE!</v>
      </c>
      <c r="F51" s="60">
        <f t="shared" si="13"/>
        <v>0</v>
      </c>
      <c r="G51" s="58">
        <f t="shared" si="14"/>
        <v>-0.2222222222</v>
      </c>
      <c r="H51" s="58">
        <f t="shared" si="15"/>
        <v>0.4402985075</v>
      </c>
      <c r="I51" s="62">
        <f t="shared" si="16"/>
        <v>-2.5</v>
      </c>
      <c r="J51" s="58">
        <f t="shared" si="17"/>
        <v>-2.5</v>
      </c>
      <c r="K51" s="58">
        <f t="shared" si="18"/>
        <v>-0.4106858054</v>
      </c>
      <c r="L51" s="58">
        <f t="shared" si="19"/>
        <v>-2.5</v>
      </c>
      <c r="M51" s="58">
        <f t="shared" si="20"/>
        <v>-0.76379</v>
      </c>
      <c r="N51" s="67">
        <f t="shared" si="21"/>
        <v>-0.335</v>
      </c>
      <c r="O51" s="58">
        <f t="shared" si="22"/>
        <v>0.399</v>
      </c>
      <c r="P51" s="58">
        <f t="shared" si="23"/>
        <v>0</v>
      </c>
      <c r="Q51" s="62">
        <f t="shared" si="24"/>
        <v>0</v>
      </c>
      <c r="R51" s="60">
        <v>0.0</v>
      </c>
      <c r="S51" s="70" t="str">
        <f t="shared" si="25"/>
        <v>#VALUE!</v>
      </c>
    </row>
    <row r="52">
      <c r="A52" s="54">
        <v>7.0</v>
      </c>
      <c r="B52" s="55" t="s">
        <v>49</v>
      </c>
      <c r="C52" s="56">
        <f t="shared" si="10"/>
        <v>-5</v>
      </c>
      <c r="D52" s="57">
        <f t="shared" si="11"/>
        <v>0</v>
      </c>
      <c r="E52" s="58" t="str">
        <f t="shared" si="12"/>
        <v>#VALUE!</v>
      </c>
      <c r="F52" s="60">
        <f t="shared" si="13"/>
        <v>0</v>
      </c>
      <c r="G52" s="58">
        <f t="shared" si="14"/>
        <v>-0.1621621622</v>
      </c>
      <c r="H52" s="58">
        <f t="shared" si="15"/>
        <v>0.6192893401</v>
      </c>
      <c r="I52" s="62">
        <f t="shared" si="16"/>
        <v>-2.5</v>
      </c>
      <c r="J52" s="58">
        <f t="shared" si="17"/>
        <v>1</v>
      </c>
      <c r="K52" s="58">
        <f t="shared" si="18"/>
        <v>-0.2138643068</v>
      </c>
      <c r="L52" s="58">
        <f t="shared" si="19"/>
        <v>-2.5</v>
      </c>
      <c r="M52" s="58">
        <f t="shared" si="20"/>
        <v>-0.670838</v>
      </c>
      <c r="N52" s="67">
        <f t="shared" si="21"/>
        <v>0.565</v>
      </c>
      <c r="O52" s="58">
        <f t="shared" si="22"/>
        <v>0.608</v>
      </c>
      <c r="P52" s="58">
        <f t="shared" si="23"/>
        <v>0</v>
      </c>
      <c r="Q52" s="62">
        <f t="shared" si="24"/>
        <v>0</v>
      </c>
      <c r="R52" s="60">
        <v>0.0</v>
      </c>
      <c r="S52" s="70" t="str">
        <f t="shared" si="25"/>
        <v>#VALUE!</v>
      </c>
    </row>
    <row r="53">
      <c r="A53" s="89"/>
      <c r="B53" s="90" t="s">
        <v>50</v>
      </c>
      <c r="C53" s="91">
        <f t="shared" si="10"/>
        <v>-5</v>
      </c>
      <c r="D53" s="92">
        <f t="shared" si="11"/>
        <v>0</v>
      </c>
      <c r="E53" s="91" t="str">
        <f t="shared" si="12"/>
        <v>#VALUE!</v>
      </c>
      <c r="F53" s="94">
        <f t="shared" si="13"/>
        <v>0</v>
      </c>
      <c r="G53" s="91">
        <f t="shared" si="14"/>
        <v>-1.149300156</v>
      </c>
      <c r="H53" s="91">
        <f t="shared" si="15"/>
        <v>0.2199391172</v>
      </c>
      <c r="I53" s="95">
        <f t="shared" si="16"/>
        <v>-2.5</v>
      </c>
      <c r="J53" s="91">
        <f t="shared" si="17"/>
        <v>-2.5</v>
      </c>
      <c r="K53" s="91">
        <f t="shared" si="18"/>
        <v>-0.2331871345</v>
      </c>
      <c r="L53" s="91">
        <f t="shared" si="19"/>
        <v>-2.5</v>
      </c>
      <c r="M53" s="91">
        <f t="shared" si="20"/>
        <v>-0.54382</v>
      </c>
      <c r="N53" s="38">
        <f t="shared" si="21"/>
        <v>-1.485</v>
      </c>
      <c r="O53" s="91">
        <f t="shared" si="22"/>
        <v>0.586</v>
      </c>
      <c r="P53" s="91">
        <f t="shared" si="23"/>
        <v>0</v>
      </c>
      <c r="Q53" s="95">
        <f t="shared" si="24"/>
        <v>0</v>
      </c>
      <c r="R53" s="94">
        <v>0.0</v>
      </c>
      <c r="S53" s="96" t="str">
        <f t="shared" si="25"/>
        <v>#VALUE!</v>
      </c>
      <c r="T53" s="356"/>
      <c r="U53" s="356"/>
      <c r="V53" s="356"/>
      <c r="W53" s="356"/>
      <c r="X53" s="356"/>
      <c r="Y53" s="356"/>
      <c r="Z53" s="356"/>
      <c r="AA53" s="356"/>
      <c r="AB53" s="356"/>
      <c r="AC53" s="356"/>
      <c r="AD53" s="356"/>
      <c r="AE53" s="356"/>
      <c r="AF53" s="356"/>
      <c r="AG53" s="356"/>
      <c r="AH53" s="356"/>
      <c r="AI53" s="356"/>
      <c r="AJ53" s="356"/>
      <c r="AK53" s="356"/>
      <c r="AL53" s="356"/>
      <c r="AM53" s="356"/>
      <c r="AN53" s="356"/>
      <c r="AO53" s="356"/>
      <c r="AP53" s="356"/>
      <c r="AQ53" s="356"/>
      <c r="AR53" s="356"/>
    </row>
    <row r="58">
      <c r="C58" s="647" t="s">
        <v>362</v>
      </c>
      <c r="M58" s="648"/>
      <c r="N58" s="648"/>
      <c r="O58" s="649"/>
    </row>
    <row r="59">
      <c r="C59" s="647" t="s">
        <v>364</v>
      </c>
      <c r="M59" s="648"/>
      <c r="N59" s="648"/>
      <c r="O59" s="649"/>
    </row>
    <row r="60">
      <c r="C60" s="650" t="s">
        <v>365</v>
      </c>
      <c r="M60" s="651"/>
      <c r="N60" s="651"/>
      <c r="O60" s="652"/>
    </row>
    <row r="61">
      <c r="C61" s="653"/>
      <c r="D61" s="654"/>
      <c r="E61" s="654"/>
      <c r="F61" s="654"/>
      <c r="G61" s="654"/>
      <c r="H61" s="655"/>
      <c r="I61" s="656"/>
      <c r="J61" s="657"/>
      <c r="K61" s="654"/>
      <c r="L61" s="649"/>
      <c r="M61" s="648"/>
      <c r="N61" s="648"/>
      <c r="O61" s="649"/>
    </row>
    <row r="62">
      <c r="C62" s="658" t="s">
        <v>172</v>
      </c>
      <c r="D62" s="7"/>
      <c r="E62" s="9"/>
      <c r="F62" s="336" t="s">
        <v>99</v>
      </c>
      <c r="G62" s="7"/>
      <c r="H62" s="7"/>
      <c r="I62" s="7"/>
      <c r="J62" s="7"/>
      <c r="K62" s="9"/>
      <c r="L62" s="336" t="s">
        <v>173</v>
      </c>
      <c r="M62" s="7"/>
      <c r="N62" s="9"/>
      <c r="O62" s="659"/>
    </row>
    <row r="63">
      <c r="C63" s="343" t="s">
        <v>174</v>
      </c>
      <c r="D63" s="343" t="s">
        <v>175</v>
      </c>
      <c r="E63" s="343" t="s">
        <v>176</v>
      </c>
      <c r="F63" s="346" t="s">
        <v>2</v>
      </c>
      <c r="G63" s="346" t="s">
        <v>101</v>
      </c>
      <c r="H63" s="346" t="s">
        <v>20</v>
      </c>
      <c r="I63" s="346" t="s">
        <v>30</v>
      </c>
      <c r="J63" s="346" t="s">
        <v>102</v>
      </c>
      <c r="K63" s="346" t="s">
        <v>103</v>
      </c>
      <c r="L63" s="346" t="s">
        <v>173</v>
      </c>
      <c r="M63" s="350" t="s">
        <v>177</v>
      </c>
      <c r="N63" s="350" t="s">
        <v>178</v>
      </c>
      <c r="O63" s="659"/>
    </row>
    <row r="64">
      <c r="C64" s="660" t="s">
        <v>179</v>
      </c>
      <c r="D64" s="409" t="s">
        <v>180</v>
      </c>
      <c r="E64" s="410">
        <v>0.3</v>
      </c>
      <c r="F64" s="661"/>
      <c r="G64" s="661"/>
      <c r="H64" s="661"/>
      <c r="I64" s="662"/>
      <c r="J64" s="661"/>
      <c r="K64" s="661"/>
      <c r="L64" s="661"/>
      <c r="M64" s="663"/>
      <c r="N64" s="663"/>
      <c r="O64" s="659"/>
    </row>
    <row r="65">
      <c r="C65" s="362">
        <v>1.0</v>
      </c>
      <c r="D65" s="362" t="s">
        <v>183</v>
      </c>
      <c r="E65" s="363">
        <v>0.1</v>
      </c>
      <c r="F65" s="395" t="s">
        <v>184</v>
      </c>
      <c r="G65" s="365" t="s">
        <v>185</v>
      </c>
      <c r="H65" s="664">
        <v>0.1</v>
      </c>
      <c r="I65" s="665">
        <v>139.178</v>
      </c>
      <c r="J65" s="666" t="s">
        <v>148</v>
      </c>
      <c r="K65" s="368" t="s">
        <v>106</v>
      </c>
      <c r="L65" s="365" t="s">
        <v>187</v>
      </c>
      <c r="M65" s="369" t="s">
        <v>188</v>
      </c>
      <c r="N65" s="369" t="s">
        <v>189</v>
      </c>
      <c r="O65" s="659"/>
    </row>
    <row r="66">
      <c r="C66" s="374">
        <v>2.0</v>
      </c>
      <c r="D66" s="374" t="s">
        <v>190</v>
      </c>
      <c r="E66" s="396">
        <v>0.05</v>
      </c>
      <c r="F66" s="667" t="s">
        <v>107</v>
      </c>
      <c r="G66" s="365" t="s">
        <v>185</v>
      </c>
      <c r="H66" s="668">
        <v>0.05</v>
      </c>
      <c r="I66" s="669">
        <v>1.722</v>
      </c>
      <c r="J66" s="670" t="s">
        <v>191</v>
      </c>
      <c r="K66" s="368" t="s">
        <v>106</v>
      </c>
      <c r="L66" s="377" t="s">
        <v>192</v>
      </c>
      <c r="M66" s="378" t="s">
        <v>193</v>
      </c>
      <c r="N66" s="378" t="s">
        <v>194</v>
      </c>
      <c r="O66" s="671"/>
    </row>
    <row r="67">
      <c r="C67" s="379">
        <v>3.0</v>
      </c>
      <c r="D67" s="379" t="s">
        <v>195</v>
      </c>
      <c r="E67" s="380">
        <v>0.15</v>
      </c>
      <c r="F67" s="395" t="s">
        <v>196</v>
      </c>
      <c r="G67" s="663"/>
      <c r="H67" s="672"/>
      <c r="I67" s="673"/>
      <c r="J67" s="674"/>
      <c r="K67" s="663"/>
      <c r="L67" s="663"/>
      <c r="M67" s="663"/>
      <c r="N67" s="663"/>
      <c r="O67" s="659"/>
    </row>
    <row r="68">
      <c r="C68" s="385"/>
      <c r="D68" s="385"/>
      <c r="E68" s="385"/>
      <c r="F68" s="368" t="s">
        <v>198</v>
      </c>
      <c r="G68" s="365" t="s">
        <v>166</v>
      </c>
      <c r="H68" s="664">
        <v>0.1</v>
      </c>
      <c r="I68" s="363">
        <v>0.98</v>
      </c>
      <c r="J68" s="387" t="s">
        <v>260</v>
      </c>
      <c r="K68" s="368" t="s">
        <v>200</v>
      </c>
      <c r="L68" s="365" t="s">
        <v>187</v>
      </c>
      <c r="M68" s="369" t="s">
        <v>188</v>
      </c>
      <c r="N68" s="369" t="s">
        <v>201</v>
      </c>
      <c r="O68" s="659"/>
    </row>
    <row r="69">
      <c r="C69" s="388"/>
      <c r="D69" s="388"/>
      <c r="E69" s="388"/>
      <c r="F69" s="395" t="s">
        <v>202</v>
      </c>
      <c r="G69" s="365" t="s">
        <v>370</v>
      </c>
      <c r="H69" s="664">
        <v>0.05</v>
      </c>
      <c r="I69" s="362">
        <v>1.0</v>
      </c>
      <c r="J69" s="387" t="s">
        <v>371</v>
      </c>
      <c r="K69" s="383" t="str">
        <f>+/-0,1 điểm/1% vượt/không đạt tỷ lệ hoàn thành KH. Thưởng tối đa 3 điểm, trừ tối đa 5 điểm.</f>
        <v>#ERROR!</v>
      </c>
      <c r="L69" s="365" t="s">
        <v>187</v>
      </c>
      <c r="M69" s="369" t="s">
        <v>188</v>
      </c>
      <c r="N69" s="369" t="s">
        <v>201</v>
      </c>
      <c r="O69" s="659"/>
    </row>
    <row r="70">
      <c r="C70" s="660" t="s">
        <v>204</v>
      </c>
      <c r="D70" s="409" t="s">
        <v>205</v>
      </c>
      <c r="E70" s="410">
        <v>0.3</v>
      </c>
      <c r="F70" s="661"/>
      <c r="G70" s="661"/>
      <c r="H70" s="672"/>
      <c r="I70" s="680"/>
      <c r="J70" s="681"/>
      <c r="K70" s="661"/>
      <c r="L70" s="661"/>
      <c r="M70" s="663"/>
      <c r="N70" s="663"/>
      <c r="O70" s="659"/>
    </row>
    <row r="71">
      <c r="C71" s="379">
        <v>4.0</v>
      </c>
      <c r="D71" s="379" t="s">
        <v>207</v>
      </c>
      <c r="E71" s="380">
        <v>0.25</v>
      </c>
      <c r="F71" s="395" t="s">
        <v>208</v>
      </c>
      <c r="G71" s="663"/>
      <c r="H71" s="672"/>
      <c r="I71" s="673"/>
      <c r="J71" s="674"/>
      <c r="K71" s="663"/>
      <c r="L71" s="663"/>
      <c r="M71" s="663"/>
      <c r="N71" s="663"/>
      <c r="O71" s="659"/>
    </row>
    <row r="72">
      <c r="C72" s="385"/>
      <c r="D72" s="385"/>
      <c r="E72" s="385"/>
      <c r="F72" s="376" t="s">
        <v>213</v>
      </c>
      <c r="G72" s="365" t="s">
        <v>166</v>
      </c>
      <c r="H72" s="664">
        <v>0.1</v>
      </c>
      <c r="I72" s="363">
        <v>0.98</v>
      </c>
      <c r="J72" s="387" t="s">
        <v>214</v>
      </c>
      <c r="K72" s="682" t="s">
        <v>117</v>
      </c>
      <c r="L72" s="365" t="s">
        <v>215</v>
      </c>
      <c r="M72" s="369" t="s">
        <v>216</v>
      </c>
      <c r="N72" s="369" t="s">
        <v>217</v>
      </c>
      <c r="O72" s="659"/>
    </row>
    <row r="73">
      <c r="C73" s="385"/>
      <c r="D73" s="385"/>
      <c r="E73" s="385"/>
      <c r="F73" s="376" t="s">
        <v>118</v>
      </c>
      <c r="G73" s="377" t="s">
        <v>166</v>
      </c>
      <c r="H73" s="668">
        <v>0.05</v>
      </c>
      <c r="I73" s="396">
        <v>0.02</v>
      </c>
      <c r="J73" s="683" t="s">
        <v>218</v>
      </c>
      <c r="K73" s="682" t="s">
        <v>120</v>
      </c>
      <c r="L73" s="365" t="s">
        <v>215</v>
      </c>
      <c r="M73" s="369" t="s">
        <v>216</v>
      </c>
      <c r="N73" s="369" t="s">
        <v>219</v>
      </c>
      <c r="O73" s="659"/>
    </row>
    <row r="74">
      <c r="C74" s="385"/>
      <c r="D74" s="385"/>
      <c r="E74" s="385"/>
      <c r="F74" s="376" t="s">
        <v>220</v>
      </c>
      <c r="G74" s="377" t="s">
        <v>166</v>
      </c>
      <c r="H74" s="668">
        <v>0.05</v>
      </c>
      <c r="I74" s="396">
        <v>0.37</v>
      </c>
      <c r="J74" s="683" t="s">
        <v>221</v>
      </c>
      <c r="K74" s="682" t="s">
        <v>123</v>
      </c>
      <c r="L74" s="365" t="s">
        <v>215</v>
      </c>
      <c r="M74" s="369" t="s">
        <v>216</v>
      </c>
      <c r="N74" s="369" t="s">
        <v>222</v>
      </c>
      <c r="O74" s="659"/>
    </row>
    <row r="75">
      <c r="C75" s="388"/>
      <c r="D75" s="388"/>
      <c r="E75" s="388"/>
      <c r="F75" s="376" t="s">
        <v>223</v>
      </c>
      <c r="G75" s="377" t="s">
        <v>166</v>
      </c>
      <c r="H75" s="668">
        <v>0.05</v>
      </c>
      <c r="I75" s="684">
        <v>0.998</v>
      </c>
      <c r="J75" s="683" t="s">
        <v>225</v>
      </c>
      <c r="K75" s="685" t="s">
        <v>126</v>
      </c>
      <c r="L75" s="365" t="s">
        <v>215</v>
      </c>
      <c r="M75" s="369" t="s">
        <v>216</v>
      </c>
      <c r="N75" s="369" t="s">
        <v>226</v>
      </c>
      <c r="O75" s="659"/>
    </row>
    <row r="76">
      <c r="C76" s="379">
        <v>5.0</v>
      </c>
      <c r="D76" s="379" t="s">
        <v>227</v>
      </c>
      <c r="E76" s="380">
        <v>0.05</v>
      </c>
      <c r="F76" s="395" t="s">
        <v>228</v>
      </c>
      <c r="G76" s="663"/>
      <c r="H76" s="672"/>
      <c r="I76" s="673"/>
      <c r="J76" s="674"/>
      <c r="K76" s="663"/>
      <c r="L76" s="663"/>
      <c r="M76" s="663"/>
      <c r="N76" s="663"/>
      <c r="O76" s="659"/>
    </row>
    <row r="77">
      <c r="C77" s="385"/>
      <c r="D77" s="385"/>
      <c r="E77" s="385"/>
      <c r="F77" s="395" t="s">
        <v>229</v>
      </c>
      <c r="G77" s="663"/>
      <c r="H77" s="672"/>
      <c r="I77" s="673"/>
      <c r="J77" s="674"/>
      <c r="K77" s="663"/>
      <c r="L77" s="663"/>
      <c r="M77" s="663"/>
      <c r="N77" s="663"/>
      <c r="O77" s="659"/>
    </row>
    <row r="78">
      <c r="C78" s="388"/>
      <c r="D78" s="388"/>
      <c r="E78" s="388"/>
      <c r="F78" s="376" t="s">
        <v>230</v>
      </c>
      <c r="G78" s="365" t="s">
        <v>167</v>
      </c>
      <c r="H78" s="664">
        <v>0.05</v>
      </c>
      <c r="I78" s="665">
        <v>2.28</v>
      </c>
      <c r="J78" s="387" t="s">
        <v>231</v>
      </c>
      <c r="K78" s="383" t="str">
        <f>+/-0.5 điểm/3% vượt/không đạt KH</f>
        <v>#ERROR!</v>
      </c>
      <c r="L78" s="365" t="s">
        <v>192</v>
      </c>
      <c r="M78" s="369" t="s">
        <v>232</v>
      </c>
      <c r="N78" s="369" t="s">
        <v>233</v>
      </c>
      <c r="O78" s="659"/>
    </row>
    <row r="79">
      <c r="C79" s="660" t="s">
        <v>234</v>
      </c>
      <c r="D79" s="409" t="s">
        <v>235</v>
      </c>
      <c r="E79" s="410">
        <v>0.4</v>
      </c>
      <c r="F79" s="661"/>
      <c r="G79" s="661"/>
      <c r="H79" s="672"/>
      <c r="I79" s="680"/>
      <c r="J79" s="681"/>
      <c r="K79" s="661"/>
      <c r="L79" s="661"/>
      <c r="M79" s="663"/>
      <c r="N79" s="663"/>
      <c r="O79" s="659"/>
    </row>
    <row r="80">
      <c r="C80" s="379">
        <v>6.0</v>
      </c>
      <c r="D80" s="379" t="s">
        <v>236</v>
      </c>
      <c r="E80" s="380">
        <v>0.3</v>
      </c>
      <c r="F80" s="368" t="s">
        <v>130</v>
      </c>
      <c r="G80" s="365" t="s">
        <v>166</v>
      </c>
      <c r="H80" s="664">
        <v>0.05</v>
      </c>
      <c r="I80" s="694">
        <v>0.005</v>
      </c>
      <c r="J80" s="387" t="s">
        <v>156</v>
      </c>
      <c r="K80" s="682" t="s">
        <v>132</v>
      </c>
      <c r="L80" s="365" t="s">
        <v>215</v>
      </c>
      <c r="M80" s="369" t="s">
        <v>216</v>
      </c>
      <c r="N80" s="369" t="s">
        <v>219</v>
      </c>
      <c r="O80" s="659"/>
    </row>
    <row r="81">
      <c r="C81" s="385"/>
      <c r="D81" s="385"/>
      <c r="E81" s="385"/>
      <c r="F81" s="368" t="s">
        <v>133</v>
      </c>
      <c r="G81" s="365" t="s">
        <v>166</v>
      </c>
      <c r="H81" s="664">
        <v>0.1</v>
      </c>
      <c r="I81" s="396">
        <v>0.99</v>
      </c>
      <c r="J81" s="674"/>
      <c r="K81" s="682" t="s">
        <v>134</v>
      </c>
      <c r="L81" s="365" t="s">
        <v>215</v>
      </c>
      <c r="M81" s="369" t="s">
        <v>216</v>
      </c>
      <c r="N81" s="369" t="s">
        <v>219</v>
      </c>
      <c r="O81" s="659"/>
    </row>
    <row r="82">
      <c r="C82" s="385"/>
      <c r="D82" s="385"/>
      <c r="E82" s="385"/>
      <c r="F82" s="368" t="s">
        <v>135</v>
      </c>
      <c r="G82" s="365" t="s">
        <v>168</v>
      </c>
      <c r="H82" s="664">
        <v>0.1</v>
      </c>
      <c r="I82" s="362">
        <v>3.0</v>
      </c>
      <c r="J82" s="387" t="s">
        <v>159</v>
      </c>
      <c r="K82" s="682" t="s">
        <v>137</v>
      </c>
      <c r="L82" s="365" t="s">
        <v>215</v>
      </c>
      <c r="M82" s="369" t="s">
        <v>216</v>
      </c>
      <c r="N82" s="369" t="s">
        <v>217</v>
      </c>
      <c r="O82" s="659"/>
    </row>
    <row r="83">
      <c r="C83" s="388"/>
      <c r="D83" s="388"/>
      <c r="E83" s="388"/>
      <c r="F83" s="368" t="s">
        <v>239</v>
      </c>
      <c r="G83" s="365" t="s">
        <v>166</v>
      </c>
      <c r="H83" s="664">
        <v>0.05</v>
      </c>
      <c r="I83" s="363">
        <v>0.9</v>
      </c>
      <c r="J83" s="387" t="s">
        <v>240</v>
      </c>
      <c r="K83" s="682" t="s">
        <v>140</v>
      </c>
      <c r="L83" s="365" t="s">
        <v>215</v>
      </c>
      <c r="M83" s="369" t="s">
        <v>216</v>
      </c>
      <c r="N83" s="369" t="s">
        <v>222</v>
      </c>
      <c r="O83" s="659"/>
    </row>
    <row r="84">
      <c r="C84" s="362">
        <v>7.0</v>
      </c>
      <c r="D84" s="362" t="s">
        <v>242</v>
      </c>
      <c r="E84" s="363">
        <v>0.05</v>
      </c>
      <c r="F84" s="368" t="s">
        <v>243</v>
      </c>
      <c r="G84" s="365" t="s">
        <v>166</v>
      </c>
      <c r="H84" s="664">
        <v>0.05</v>
      </c>
      <c r="I84" s="701">
        <v>1.0</v>
      </c>
      <c r="J84" s="387" t="s">
        <v>244</v>
      </c>
      <c r="K84" s="376" t="s">
        <v>245</v>
      </c>
      <c r="L84" s="365" t="s">
        <v>246</v>
      </c>
      <c r="M84" s="369" t="s">
        <v>247</v>
      </c>
      <c r="N84" s="369" t="s">
        <v>375</v>
      </c>
      <c r="O84" s="659"/>
    </row>
    <row r="85">
      <c r="C85" s="362">
        <v>8.0</v>
      </c>
      <c r="D85" s="704" t="s">
        <v>376</v>
      </c>
      <c r="E85" s="705">
        <v>0.05</v>
      </c>
      <c r="F85" s="706" t="s">
        <v>377</v>
      </c>
      <c r="G85" s="707" t="s">
        <v>166</v>
      </c>
      <c r="H85" s="708">
        <v>0.05</v>
      </c>
      <c r="I85" s="701">
        <v>1.0</v>
      </c>
      <c r="J85" s="709" t="s">
        <v>378</v>
      </c>
      <c r="K85" s="710" t="s">
        <v>245</v>
      </c>
      <c r="L85" s="707" t="s">
        <v>246</v>
      </c>
      <c r="M85" s="369" t="s">
        <v>247</v>
      </c>
      <c r="N85" s="369" t="s">
        <v>379</v>
      </c>
      <c r="O85" s="711" t="s">
        <v>380</v>
      </c>
    </row>
    <row r="86">
      <c r="C86" s="362">
        <v>9.0</v>
      </c>
      <c r="D86" s="362" t="s">
        <v>249</v>
      </c>
      <c r="E86" s="362" t="s">
        <v>250</v>
      </c>
      <c r="F86" s="368" t="s">
        <v>251</v>
      </c>
      <c r="G86" s="663"/>
      <c r="H86" s="360"/>
      <c r="I86" s="712"/>
      <c r="J86" s="368" t="s">
        <v>46</v>
      </c>
      <c r="K86" s="376" t="s">
        <v>252</v>
      </c>
      <c r="L86" s="365" t="s">
        <v>246</v>
      </c>
      <c r="M86" s="369" t="s">
        <v>247</v>
      </c>
      <c r="N86" s="369" t="s">
        <v>375</v>
      </c>
      <c r="O86" s="659"/>
    </row>
    <row r="87">
      <c r="C87" s="659"/>
      <c r="D87" s="395" t="s">
        <v>253</v>
      </c>
      <c r="E87" s="363">
        <v>1.0</v>
      </c>
      <c r="F87" s="663"/>
      <c r="G87" s="663"/>
      <c r="H87" s="410">
        <v>1.0</v>
      </c>
      <c r="I87" s="673"/>
      <c r="J87" s="663"/>
      <c r="K87" s="663"/>
      <c r="L87" s="663"/>
      <c r="M87" s="663"/>
      <c r="N87" s="663"/>
      <c r="O87" s="659"/>
    </row>
    <row r="88">
      <c r="C88" s="659"/>
      <c r="D88" s="395" t="s">
        <v>254</v>
      </c>
      <c r="E88" s="362">
        <v>9.0</v>
      </c>
      <c r="F88" s="663"/>
      <c r="G88" s="663"/>
      <c r="H88" s="420">
        <v>15.0</v>
      </c>
      <c r="I88" s="420">
        <v>15.0</v>
      </c>
      <c r="J88" s="663"/>
      <c r="K88" s="663"/>
      <c r="L88" s="663"/>
      <c r="M88" s="663"/>
      <c r="N88" s="663"/>
      <c r="O88" s="659"/>
    </row>
    <row r="89">
      <c r="C89" s="653"/>
      <c r="D89" s="654"/>
      <c r="E89" s="654"/>
      <c r="F89" s="654"/>
      <c r="G89" s="654"/>
      <c r="H89" s="655"/>
      <c r="I89" s="656"/>
      <c r="J89" s="657"/>
      <c r="K89" s="654"/>
      <c r="L89" s="649"/>
      <c r="M89" s="648"/>
      <c r="N89" s="648"/>
      <c r="O89" s="649"/>
    </row>
    <row r="90">
      <c r="C90" s="653"/>
      <c r="D90" s="654"/>
      <c r="E90" s="654"/>
      <c r="F90" s="654"/>
      <c r="G90" s="654"/>
      <c r="H90" s="655"/>
      <c r="I90" s="656"/>
      <c r="J90" s="657"/>
      <c r="K90" s="654"/>
      <c r="L90" s="649"/>
      <c r="M90" s="648"/>
      <c r="N90" s="648"/>
      <c r="O90" s="649"/>
    </row>
    <row r="91">
      <c r="C91" s="653"/>
      <c r="D91" s="654"/>
      <c r="E91" s="654"/>
      <c r="F91" s="654"/>
      <c r="G91" s="654"/>
      <c r="H91" s="655"/>
      <c r="I91" s="656"/>
      <c r="J91" s="657"/>
      <c r="K91" s="654"/>
      <c r="L91" s="649"/>
      <c r="M91" s="648"/>
      <c r="N91" s="648"/>
      <c r="O91" s="649"/>
    </row>
    <row r="92">
      <c r="C92" s="653"/>
      <c r="D92" s="654"/>
      <c r="E92" s="654"/>
      <c r="F92" s="654"/>
      <c r="G92" s="654"/>
      <c r="H92" s="655"/>
      <c r="I92" s="656"/>
      <c r="J92" s="657"/>
      <c r="K92" s="654"/>
      <c r="L92" s="649"/>
      <c r="M92" s="648"/>
      <c r="N92" s="648"/>
      <c r="O92" s="649"/>
    </row>
    <row r="93">
      <c r="C93" s="653"/>
      <c r="D93" s="654"/>
      <c r="E93" s="654"/>
      <c r="F93" s="654"/>
      <c r="G93" s="654"/>
      <c r="H93" s="655"/>
      <c r="I93" s="656"/>
      <c r="J93" s="657"/>
      <c r="K93" s="654"/>
      <c r="L93" s="649"/>
      <c r="M93" s="648"/>
      <c r="N93" s="648"/>
      <c r="O93" s="649"/>
    </row>
    <row r="94">
      <c r="C94" s="653"/>
      <c r="D94" s="654"/>
      <c r="E94" s="654"/>
      <c r="F94" s="654"/>
      <c r="G94" s="654"/>
      <c r="H94" s="655"/>
      <c r="I94" s="656"/>
      <c r="J94" s="657"/>
      <c r="K94" s="654"/>
      <c r="L94" s="649"/>
      <c r="M94" s="648"/>
      <c r="N94" s="648"/>
      <c r="O94" s="649"/>
    </row>
    <row r="95">
      <c r="C95" s="653"/>
      <c r="D95" s="654"/>
      <c r="E95" s="654"/>
      <c r="F95" s="654"/>
      <c r="G95" s="654"/>
      <c r="H95" s="655"/>
      <c r="I95" s="656"/>
      <c r="J95" s="657"/>
      <c r="K95" s="654"/>
      <c r="L95" s="649"/>
      <c r="M95" s="648"/>
      <c r="N95" s="648"/>
      <c r="O95" s="649"/>
    </row>
    <row r="96">
      <c r="C96" s="653"/>
      <c r="D96" s="654"/>
      <c r="E96" s="654"/>
      <c r="F96" s="654"/>
      <c r="G96" s="654"/>
      <c r="H96" s="655"/>
      <c r="I96" s="656"/>
      <c r="J96" s="657"/>
      <c r="K96" s="654"/>
      <c r="L96" s="649"/>
      <c r="M96" s="648"/>
      <c r="N96" s="648"/>
      <c r="O96" s="649"/>
    </row>
    <row r="97">
      <c r="C97" s="653"/>
      <c r="D97" s="654"/>
      <c r="E97" s="654"/>
      <c r="F97" s="654"/>
      <c r="G97" s="654"/>
      <c r="H97" s="655"/>
      <c r="I97" s="656"/>
      <c r="J97" s="657"/>
      <c r="K97" s="654"/>
      <c r="L97" s="649"/>
      <c r="M97" s="648"/>
      <c r="N97" s="648"/>
      <c r="O97" s="649"/>
    </row>
    <row r="98">
      <c r="C98" s="653"/>
      <c r="D98" s="654"/>
      <c r="E98" s="654"/>
      <c r="F98" s="654"/>
      <c r="G98" s="654"/>
      <c r="H98" s="655"/>
      <c r="I98" s="656"/>
      <c r="J98" s="657"/>
      <c r="K98" s="654"/>
      <c r="L98" s="649"/>
      <c r="M98" s="648"/>
      <c r="N98" s="648"/>
      <c r="O98" s="649"/>
    </row>
    <row r="99">
      <c r="C99" s="653"/>
      <c r="D99" s="654"/>
      <c r="E99" s="654"/>
      <c r="F99" s="654"/>
      <c r="G99" s="654"/>
      <c r="H99" s="655"/>
      <c r="I99" s="656"/>
      <c r="J99" s="657"/>
      <c r="K99" s="654"/>
      <c r="L99" s="649"/>
      <c r="M99" s="648"/>
      <c r="N99" s="648"/>
      <c r="O99" s="649"/>
    </row>
    <row r="100">
      <c r="C100" s="653"/>
      <c r="D100" s="654"/>
      <c r="E100" s="654"/>
      <c r="F100" s="654"/>
      <c r="G100" s="654"/>
      <c r="H100" s="655"/>
      <c r="I100" s="656"/>
      <c r="J100" s="657"/>
      <c r="K100" s="654"/>
      <c r="L100" s="649"/>
      <c r="M100" s="648"/>
      <c r="N100" s="648"/>
      <c r="O100" s="649"/>
    </row>
    <row r="101">
      <c r="C101" s="653"/>
      <c r="D101" s="654"/>
      <c r="E101" s="654"/>
      <c r="F101" s="654"/>
      <c r="G101" s="654"/>
      <c r="H101" s="655"/>
      <c r="I101" s="656"/>
      <c r="J101" s="657"/>
      <c r="K101" s="654"/>
      <c r="L101" s="649"/>
      <c r="M101" s="648"/>
      <c r="N101" s="648"/>
      <c r="O101" s="649"/>
    </row>
    <row r="102">
      <c r="C102" s="653"/>
      <c r="D102" s="654"/>
      <c r="E102" s="654"/>
      <c r="F102" s="654"/>
      <c r="G102" s="654"/>
      <c r="H102" s="655"/>
      <c r="I102" s="656"/>
      <c r="J102" s="657"/>
      <c r="K102" s="654"/>
      <c r="L102" s="649"/>
      <c r="M102" s="648"/>
      <c r="N102" s="648"/>
      <c r="O102" s="649"/>
    </row>
    <row r="103">
      <c r="C103" s="653"/>
      <c r="D103" s="654"/>
      <c r="E103" s="654"/>
      <c r="F103" s="654"/>
      <c r="G103" s="654"/>
      <c r="H103" s="655"/>
      <c r="I103" s="656"/>
      <c r="J103" s="657"/>
      <c r="K103" s="654"/>
      <c r="L103" s="649"/>
      <c r="M103" s="648"/>
      <c r="N103" s="648"/>
      <c r="O103" s="649"/>
    </row>
    <row r="104">
      <c r="C104" s="653"/>
      <c r="D104" s="654"/>
      <c r="E104" s="654"/>
      <c r="F104" s="654"/>
      <c r="G104" s="654"/>
      <c r="H104" s="655"/>
      <c r="I104" s="656"/>
      <c r="J104" s="657"/>
      <c r="K104" s="654"/>
      <c r="L104" s="649"/>
      <c r="M104" s="648"/>
      <c r="N104" s="648"/>
      <c r="O104" s="649"/>
    </row>
    <row r="105">
      <c r="C105" s="653"/>
      <c r="D105" s="654"/>
      <c r="E105" s="654"/>
      <c r="F105" s="654"/>
      <c r="G105" s="654"/>
      <c r="H105" s="655"/>
      <c r="I105" s="656"/>
      <c r="J105" s="657"/>
      <c r="K105" s="654"/>
      <c r="L105" s="649"/>
      <c r="M105" s="648"/>
      <c r="N105" s="648"/>
      <c r="O105" s="649"/>
    </row>
    <row r="106">
      <c r="C106" s="653"/>
      <c r="D106" s="654"/>
      <c r="E106" s="654"/>
      <c r="F106" s="654"/>
      <c r="G106" s="654"/>
      <c r="H106" s="655"/>
      <c r="I106" s="656"/>
      <c r="J106" s="657"/>
      <c r="K106" s="654"/>
      <c r="L106" s="649"/>
      <c r="M106" s="648"/>
      <c r="N106" s="648"/>
      <c r="O106" s="649"/>
    </row>
    <row r="107">
      <c r="C107" s="653"/>
      <c r="D107" s="654"/>
      <c r="E107" s="654"/>
      <c r="F107" s="654"/>
      <c r="G107" s="654"/>
      <c r="H107" s="655"/>
      <c r="I107" s="656"/>
      <c r="J107" s="657"/>
      <c r="K107" s="654"/>
      <c r="L107" s="649"/>
      <c r="M107" s="648"/>
      <c r="N107" s="648"/>
      <c r="O107" s="649"/>
    </row>
    <row r="108">
      <c r="C108" s="653"/>
      <c r="D108" s="654"/>
      <c r="E108" s="654"/>
      <c r="F108" s="654"/>
      <c r="G108" s="654"/>
      <c r="H108" s="655"/>
      <c r="I108" s="656"/>
      <c r="J108" s="657"/>
      <c r="K108" s="654"/>
      <c r="L108" s="649"/>
      <c r="M108" s="648"/>
      <c r="N108" s="648"/>
      <c r="O108" s="649"/>
    </row>
    <row r="109">
      <c r="C109" s="653"/>
      <c r="D109" s="654"/>
      <c r="E109" s="654"/>
      <c r="F109" s="654"/>
      <c r="G109" s="654"/>
      <c r="H109" s="655"/>
      <c r="I109" s="656"/>
      <c r="J109" s="657"/>
      <c r="K109" s="654"/>
      <c r="L109" s="649"/>
      <c r="M109" s="648"/>
      <c r="N109" s="648"/>
      <c r="O109" s="649"/>
    </row>
    <row r="110">
      <c r="C110" s="653"/>
      <c r="D110" s="654"/>
      <c r="E110" s="654"/>
      <c r="F110" s="654"/>
      <c r="G110" s="654"/>
      <c r="H110" s="655"/>
      <c r="I110" s="656"/>
      <c r="J110" s="657"/>
      <c r="K110" s="654"/>
      <c r="L110" s="649"/>
      <c r="M110" s="648"/>
      <c r="N110" s="648"/>
      <c r="O110" s="649"/>
    </row>
    <row r="111">
      <c r="C111" s="653"/>
      <c r="D111" s="654"/>
      <c r="E111" s="654"/>
      <c r="F111" s="654"/>
      <c r="G111" s="654"/>
      <c r="H111" s="655"/>
      <c r="I111" s="656"/>
      <c r="J111" s="657"/>
      <c r="K111" s="654"/>
      <c r="L111" s="649"/>
      <c r="M111" s="648"/>
      <c r="N111" s="648"/>
      <c r="O111" s="649"/>
    </row>
    <row r="112">
      <c r="C112" s="653"/>
      <c r="D112" s="654"/>
      <c r="E112" s="654"/>
      <c r="F112" s="654"/>
      <c r="G112" s="654"/>
      <c r="H112" s="655"/>
      <c r="I112" s="656"/>
      <c r="J112" s="657"/>
      <c r="K112" s="654"/>
      <c r="L112" s="649"/>
      <c r="M112" s="648"/>
      <c r="N112" s="648"/>
      <c r="O112" s="649"/>
    </row>
    <row r="113">
      <c r="C113" s="653"/>
      <c r="D113" s="654"/>
      <c r="E113" s="654"/>
      <c r="F113" s="654"/>
      <c r="G113" s="654"/>
      <c r="H113" s="655"/>
      <c r="I113" s="656"/>
      <c r="J113" s="657"/>
      <c r="K113" s="654"/>
      <c r="L113" s="649"/>
      <c r="M113" s="648"/>
      <c r="N113" s="648"/>
      <c r="O113" s="649"/>
    </row>
    <row r="114">
      <c r="C114" s="653"/>
      <c r="D114" s="654"/>
      <c r="E114" s="654"/>
      <c r="F114" s="654"/>
      <c r="G114" s="654"/>
      <c r="H114" s="655"/>
      <c r="I114" s="656"/>
      <c r="J114" s="657"/>
      <c r="K114" s="654"/>
      <c r="L114" s="649"/>
      <c r="M114" s="648"/>
      <c r="N114" s="648"/>
      <c r="O114" s="649"/>
    </row>
    <row r="115">
      <c r="C115" s="653"/>
      <c r="D115" s="654"/>
      <c r="E115" s="654"/>
      <c r="F115" s="654"/>
      <c r="G115" s="654"/>
      <c r="H115" s="655"/>
      <c r="I115" s="656"/>
      <c r="J115" s="657"/>
      <c r="K115" s="654"/>
      <c r="L115" s="649"/>
      <c r="M115" s="648"/>
      <c r="N115" s="648"/>
      <c r="O115" s="649"/>
    </row>
    <row r="116">
      <c r="C116" s="653"/>
      <c r="D116" s="654"/>
      <c r="E116" s="654"/>
      <c r="F116" s="654"/>
      <c r="G116" s="654"/>
      <c r="H116" s="655"/>
      <c r="I116" s="656"/>
      <c r="J116" s="657"/>
      <c r="K116" s="654"/>
      <c r="L116" s="649"/>
      <c r="M116" s="648"/>
      <c r="N116" s="648"/>
      <c r="O116" s="649"/>
    </row>
    <row r="117">
      <c r="C117" s="653"/>
      <c r="D117" s="654"/>
      <c r="E117" s="654"/>
      <c r="F117" s="654"/>
      <c r="G117" s="654"/>
      <c r="H117" s="655"/>
      <c r="I117" s="656"/>
      <c r="J117" s="657"/>
      <c r="K117" s="654"/>
      <c r="L117" s="649"/>
      <c r="M117" s="648"/>
      <c r="N117" s="648"/>
      <c r="O117" s="649"/>
    </row>
    <row r="118">
      <c r="C118" s="653"/>
      <c r="D118" s="654"/>
      <c r="E118" s="654"/>
      <c r="F118" s="654"/>
      <c r="G118" s="654"/>
      <c r="H118" s="655"/>
      <c r="I118" s="656"/>
      <c r="J118" s="657"/>
      <c r="K118" s="654"/>
      <c r="L118" s="649"/>
      <c r="M118" s="648"/>
      <c r="N118" s="648"/>
      <c r="O118" s="649"/>
    </row>
    <row r="119">
      <c r="C119" s="653"/>
      <c r="D119" s="654"/>
      <c r="E119" s="654"/>
      <c r="F119" s="654"/>
      <c r="G119" s="654"/>
      <c r="H119" s="655"/>
      <c r="I119" s="656"/>
      <c r="J119" s="657"/>
      <c r="K119" s="654"/>
      <c r="L119" s="649"/>
      <c r="M119" s="648"/>
      <c r="N119" s="648"/>
      <c r="O119" s="649"/>
    </row>
    <row r="120">
      <c r="C120" s="653"/>
      <c r="D120" s="654"/>
      <c r="E120" s="654"/>
      <c r="F120" s="654"/>
      <c r="G120" s="654"/>
      <c r="H120" s="655"/>
      <c r="I120" s="656"/>
      <c r="J120" s="657"/>
      <c r="K120" s="654"/>
      <c r="L120" s="649"/>
      <c r="M120" s="648"/>
      <c r="N120" s="648"/>
      <c r="O120" s="649"/>
    </row>
    <row r="121">
      <c r="C121" s="653"/>
      <c r="D121" s="654"/>
      <c r="E121" s="654"/>
      <c r="F121" s="654"/>
      <c r="G121" s="654"/>
      <c r="H121" s="655"/>
      <c r="I121" s="656"/>
      <c r="J121" s="657"/>
      <c r="K121" s="654"/>
      <c r="L121" s="649"/>
      <c r="M121" s="648"/>
      <c r="N121" s="648"/>
      <c r="O121" s="649"/>
    </row>
    <row r="122">
      <c r="C122" s="653"/>
      <c r="D122" s="654"/>
      <c r="E122" s="654"/>
      <c r="F122" s="654"/>
      <c r="G122" s="654"/>
      <c r="H122" s="655"/>
      <c r="I122" s="656"/>
      <c r="J122" s="657"/>
      <c r="K122" s="654"/>
      <c r="L122" s="649"/>
      <c r="M122" s="648"/>
      <c r="N122" s="648"/>
      <c r="O122" s="649"/>
    </row>
    <row r="123">
      <c r="C123" s="653"/>
      <c r="D123" s="654"/>
      <c r="E123" s="654"/>
      <c r="F123" s="654"/>
      <c r="G123" s="654"/>
      <c r="H123" s="655"/>
      <c r="I123" s="656"/>
      <c r="J123" s="657"/>
      <c r="K123" s="654"/>
      <c r="L123" s="649"/>
      <c r="M123" s="648"/>
      <c r="N123" s="648"/>
      <c r="O123" s="649"/>
    </row>
    <row r="124">
      <c r="C124" s="653"/>
      <c r="D124" s="654"/>
      <c r="E124" s="654"/>
      <c r="F124" s="654"/>
      <c r="G124" s="654"/>
      <c r="H124" s="655"/>
      <c r="I124" s="656"/>
      <c r="J124" s="657"/>
      <c r="K124" s="654"/>
      <c r="L124" s="649"/>
      <c r="M124" s="648"/>
      <c r="N124" s="648"/>
      <c r="O124" s="649"/>
    </row>
    <row r="125">
      <c r="C125" s="653"/>
      <c r="D125" s="654"/>
      <c r="E125" s="654"/>
      <c r="F125" s="654"/>
      <c r="G125" s="654"/>
      <c r="H125" s="655"/>
      <c r="I125" s="656"/>
      <c r="J125" s="657"/>
      <c r="K125" s="654"/>
      <c r="L125" s="649"/>
      <c r="M125" s="648"/>
      <c r="N125" s="648"/>
      <c r="O125" s="649"/>
    </row>
    <row r="126">
      <c r="C126" s="653"/>
      <c r="D126" s="654"/>
      <c r="E126" s="654"/>
      <c r="F126" s="654"/>
      <c r="G126" s="654"/>
      <c r="H126" s="655"/>
      <c r="I126" s="656"/>
      <c r="J126" s="657"/>
      <c r="K126" s="654"/>
      <c r="L126" s="649"/>
      <c r="M126" s="648"/>
      <c r="N126" s="648"/>
      <c r="O126" s="649"/>
    </row>
    <row r="127">
      <c r="C127" s="653"/>
      <c r="D127" s="654"/>
      <c r="E127" s="654"/>
      <c r="F127" s="654"/>
      <c r="G127" s="654"/>
      <c r="H127" s="655"/>
      <c r="I127" s="656"/>
      <c r="J127" s="657"/>
      <c r="K127" s="654"/>
      <c r="L127" s="649"/>
      <c r="M127" s="648"/>
      <c r="N127" s="648"/>
      <c r="O127" s="649"/>
    </row>
    <row r="128">
      <c r="C128" s="653"/>
      <c r="D128" s="654"/>
      <c r="E128" s="654"/>
      <c r="F128" s="654"/>
      <c r="G128" s="654"/>
      <c r="H128" s="655"/>
      <c r="I128" s="656"/>
      <c r="J128" s="657"/>
      <c r="K128" s="654"/>
      <c r="L128" s="649"/>
      <c r="M128" s="648"/>
      <c r="N128" s="648"/>
      <c r="O128" s="649"/>
    </row>
    <row r="129">
      <c r="C129" s="653"/>
      <c r="D129" s="654"/>
      <c r="E129" s="654"/>
      <c r="F129" s="654"/>
      <c r="G129" s="654"/>
      <c r="H129" s="655"/>
      <c r="I129" s="656"/>
      <c r="J129" s="657"/>
      <c r="K129" s="654"/>
      <c r="L129" s="649"/>
      <c r="M129" s="648"/>
      <c r="N129" s="648"/>
      <c r="O129" s="649"/>
    </row>
    <row r="130">
      <c r="C130" s="653"/>
      <c r="D130" s="654"/>
      <c r="E130" s="654"/>
      <c r="F130" s="654"/>
      <c r="G130" s="654"/>
      <c r="H130" s="655"/>
      <c r="I130" s="656"/>
      <c r="J130" s="657"/>
      <c r="K130" s="654"/>
      <c r="L130" s="649"/>
      <c r="M130" s="648"/>
      <c r="N130" s="648"/>
      <c r="O130" s="649"/>
    </row>
    <row r="131">
      <c r="C131" s="653"/>
      <c r="D131" s="654"/>
      <c r="E131" s="654"/>
      <c r="F131" s="654"/>
      <c r="G131" s="654"/>
      <c r="H131" s="655"/>
      <c r="I131" s="656"/>
      <c r="J131" s="657"/>
      <c r="K131" s="654"/>
      <c r="L131" s="649"/>
      <c r="M131" s="648"/>
      <c r="N131" s="648"/>
      <c r="O131" s="649"/>
    </row>
    <row r="132">
      <c r="C132" s="653"/>
      <c r="D132" s="654"/>
      <c r="E132" s="654"/>
      <c r="F132" s="654"/>
      <c r="G132" s="654"/>
      <c r="H132" s="655"/>
      <c r="I132" s="656"/>
      <c r="J132" s="657"/>
      <c r="K132" s="654"/>
      <c r="L132" s="649"/>
      <c r="M132" s="648"/>
      <c r="N132" s="648"/>
      <c r="O132" s="649"/>
    </row>
    <row r="133">
      <c r="C133" s="653"/>
      <c r="D133" s="654"/>
      <c r="E133" s="654"/>
      <c r="F133" s="654"/>
      <c r="G133" s="654"/>
      <c r="H133" s="655"/>
      <c r="I133" s="656"/>
      <c r="J133" s="657"/>
      <c r="K133" s="654"/>
      <c r="L133" s="649"/>
      <c r="M133" s="648"/>
      <c r="N133" s="648"/>
      <c r="O133" s="649"/>
    </row>
    <row r="134">
      <c r="C134" s="653"/>
      <c r="D134" s="654"/>
      <c r="E134" s="654"/>
      <c r="F134" s="654"/>
      <c r="G134" s="654"/>
      <c r="H134" s="655"/>
      <c r="I134" s="656"/>
      <c r="J134" s="657"/>
      <c r="K134" s="654"/>
      <c r="L134" s="649"/>
      <c r="M134" s="648"/>
      <c r="N134" s="648"/>
      <c r="O134" s="649"/>
    </row>
    <row r="135">
      <c r="C135" s="653"/>
      <c r="D135" s="654"/>
      <c r="E135" s="654"/>
      <c r="F135" s="654"/>
      <c r="G135" s="654"/>
      <c r="H135" s="655"/>
      <c r="I135" s="656"/>
      <c r="J135" s="657"/>
      <c r="K135" s="654"/>
      <c r="L135" s="649"/>
      <c r="M135" s="648"/>
      <c r="N135" s="648"/>
      <c r="O135" s="649"/>
    </row>
    <row r="136">
      <c r="C136" s="653"/>
      <c r="D136" s="654"/>
      <c r="E136" s="654"/>
      <c r="F136" s="654"/>
      <c r="G136" s="654"/>
      <c r="H136" s="655"/>
      <c r="I136" s="656"/>
      <c r="J136" s="657"/>
      <c r="K136" s="654"/>
      <c r="L136" s="649"/>
      <c r="M136" s="648"/>
      <c r="N136" s="648"/>
      <c r="O136" s="649"/>
    </row>
    <row r="137">
      <c r="C137" s="653"/>
      <c r="D137" s="654"/>
      <c r="E137" s="654"/>
      <c r="F137" s="654"/>
      <c r="G137" s="654"/>
      <c r="H137" s="655"/>
      <c r="I137" s="656"/>
      <c r="J137" s="657"/>
      <c r="K137" s="654"/>
      <c r="L137" s="649"/>
      <c r="M137" s="648"/>
      <c r="N137" s="648"/>
      <c r="O137" s="649"/>
    </row>
    <row r="138">
      <c r="C138" s="653"/>
      <c r="D138" s="654"/>
      <c r="E138" s="654"/>
      <c r="F138" s="654"/>
      <c r="G138" s="654"/>
      <c r="H138" s="655"/>
      <c r="I138" s="656"/>
      <c r="J138" s="657"/>
      <c r="K138" s="654"/>
      <c r="L138" s="649"/>
      <c r="M138" s="648"/>
      <c r="N138" s="648"/>
      <c r="O138" s="649"/>
    </row>
    <row r="139">
      <c r="C139" s="653"/>
      <c r="D139" s="654"/>
      <c r="E139" s="654"/>
      <c r="F139" s="654"/>
      <c r="G139" s="654"/>
      <c r="H139" s="655"/>
      <c r="I139" s="656"/>
      <c r="J139" s="657"/>
      <c r="K139" s="654"/>
      <c r="L139" s="649"/>
      <c r="M139" s="648"/>
      <c r="N139" s="648"/>
      <c r="O139" s="649"/>
    </row>
    <row r="140">
      <c r="C140" s="653"/>
      <c r="D140" s="654"/>
      <c r="E140" s="654"/>
      <c r="F140" s="654"/>
      <c r="G140" s="654"/>
      <c r="H140" s="655"/>
      <c r="I140" s="656"/>
      <c r="J140" s="657"/>
      <c r="K140" s="654"/>
      <c r="L140" s="649"/>
      <c r="M140" s="648"/>
      <c r="N140" s="648"/>
      <c r="O140" s="649"/>
    </row>
    <row r="141">
      <c r="C141" s="653"/>
      <c r="D141" s="654"/>
      <c r="E141" s="654"/>
      <c r="F141" s="654"/>
      <c r="G141" s="654"/>
      <c r="H141" s="655"/>
      <c r="I141" s="656"/>
      <c r="J141" s="657"/>
      <c r="K141" s="654"/>
      <c r="L141" s="649"/>
      <c r="M141" s="648"/>
      <c r="N141" s="648"/>
      <c r="O141" s="649"/>
    </row>
    <row r="142">
      <c r="C142" s="653"/>
      <c r="D142" s="654"/>
      <c r="E142" s="654"/>
      <c r="F142" s="654"/>
      <c r="G142" s="654"/>
      <c r="H142" s="655"/>
      <c r="I142" s="656"/>
      <c r="J142" s="657"/>
      <c r="K142" s="654"/>
      <c r="L142" s="649"/>
      <c r="M142" s="648"/>
      <c r="N142" s="648"/>
      <c r="O142" s="649"/>
    </row>
    <row r="143">
      <c r="C143" s="653"/>
      <c r="D143" s="654"/>
      <c r="E143" s="654"/>
      <c r="F143" s="654"/>
      <c r="G143" s="654"/>
      <c r="H143" s="655"/>
      <c r="I143" s="656"/>
      <c r="J143" s="657"/>
      <c r="K143" s="654"/>
      <c r="L143" s="649"/>
      <c r="M143" s="648"/>
      <c r="N143" s="648"/>
      <c r="O143" s="649"/>
    </row>
    <row r="144">
      <c r="C144" s="653"/>
      <c r="D144" s="654"/>
      <c r="E144" s="654"/>
      <c r="F144" s="654"/>
      <c r="G144" s="654"/>
      <c r="H144" s="655"/>
      <c r="I144" s="656"/>
      <c r="J144" s="657"/>
      <c r="K144" s="654"/>
      <c r="L144" s="649"/>
      <c r="M144" s="648"/>
      <c r="N144" s="648"/>
      <c r="O144" s="649"/>
    </row>
    <row r="145">
      <c r="C145" s="653"/>
      <c r="D145" s="654"/>
      <c r="E145" s="654"/>
      <c r="F145" s="654"/>
      <c r="G145" s="654"/>
      <c r="H145" s="655"/>
      <c r="I145" s="656"/>
      <c r="J145" s="657"/>
      <c r="K145" s="654"/>
      <c r="L145" s="649"/>
      <c r="M145" s="648"/>
      <c r="N145" s="648"/>
      <c r="O145" s="649"/>
    </row>
    <row r="146">
      <c r="C146" s="653"/>
      <c r="D146" s="654"/>
      <c r="E146" s="654"/>
      <c r="F146" s="654"/>
      <c r="G146" s="654"/>
      <c r="H146" s="655"/>
      <c r="I146" s="656"/>
      <c r="J146" s="657"/>
      <c r="K146" s="654"/>
      <c r="L146" s="649"/>
      <c r="M146" s="648"/>
      <c r="N146" s="648"/>
      <c r="O146" s="649"/>
    </row>
    <row r="147">
      <c r="C147" s="653"/>
      <c r="D147" s="654"/>
      <c r="E147" s="654"/>
      <c r="F147" s="654"/>
      <c r="G147" s="654"/>
      <c r="H147" s="655"/>
      <c r="I147" s="656"/>
      <c r="J147" s="657"/>
      <c r="K147" s="654"/>
      <c r="L147" s="649"/>
      <c r="M147" s="648"/>
      <c r="N147" s="648"/>
      <c r="O147" s="649"/>
    </row>
    <row r="148">
      <c r="C148" s="653"/>
      <c r="D148" s="654"/>
      <c r="E148" s="654"/>
      <c r="F148" s="654"/>
      <c r="G148" s="654"/>
      <c r="H148" s="655"/>
      <c r="I148" s="656"/>
      <c r="J148" s="657"/>
      <c r="K148" s="654"/>
      <c r="L148" s="649"/>
      <c r="M148" s="648"/>
      <c r="N148" s="648"/>
      <c r="O148" s="649"/>
    </row>
    <row r="149">
      <c r="C149" s="653"/>
      <c r="D149" s="654"/>
      <c r="E149" s="654"/>
      <c r="F149" s="654"/>
      <c r="G149" s="654"/>
      <c r="H149" s="655"/>
      <c r="I149" s="656"/>
      <c r="J149" s="657"/>
      <c r="K149" s="654"/>
      <c r="L149" s="649"/>
      <c r="M149" s="648"/>
      <c r="N149" s="648"/>
      <c r="O149" s="649"/>
    </row>
    <row r="150">
      <c r="C150" s="653"/>
      <c r="D150" s="654"/>
      <c r="E150" s="654"/>
      <c r="F150" s="654"/>
      <c r="G150" s="654"/>
      <c r="H150" s="655"/>
      <c r="I150" s="656"/>
      <c r="J150" s="657"/>
      <c r="K150" s="654"/>
      <c r="L150" s="649"/>
      <c r="M150" s="648"/>
      <c r="N150" s="648"/>
      <c r="O150" s="649"/>
    </row>
    <row r="151">
      <c r="C151" s="653"/>
      <c r="D151" s="654"/>
      <c r="E151" s="654"/>
      <c r="F151" s="654"/>
      <c r="G151" s="654"/>
      <c r="H151" s="655"/>
      <c r="I151" s="656"/>
      <c r="J151" s="657"/>
      <c r="K151" s="654"/>
      <c r="L151" s="649"/>
      <c r="M151" s="648"/>
      <c r="N151" s="648"/>
      <c r="O151" s="649"/>
    </row>
    <row r="152">
      <c r="C152" s="653"/>
      <c r="D152" s="654"/>
      <c r="E152" s="654"/>
      <c r="F152" s="654"/>
      <c r="G152" s="654"/>
      <c r="H152" s="655"/>
      <c r="I152" s="656"/>
      <c r="J152" s="657"/>
      <c r="K152" s="654"/>
      <c r="L152" s="649"/>
      <c r="M152" s="648"/>
      <c r="N152" s="648"/>
      <c r="O152" s="649"/>
    </row>
    <row r="153">
      <c r="C153" s="653"/>
      <c r="D153" s="654"/>
      <c r="E153" s="654"/>
      <c r="F153" s="654"/>
      <c r="G153" s="654"/>
      <c r="H153" s="655"/>
      <c r="I153" s="656"/>
      <c r="J153" s="657"/>
      <c r="K153" s="654"/>
      <c r="L153" s="649"/>
      <c r="M153" s="648"/>
      <c r="N153" s="648"/>
      <c r="O153" s="649"/>
    </row>
    <row r="154">
      <c r="C154" s="653"/>
      <c r="D154" s="654"/>
      <c r="E154" s="654"/>
      <c r="F154" s="654"/>
      <c r="G154" s="654"/>
      <c r="H154" s="655"/>
      <c r="I154" s="656"/>
      <c r="J154" s="657"/>
      <c r="K154" s="654"/>
      <c r="L154" s="649"/>
      <c r="M154" s="648"/>
      <c r="N154" s="648"/>
      <c r="O154" s="649"/>
    </row>
    <row r="155">
      <c r="C155" s="653"/>
      <c r="D155" s="654"/>
      <c r="E155" s="654"/>
      <c r="F155" s="654"/>
      <c r="G155" s="654"/>
      <c r="H155" s="655"/>
      <c r="I155" s="656"/>
      <c r="J155" s="657"/>
      <c r="K155" s="654"/>
      <c r="L155" s="649"/>
      <c r="M155" s="648"/>
      <c r="N155" s="648"/>
      <c r="O155" s="649"/>
    </row>
    <row r="156">
      <c r="C156" s="653"/>
      <c r="D156" s="654"/>
      <c r="E156" s="654"/>
      <c r="F156" s="654"/>
      <c r="G156" s="654"/>
      <c r="H156" s="655"/>
      <c r="I156" s="656"/>
      <c r="J156" s="657"/>
      <c r="K156" s="654"/>
      <c r="L156" s="649"/>
      <c r="M156" s="648"/>
      <c r="N156" s="648"/>
      <c r="O156" s="649"/>
    </row>
    <row r="157">
      <c r="C157" s="653"/>
      <c r="D157" s="654"/>
      <c r="E157" s="654"/>
      <c r="F157" s="654"/>
      <c r="G157" s="654"/>
      <c r="H157" s="655"/>
      <c r="I157" s="656"/>
      <c r="J157" s="657"/>
      <c r="K157" s="654"/>
      <c r="L157" s="649"/>
      <c r="M157" s="648"/>
      <c r="N157" s="648"/>
      <c r="O157" s="649"/>
    </row>
    <row r="158">
      <c r="C158" s="653"/>
      <c r="D158" s="654"/>
      <c r="E158" s="654"/>
      <c r="F158" s="654"/>
      <c r="G158" s="654"/>
      <c r="H158" s="655"/>
      <c r="I158" s="656"/>
      <c r="J158" s="657"/>
      <c r="K158" s="654"/>
      <c r="L158" s="649"/>
      <c r="M158" s="648"/>
      <c r="N158" s="648"/>
      <c r="O158" s="649"/>
    </row>
    <row r="159">
      <c r="C159" s="653"/>
      <c r="D159" s="654"/>
      <c r="E159" s="654"/>
      <c r="F159" s="654"/>
      <c r="G159" s="654"/>
      <c r="H159" s="655"/>
      <c r="I159" s="656"/>
      <c r="J159" s="657"/>
      <c r="K159" s="654"/>
      <c r="L159" s="649"/>
      <c r="M159" s="648"/>
      <c r="N159" s="648"/>
      <c r="O159" s="649"/>
    </row>
    <row r="160">
      <c r="C160" s="653"/>
      <c r="D160" s="654"/>
      <c r="E160" s="654"/>
      <c r="F160" s="654"/>
      <c r="G160" s="654"/>
      <c r="H160" s="655"/>
      <c r="I160" s="656"/>
      <c r="J160" s="657"/>
      <c r="K160" s="654"/>
      <c r="L160" s="649"/>
      <c r="M160" s="648"/>
      <c r="N160" s="648"/>
      <c r="O160" s="649"/>
    </row>
    <row r="161">
      <c r="C161" s="653"/>
      <c r="D161" s="654"/>
      <c r="E161" s="654"/>
      <c r="F161" s="654"/>
      <c r="G161" s="654"/>
      <c r="H161" s="655"/>
      <c r="I161" s="656"/>
      <c r="J161" s="657"/>
      <c r="K161" s="654"/>
      <c r="L161" s="649"/>
      <c r="M161" s="648"/>
      <c r="N161" s="648"/>
      <c r="O161" s="649"/>
    </row>
    <row r="162">
      <c r="C162" s="653"/>
      <c r="D162" s="654"/>
      <c r="E162" s="654"/>
      <c r="F162" s="654"/>
      <c r="G162" s="654"/>
      <c r="H162" s="655"/>
      <c r="I162" s="656"/>
      <c r="J162" s="657"/>
      <c r="K162" s="654"/>
      <c r="L162" s="649"/>
      <c r="M162" s="648"/>
      <c r="N162" s="648"/>
      <c r="O162" s="649"/>
    </row>
    <row r="163">
      <c r="C163" s="653"/>
      <c r="D163" s="654"/>
      <c r="E163" s="654"/>
      <c r="F163" s="654"/>
      <c r="G163" s="654"/>
      <c r="H163" s="655"/>
      <c r="I163" s="656"/>
      <c r="J163" s="657"/>
      <c r="K163" s="654"/>
      <c r="L163" s="649"/>
      <c r="M163" s="648"/>
      <c r="N163" s="648"/>
      <c r="O163" s="649"/>
    </row>
    <row r="164">
      <c r="C164" s="653"/>
      <c r="D164" s="654"/>
      <c r="E164" s="654"/>
      <c r="F164" s="654"/>
      <c r="G164" s="654"/>
      <c r="H164" s="655"/>
      <c r="I164" s="656"/>
      <c r="J164" s="657"/>
      <c r="K164" s="654"/>
      <c r="L164" s="649"/>
      <c r="M164" s="648"/>
      <c r="N164" s="648"/>
      <c r="O164" s="649"/>
    </row>
    <row r="165">
      <c r="C165" s="653"/>
      <c r="D165" s="654"/>
      <c r="E165" s="654"/>
      <c r="F165" s="654"/>
      <c r="G165" s="654"/>
      <c r="H165" s="655"/>
      <c r="I165" s="656"/>
      <c r="J165" s="657"/>
      <c r="K165" s="654"/>
      <c r="L165" s="649"/>
      <c r="M165" s="648"/>
      <c r="N165" s="648"/>
      <c r="O165" s="649"/>
    </row>
    <row r="166">
      <c r="C166" s="653"/>
      <c r="D166" s="654"/>
      <c r="E166" s="654"/>
      <c r="F166" s="654"/>
      <c r="G166" s="654"/>
      <c r="H166" s="655"/>
      <c r="I166" s="656"/>
      <c r="J166" s="657"/>
      <c r="K166" s="654"/>
      <c r="L166" s="649"/>
      <c r="M166" s="648"/>
      <c r="N166" s="648"/>
      <c r="O166" s="649"/>
    </row>
    <row r="167">
      <c r="C167" s="653"/>
      <c r="D167" s="654"/>
      <c r="E167" s="654"/>
      <c r="F167" s="654"/>
      <c r="G167" s="654"/>
      <c r="H167" s="655"/>
      <c r="I167" s="656"/>
      <c r="J167" s="657"/>
      <c r="K167" s="654"/>
      <c r="L167" s="649"/>
      <c r="M167" s="648"/>
      <c r="N167" s="648"/>
      <c r="O167" s="649"/>
    </row>
    <row r="168">
      <c r="C168" s="653"/>
      <c r="D168" s="654"/>
      <c r="E168" s="654"/>
      <c r="F168" s="654"/>
      <c r="G168" s="654"/>
      <c r="H168" s="655"/>
      <c r="I168" s="656"/>
      <c r="J168" s="657"/>
      <c r="K168" s="654"/>
      <c r="L168" s="649"/>
      <c r="M168" s="648"/>
      <c r="N168" s="648"/>
      <c r="O168" s="649"/>
    </row>
    <row r="169">
      <c r="C169" s="653"/>
      <c r="D169" s="654"/>
      <c r="E169" s="654"/>
      <c r="F169" s="654"/>
      <c r="G169" s="654"/>
      <c r="H169" s="655"/>
      <c r="I169" s="656"/>
      <c r="J169" s="657"/>
      <c r="K169" s="654"/>
      <c r="L169" s="649"/>
      <c r="M169" s="648"/>
      <c r="N169" s="648"/>
      <c r="O169" s="649"/>
    </row>
    <row r="170">
      <c r="C170" s="653"/>
      <c r="D170" s="654"/>
      <c r="E170" s="654"/>
      <c r="F170" s="654"/>
      <c r="G170" s="654"/>
      <c r="H170" s="655"/>
      <c r="I170" s="656"/>
      <c r="J170" s="657"/>
      <c r="K170" s="654"/>
      <c r="L170" s="649"/>
      <c r="M170" s="648"/>
      <c r="N170" s="648"/>
      <c r="O170" s="649"/>
    </row>
    <row r="171">
      <c r="C171" s="653"/>
      <c r="D171" s="654"/>
      <c r="E171" s="654"/>
      <c r="F171" s="654"/>
      <c r="G171" s="654"/>
      <c r="H171" s="655"/>
      <c r="I171" s="656"/>
      <c r="J171" s="657"/>
      <c r="K171" s="654"/>
      <c r="L171" s="649"/>
      <c r="M171" s="648"/>
      <c r="N171" s="648"/>
      <c r="O171" s="649"/>
    </row>
    <row r="172">
      <c r="C172" s="653"/>
      <c r="D172" s="654"/>
      <c r="E172" s="654"/>
      <c r="F172" s="654"/>
      <c r="G172" s="654"/>
      <c r="H172" s="655"/>
      <c r="I172" s="656"/>
      <c r="J172" s="657"/>
      <c r="K172" s="654"/>
      <c r="L172" s="649"/>
      <c r="M172" s="648"/>
      <c r="N172" s="648"/>
      <c r="O172" s="649"/>
    </row>
    <row r="173">
      <c r="C173" s="653"/>
      <c r="D173" s="654"/>
      <c r="E173" s="654"/>
      <c r="F173" s="654"/>
      <c r="G173" s="654"/>
      <c r="H173" s="655"/>
      <c r="I173" s="656"/>
      <c r="J173" s="657"/>
      <c r="K173" s="654"/>
      <c r="L173" s="649"/>
      <c r="M173" s="648"/>
      <c r="N173" s="648"/>
      <c r="O173" s="649"/>
    </row>
    <row r="174">
      <c r="C174" s="653"/>
      <c r="D174" s="654"/>
      <c r="E174" s="654"/>
      <c r="F174" s="654"/>
      <c r="G174" s="654"/>
      <c r="H174" s="655"/>
      <c r="I174" s="656"/>
      <c r="J174" s="657"/>
      <c r="K174" s="654"/>
      <c r="L174" s="649"/>
      <c r="M174" s="648"/>
      <c r="N174" s="648"/>
      <c r="O174" s="649"/>
    </row>
    <row r="175">
      <c r="C175" s="653"/>
      <c r="D175" s="654"/>
      <c r="E175" s="654"/>
      <c r="F175" s="654"/>
      <c r="G175" s="654"/>
      <c r="H175" s="655"/>
      <c r="I175" s="656"/>
      <c r="J175" s="657"/>
      <c r="K175" s="654"/>
      <c r="L175" s="649"/>
      <c r="M175" s="648"/>
      <c r="N175" s="648"/>
      <c r="O175" s="649"/>
    </row>
    <row r="176">
      <c r="C176" s="653"/>
      <c r="D176" s="654"/>
      <c r="E176" s="654"/>
      <c r="F176" s="654"/>
      <c r="G176" s="654"/>
      <c r="H176" s="655"/>
      <c r="I176" s="656"/>
      <c r="J176" s="657"/>
      <c r="K176" s="654"/>
      <c r="L176" s="649"/>
      <c r="M176" s="648"/>
      <c r="N176" s="648"/>
      <c r="O176" s="649"/>
    </row>
    <row r="177">
      <c r="C177" s="653"/>
      <c r="D177" s="654"/>
      <c r="E177" s="654"/>
      <c r="F177" s="654"/>
      <c r="G177" s="654"/>
      <c r="H177" s="655"/>
      <c r="I177" s="656"/>
      <c r="J177" s="657"/>
      <c r="K177" s="654"/>
      <c r="L177" s="649"/>
      <c r="M177" s="648"/>
      <c r="N177" s="648"/>
      <c r="O177" s="649"/>
    </row>
    <row r="178">
      <c r="C178" s="653"/>
      <c r="D178" s="654"/>
      <c r="E178" s="654"/>
      <c r="F178" s="654"/>
      <c r="G178" s="654"/>
      <c r="H178" s="655"/>
      <c r="I178" s="656"/>
      <c r="J178" s="657"/>
      <c r="K178" s="654"/>
      <c r="L178" s="649"/>
      <c r="M178" s="648"/>
      <c r="N178" s="648"/>
      <c r="O178" s="649"/>
    </row>
    <row r="179">
      <c r="C179" s="653"/>
      <c r="D179" s="654"/>
      <c r="E179" s="654"/>
      <c r="F179" s="654"/>
      <c r="G179" s="654"/>
      <c r="H179" s="655"/>
      <c r="I179" s="656"/>
      <c r="J179" s="657"/>
      <c r="K179" s="654"/>
      <c r="L179" s="649"/>
      <c r="M179" s="648"/>
      <c r="N179" s="648"/>
      <c r="O179" s="649"/>
    </row>
    <row r="180">
      <c r="C180" s="653"/>
      <c r="D180" s="654"/>
      <c r="E180" s="654"/>
      <c r="F180" s="654"/>
      <c r="G180" s="654"/>
      <c r="H180" s="655"/>
      <c r="I180" s="656"/>
      <c r="J180" s="657"/>
      <c r="K180" s="654"/>
      <c r="L180" s="649"/>
      <c r="M180" s="648"/>
      <c r="N180" s="648"/>
      <c r="O180" s="649"/>
    </row>
    <row r="181">
      <c r="C181" s="653"/>
      <c r="D181" s="654"/>
      <c r="E181" s="654"/>
      <c r="F181" s="654"/>
      <c r="G181" s="654"/>
      <c r="H181" s="655"/>
      <c r="I181" s="656"/>
      <c r="J181" s="657"/>
      <c r="K181" s="654"/>
      <c r="L181" s="649"/>
      <c r="M181" s="648"/>
      <c r="N181" s="648"/>
      <c r="O181" s="649"/>
    </row>
    <row r="182">
      <c r="C182" s="653"/>
      <c r="D182" s="654"/>
      <c r="E182" s="654"/>
      <c r="F182" s="654"/>
      <c r="G182" s="654"/>
      <c r="H182" s="655"/>
      <c r="I182" s="656"/>
      <c r="J182" s="657"/>
      <c r="K182" s="654"/>
      <c r="L182" s="649"/>
      <c r="M182" s="648"/>
      <c r="N182" s="648"/>
      <c r="O182" s="649"/>
    </row>
    <row r="183">
      <c r="C183" s="653"/>
      <c r="D183" s="654"/>
      <c r="E183" s="654"/>
      <c r="F183" s="654"/>
      <c r="G183" s="654"/>
      <c r="H183" s="655"/>
      <c r="I183" s="656"/>
      <c r="J183" s="657"/>
      <c r="K183" s="654"/>
      <c r="L183" s="649"/>
      <c r="M183" s="648"/>
      <c r="N183" s="648"/>
      <c r="O183" s="649"/>
    </row>
    <row r="184">
      <c r="C184" s="653"/>
      <c r="D184" s="654"/>
      <c r="E184" s="654"/>
      <c r="F184" s="654"/>
      <c r="G184" s="654"/>
      <c r="H184" s="655"/>
      <c r="I184" s="656"/>
      <c r="J184" s="657"/>
      <c r="K184" s="654"/>
      <c r="L184" s="649"/>
      <c r="M184" s="648"/>
      <c r="N184" s="648"/>
      <c r="O184" s="649"/>
    </row>
    <row r="185">
      <c r="C185" s="653"/>
      <c r="D185" s="654"/>
      <c r="E185" s="654"/>
      <c r="F185" s="654"/>
      <c r="G185" s="654"/>
      <c r="H185" s="655"/>
      <c r="I185" s="656"/>
      <c r="J185" s="657"/>
      <c r="K185" s="654"/>
      <c r="L185" s="649"/>
      <c r="M185" s="648"/>
      <c r="N185" s="648"/>
      <c r="O185" s="649"/>
    </row>
    <row r="186">
      <c r="C186" s="653"/>
      <c r="D186" s="654"/>
      <c r="E186" s="654"/>
      <c r="F186" s="654"/>
      <c r="G186" s="654"/>
      <c r="H186" s="655"/>
      <c r="I186" s="656"/>
      <c r="J186" s="657"/>
      <c r="K186" s="654"/>
      <c r="L186" s="649"/>
      <c r="M186" s="648"/>
      <c r="N186" s="648"/>
      <c r="O186" s="649"/>
    </row>
    <row r="187">
      <c r="C187" s="653"/>
      <c r="D187" s="654"/>
      <c r="E187" s="654"/>
      <c r="F187" s="654"/>
      <c r="G187" s="654"/>
      <c r="H187" s="655"/>
      <c r="I187" s="656"/>
      <c r="J187" s="657"/>
      <c r="K187" s="654"/>
      <c r="L187" s="649"/>
      <c r="M187" s="648"/>
      <c r="N187" s="648"/>
      <c r="O187" s="649"/>
    </row>
    <row r="188">
      <c r="C188" s="653"/>
      <c r="D188" s="654"/>
      <c r="E188" s="654"/>
      <c r="F188" s="654"/>
      <c r="G188" s="654"/>
      <c r="H188" s="655"/>
      <c r="I188" s="656"/>
      <c r="J188" s="657"/>
      <c r="K188" s="654"/>
      <c r="L188" s="649"/>
      <c r="M188" s="648"/>
      <c r="N188" s="648"/>
      <c r="O188" s="649"/>
    </row>
    <row r="189">
      <c r="C189" s="653"/>
      <c r="D189" s="654"/>
      <c r="E189" s="654"/>
      <c r="F189" s="654"/>
      <c r="G189" s="654"/>
      <c r="H189" s="655"/>
      <c r="I189" s="656"/>
      <c r="J189" s="657"/>
      <c r="K189" s="654"/>
      <c r="L189" s="649"/>
      <c r="M189" s="648"/>
      <c r="N189" s="648"/>
      <c r="O189" s="649"/>
    </row>
    <row r="190">
      <c r="C190" s="653"/>
      <c r="D190" s="654"/>
      <c r="E190" s="654"/>
      <c r="F190" s="654"/>
      <c r="G190" s="654"/>
      <c r="H190" s="655"/>
      <c r="I190" s="656"/>
      <c r="J190" s="657"/>
      <c r="K190" s="654"/>
      <c r="L190" s="649"/>
      <c r="M190" s="648"/>
      <c r="N190" s="648"/>
      <c r="O190" s="649"/>
    </row>
    <row r="191">
      <c r="C191" s="653"/>
      <c r="D191" s="654"/>
      <c r="E191" s="654"/>
      <c r="F191" s="654"/>
      <c r="G191" s="654"/>
      <c r="H191" s="655"/>
      <c r="I191" s="656"/>
      <c r="J191" s="657"/>
      <c r="K191" s="654"/>
      <c r="L191" s="649"/>
      <c r="M191" s="648"/>
      <c r="N191" s="648"/>
      <c r="O191" s="649"/>
    </row>
    <row r="192">
      <c r="C192" s="653"/>
      <c r="D192" s="654"/>
      <c r="E192" s="654"/>
      <c r="F192" s="654"/>
      <c r="G192" s="654"/>
      <c r="H192" s="655"/>
      <c r="I192" s="656"/>
      <c r="J192" s="657"/>
      <c r="K192" s="654"/>
      <c r="L192" s="649"/>
      <c r="M192" s="648"/>
      <c r="N192" s="648"/>
      <c r="O192" s="649"/>
    </row>
    <row r="193">
      <c r="C193" s="653"/>
      <c r="D193" s="654"/>
      <c r="E193" s="654"/>
      <c r="F193" s="654"/>
      <c r="G193" s="654"/>
      <c r="H193" s="655"/>
      <c r="I193" s="656"/>
      <c r="J193" s="657"/>
      <c r="K193" s="654"/>
      <c r="L193" s="649"/>
      <c r="M193" s="648"/>
      <c r="N193" s="648"/>
      <c r="O193" s="649"/>
    </row>
    <row r="194">
      <c r="C194" s="653"/>
      <c r="D194" s="654"/>
      <c r="E194" s="654"/>
      <c r="F194" s="654"/>
      <c r="G194" s="654"/>
      <c r="H194" s="655"/>
      <c r="I194" s="656"/>
      <c r="J194" s="657"/>
      <c r="K194" s="654"/>
      <c r="L194" s="649"/>
      <c r="M194" s="648"/>
      <c r="N194" s="648"/>
      <c r="O194" s="649"/>
    </row>
    <row r="195">
      <c r="C195" s="653"/>
      <c r="D195" s="654"/>
      <c r="E195" s="654"/>
      <c r="F195" s="654"/>
      <c r="G195" s="654"/>
      <c r="H195" s="655"/>
      <c r="I195" s="656"/>
      <c r="J195" s="657"/>
      <c r="K195" s="654"/>
      <c r="L195" s="649"/>
      <c r="M195" s="648"/>
      <c r="N195" s="648"/>
      <c r="O195" s="649"/>
    </row>
    <row r="196">
      <c r="C196" s="653"/>
      <c r="D196" s="654"/>
      <c r="E196" s="654"/>
      <c r="F196" s="654"/>
      <c r="G196" s="654"/>
      <c r="H196" s="655"/>
      <c r="I196" s="656"/>
      <c r="J196" s="657"/>
      <c r="K196" s="654"/>
      <c r="L196" s="649"/>
      <c r="M196" s="648"/>
      <c r="N196" s="648"/>
      <c r="O196" s="649"/>
    </row>
    <row r="197">
      <c r="C197" s="653"/>
      <c r="D197" s="654"/>
      <c r="E197" s="654"/>
      <c r="F197" s="654"/>
      <c r="G197" s="654"/>
      <c r="H197" s="655"/>
      <c r="I197" s="656"/>
      <c r="J197" s="657"/>
      <c r="K197" s="654"/>
      <c r="L197" s="649"/>
      <c r="M197" s="648"/>
      <c r="N197" s="648"/>
      <c r="O197" s="649"/>
    </row>
    <row r="198">
      <c r="C198" s="653"/>
      <c r="D198" s="654"/>
      <c r="E198" s="654"/>
      <c r="F198" s="654"/>
      <c r="G198" s="654"/>
      <c r="H198" s="655"/>
      <c r="I198" s="656"/>
      <c r="J198" s="657"/>
      <c r="K198" s="654"/>
      <c r="L198" s="649"/>
      <c r="M198" s="648"/>
      <c r="N198" s="648"/>
      <c r="O198" s="649"/>
    </row>
    <row r="199">
      <c r="C199" s="653"/>
      <c r="D199" s="654"/>
      <c r="E199" s="654"/>
      <c r="F199" s="654"/>
      <c r="G199" s="654"/>
      <c r="H199" s="655"/>
      <c r="I199" s="656"/>
      <c r="J199" s="657"/>
      <c r="K199" s="654"/>
      <c r="L199" s="649"/>
      <c r="M199" s="648"/>
      <c r="N199" s="648"/>
      <c r="O199" s="649"/>
    </row>
    <row r="200">
      <c r="C200" s="653"/>
      <c r="D200" s="654"/>
      <c r="E200" s="654"/>
      <c r="F200" s="654"/>
      <c r="G200" s="654"/>
      <c r="H200" s="655"/>
      <c r="I200" s="656"/>
      <c r="J200" s="657"/>
      <c r="K200" s="654"/>
      <c r="L200" s="649"/>
      <c r="M200" s="648"/>
      <c r="N200" s="648"/>
      <c r="O200" s="649"/>
    </row>
    <row r="201">
      <c r="C201" s="653"/>
      <c r="D201" s="654"/>
      <c r="E201" s="654"/>
      <c r="F201" s="654"/>
      <c r="G201" s="654"/>
      <c r="H201" s="655"/>
      <c r="I201" s="656"/>
      <c r="J201" s="657"/>
      <c r="K201" s="654"/>
      <c r="L201" s="649"/>
      <c r="M201" s="648"/>
      <c r="N201" s="648"/>
      <c r="O201" s="649"/>
    </row>
    <row r="202">
      <c r="C202" s="653"/>
      <c r="D202" s="654"/>
      <c r="E202" s="654"/>
      <c r="F202" s="654"/>
      <c r="G202" s="654"/>
      <c r="H202" s="655"/>
      <c r="I202" s="656"/>
      <c r="J202" s="657"/>
      <c r="K202" s="654"/>
      <c r="L202" s="649"/>
      <c r="M202" s="648"/>
      <c r="N202" s="648"/>
      <c r="O202" s="649"/>
    </row>
    <row r="203">
      <c r="C203" s="653"/>
      <c r="D203" s="654"/>
      <c r="E203" s="654"/>
      <c r="F203" s="654"/>
      <c r="G203" s="654"/>
      <c r="H203" s="655"/>
      <c r="I203" s="656"/>
      <c r="J203" s="657"/>
      <c r="K203" s="654"/>
      <c r="L203" s="649"/>
      <c r="M203" s="648"/>
      <c r="N203" s="648"/>
      <c r="O203" s="649"/>
    </row>
    <row r="204">
      <c r="C204" s="653"/>
      <c r="D204" s="654"/>
      <c r="E204" s="654"/>
      <c r="F204" s="654"/>
      <c r="G204" s="654"/>
      <c r="H204" s="655"/>
      <c r="I204" s="656"/>
      <c r="J204" s="657"/>
      <c r="K204" s="654"/>
      <c r="L204" s="649"/>
      <c r="M204" s="648"/>
      <c r="N204" s="648"/>
      <c r="O204" s="649"/>
    </row>
    <row r="205">
      <c r="C205" s="653"/>
      <c r="D205" s="654"/>
      <c r="E205" s="654"/>
      <c r="F205" s="654"/>
      <c r="G205" s="654"/>
      <c r="H205" s="655"/>
      <c r="I205" s="656"/>
      <c r="J205" s="657"/>
      <c r="K205" s="654"/>
      <c r="L205" s="649"/>
      <c r="M205" s="648"/>
      <c r="N205" s="648"/>
      <c r="O205" s="649"/>
    </row>
    <row r="206">
      <c r="C206" s="653"/>
      <c r="D206" s="654"/>
      <c r="E206" s="654"/>
      <c r="F206" s="654"/>
      <c r="G206" s="654"/>
      <c r="H206" s="655"/>
      <c r="I206" s="656"/>
      <c r="J206" s="657"/>
      <c r="K206" s="654"/>
      <c r="L206" s="649"/>
      <c r="M206" s="648"/>
      <c r="N206" s="648"/>
      <c r="O206" s="649"/>
    </row>
    <row r="207">
      <c r="C207" s="653"/>
      <c r="D207" s="654"/>
      <c r="E207" s="654"/>
      <c r="F207" s="654"/>
      <c r="G207" s="654"/>
      <c r="H207" s="655"/>
      <c r="I207" s="656"/>
      <c r="J207" s="657"/>
      <c r="K207" s="654"/>
      <c r="L207" s="649"/>
      <c r="M207" s="648"/>
      <c r="N207" s="648"/>
      <c r="O207" s="649"/>
    </row>
    <row r="208">
      <c r="C208" s="653"/>
      <c r="D208" s="654"/>
      <c r="E208" s="654"/>
      <c r="F208" s="654"/>
      <c r="G208" s="654"/>
      <c r="H208" s="655"/>
      <c r="I208" s="656"/>
      <c r="J208" s="657"/>
      <c r="K208" s="654"/>
      <c r="L208" s="649"/>
      <c r="M208" s="648"/>
      <c r="N208" s="648"/>
      <c r="O208" s="649"/>
    </row>
    <row r="209">
      <c r="C209" s="653"/>
      <c r="D209" s="654"/>
      <c r="E209" s="654"/>
      <c r="F209" s="654"/>
      <c r="G209" s="654"/>
      <c r="H209" s="655"/>
      <c r="I209" s="656"/>
      <c r="J209" s="657"/>
      <c r="K209" s="654"/>
      <c r="L209" s="649"/>
      <c r="M209" s="648"/>
      <c r="N209" s="648"/>
      <c r="O209" s="649"/>
    </row>
    <row r="210">
      <c r="C210" s="653"/>
      <c r="D210" s="654"/>
      <c r="E210" s="654"/>
      <c r="F210" s="654"/>
      <c r="G210" s="654"/>
      <c r="H210" s="655"/>
      <c r="I210" s="656"/>
      <c r="J210" s="657"/>
      <c r="K210" s="654"/>
      <c r="L210" s="649"/>
      <c r="M210" s="648"/>
      <c r="N210" s="648"/>
      <c r="O210" s="649"/>
    </row>
    <row r="211">
      <c r="C211" s="653"/>
      <c r="D211" s="654"/>
      <c r="E211" s="654"/>
      <c r="F211" s="654"/>
      <c r="G211" s="654"/>
      <c r="H211" s="655"/>
      <c r="I211" s="656"/>
      <c r="J211" s="657"/>
      <c r="K211" s="654"/>
      <c r="L211" s="649"/>
      <c r="M211" s="648"/>
      <c r="N211" s="648"/>
      <c r="O211" s="649"/>
    </row>
    <row r="212">
      <c r="C212" s="653"/>
      <c r="D212" s="654"/>
      <c r="E212" s="654"/>
      <c r="F212" s="654"/>
      <c r="G212" s="654"/>
      <c r="H212" s="655"/>
      <c r="I212" s="656"/>
      <c r="J212" s="657"/>
      <c r="K212" s="654"/>
      <c r="L212" s="649"/>
      <c r="M212" s="648"/>
      <c r="N212" s="648"/>
      <c r="O212" s="649"/>
    </row>
    <row r="213">
      <c r="C213" s="653"/>
      <c r="D213" s="654"/>
      <c r="E213" s="654"/>
      <c r="F213" s="654"/>
      <c r="G213" s="654"/>
      <c r="H213" s="655"/>
      <c r="I213" s="656"/>
      <c r="J213" s="657"/>
      <c r="K213" s="654"/>
      <c r="L213" s="649"/>
      <c r="M213" s="648"/>
      <c r="N213" s="648"/>
      <c r="O213" s="649"/>
    </row>
    <row r="214">
      <c r="C214" s="653"/>
      <c r="D214" s="654"/>
      <c r="E214" s="654"/>
      <c r="F214" s="654"/>
      <c r="G214" s="654"/>
      <c r="H214" s="655"/>
      <c r="I214" s="656"/>
      <c r="J214" s="657"/>
      <c r="K214" s="654"/>
      <c r="L214" s="649"/>
      <c r="M214" s="648"/>
      <c r="N214" s="648"/>
      <c r="O214" s="649"/>
    </row>
    <row r="215">
      <c r="C215" s="653"/>
      <c r="D215" s="654"/>
      <c r="E215" s="654"/>
      <c r="F215" s="654"/>
      <c r="G215" s="654"/>
      <c r="H215" s="655"/>
      <c r="I215" s="656"/>
      <c r="J215" s="657"/>
      <c r="K215" s="654"/>
      <c r="L215" s="649"/>
      <c r="M215" s="648"/>
      <c r="N215" s="648"/>
      <c r="O215" s="649"/>
    </row>
    <row r="216">
      <c r="C216" s="653"/>
      <c r="D216" s="654"/>
      <c r="E216" s="654"/>
      <c r="F216" s="654"/>
      <c r="G216" s="654"/>
      <c r="H216" s="655"/>
      <c r="I216" s="656"/>
      <c r="J216" s="657"/>
      <c r="K216" s="654"/>
      <c r="L216" s="649"/>
      <c r="M216" s="648"/>
      <c r="N216" s="648"/>
      <c r="O216" s="649"/>
    </row>
    <row r="217">
      <c r="C217" s="653"/>
      <c r="D217" s="654"/>
      <c r="E217" s="654"/>
      <c r="F217" s="654"/>
      <c r="G217" s="654"/>
      <c r="H217" s="655"/>
      <c r="I217" s="656"/>
      <c r="J217" s="657"/>
      <c r="K217" s="654"/>
      <c r="L217" s="649"/>
      <c r="M217" s="648"/>
      <c r="N217" s="648"/>
      <c r="O217" s="649"/>
    </row>
    <row r="218">
      <c r="C218" s="653"/>
      <c r="D218" s="654"/>
      <c r="E218" s="654"/>
      <c r="F218" s="654"/>
      <c r="G218" s="654"/>
      <c r="H218" s="655"/>
      <c r="I218" s="656"/>
      <c r="J218" s="657"/>
      <c r="K218" s="654"/>
      <c r="L218" s="649"/>
      <c r="M218" s="648"/>
      <c r="N218" s="648"/>
      <c r="O218" s="649"/>
    </row>
    <row r="219">
      <c r="C219" s="653"/>
      <c r="D219" s="654"/>
      <c r="E219" s="654"/>
      <c r="F219" s="654"/>
      <c r="G219" s="654"/>
      <c r="H219" s="655"/>
      <c r="I219" s="656"/>
      <c r="J219" s="657"/>
      <c r="K219" s="654"/>
      <c r="L219" s="649"/>
      <c r="M219" s="648"/>
      <c r="N219" s="648"/>
      <c r="O219" s="649"/>
    </row>
    <row r="220">
      <c r="C220" s="653"/>
      <c r="D220" s="654"/>
      <c r="E220" s="654"/>
      <c r="F220" s="654"/>
      <c r="G220" s="654"/>
      <c r="H220" s="655"/>
      <c r="I220" s="656"/>
      <c r="J220" s="657"/>
      <c r="K220" s="654"/>
      <c r="L220" s="649"/>
      <c r="M220" s="648"/>
      <c r="N220" s="648"/>
      <c r="O220" s="649"/>
    </row>
    <row r="221">
      <c r="C221" s="653"/>
      <c r="D221" s="654"/>
      <c r="E221" s="654"/>
      <c r="F221" s="654"/>
      <c r="G221" s="654"/>
      <c r="H221" s="655"/>
      <c r="I221" s="656"/>
      <c r="J221" s="657"/>
      <c r="K221" s="654"/>
      <c r="L221" s="649"/>
      <c r="M221" s="648"/>
      <c r="N221" s="648"/>
      <c r="O221" s="649"/>
    </row>
    <row r="222">
      <c r="C222" s="653"/>
      <c r="D222" s="654"/>
      <c r="E222" s="654"/>
      <c r="F222" s="654"/>
      <c r="G222" s="654"/>
      <c r="H222" s="655"/>
      <c r="I222" s="656"/>
      <c r="J222" s="657"/>
      <c r="K222" s="654"/>
      <c r="L222" s="649"/>
      <c r="M222" s="648"/>
      <c r="N222" s="648"/>
      <c r="O222" s="649"/>
    </row>
    <row r="223">
      <c r="C223" s="653"/>
      <c r="D223" s="654"/>
      <c r="E223" s="654"/>
      <c r="F223" s="654"/>
      <c r="G223" s="654"/>
      <c r="H223" s="655"/>
      <c r="I223" s="656"/>
      <c r="J223" s="657"/>
      <c r="K223" s="654"/>
      <c r="L223" s="649"/>
      <c r="M223" s="648"/>
      <c r="N223" s="648"/>
      <c r="O223" s="649"/>
    </row>
    <row r="224">
      <c r="C224" s="653"/>
      <c r="D224" s="654"/>
      <c r="E224" s="654"/>
      <c r="F224" s="654"/>
      <c r="G224" s="654"/>
      <c r="H224" s="655"/>
      <c r="I224" s="656"/>
      <c r="J224" s="657"/>
      <c r="K224" s="654"/>
      <c r="L224" s="649"/>
      <c r="M224" s="648"/>
      <c r="N224" s="648"/>
      <c r="O224" s="649"/>
    </row>
    <row r="225">
      <c r="C225" s="653"/>
      <c r="D225" s="654"/>
      <c r="E225" s="654"/>
      <c r="F225" s="654"/>
      <c r="G225" s="654"/>
      <c r="H225" s="655"/>
      <c r="I225" s="656"/>
      <c r="J225" s="657"/>
      <c r="K225" s="654"/>
      <c r="L225" s="649"/>
      <c r="M225" s="648"/>
      <c r="N225" s="648"/>
      <c r="O225" s="649"/>
    </row>
    <row r="226">
      <c r="C226" s="653"/>
      <c r="D226" s="654"/>
      <c r="E226" s="654"/>
      <c r="F226" s="654"/>
      <c r="G226" s="654"/>
      <c r="H226" s="655"/>
      <c r="I226" s="656"/>
      <c r="J226" s="657"/>
      <c r="K226" s="654"/>
      <c r="L226" s="649"/>
      <c r="M226" s="648"/>
      <c r="N226" s="648"/>
      <c r="O226" s="649"/>
    </row>
    <row r="227">
      <c r="C227" s="653"/>
      <c r="D227" s="654"/>
      <c r="E227" s="654"/>
      <c r="F227" s="654"/>
      <c r="G227" s="654"/>
      <c r="H227" s="655"/>
      <c r="I227" s="656"/>
      <c r="J227" s="657"/>
      <c r="K227" s="654"/>
      <c r="L227" s="649"/>
      <c r="M227" s="648"/>
      <c r="N227" s="648"/>
      <c r="O227" s="649"/>
    </row>
    <row r="228">
      <c r="C228" s="653"/>
      <c r="D228" s="654"/>
      <c r="E228" s="654"/>
      <c r="F228" s="654"/>
      <c r="G228" s="654"/>
      <c r="H228" s="655"/>
      <c r="I228" s="656"/>
      <c r="J228" s="657"/>
      <c r="K228" s="654"/>
      <c r="L228" s="649"/>
      <c r="M228" s="648"/>
      <c r="N228" s="648"/>
      <c r="O228" s="649"/>
    </row>
    <row r="229">
      <c r="C229" s="653"/>
      <c r="D229" s="654"/>
      <c r="E229" s="654"/>
      <c r="F229" s="654"/>
      <c r="G229" s="654"/>
      <c r="H229" s="655"/>
      <c r="I229" s="656"/>
      <c r="J229" s="657"/>
      <c r="K229" s="654"/>
      <c r="L229" s="649"/>
      <c r="M229" s="648"/>
      <c r="N229" s="648"/>
      <c r="O229" s="649"/>
    </row>
    <row r="230">
      <c r="C230" s="653"/>
      <c r="D230" s="654"/>
      <c r="E230" s="654"/>
      <c r="F230" s="654"/>
      <c r="G230" s="654"/>
      <c r="H230" s="655"/>
      <c r="I230" s="656"/>
      <c r="J230" s="657"/>
      <c r="K230" s="654"/>
      <c r="L230" s="649"/>
      <c r="M230" s="648"/>
      <c r="N230" s="648"/>
      <c r="O230" s="649"/>
    </row>
    <row r="231">
      <c r="C231" s="653"/>
      <c r="D231" s="654"/>
      <c r="E231" s="654"/>
      <c r="F231" s="654"/>
      <c r="G231" s="654"/>
      <c r="H231" s="655"/>
      <c r="I231" s="656"/>
      <c r="J231" s="657"/>
      <c r="K231" s="654"/>
      <c r="L231" s="649"/>
      <c r="M231" s="648"/>
      <c r="N231" s="648"/>
      <c r="O231" s="649"/>
    </row>
    <row r="232">
      <c r="C232" s="653"/>
      <c r="D232" s="654"/>
      <c r="E232" s="654"/>
      <c r="F232" s="654"/>
      <c r="G232" s="654"/>
      <c r="H232" s="655"/>
      <c r="I232" s="656"/>
      <c r="J232" s="657"/>
      <c r="K232" s="654"/>
      <c r="L232" s="649"/>
      <c r="M232" s="648"/>
      <c r="N232" s="648"/>
      <c r="O232" s="649"/>
    </row>
    <row r="233">
      <c r="C233" s="653"/>
      <c r="D233" s="654"/>
      <c r="E233" s="654"/>
      <c r="F233" s="654"/>
      <c r="G233" s="654"/>
      <c r="H233" s="655"/>
      <c r="I233" s="656"/>
      <c r="J233" s="657"/>
      <c r="K233" s="654"/>
      <c r="L233" s="649"/>
      <c r="M233" s="648"/>
      <c r="N233" s="648"/>
      <c r="O233" s="649"/>
    </row>
    <row r="234">
      <c r="C234" s="653"/>
      <c r="D234" s="654"/>
      <c r="E234" s="654"/>
      <c r="F234" s="654"/>
      <c r="G234" s="654"/>
      <c r="H234" s="655"/>
      <c r="I234" s="656"/>
      <c r="J234" s="657"/>
      <c r="K234" s="654"/>
      <c r="L234" s="649"/>
      <c r="M234" s="648"/>
      <c r="N234" s="648"/>
      <c r="O234" s="649"/>
    </row>
    <row r="235">
      <c r="C235" s="653"/>
      <c r="D235" s="654"/>
      <c r="E235" s="654"/>
      <c r="F235" s="654"/>
      <c r="G235" s="654"/>
      <c r="H235" s="655"/>
      <c r="I235" s="656"/>
      <c r="J235" s="657"/>
      <c r="K235" s="654"/>
      <c r="L235" s="649"/>
      <c r="M235" s="648"/>
      <c r="N235" s="648"/>
      <c r="O235" s="649"/>
    </row>
    <row r="236">
      <c r="C236" s="653"/>
      <c r="D236" s="654"/>
      <c r="E236" s="654"/>
      <c r="F236" s="654"/>
      <c r="G236" s="654"/>
      <c r="H236" s="655"/>
      <c r="I236" s="656"/>
      <c r="J236" s="657"/>
      <c r="K236" s="654"/>
      <c r="L236" s="649"/>
      <c r="M236" s="648"/>
      <c r="N236" s="648"/>
      <c r="O236" s="649"/>
    </row>
    <row r="237">
      <c r="C237" s="653"/>
      <c r="D237" s="654"/>
      <c r="E237" s="654"/>
      <c r="F237" s="654"/>
      <c r="G237" s="654"/>
      <c r="H237" s="655"/>
      <c r="I237" s="656"/>
      <c r="J237" s="657"/>
      <c r="K237" s="654"/>
      <c r="L237" s="649"/>
      <c r="M237" s="648"/>
      <c r="N237" s="648"/>
      <c r="O237" s="649"/>
    </row>
    <row r="238">
      <c r="C238" s="653"/>
      <c r="D238" s="654"/>
      <c r="E238" s="654"/>
      <c r="F238" s="654"/>
      <c r="G238" s="654"/>
      <c r="H238" s="655"/>
      <c r="I238" s="656"/>
      <c r="J238" s="657"/>
      <c r="K238" s="654"/>
      <c r="L238" s="649"/>
      <c r="M238" s="648"/>
      <c r="N238" s="648"/>
      <c r="O238" s="649"/>
    </row>
    <row r="239">
      <c r="C239" s="653"/>
      <c r="D239" s="654"/>
      <c r="E239" s="654"/>
      <c r="F239" s="654"/>
      <c r="G239" s="654"/>
      <c r="H239" s="655"/>
      <c r="I239" s="656"/>
      <c r="J239" s="657"/>
      <c r="K239" s="654"/>
      <c r="L239" s="649"/>
      <c r="M239" s="648"/>
      <c r="N239" s="648"/>
      <c r="O239" s="649"/>
    </row>
    <row r="240">
      <c r="C240" s="653"/>
      <c r="D240" s="654"/>
      <c r="E240" s="654"/>
      <c r="F240" s="654"/>
      <c r="G240" s="654"/>
      <c r="H240" s="655"/>
      <c r="I240" s="656"/>
      <c r="J240" s="657"/>
      <c r="K240" s="654"/>
      <c r="L240" s="649"/>
      <c r="M240" s="648"/>
      <c r="N240" s="648"/>
      <c r="O240" s="649"/>
    </row>
    <row r="241">
      <c r="C241" s="653"/>
      <c r="D241" s="654"/>
      <c r="E241" s="654"/>
      <c r="F241" s="654"/>
      <c r="G241" s="654"/>
      <c r="H241" s="655"/>
      <c r="I241" s="656"/>
      <c r="J241" s="657"/>
      <c r="K241" s="654"/>
      <c r="L241" s="649"/>
      <c r="M241" s="648"/>
      <c r="N241" s="648"/>
      <c r="O241" s="649"/>
    </row>
    <row r="242">
      <c r="C242" s="653"/>
      <c r="D242" s="654"/>
      <c r="E242" s="654"/>
      <c r="F242" s="654"/>
      <c r="G242" s="654"/>
      <c r="H242" s="655"/>
      <c r="I242" s="656"/>
      <c r="J242" s="657"/>
      <c r="K242" s="654"/>
      <c r="L242" s="649"/>
      <c r="M242" s="648"/>
      <c r="N242" s="648"/>
      <c r="O242" s="649"/>
    </row>
    <row r="243">
      <c r="C243" s="653"/>
      <c r="D243" s="654"/>
      <c r="E243" s="654"/>
      <c r="F243" s="654"/>
      <c r="G243" s="654"/>
      <c r="H243" s="655"/>
      <c r="I243" s="656"/>
      <c r="J243" s="657"/>
      <c r="K243" s="654"/>
      <c r="L243" s="649"/>
      <c r="M243" s="648"/>
      <c r="N243" s="648"/>
      <c r="O243" s="649"/>
    </row>
    <row r="244">
      <c r="C244" s="653"/>
      <c r="D244" s="654"/>
      <c r="E244" s="654"/>
      <c r="F244" s="654"/>
      <c r="G244" s="654"/>
      <c r="H244" s="655"/>
      <c r="I244" s="656"/>
      <c r="J244" s="657"/>
      <c r="K244" s="654"/>
      <c r="L244" s="649"/>
      <c r="M244" s="648"/>
      <c r="N244" s="648"/>
      <c r="O244" s="649"/>
    </row>
    <row r="245">
      <c r="C245" s="653"/>
      <c r="D245" s="654"/>
      <c r="E245" s="654"/>
      <c r="F245" s="654"/>
      <c r="G245" s="654"/>
      <c r="H245" s="655"/>
      <c r="I245" s="656"/>
      <c r="J245" s="657"/>
      <c r="K245" s="654"/>
      <c r="L245" s="649"/>
      <c r="M245" s="648"/>
      <c r="N245" s="648"/>
      <c r="O245" s="649"/>
    </row>
    <row r="246">
      <c r="C246" s="653"/>
      <c r="D246" s="654"/>
      <c r="E246" s="654"/>
      <c r="F246" s="654"/>
      <c r="G246" s="654"/>
      <c r="H246" s="655"/>
      <c r="I246" s="656"/>
      <c r="J246" s="657"/>
      <c r="K246" s="654"/>
      <c r="L246" s="649"/>
      <c r="M246" s="648"/>
      <c r="N246" s="648"/>
      <c r="O246" s="649"/>
    </row>
    <row r="247">
      <c r="C247" s="653"/>
      <c r="D247" s="654"/>
      <c r="E247" s="654"/>
      <c r="F247" s="654"/>
      <c r="G247" s="654"/>
      <c r="H247" s="655"/>
      <c r="I247" s="656"/>
      <c r="J247" s="657"/>
      <c r="K247" s="654"/>
      <c r="L247" s="649"/>
      <c r="M247" s="648"/>
      <c r="N247" s="648"/>
      <c r="O247" s="649"/>
    </row>
    <row r="248">
      <c r="C248" s="653"/>
      <c r="D248" s="654"/>
      <c r="E248" s="654"/>
      <c r="F248" s="654"/>
      <c r="G248" s="654"/>
      <c r="H248" s="655"/>
      <c r="I248" s="656"/>
      <c r="J248" s="657"/>
      <c r="K248" s="654"/>
      <c r="L248" s="649"/>
      <c r="M248" s="648"/>
      <c r="N248" s="648"/>
      <c r="O248" s="649"/>
    </row>
    <row r="249">
      <c r="C249" s="653"/>
      <c r="D249" s="654"/>
      <c r="E249" s="654"/>
      <c r="F249" s="654"/>
      <c r="G249" s="654"/>
      <c r="H249" s="655"/>
      <c r="I249" s="656"/>
      <c r="J249" s="657"/>
      <c r="K249" s="654"/>
      <c r="L249" s="649"/>
      <c r="M249" s="648"/>
      <c r="N249" s="648"/>
      <c r="O249" s="649"/>
    </row>
    <row r="250">
      <c r="C250" s="653"/>
      <c r="D250" s="654"/>
      <c r="E250" s="654"/>
      <c r="F250" s="654"/>
      <c r="G250" s="654"/>
      <c r="H250" s="655"/>
      <c r="I250" s="656"/>
      <c r="J250" s="657"/>
      <c r="K250" s="654"/>
      <c r="L250" s="649"/>
      <c r="M250" s="648"/>
      <c r="N250" s="648"/>
      <c r="O250" s="649"/>
    </row>
    <row r="251">
      <c r="C251" s="653"/>
      <c r="D251" s="654"/>
      <c r="E251" s="654"/>
      <c r="F251" s="654"/>
      <c r="G251" s="654"/>
      <c r="H251" s="655"/>
      <c r="I251" s="656"/>
      <c r="J251" s="657"/>
      <c r="K251" s="654"/>
      <c r="L251" s="649"/>
      <c r="M251" s="648"/>
      <c r="N251" s="648"/>
      <c r="O251" s="649"/>
    </row>
    <row r="252">
      <c r="C252" s="653"/>
      <c r="D252" s="654"/>
      <c r="E252" s="654"/>
      <c r="F252" s="654"/>
      <c r="G252" s="654"/>
      <c r="H252" s="655"/>
      <c r="I252" s="656"/>
      <c r="J252" s="657"/>
      <c r="K252" s="654"/>
      <c r="L252" s="649"/>
      <c r="M252" s="648"/>
      <c r="N252" s="648"/>
      <c r="O252" s="649"/>
    </row>
    <row r="253">
      <c r="C253" s="653"/>
      <c r="D253" s="654"/>
      <c r="E253" s="654"/>
      <c r="F253" s="654"/>
      <c r="G253" s="654"/>
      <c r="H253" s="655"/>
      <c r="I253" s="656"/>
      <c r="J253" s="657"/>
      <c r="K253" s="654"/>
      <c r="L253" s="649"/>
      <c r="M253" s="648"/>
      <c r="N253" s="648"/>
      <c r="O253" s="649"/>
    </row>
    <row r="254">
      <c r="C254" s="653"/>
      <c r="D254" s="654"/>
      <c r="E254" s="654"/>
      <c r="F254" s="654"/>
      <c r="G254" s="654"/>
      <c r="H254" s="655"/>
      <c r="I254" s="656"/>
      <c r="J254" s="657"/>
      <c r="K254" s="654"/>
      <c r="L254" s="649"/>
      <c r="M254" s="648"/>
      <c r="N254" s="648"/>
      <c r="O254" s="649"/>
    </row>
    <row r="255">
      <c r="C255" s="653"/>
      <c r="D255" s="654"/>
      <c r="E255" s="654"/>
      <c r="F255" s="654"/>
      <c r="G255" s="654"/>
      <c r="H255" s="655"/>
      <c r="I255" s="656"/>
      <c r="J255" s="657"/>
      <c r="K255" s="654"/>
      <c r="L255" s="649"/>
      <c r="M255" s="648"/>
      <c r="N255" s="648"/>
      <c r="O255" s="649"/>
    </row>
    <row r="256">
      <c r="C256" s="653"/>
      <c r="D256" s="654"/>
      <c r="E256" s="654"/>
      <c r="F256" s="654"/>
      <c r="G256" s="654"/>
      <c r="H256" s="655"/>
      <c r="I256" s="656"/>
      <c r="J256" s="657"/>
      <c r="K256" s="654"/>
      <c r="L256" s="649"/>
      <c r="M256" s="648"/>
      <c r="N256" s="648"/>
      <c r="O256" s="649"/>
    </row>
    <row r="257">
      <c r="C257" s="653"/>
      <c r="D257" s="654"/>
      <c r="E257" s="654"/>
      <c r="F257" s="654"/>
      <c r="G257" s="654"/>
      <c r="H257" s="655"/>
      <c r="I257" s="656"/>
      <c r="J257" s="657"/>
      <c r="K257" s="654"/>
      <c r="L257" s="649"/>
      <c r="M257" s="648"/>
      <c r="N257" s="648"/>
      <c r="O257" s="649"/>
    </row>
    <row r="258">
      <c r="C258" s="653"/>
      <c r="D258" s="654"/>
      <c r="E258" s="654"/>
      <c r="F258" s="654"/>
      <c r="G258" s="654"/>
      <c r="H258" s="655"/>
      <c r="I258" s="656"/>
      <c r="J258" s="657"/>
      <c r="K258" s="654"/>
      <c r="L258" s="649"/>
      <c r="M258" s="648"/>
      <c r="N258" s="648"/>
      <c r="O258" s="649"/>
    </row>
    <row r="259">
      <c r="C259" s="653"/>
      <c r="D259" s="654"/>
      <c r="E259" s="654"/>
      <c r="F259" s="654"/>
      <c r="G259" s="654"/>
      <c r="H259" s="655"/>
      <c r="I259" s="656"/>
      <c r="J259" s="657"/>
      <c r="K259" s="654"/>
      <c r="L259" s="649"/>
      <c r="M259" s="648"/>
      <c r="N259" s="648"/>
      <c r="O259" s="649"/>
    </row>
    <row r="260">
      <c r="C260" s="653"/>
      <c r="D260" s="654"/>
      <c r="E260" s="654"/>
      <c r="F260" s="654"/>
      <c r="G260" s="654"/>
      <c r="H260" s="655"/>
      <c r="I260" s="656"/>
      <c r="J260" s="657"/>
      <c r="K260" s="654"/>
      <c r="L260" s="649"/>
      <c r="M260" s="648"/>
      <c r="N260" s="648"/>
      <c r="O260" s="649"/>
    </row>
    <row r="261">
      <c r="C261" s="653"/>
      <c r="D261" s="654"/>
      <c r="E261" s="654"/>
      <c r="F261" s="654"/>
      <c r="G261" s="654"/>
      <c r="H261" s="655"/>
      <c r="I261" s="656"/>
      <c r="J261" s="657"/>
      <c r="K261" s="654"/>
      <c r="L261" s="649"/>
      <c r="M261" s="648"/>
      <c r="N261" s="648"/>
      <c r="O261" s="649"/>
    </row>
    <row r="262">
      <c r="C262" s="653"/>
      <c r="D262" s="654"/>
      <c r="E262" s="654"/>
      <c r="F262" s="654"/>
      <c r="G262" s="654"/>
      <c r="H262" s="655"/>
      <c r="I262" s="656"/>
      <c r="J262" s="657"/>
      <c r="K262" s="654"/>
      <c r="L262" s="649"/>
      <c r="M262" s="648"/>
      <c r="N262" s="648"/>
      <c r="O262" s="649"/>
    </row>
    <row r="263">
      <c r="C263" s="653"/>
      <c r="D263" s="654"/>
      <c r="E263" s="654"/>
      <c r="F263" s="654"/>
      <c r="G263" s="654"/>
      <c r="H263" s="655"/>
      <c r="I263" s="656"/>
      <c r="J263" s="657"/>
      <c r="K263" s="654"/>
      <c r="L263" s="649"/>
      <c r="M263" s="648"/>
      <c r="N263" s="648"/>
      <c r="O263" s="649"/>
    </row>
    <row r="264">
      <c r="C264" s="653"/>
      <c r="D264" s="654"/>
      <c r="E264" s="654"/>
      <c r="F264" s="654"/>
      <c r="G264" s="654"/>
      <c r="H264" s="655"/>
      <c r="I264" s="656"/>
      <c r="J264" s="657"/>
      <c r="K264" s="654"/>
      <c r="L264" s="649"/>
      <c r="M264" s="648"/>
      <c r="N264" s="648"/>
      <c r="O264" s="649"/>
    </row>
    <row r="265">
      <c r="C265" s="653"/>
      <c r="D265" s="654"/>
      <c r="E265" s="654"/>
      <c r="F265" s="654"/>
      <c r="G265" s="654"/>
      <c r="H265" s="655"/>
      <c r="I265" s="656"/>
      <c r="J265" s="657"/>
      <c r="K265" s="654"/>
      <c r="L265" s="649"/>
      <c r="M265" s="648"/>
      <c r="N265" s="648"/>
      <c r="O265" s="649"/>
    </row>
    <row r="266">
      <c r="C266" s="653"/>
      <c r="D266" s="654"/>
      <c r="E266" s="654"/>
      <c r="F266" s="654"/>
      <c r="G266" s="654"/>
      <c r="H266" s="655"/>
      <c r="I266" s="656"/>
      <c r="J266" s="657"/>
      <c r="K266" s="654"/>
      <c r="L266" s="649"/>
      <c r="M266" s="648"/>
      <c r="N266" s="648"/>
      <c r="O266" s="649"/>
    </row>
    <row r="267">
      <c r="C267" s="653"/>
      <c r="D267" s="654"/>
      <c r="E267" s="654"/>
      <c r="F267" s="654"/>
      <c r="G267" s="654"/>
      <c r="H267" s="655"/>
      <c r="I267" s="656"/>
      <c r="J267" s="657"/>
      <c r="K267" s="654"/>
      <c r="L267" s="649"/>
      <c r="M267" s="648"/>
      <c r="N267" s="648"/>
      <c r="O267" s="649"/>
    </row>
    <row r="268">
      <c r="C268" s="653"/>
      <c r="D268" s="654"/>
      <c r="E268" s="654"/>
      <c r="F268" s="654"/>
      <c r="G268" s="654"/>
      <c r="H268" s="655"/>
      <c r="I268" s="656"/>
      <c r="J268" s="657"/>
      <c r="K268" s="654"/>
      <c r="L268" s="649"/>
      <c r="M268" s="648"/>
      <c r="N268" s="648"/>
      <c r="O268" s="649"/>
    </row>
    <row r="269">
      <c r="C269" s="653"/>
      <c r="D269" s="654"/>
      <c r="E269" s="654"/>
      <c r="F269" s="654"/>
      <c r="G269" s="654"/>
      <c r="H269" s="655"/>
      <c r="I269" s="656"/>
      <c r="J269" s="657"/>
      <c r="K269" s="654"/>
      <c r="L269" s="649"/>
      <c r="M269" s="648"/>
      <c r="N269" s="648"/>
      <c r="O269" s="649"/>
    </row>
    <row r="270">
      <c r="C270" s="653"/>
      <c r="D270" s="654"/>
      <c r="E270" s="654"/>
      <c r="F270" s="654"/>
      <c r="G270" s="654"/>
      <c r="H270" s="655"/>
      <c r="I270" s="656"/>
      <c r="J270" s="657"/>
      <c r="K270" s="654"/>
      <c r="L270" s="649"/>
      <c r="M270" s="648"/>
      <c r="N270" s="648"/>
      <c r="O270" s="649"/>
    </row>
    <row r="271">
      <c r="C271" s="653"/>
      <c r="D271" s="654"/>
      <c r="E271" s="654"/>
      <c r="F271" s="654"/>
      <c r="G271" s="654"/>
      <c r="H271" s="655"/>
      <c r="I271" s="656"/>
      <c r="J271" s="657"/>
      <c r="K271" s="654"/>
      <c r="L271" s="649"/>
      <c r="M271" s="648"/>
      <c r="N271" s="648"/>
      <c r="O271" s="649"/>
    </row>
    <row r="272">
      <c r="C272" s="653"/>
      <c r="D272" s="654"/>
      <c r="E272" s="654"/>
      <c r="F272" s="654"/>
      <c r="G272" s="654"/>
      <c r="H272" s="655"/>
      <c r="I272" s="656"/>
      <c r="J272" s="657"/>
      <c r="K272" s="654"/>
      <c r="L272" s="649"/>
      <c r="M272" s="648"/>
      <c r="N272" s="648"/>
      <c r="O272" s="649"/>
    </row>
    <row r="273">
      <c r="C273" s="653"/>
      <c r="D273" s="654"/>
      <c r="E273" s="654"/>
      <c r="F273" s="654"/>
      <c r="G273" s="654"/>
      <c r="H273" s="655"/>
      <c r="I273" s="656"/>
      <c r="J273" s="657"/>
      <c r="K273" s="654"/>
      <c r="L273" s="649"/>
      <c r="M273" s="648"/>
      <c r="N273" s="648"/>
      <c r="O273" s="649"/>
    </row>
    <row r="274">
      <c r="C274" s="653"/>
      <c r="D274" s="654"/>
      <c r="E274" s="654"/>
      <c r="F274" s="654"/>
      <c r="G274" s="654"/>
      <c r="H274" s="655"/>
      <c r="I274" s="656"/>
      <c r="J274" s="657"/>
      <c r="K274" s="654"/>
      <c r="L274" s="649"/>
      <c r="M274" s="648"/>
      <c r="N274" s="648"/>
      <c r="O274" s="649"/>
    </row>
    <row r="275">
      <c r="C275" s="653"/>
      <c r="D275" s="654"/>
      <c r="E275" s="654"/>
      <c r="F275" s="654"/>
      <c r="G275" s="654"/>
      <c r="H275" s="655"/>
      <c r="I275" s="656"/>
      <c r="J275" s="657"/>
      <c r="K275" s="654"/>
      <c r="L275" s="649"/>
      <c r="M275" s="648"/>
      <c r="N275" s="648"/>
      <c r="O275" s="649"/>
    </row>
    <row r="276">
      <c r="C276" s="653"/>
      <c r="D276" s="654"/>
      <c r="E276" s="654"/>
      <c r="F276" s="654"/>
      <c r="G276" s="654"/>
      <c r="H276" s="655"/>
      <c r="I276" s="656"/>
      <c r="J276" s="657"/>
      <c r="K276" s="654"/>
      <c r="L276" s="649"/>
      <c r="M276" s="648"/>
      <c r="N276" s="648"/>
      <c r="O276" s="649"/>
    </row>
    <row r="277">
      <c r="C277" s="653"/>
      <c r="D277" s="654"/>
      <c r="E277" s="654"/>
      <c r="F277" s="654"/>
      <c r="G277" s="654"/>
      <c r="H277" s="655"/>
      <c r="I277" s="656"/>
      <c r="J277" s="657"/>
      <c r="K277" s="654"/>
      <c r="L277" s="649"/>
      <c r="M277" s="648"/>
      <c r="N277" s="648"/>
      <c r="O277" s="649"/>
    </row>
    <row r="278">
      <c r="C278" s="653"/>
      <c r="D278" s="654"/>
      <c r="E278" s="654"/>
      <c r="F278" s="654"/>
      <c r="G278" s="654"/>
      <c r="H278" s="655"/>
      <c r="I278" s="656"/>
      <c r="J278" s="657"/>
      <c r="K278" s="654"/>
      <c r="L278" s="649"/>
      <c r="M278" s="648"/>
      <c r="N278" s="648"/>
      <c r="O278" s="649"/>
    </row>
    <row r="279">
      <c r="C279" s="653"/>
      <c r="D279" s="654"/>
      <c r="E279" s="654"/>
      <c r="F279" s="654"/>
      <c r="G279" s="654"/>
      <c r="H279" s="655"/>
      <c r="I279" s="656"/>
      <c r="J279" s="657"/>
      <c r="K279" s="654"/>
      <c r="L279" s="649"/>
      <c r="M279" s="648"/>
      <c r="N279" s="648"/>
      <c r="O279" s="649"/>
    </row>
    <row r="280">
      <c r="C280" s="653"/>
      <c r="D280" s="654"/>
      <c r="E280" s="654"/>
      <c r="F280" s="654"/>
      <c r="G280" s="654"/>
      <c r="H280" s="655"/>
      <c r="I280" s="656"/>
      <c r="J280" s="657"/>
      <c r="K280" s="654"/>
      <c r="L280" s="649"/>
      <c r="M280" s="648"/>
      <c r="N280" s="648"/>
      <c r="O280" s="649"/>
    </row>
    <row r="281">
      <c r="C281" s="653"/>
      <c r="D281" s="654"/>
      <c r="E281" s="654"/>
      <c r="F281" s="654"/>
      <c r="G281" s="654"/>
      <c r="H281" s="655"/>
      <c r="I281" s="656"/>
      <c r="J281" s="657"/>
      <c r="K281" s="654"/>
      <c r="L281" s="649"/>
      <c r="M281" s="648"/>
      <c r="N281" s="648"/>
      <c r="O281" s="649"/>
    </row>
    <row r="282">
      <c r="C282" s="653"/>
      <c r="D282" s="654"/>
      <c r="E282" s="654"/>
      <c r="F282" s="654"/>
      <c r="G282" s="654"/>
      <c r="H282" s="655"/>
      <c r="I282" s="656"/>
      <c r="J282" s="657"/>
      <c r="K282" s="654"/>
      <c r="L282" s="649"/>
      <c r="M282" s="648"/>
      <c r="N282" s="648"/>
      <c r="O282" s="649"/>
    </row>
    <row r="283">
      <c r="C283" s="653"/>
      <c r="D283" s="654"/>
      <c r="E283" s="654"/>
      <c r="F283" s="654"/>
      <c r="G283" s="654"/>
      <c r="H283" s="655"/>
      <c r="I283" s="656"/>
      <c r="J283" s="657"/>
      <c r="K283" s="654"/>
      <c r="L283" s="649"/>
      <c r="M283" s="648"/>
      <c r="N283" s="648"/>
      <c r="O283" s="649"/>
    </row>
    <row r="284">
      <c r="C284" s="653"/>
      <c r="D284" s="654"/>
      <c r="E284" s="654"/>
      <c r="F284" s="654"/>
      <c r="G284" s="654"/>
      <c r="H284" s="655"/>
      <c r="I284" s="656"/>
      <c r="J284" s="657"/>
      <c r="K284" s="654"/>
      <c r="L284" s="649"/>
      <c r="M284" s="648"/>
      <c r="N284" s="648"/>
      <c r="O284" s="649"/>
    </row>
    <row r="285">
      <c r="C285" s="653"/>
      <c r="D285" s="654"/>
      <c r="E285" s="654"/>
      <c r="F285" s="654"/>
      <c r="G285" s="654"/>
      <c r="H285" s="655"/>
      <c r="I285" s="656"/>
      <c r="J285" s="657"/>
      <c r="K285" s="654"/>
      <c r="L285" s="649"/>
      <c r="M285" s="648"/>
      <c r="N285" s="648"/>
      <c r="O285" s="649"/>
    </row>
    <row r="286">
      <c r="C286" s="653"/>
      <c r="D286" s="654"/>
      <c r="E286" s="654"/>
      <c r="F286" s="654"/>
      <c r="G286" s="654"/>
      <c r="H286" s="655"/>
      <c r="I286" s="656"/>
      <c r="J286" s="657"/>
      <c r="K286" s="654"/>
      <c r="L286" s="649"/>
      <c r="M286" s="648"/>
      <c r="N286" s="648"/>
      <c r="O286" s="649"/>
    </row>
    <row r="287">
      <c r="C287" s="653"/>
      <c r="D287" s="654"/>
      <c r="E287" s="654"/>
      <c r="F287" s="654"/>
      <c r="G287" s="654"/>
      <c r="H287" s="655"/>
      <c r="I287" s="656"/>
      <c r="J287" s="657"/>
      <c r="K287" s="654"/>
      <c r="L287" s="649"/>
      <c r="M287" s="648"/>
      <c r="N287" s="648"/>
      <c r="O287" s="649"/>
    </row>
    <row r="288">
      <c r="C288" s="653"/>
      <c r="D288" s="654"/>
      <c r="E288" s="654"/>
      <c r="F288" s="654"/>
      <c r="G288" s="654"/>
      <c r="H288" s="655"/>
      <c r="I288" s="656"/>
      <c r="J288" s="657"/>
      <c r="K288" s="654"/>
      <c r="L288" s="649"/>
      <c r="M288" s="648"/>
      <c r="N288" s="648"/>
      <c r="O288" s="649"/>
    </row>
    <row r="289">
      <c r="C289" s="653"/>
      <c r="D289" s="654"/>
      <c r="E289" s="654"/>
      <c r="F289" s="654"/>
      <c r="G289" s="654"/>
      <c r="H289" s="655"/>
      <c r="I289" s="656"/>
      <c r="J289" s="657"/>
      <c r="K289" s="654"/>
      <c r="L289" s="649"/>
      <c r="M289" s="648"/>
      <c r="N289" s="648"/>
      <c r="O289" s="649"/>
    </row>
    <row r="290">
      <c r="C290" s="653"/>
      <c r="D290" s="654"/>
      <c r="E290" s="654"/>
      <c r="F290" s="654"/>
      <c r="G290" s="654"/>
      <c r="H290" s="655"/>
      <c r="I290" s="656"/>
      <c r="J290" s="657"/>
      <c r="K290" s="654"/>
      <c r="L290" s="649"/>
      <c r="M290" s="648"/>
      <c r="N290" s="648"/>
      <c r="O290" s="649"/>
    </row>
    <row r="291">
      <c r="C291" s="653"/>
      <c r="D291" s="654"/>
      <c r="E291" s="654"/>
      <c r="F291" s="654"/>
      <c r="G291" s="654"/>
      <c r="H291" s="655"/>
      <c r="I291" s="656"/>
      <c r="J291" s="657"/>
      <c r="K291" s="654"/>
      <c r="L291" s="649"/>
      <c r="M291" s="648"/>
      <c r="N291" s="648"/>
      <c r="O291" s="649"/>
    </row>
    <row r="292">
      <c r="C292" s="653"/>
      <c r="D292" s="654"/>
      <c r="E292" s="654"/>
      <c r="F292" s="654"/>
      <c r="G292" s="654"/>
      <c r="H292" s="655"/>
      <c r="I292" s="656"/>
      <c r="J292" s="657"/>
      <c r="K292" s="654"/>
      <c r="L292" s="649"/>
      <c r="M292" s="648"/>
      <c r="N292" s="648"/>
      <c r="O292" s="649"/>
    </row>
    <row r="293">
      <c r="C293" s="653"/>
      <c r="D293" s="654"/>
      <c r="E293" s="654"/>
      <c r="F293" s="654"/>
      <c r="G293" s="654"/>
      <c r="H293" s="655"/>
      <c r="I293" s="656"/>
      <c r="J293" s="657"/>
      <c r="K293" s="654"/>
      <c r="L293" s="649"/>
      <c r="M293" s="648"/>
      <c r="N293" s="648"/>
      <c r="O293" s="649"/>
    </row>
    <row r="294">
      <c r="C294" s="653"/>
      <c r="D294" s="654"/>
      <c r="E294" s="654"/>
      <c r="F294" s="654"/>
      <c r="G294" s="654"/>
      <c r="H294" s="655"/>
      <c r="I294" s="656"/>
      <c r="J294" s="657"/>
      <c r="K294" s="654"/>
      <c r="L294" s="649"/>
      <c r="M294" s="648"/>
      <c r="N294" s="648"/>
      <c r="O294" s="649"/>
    </row>
    <row r="295">
      <c r="C295" s="653"/>
      <c r="D295" s="654"/>
      <c r="E295" s="654"/>
      <c r="F295" s="654"/>
      <c r="G295" s="654"/>
      <c r="H295" s="655"/>
      <c r="I295" s="656"/>
      <c r="J295" s="657"/>
      <c r="K295" s="654"/>
      <c r="L295" s="649"/>
      <c r="M295" s="648"/>
      <c r="N295" s="648"/>
      <c r="O295" s="649"/>
    </row>
    <row r="296">
      <c r="C296" s="653"/>
      <c r="D296" s="654"/>
      <c r="E296" s="654"/>
      <c r="F296" s="654"/>
      <c r="G296" s="654"/>
      <c r="H296" s="655"/>
      <c r="I296" s="656"/>
      <c r="J296" s="657"/>
      <c r="K296" s="654"/>
      <c r="L296" s="649"/>
      <c r="M296" s="648"/>
      <c r="N296" s="648"/>
      <c r="O296" s="649"/>
    </row>
    <row r="297">
      <c r="C297" s="653"/>
      <c r="D297" s="654"/>
      <c r="E297" s="654"/>
      <c r="F297" s="654"/>
      <c r="G297" s="654"/>
      <c r="H297" s="655"/>
      <c r="I297" s="656"/>
      <c r="J297" s="657"/>
      <c r="K297" s="654"/>
      <c r="L297" s="649"/>
      <c r="M297" s="648"/>
      <c r="N297" s="648"/>
      <c r="O297" s="649"/>
    </row>
    <row r="298">
      <c r="C298" s="653"/>
      <c r="D298" s="654"/>
      <c r="E298" s="654"/>
      <c r="F298" s="654"/>
      <c r="G298" s="654"/>
      <c r="H298" s="655"/>
      <c r="I298" s="656"/>
      <c r="J298" s="657"/>
      <c r="K298" s="654"/>
      <c r="L298" s="649"/>
      <c r="M298" s="648"/>
      <c r="N298" s="648"/>
      <c r="O298" s="649"/>
    </row>
    <row r="299">
      <c r="C299" s="653"/>
      <c r="D299" s="654"/>
      <c r="E299" s="654"/>
      <c r="F299" s="654"/>
      <c r="G299" s="654"/>
      <c r="H299" s="655"/>
      <c r="I299" s="656"/>
      <c r="J299" s="657"/>
      <c r="K299" s="654"/>
      <c r="L299" s="649"/>
      <c r="M299" s="648"/>
      <c r="N299" s="648"/>
      <c r="O299" s="649"/>
    </row>
    <row r="300">
      <c r="C300" s="653"/>
      <c r="D300" s="654"/>
      <c r="E300" s="654"/>
      <c r="F300" s="654"/>
      <c r="G300" s="654"/>
      <c r="H300" s="655"/>
      <c r="I300" s="656"/>
      <c r="J300" s="657"/>
      <c r="K300" s="654"/>
      <c r="L300" s="649"/>
      <c r="M300" s="648"/>
      <c r="N300" s="648"/>
      <c r="O300" s="649"/>
    </row>
    <row r="301">
      <c r="C301" s="653"/>
      <c r="D301" s="654"/>
      <c r="E301" s="654"/>
      <c r="F301" s="654"/>
      <c r="G301" s="654"/>
      <c r="H301" s="655"/>
      <c r="I301" s="656"/>
      <c r="J301" s="657"/>
      <c r="K301" s="654"/>
      <c r="L301" s="649"/>
      <c r="M301" s="648"/>
      <c r="N301" s="648"/>
      <c r="O301" s="649"/>
    </row>
    <row r="302">
      <c r="C302" s="653"/>
      <c r="D302" s="654"/>
      <c r="E302" s="654"/>
      <c r="F302" s="654"/>
      <c r="G302" s="654"/>
      <c r="H302" s="655"/>
      <c r="I302" s="656"/>
      <c r="J302" s="657"/>
      <c r="K302" s="654"/>
      <c r="L302" s="649"/>
      <c r="M302" s="648"/>
      <c r="N302" s="648"/>
      <c r="O302" s="649"/>
    </row>
    <row r="303">
      <c r="C303" s="653"/>
      <c r="D303" s="654"/>
      <c r="E303" s="654"/>
      <c r="F303" s="654"/>
      <c r="G303" s="654"/>
      <c r="H303" s="655"/>
      <c r="I303" s="656"/>
      <c r="J303" s="657"/>
      <c r="K303" s="654"/>
      <c r="L303" s="649"/>
      <c r="M303" s="648"/>
      <c r="N303" s="648"/>
      <c r="O303" s="649"/>
    </row>
    <row r="304">
      <c r="C304" s="653"/>
      <c r="D304" s="654"/>
      <c r="E304" s="654"/>
      <c r="F304" s="654"/>
      <c r="G304" s="654"/>
      <c r="H304" s="655"/>
      <c r="I304" s="656"/>
      <c r="J304" s="657"/>
      <c r="K304" s="654"/>
      <c r="L304" s="649"/>
      <c r="M304" s="648"/>
      <c r="N304" s="648"/>
      <c r="O304" s="649"/>
    </row>
    <row r="305">
      <c r="C305" s="653"/>
      <c r="D305" s="654"/>
      <c r="E305" s="654"/>
      <c r="F305" s="654"/>
      <c r="G305" s="654"/>
      <c r="H305" s="655"/>
      <c r="I305" s="656"/>
      <c r="J305" s="657"/>
      <c r="K305" s="654"/>
      <c r="L305" s="649"/>
      <c r="M305" s="648"/>
      <c r="N305" s="648"/>
      <c r="O305" s="649"/>
    </row>
    <row r="306">
      <c r="C306" s="653"/>
      <c r="D306" s="654"/>
      <c r="E306" s="654"/>
      <c r="F306" s="654"/>
      <c r="G306" s="654"/>
      <c r="H306" s="655"/>
      <c r="I306" s="656"/>
      <c r="J306" s="657"/>
      <c r="K306" s="654"/>
      <c r="L306" s="649"/>
      <c r="M306" s="648"/>
      <c r="N306" s="648"/>
      <c r="O306" s="649"/>
    </row>
    <row r="307">
      <c r="C307" s="653"/>
      <c r="D307" s="654"/>
      <c r="E307" s="654"/>
      <c r="F307" s="654"/>
      <c r="G307" s="654"/>
      <c r="H307" s="655"/>
      <c r="I307" s="656"/>
      <c r="J307" s="657"/>
      <c r="K307" s="654"/>
      <c r="L307" s="649"/>
      <c r="M307" s="648"/>
      <c r="N307" s="648"/>
      <c r="O307" s="649"/>
    </row>
    <row r="308">
      <c r="C308" s="653"/>
      <c r="D308" s="654"/>
      <c r="E308" s="654"/>
      <c r="F308" s="654"/>
      <c r="G308" s="654"/>
      <c r="H308" s="655"/>
      <c r="I308" s="656"/>
      <c r="J308" s="657"/>
      <c r="K308" s="654"/>
      <c r="L308" s="649"/>
      <c r="M308" s="648"/>
      <c r="N308" s="648"/>
      <c r="O308" s="649"/>
    </row>
    <row r="309">
      <c r="C309" s="653"/>
      <c r="D309" s="654"/>
      <c r="E309" s="654"/>
      <c r="F309" s="654"/>
      <c r="G309" s="654"/>
      <c r="H309" s="655"/>
      <c r="I309" s="656"/>
      <c r="J309" s="657"/>
      <c r="K309" s="654"/>
      <c r="L309" s="649"/>
      <c r="M309" s="648"/>
      <c r="N309" s="648"/>
      <c r="O309" s="649"/>
    </row>
    <row r="310">
      <c r="C310" s="653"/>
      <c r="D310" s="654"/>
      <c r="E310" s="654"/>
      <c r="F310" s="654"/>
      <c r="G310" s="654"/>
      <c r="H310" s="655"/>
      <c r="I310" s="656"/>
      <c r="J310" s="657"/>
      <c r="K310" s="654"/>
      <c r="L310" s="649"/>
      <c r="M310" s="648"/>
      <c r="N310" s="648"/>
      <c r="O310" s="649"/>
    </row>
    <row r="311">
      <c r="C311" s="653"/>
      <c r="D311" s="654"/>
      <c r="E311" s="654"/>
      <c r="F311" s="654"/>
      <c r="G311" s="654"/>
      <c r="H311" s="655"/>
      <c r="I311" s="656"/>
      <c r="J311" s="657"/>
      <c r="K311" s="654"/>
      <c r="L311" s="649"/>
      <c r="M311" s="648"/>
      <c r="N311" s="648"/>
      <c r="O311" s="649"/>
    </row>
    <row r="312">
      <c r="C312" s="653"/>
      <c r="D312" s="654"/>
      <c r="E312" s="654"/>
      <c r="F312" s="654"/>
      <c r="G312" s="654"/>
      <c r="H312" s="655"/>
      <c r="I312" s="656"/>
      <c r="J312" s="657"/>
      <c r="K312" s="654"/>
      <c r="L312" s="649"/>
      <c r="M312" s="648"/>
      <c r="N312" s="648"/>
      <c r="O312" s="649"/>
    </row>
    <row r="313">
      <c r="C313" s="653"/>
      <c r="D313" s="654"/>
      <c r="E313" s="654"/>
      <c r="F313" s="654"/>
      <c r="G313" s="654"/>
      <c r="H313" s="655"/>
      <c r="I313" s="656"/>
      <c r="J313" s="657"/>
      <c r="K313" s="654"/>
      <c r="L313" s="649"/>
      <c r="M313" s="648"/>
      <c r="N313" s="648"/>
      <c r="O313" s="649"/>
    </row>
    <row r="314">
      <c r="C314" s="653"/>
      <c r="D314" s="654"/>
      <c r="E314" s="654"/>
      <c r="F314" s="654"/>
      <c r="G314" s="654"/>
      <c r="H314" s="655"/>
      <c r="I314" s="656"/>
      <c r="J314" s="657"/>
      <c r="K314" s="654"/>
      <c r="L314" s="649"/>
      <c r="M314" s="648"/>
      <c r="N314" s="648"/>
      <c r="O314" s="649"/>
    </row>
    <row r="315">
      <c r="C315" s="653"/>
      <c r="D315" s="654"/>
      <c r="E315" s="654"/>
      <c r="F315" s="654"/>
      <c r="G315" s="654"/>
      <c r="H315" s="655"/>
      <c r="I315" s="656"/>
      <c r="J315" s="657"/>
      <c r="K315" s="654"/>
      <c r="L315" s="649"/>
      <c r="M315" s="648"/>
      <c r="N315" s="648"/>
      <c r="O315" s="649"/>
    </row>
    <row r="316">
      <c r="C316" s="653"/>
      <c r="D316" s="654"/>
      <c r="E316" s="654"/>
      <c r="F316" s="654"/>
      <c r="G316" s="654"/>
      <c r="H316" s="655"/>
      <c r="I316" s="656"/>
      <c r="J316" s="657"/>
      <c r="K316" s="654"/>
      <c r="L316" s="649"/>
      <c r="M316" s="648"/>
      <c r="N316" s="648"/>
      <c r="O316" s="649"/>
    </row>
    <row r="317">
      <c r="C317" s="653"/>
      <c r="D317" s="654"/>
      <c r="E317" s="654"/>
      <c r="F317" s="654"/>
      <c r="G317" s="654"/>
      <c r="H317" s="655"/>
      <c r="I317" s="656"/>
      <c r="J317" s="657"/>
      <c r="K317" s="654"/>
      <c r="L317" s="649"/>
      <c r="M317" s="648"/>
      <c r="N317" s="648"/>
      <c r="O317" s="649"/>
    </row>
    <row r="318">
      <c r="C318" s="653"/>
      <c r="D318" s="654"/>
      <c r="E318" s="654"/>
      <c r="F318" s="654"/>
      <c r="G318" s="654"/>
      <c r="H318" s="655"/>
      <c r="I318" s="656"/>
      <c r="J318" s="657"/>
      <c r="K318" s="654"/>
      <c r="L318" s="649"/>
      <c r="M318" s="648"/>
      <c r="N318" s="648"/>
      <c r="O318" s="649"/>
    </row>
    <row r="319">
      <c r="C319" s="653"/>
      <c r="D319" s="654"/>
      <c r="E319" s="654"/>
      <c r="F319" s="654"/>
      <c r="G319" s="654"/>
      <c r="H319" s="655"/>
      <c r="I319" s="656"/>
      <c r="J319" s="657"/>
      <c r="K319" s="654"/>
      <c r="L319" s="649"/>
      <c r="M319" s="648"/>
      <c r="N319" s="648"/>
      <c r="O319" s="649"/>
    </row>
    <row r="320">
      <c r="C320" s="653"/>
      <c r="D320" s="654"/>
      <c r="E320" s="654"/>
      <c r="F320" s="654"/>
      <c r="G320" s="654"/>
      <c r="H320" s="655"/>
      <c r="I320" s="656"/>
      <c r="J320" s="657"/>
      <c r="K320" s="654"/>
      <c r="L320" s="649"/>
      <c r="M320" s="648"/>
      <c r="N320" s="648"/>
      <c r="O320" s="649"/>
    </row>
    <row r="321">
      <c r="C321" s="653"/>
      <c r="D321" s="654"/>
      <c r="E321" s="654"/>
      <c r="F321" s="654"/>
      <c r="G321" s="654"/>
      <c r="H321" s="655"/>
      <c r="I321" s="656"/>
      <c r="J321" s="657"/>
      <c r="K321" s="654"/>
      <c r="L321" s="649"/>
      <c r="M321" s="648"/>
      <c r="N321" s="648"/>
      <c r="O321" s="649"/>
    </row>
    <row r="322">
      <c r="C322" s="653"/>
      <c r="D322" s="654"/>
      <c r="E322" s="654"/>
      <c r="F322" s="654"/>
      <c r="G322" s="654"/>
      <c r="H322" s="655"/>
      <c r="I322" s="656"/>
      <c r="J322" s="657"/>
      <c r="K322" s="654"/>
      <c r="L322" s="649"/>
      <c r="M322" s="648"/>
      <c r="N322" s="648"/>
      <c r="O322" s="649"/>
    </row>
    <row r="323">
      <c r="C323" s="653"/>
      <c r="D323" s="654"/>
      <c r="E323" s="654"/>
      <c r="F323" s="654"/>
      <c r="G323" s="654"/>
      <c r="H323" s="655"/>
      <c r="I323" s="656"/>
      <c r="J323" s="657"/>
      <c r="K323" s="654"/>
      <c r="L323" s="649"/>
      <c r="M323" s="648"/>
      <c r="N323" s="648"/>
      <c r="O323" s="649"/>
    </row>
    <row r="324">
      <c r="C324" s="653"/>
      <c r="D324" s="654"/>
      <c r="E324" s="654"/>
      <c r="F324" s="654"/>
      <c r="G324" s="654"/>
      <c r="H324" s="655"/>
      <c r="I324" s="656"/>
      <c r="J324" s="657"/>
      <c r="K324" s="654"/>
      <c r="L324" s="649"/>
      <c r="M324" s="648"/>
      <c r="N324" s="648"/>
      <c r="O324" s="649"/>
    </row>
    <row r="325">
      <c r="C325" s="653"/>
      <c r="D325" s="654"/>
      <c r="E325" s="654"/>
      <c r="F325" s="654"/>
      <c r="G325" s="654"/>
      <c r="H325" s="655"/>
      <c r="I325" s="656"/>
      <c r="J325" s="657"/>
      <c r="K325" s="654"/>
      <c r="L325" s="649"/>
      <c r="M325" s="648"/>
      <c r="N325" s="648"/>
      <c r="O325" s="649"/>
    </row>
    <row r="326">
      <c r="C326" s="653"/>
      <c r="D326" s="654"/>
      <c r="E326" s="654"/>
      <c r="F326" s="654"/>
      <c r="G326" s="654"/>
      <c r="H326" s="655"/>
      <c r="I326" s="656"/>
      <c r="J326" s="657"/>
      <c r="K326" s="654"/>
      <c r="L326" s="649"/>
      <c r="M326" s="648"/>
      <c r="N326" s="648"/>
      <c r="O326" s="649"/>
    </row>
    <row r="327">
      <c r="C327" s="653"/>
      <c r="D327" s="654"/>
      <c r="E327" s="654"/>
      <c r="F327" s="654"/>
      <c r="G327" s="654"/>
      <c r="H327" s="655"/>
      <c r="I327" s="656"/>
      <c r="J327" s="657"/>
      <c r="K327" s="654"/>
      <c r="L327" s="649"/>
      <c r="M327" s="648"/>
      <c r="N327" s="648"/>
      <c r="O327" s="649"/>
    </row>
    <row r="328">
      <c r="C328" s="653"/>
      <c r="D328" s="654"/>
      <c r="E328" s="654"/>
      <c r="F328" s="654"/>
      <c r="G328" s="654"/>
      <c r="H328" s="655"/>
      <c r="I328" s="656"/>
      <c r="J328" s="657"/>
      <c r="K328" s="654"/>
      <c r="L328" s="649"/>
      <c r="M328" s="648"/>
      <c r="N328" s="648"/>
      <c r="O328" s="649"/>
    </row>
    <row r="329">
      <c r="C329" s="653"/>
      <c r="D329" s="654"/>
      <c r="E329" s="654"/>
      <c r="F329" s="654"/>
      <c r="G329" s="654"/>
      <c r="H329" s="655"/>
      <c r="I329" s="656"/>
      <c r="J329" s="657"/>
      <c r="K329" s="654"/>
      <c r="L329" s="649"/>
      <c r="M329" s="648"/>
      <c r="N329" s="648"/>
      <c r="O329" s="649"/>
    </row>
    <row r="330">
      <c r="C330" s="653"/>
      <c r="D330" s="654"/>
      <c r="E330" s="654"/>
      <c r="F330" s="654"/>
      <c r="G330" s="654"/>
      <c r="H330" s="655"/>
      <c r="I330" s="656"/>
      <c r="J330" s="657"/>
      <c r="K330" s="654"/>
      <c r="L330" s="649"/>
      <c r="M330" s="648"/>
      <c r="N330" s="648"/>
      <c r="O330" s="649"/>
    </row>
    <row r="331">
      <c r="C331" s="653"/>
      <c r="D331" s="654"/>
      <c r="E331" s="654"/>
      <c r="F331" s="654"/>
      <c r="G331" s="654"/>
      <c r="H331" s="655"/>
      <c r="I331" s="656"/>
      <c r="J331" s="657"/>
      <c r="K331" s="654"/>
      <c r="L331" s="649"/>
      <c r="M331" s="648"/>
      <c r="N331" s="648"/>
      <c r="O331" s="649"/>
    </row>
    <row r="332">
      <c r="C332" s="653"/>
      <c r="D332" s="654"/>
      <c r="E332" s="654"/>
      <c r="F332" s="654"/>
      <c r="G332" s="654"/>
      <c r="H332" s="655"/>
      <c r="I332" s="656"/>
      <c r="J332" s="657"/>
      <c r="K332" s="654"/>
      <c r="L332" s="649"/>
      <c r="M332" s="648"/>
      <c r="N332" s="648"/>
      <c r="O332" s="649"/>
    </row>
    <row r="333">
      <c r="C333" s="653"/>
      <c r="D333" s="654"/>
      <c r="E333" s="654"/>
      <c r="F333" s="654"/>
      <c r="G333" s="654"/>
      <c r="H333" s="655"/>
      <c r="I333" s="656"/>
      <c r="J333" s="657"/>
      <c r="K333" s="654"/>
      <c r="L333" s="649"/>
      <c r="M333" s="648"/>
      <c r="N333" s="648"/>
      <c r="O333" s="649"/>
    </row>
    <row r="334">
      <c r="C334" s="653"/>
      <c r="D334" s="654"/>
      <c r="E334" s="654"/>
      <c r="F334" s="654"/>
      <c r="G334" s="654"/>
      <c r="H334" s="655"/>
      <c r="I334" s="656"/>
      <c r="J334" s="657"/>
      <c r="K334" s="654"/>
      <c r="L334" s="649"/>
      <c r="M334" s="648"/>
      <c r="N334" s="648"/>
      <c r="O334" s="649"/>
    </row>
    <row r="335">
      <c r="C335" s="653"/>
      <c r="D335" s="654"/>
      <c r="E335" s="654"/>
      <c r="F335" s="654"/>
      <c r="G335" s="654"/>
      <c r="H335" s="655"/>
      <c r="I335" s="656"/>
      <c r="J335" s="657"/>
      <c r="K335" s="654"/>
      <c r="L335" s="649"/>
      <c r="M335" s="648"/>
      <c r="N335" s="648"/>
      <c r="O335" s="649"/>
    </row>
    <row r="336">
      <c r="C336" s="653"/>
      <c r="D336" s="654"/>
      <c r="E336" s="654"/>
      <c r="F336" s="654"/>
      <c r="G336" s="654"/>
      <c r="H336" s="655"/>
      <c r="I336" s="656"/>
      <c r="J336" s="657"/>
      <c r="K336" s="654"/>
      <c r="L336" s="649"/>
      <c r="M336" s="648"/>
      <c r="N336" s="648"/>
      <c r="O336" s="649"/>
    </row>
    <row r="337">
      <c r="C337" s="653"/>
      <c r="D337" s="654"/>
      <c r="E337" s="654"/>
      <c r="F337" s="654"/>
      <c r="G337" s="654"/>
      <c r="H337" s="655"/>
      <c r="I337" s="656"/>
      <c r="J337" s="657"/>
      <c r="K337" s="654"/>
      <c r="L337" s="649"/>
      <c r="M337" s="648"/>
      <c r="N337" s="648"/>
      <c r="O337" s="649"/>
    </row>
    <row r="338">
      <c r="C338" s="653"/>
      <c r="D338" s="654"/>
      <c r="E338" s="654"/>
      <c r="F338" s="654"/>
      <c r="G338" s="654"/>
      <c r="H338" s="655"/>
      <c r="I338" s="656"/>
      <c r="J338" s="657"/>
      <c r="K338" s="654"/>
      <c r="L338" s="649"/>
      <c r="M338" s="648"/>
      <c r="N338" s="648"/>
      <c r="O338" s="649"/>
    </row>
    <row r="339">
      <c r="C339" s="653"/>
      <c r="D339" s="654"/>
      <c r="E339" s="654"/>
      <c r="F339" s="654"/>
      <c r="G339" s="654"/>
      <c r="H339" s="655"/>
      <c r="I339" s="656"/>
      <c r="J339" s="657"/>
      <c r="K339" s="654"/>
      <c r="L339" s="649"/>
      <c r="M339" s="648"/>
      <c r="N339" s="648"/>
      <c r="O339" s="649"/>
    </row>
    <row r="340">
      <c r="C340" s="653"/>
      <c r="D340" s="654"/>
      <c r="E340" s="654"/>
      <c r="F340" s="654"/>
      <c r="G340" s="654"/>
      <c r="H340" s="655"/>
      <c r="I340" s="656"/>
      <c r="J340" s="657"/>
      <c r="K340" s="654"/>
      <c r="L340" s="649"/>
      <c r="M340" s="648"/>
      <c r="N340" s="648"/>
      <c r="O340" s="649"/>
    </row>
    <row r="341">
      <c r="C341" s="653"/>
      <c r="D341" s="654"/>
      <c r="E341" s="654"/>
      <c r="F341" s="654"/>
      <c r="G341" s="654"/>
      <c r="H341" s="655"/>
      <c r="I341" s="656"/>
      <c r="J341" s="657"/>
      <c r="K341" s="654"/>
      <c r="L341" s="649"/>
      <c r="M341" s="648"/>
      <c r="N341" s="648"/>
      <c r="O341" s="649"/>
    </row>
    <row r="342">
      <c r="C342" s="653"/>
      <c r="D342" s="654"/>
      <c r="E342" s="654"/>
      <c r="F342" s="654"/>
      <c r="G342" s="654"/>
      <c r="H342" s="655"/>
      <c r="I342" s="656"/>
      <c r="J342" s="657"/>
      <c r="K342" s="654"/>
      <c r="L342" s="649"/>
      <c r="M342" s="648"/>
      <c r="N342" s="648"/>
      <c r="O342" s="649"/>
    </row>
    <row r="343">
      <c r="C343" s="653"/>
      <c r="D343" s="654"/>
      <c r="E343" s="654"/>
      <c r="F343" s="654"/>
      <c r="G343" s="654"/>
      <c r="H343" s="655"/>
      <c r="I343" s="656"/>
      <c r="J343" s="657"/>
      <c r="K343" s="654"/>
      <c r="L343" s="649"/>
      <c r="M343" s="648"/>
      <c r="N343" s="648"/>
      <c r="O343" s="649"/>
    </row>
    <row r="344">
      <c r="C344" s="653"/>
      <c r="D344" s="654"/>
      <c r="E344" s="654"/>
      <c r="F344" s="654"/>
      <c r="G344" s="654"/>
      <c r="H344" s="655"/>
      <c r="I344" s="656"/>
      <c r="J344" s="657"/>
      <c r="K344" s="654"/>
      <c r="L344" s="649"/>
      <c r="M344" s="648"/>
      <c r="N344" s="648"/>
      <c r="O344" s="649"/>
    </row>
    <row r="345">
      <c r="C345" s="653"/>
      <c r="D345" s="654"/>
      <c r="E345" s="654"/>
      <c r="F345" s="654"/>
      <c r="G345" s="654"/>
      <c r="H345" s="655"/>
      <c r="I345" s="656"/>
      <c r="J345" s="657"/>
      <c r="K345" s="654"/>
      <c r="L345" s="649"/>
      <c r="M345" s="648"/>
      <c r="N345" s="648"/>
      <c r="O345" s="649"/>
    </row>
    <row r="346">
      <c r="C346" s="653"/>
      <c r="D346" s="654"/>
      <c r="E346" s="654"/>
      <c r="F346" s="654"/>
      <c r="G346" s="654"/>
      <c r="H346" s="655"/>
      <c r="I346" s="656"/>
      <c r="J346" s="657"/>
      <c r="K346" s="654"/>
      <c r="L346" s="649"/>
      <c r="M346" s="648"/>
      <c r="N346" s="648"/>
      <c r="O346" s="649"/>
    </row>
    <row r="347">
      <c r="C347" s="653"/>
      <c r="D347" s="654"/>
      <c r="E347" s="654"/>
      <c r="F347" s="654"/>
      <c r="G347" s="654"/>
      <c r="H347" s="655"/>
      <c r="I347" s="656"/>
      <c r="J347" s="657"/>
      <c r="K347" s="654"/>
      <c r="L347" s="649"/>
      <c r="M347" s="648"/>
      <c r="N347" s="648"/>
      <c r="O347" s="649"/>
    </row>
    <row r="348">
      <c r="C348" s="653"/>
      <c r="D348" s="654"/>
      <c r="E348" s="654"/>
      <c r="F348" s="654"/>
      <c r="G348" s="654"/>
      <c r="H348" s="655"/>
      <c r="I348" s="656"/>
      <c r="J348" s="657"/>
      <c r="K348" s="654"/>
      <c r="L348" s="649"/>
      <c r="M348" s="648"/>
      <c r="N348" s="648"/>
      <c r="O348" s="649"/>
    </row>
    <row r="349">
      <c r="C349" s="653"/>
      <c r="D349" s="654"/>
      <c r="E349" s="654"/>
      <c r="F349" s="654"/>
      <c r="G349" s="654"/>
      <c r="H349" s="655"/>
      <c r="I349" s="656"/>
      <c r="J349" s="657"/>
      <c r="K349" s="654"/>
      <c r="L349" s="649"/>
      <c r="M349" s="648"/>
      <c r="N349" s="648"/>
      <c r="O349" s="649"/>
    </row>
    <row r="350">
      <c r="C350" s="653"/>
      <c r="D350" s="654"/>
      <c r="E350" s="654"/>
      <c r="F350" s="654"/>
      <c r="G350" s="654"/>
      <c r="H350" s="655"/>
      <c r="I350" s="656"/>
      <c r="J350" s="657"/>
      <c r="K350" s="654"/>
      <c r="L350" s="649"/>
      <c r="M350" s="648"/>
      <c r="N350" s="648"/>
      <c r="O350" s="649"/>
    </row>
    <row r="351">
      <c r="C351" s="653"/>
      <c r="D351" s="654"/>
      <c r="E351" s="654"/>
      <c r="F351" s="654"/>
      <c r="G351" s="654"/>
      <c r="H351" s="655"/>
      <c r="I351" s="656"/>
      <c r="J351" s="657"/>
      <c r="K351" s="654"/>
      <c r="L351" s="649"/>
      <c r="M351" s="648"/>
      <c r="N351" s="648"/>
      <c r="O351" s="649"/>
    </row>
    <row r="352">
      <c r="C352" s="653"/>
      <c r="D352" s="654"/>
      <c r="E352" s="654"/>
      <c r="F352" s="654"/>
      <c r="G352" s="654"/>
      <c r="H352" s="655"/>
      <c r="I352" s="656"/>
      <c r="J352" s="657"/>
      <c r="K352" s="654"/>
      <c r="L352" s="649"/>
      <c r="M352" s="648"/>
      <c r="N352" s="648"/>
      <c r="O352" s="649"/>
    </row>
    <row r="353">
      <c r="C353" s="653"/>
      <c r="D353" s="654"/>
      <c r="E353" s="654"/>
      <c r="F353" s="654"/>
      <c r="G353" s="654"/>
      <c r="H353" s="655"/>
      <c r="I353" s="656"/>
      <c r="J353" s="657"/>
      <c r="K353" s="654"/>
      <c r="L353" s="649"/>
      <c r="M353" s="648"/>
      <c r="N353" s="648"/>
      <c r="O353" s="649"/>
    </row>
    <row r="354">
      <c r="C354" s="653"/>
      <c r="D354" s="654"/>
      <c r="E354" s="654"/>
      <c r="F354" s="654"/>
      <c r="G354" s="654"/>
      <c r="H354" s="655"/>
      <c r="I354" s="656"/>
      <c r="J354" s="657"/>
      <c r="K354" s="654"/>
      <c r="L354" s="649"/>
      <c r="M354" s="648"/>
      <c r="N354" s="648"/>
      <c r="O354" s="649"/>
    </row>
    <row r="355">
      <c r="C355" s="653"/>
      <c r="D355" s="654"/>
      <c r="E355" s="654"/>
      <c r="F355" s="654"/>
      <c r="G355" s="654"/>
      <c r="H355" s="655"/>
      <c r="I355" s="656"/>
      <c r="J355" s="657"/>
      <c r="K355" s="654"/>
      <c r="L355" s="649"/>
      <c r="M355" s="648"/>
      <c r="N355" s="648"/>
      <c r="O355" s="649"/>
    </row>
    <row r="356">
      <c r="C356" s="653"/>
      <c r="D356" s="654"/>
      <c r="E356" s="654"/>
      <c r="F356" s="654"/>
      <c r="G356" s="654"/>
      <c r="H356" s="655"/>
      <c r="I356" s="656"/>
      <c r="J356" s="657"/>
      <c r="K356" s="654"/>
      <c r="L356" s="649"/>
      <c r="M356" s="648"/>
      <c r="N356" s="648"/>
      <c r="O356" s="649"/>
    </row>
    <row r="357">
      <c r="C357" s="653"/>
      <c r="D357" s="654"/>
      <c r="E357" s="654"/>
      <c r="F357" s="654"/>
      <c r="G357" s="654"/>
      <c r="H357" s="655"/>
      <c r="I357" s="656"/>
      <c r="J357" s="657"/>
      <c r="K357" s="654"/>
      <c r="L357" s="649"/>
      <c r="M357" s="648"/>
      <c r="N357" s="648"/>
      <c r="O357" s="649"/>
    </row>
    <row r="358">
      <c r="C358" s="653"/>
      <c r="D358" s="654"/>
      <c r="E358" s="654"/>
      <c r="F358" s="654"/>
      <c r="G358" s="654"/>
      <c r="H358" s="655"/>
      <c r="I358" s="656"/>
      <c r="J358" s="657"/>
      <c r="K358" s="654"/>
      <c r="L358" s="649"/>
      <c r="M358" s="648"/>
      <c r="N358" s="648"/>
      <c r="O358" s="649"/>
    </row>
    <row r="359">
      <c r="C359" s="653"/>
      <c r="D359" s="654"/>
      <c r="E359" s="654"/>
      <c r="F359" s="654"/>
      <c r="G359" s="654"/>
      <c r="H359" s="655"/>
      <c r="I359" s="656"/>
      <c r="J359" s="657"/>
      <c r="K359" s="654"/>
      <c r="L359" s="649"/>
      <c r="M359" s="648"/>
      <c r="N359" s="648"/>
      <c r="O359" s="649"/>
    </row>
    <row r="360">
      <c r="C360" s="653"/>
      <c r="D360" s="654"/>
      <c r="E360" s="654"/>
      <c r="F360" s="654"/>
      <c r="G360" s="654"/>
      <c r="H360" s="655"/>
      <c r="I360" s="656"/>
      <c r="J360" s="657"/>
      <c r="K360" s="654"/>
      <c r="L360" s="649"/>
      <c r="M360" s="648"/>
      <c r="N360" s="648"/>
      <c r="O360" s="649"/>
    </row>
    <row r="361">
      <c r="C361" s="653"/>
      <c r="D361" s="654"/>
      <c r="E361" s="654"/>
      <c r="F361" s="654"/>
      <c r="G361" s="654"/>
      <c r="H361" s="655"/>
      <c r="I361" s="656"/>
      <c r="J361" s="657"/>
      <c r="K361" s="654"/>
      <c r="L361" s="649"/>
      <c r="M361" s="648"/>
      <c r="N361" s="648"/>
      <c r="O361" s="649"/>
    </row>
    <row r="362">
      <c r="C362" s="653"/>
      <c r="D362" s="654"/>
      <c r="E362" s="654"/>
      <c r="F362" s="654"/>
      <c r="G362" s="654"/>
      <c r="H362" s="655"/>
      <c r="I362" s="656"/>
      <c r="J362" s="657"/>
      <c r="K362" s="654"/>
      <c r="L362" s="649"/>
      <c r="M362" s="648"/>
      <c r="N362" s="648"/>
      <c r="O362" s="649"/>
    </row>
    <row r="363">
      <c r="C363" s="653"/>
      <c r="D363" s="654"/>
      <c r="E363" s="654"/>
      <c r="F363" s="654"/>
      <c r="G363" s="654"/>
      <c r="H363" s="655"/>
      <c r="I363" s="656"/>
      <c r="J363" s="657"/>
      <c r="K363" s="654"/>
      <c r="L363" s="649"/>
      <c r="M363" s="648"/>
      <c r="N363" s="648"/>
      <c r="O363" s="649"/>
    </row>
    <row r="364">
      <c r="C364" s="653"/>
      <c r="D364" s="654"/>
      <c r="E364" s="654"/>
      <c r="F364" s="654"/>
      <c r="G364" s="654"/>
      <c r="H364" s="655"/>
      <c r="I364" s="656"/>
      <c r="J364" s="657"/>
      <c r="K364" s="654"/>
      <c r="L364" s="649"/>
      <c r="M364" s="648"/>
      <c r="N364" s="648"/>
      <c r="O364" s="649"/>
    </row>
    <row r="365">
      <c r="C365" s="653"/>
      <c r="D365" s="654"/>
      <c r="E365" s="654"/>
      <c r="F365" s="654"/>
      <c r="G365" s="654"/>
      <c r="H365" s="655"/>
      <c r="I365" s="656"/>
      <c r="J365" s="657"/>
      <c r="K365" s="654"/>
      <c r="L365" s="649"/>
      <c r="M365" s="648"/>
      <c r="N365" s="648"/>
      <c r="O365" s="649"/>
    </row>
    <row r="366">
      <c r="C366" s="653"/>
      <c r="D366" s="654"/>
      <c r="E366" s="654"/>
      <c r="F366" s="654"/>
      <c r="G366" s="654"/>
      <c r="H366" s="655"/>
      <c r="I366" s="656"/>
      <c r="J366" s="657"/>
      <c r="K366" s="654"/>
      <c r="L366" s="649"/>
      <c r="M366" s="648"/>
      <c r="N366" s="648"/>
      <c r="O366" s="649"/>
    </row>
    <row r="367">
      <c r="C367" s="653"/>
      <c r="D367" s="654"/>
      <c r="E367" s="654"/>
      <c r="F367" s="654"/>
      <c r="G367" s="654"/>
      <c r="H367" s="655"/>
      <c r="I367" s="656"/>
      <c r="J367" s="657"/>
      <c r="K367" s="654"/>
      <c r="L367" s="649"/>
      <c r="M367" s="648"/>
      <c r="N367" s="648"/>
      <c r="O367" s="649"/>
    </row>
    <row r="368">
      <c r="C368" s="653"/>
      <c r="D368" s="654"/>
      <c r="E368" s="654"/>
      <c r="F368" s="654"/>
      <c r="G368" s="654"/>
      <c r="H368" s="655"/>
      <c r="I368" s="656"/>
      <c r="J368" s="657"/>
      <c r="K368" s="654"/>
      <c r="L368" s="649"/>
      <c r="M368" s="648"/>
      <c r="N368" s="648"/>
      <c r="O368" s="649"/>
    </row>
    <row r="369">
      <c r="C369" s="653"/>
      <c r="D369" s="654"/>
      <c r="E369" s="654"/>
      <c r="F369" s="654"/>
      <c r="G369" s="654"/>
      <c r="H369" s="655"/>
      <c r="I369" s="656"/>
      <c r="J369" s="657"/>
      <c r="K369" s="654"/>
      <c r="L369" s="649"/>
      <c r="M369" s="648"/>
      <c r="N369" s="648"/>
      <c r="O369" s="649"/>
    </row>
    <row r="370">
      <c r="C370" s="653"/>
      <c r="D370" s="654"/>
      <c r="E370" s="654"/>
      <c r="F370" s="654"/>
      <c r="G370" s="654"/>
      <c r="H370" s="655"/>
      <c r="I370" s="656"/>
      <c r="J370" s="657"/>
      <c r="K370" s="654"/>
      <c r="L370" s="649"/>
      <c r="M370" s="648"/>
      <c r="N370" s="648"/>
      <c r="O370" s="649"/>
    </row>
    <row r="371">
      <c r="C371" s="653"/>
      <c r="D371" s="654"/>
      <c r="E371" s="654"/>
      <c r="F371" s="654"/>
      <c r="G371" s="654"/>
      <c r="H371" s="655"/>
      <c r="I371" s="656"/>
      <c r="J371" s="657"/>
      <c r="K371" s="654"/>
      <c r="L371" s="649"/>
      <c r="M371" s="648"/>
      <c r="N371" s="648"/>
      <c r="O371" s="649"/>
    </row>
    <row r="372">
      <c r="C372" s="653"/>
      <c r="D372" s="654"/>
      <c r="E372" s="654"/>
      <c r="F372" s="654"/>
      <c r="G372" s="654"/>
      <c r="H372" s="655"/>
      <c r="I372" s="656"/>
      <c r="J372" s="657"/>
      <c r="K372" s="654"/>
      <c r="L372" s="649"/>
      <c r="M372" s="648"/>
      <c r="N372" s="648"/>
      <c r="O372" s="649"/>
    </row>
    <row r="373">
      <c r="C373" s="653"/>
      <c r="D373" s="654"/>
      <c r="E373" s="654"/>
      <c r="F373" s="654"/>
      <c r="G373" s="654"/>
      <c r="H373" s="655"/>
      <c r="I373" s="656"/>
      <c r="J373" s="657"/>
      <c r="K373" s="654"/>
      <c r="L373" s="649"/>
      <c r="M373" s="648"/>
      <c r="N373" s="648"/>
      <c r="O373" s="649"/>
    </row>
    <row r="374">
      <c r="C374" s="653"/>
      <c r="D374" s="654"/>
      <c r="E374" s="654"/>
      <c r="F374" s="654"/>
      <c r="G374" s="654"/>
      <c r="H374" s="655"/>
      <c r="I374" s="656"/>
      <c r="J374" s="657"/>
      <c r="K374" s="654"/>
      <c r="L374" s="649"/>
      <c r="M374" s="648"/>
      <c r="N374" s="648"/>
      <c r="O374" s="649"/>
    </row>
    <row r="375">
      <c r="C375" s="653"/>
      <c r="D375" s="654"/>
      <c r="E375" s="654"/>
      <c r="F375" s="654"/>
      <c r="G375" s="654"/>
      <c r="H375" s="655"/>
      <c r="I375" s="656"/>
      <c r="J375" s="657"/>
      <c r="K375" s="654"/>
      <c r="L375" s="649"/>
      <c r="M375" s="648"/>
      <c r="N375" s="648"/>
      <c r="O375" s="649"/>
    </row>
    <row r="376">
      <c r="C376" s="653"/>
      <c r="D376" s="654"/>
      <c r="E376" s="654"/>
      <c r="F376" s="654"/>
      <c r="G376" s="654"/>
      <c r="H376" s="655"/>
      <c r="I376" s="656"/>
      <c r="J376" s="657"/>
      <c r="K376" s="654"/>
      <c r="L376" s="649"/>
      <c r="M376" s="648"/>
      <c r="N376" s="648"/>
      <c r="O376" s="649"/>
    </row>
    <row r="377">
      <c r="C377" s="653"/>
      <c r="D377" s="654"/>
      <c r="E377" s="654"/>
      <c r="F377" s="654"/>
      <c r="G377" s="654"/>
      <c r="H377" s="655"/>
      <c r="I377" s="656"/>
      <c r="J377" s="657"/>
      <c r="K377" s="654"/>
      <c r="L377" s="649"/>
      <c r="M377" s="648"/>
      <c r="N377" s="648"/>
      <c r="O377" s="649"/>
    </row>
    <row r="378">
      <c r="C378" s="653"/>
      <c r="D378" s="654"/>
      <c r="E378" s="654"/>
      <c r="F378" s="654"/>
      <c r="G378" s="654"/>
      <c r="H378" s="655"/>
      <c r="I378" s="656"/>
      <c r="J378" s="657"/>
      <c r="K378" s="654"/>
      <c r="L378" s="649"/>
      <c r="M378" s="648"/>
      <c r="N378" s="648"/>
      <c r="O378" s="649"/>
    </row>
    <row r="379">
      <c r="C379" s="653"/>
      <c r="D379" s="654"/>
      <c r="E379" s="654"/>
      <c r="F379" s="654"/>
      <c r="G379" s="654"/>
      <c r="H379" s="655"/>
      <c r="I379" s="656"/>
      <c r="J379" s="657"/>
      <c r="K379" s="654"/>
      <c r="L379" s="649"/>
      <c r="M379" s="648"/>
      <c r="N379" s="648"/>
      <c r="O379" s="649"/>
    </row>
    <row r="380">
      <c r="C380" s="653"/>
      <c r="D380" s="654"/>
      <c r="E380" s="654"/>
      <c r="F380" s="654"/>
      <c r="G380" s="654"/>
      <c r="H380" s="655"/>
      <c r="I380" s="656"/>
      <c r="J380" s="657"/>
      <c r="K380" s="654"/>
      <c r="L380" s="649"/>
      <c r="M380" s="648"/>
      <c r="N380" s="648"/>
      <c r="O380" s="649"/>
    </row>
    <row r="381">
      <c r="C381" s="653"/>
      <c r="D381" s="654"/>
      <c r="E381" s="654"/>
      <c r="F381" s="654"/>
      <c r="G381" s="654"/>
      <c r="H381" s="655"/>
      <c r="I381" s="656"/>
      <c r="J381" s="657"/>
      <c r="K381" s="654"/>
      <c r="L381" s="649"/>
      <c r="M381" s="648"/>
      <c r="N381" s="648"/>
      <c r="O381" s="649"/>
    </row>
    <row r="382">
      <c r="C382" s="653"/>
      <c r="D382" s="654"/>
      <c r="E382" s="654"/>
      <c r="F382" s="654"/>
      <c r="G382" s="654"/>
      <c r="H382" s="655"/>
      <c r="I382" s="656"/>
      <c r="J382" s="657"/>
      <c r="K382" s="654"/>
      <c r="L382" s="649"/>
      <c r="M382" s="648"/>
      <c r="N382" s="648"/>
      <c r="O382" s="649"/>
    </row>
    <row r="383">
      <c r="C383" s="653"/>
      <c r="D383" s="654"/>
      <c r="E383" s="654"/>
      <c r="F383" s="654"/>
      <c r="G383" s="654"/>
      <c r="H383" s="655"/>
      <c r="I383" s="656"/>
      <c r="J383" s="657"/>
      <c r="K383" s="654"/>
      <c r="L383" s="649"/>
      <c r="M383" s="648"/>
      <c r="N383" s="648"/>
      <c r="O383" s="649"/>
    </row>
    <row r="384">
      <c r="C384" s="653"/>
      <c r="D384" s="654"/>
      <c r="E384" s="654"/>
      <c r="F384" s="654"/>
      <c r="G384" s="654"/>
      <c r="H384" s="655"/>
      <c r="I384" s="656"/>
      <c r="J384" s="657"/>
      <c r="K384" s="654"/>
      <c r="L384" s="649"/>
      <c r="M384" s="648"/>
      <c r="N384" s="648"/>
      <c r="O384" s="649"/>
    </row>
    <row r="385">
      <c r="C385" s="653"/>
      <c r="D385" s="654"/>
      <c r="E385" s="654"/>
      <c r="F385" s="654"/>
      <c r="G385" s="654"/>
      <c r="H385" s="655"/>
      <c r="I385" s="656"/>
      <c r="J385" s="657"/>
      <c r="K385" s="654"/>
      <c r="L385" s="649"/>
      <c r="M385" s="648"/>
      <c r="N385" s="648"/>
      <c r="O385" s="649"/>
    </row>
    <row r="386">
      <c r="C386" s="653"/>
      <c r="D386" s="654"/>
      <c r="E386" s="654"/>
      <c r="F386" s="654"/>
      <c r="G386" s="654"/>
      <c r="H386" s="655"/>
      <c r="I386" s="656"/>
      <c r="J386" s="657"/>
      <c r="K386" s="654"/>
      <c r="L386" s="649"/>
      <c r="M386" s="648"/>
      <c r="N386" s="648"/>
      <c r="O386" s="649"/>
    </row>
    <row r="387">
      <c r="C387" s="653"/>
      <c r="D387" s="654"/>
      <c r="E387" s="654"/>
      <c r="F387" s="654"/>
      <c r="G387" s="654"/>
      <c r="H387" s="655"/>
      <c r="I387" s="656"/>
      <c r="J387" s="657"/>
      <c r="K387" s="654"/>
      <c r="L387" s="649"/>
      <c r="M387" s="648"/>
      <c r="N387" s="648"/>
      <c r="O387" s="649"/>
    </row>
    <row r="388">
      <c r="C388" s="653"/>
      <c r="D388" s="654"/>
      <c r="E388" s="654"/>
      <c r="F388" s="654"/>
      <c r="G388" s="654"/>
      <c r="H388" s="655"/>
      <c r="I388" s="656"/>
      <c r="J388" s="657"/>
      <c r="K388" s="654"/>
      <c r="L388" s="649"/>
      <c r="M388" s="648"/>
      <c r="N388" s="648"/>
      <c r="O388" s="649"/>
    </row>
    <row r="389">
      <c r="C389" s="653"/>
      <c r="D389" s="654"/>
      <c r="E389" s="654"/>
      <c r="F389" s="654"/>
      <c r="G389" s="654"/>
      <c r="H389" s="655"/>
      <c r="I389" s="656"/>
      <c r="J389" s="657"/>
      <c r="K389" s="654"/>
      <c r="L389" s="649"/>
      <c r="M389" s="648"/>
      <c r="N389" s="648"/>
      <c r="O389" s="649"/>
    </row>
    <row r="390">
      <c r="C390" s="653"/>
      <c r="D390" s="654"/>
      <c r="E390" s="654"/>
      <c r="F390" s="654"/>
      <c r="G390" s="654"/>
      <c r="H390" s="655"/>
      <c r="I390" s="656"/>
      <c r="J390" s="657"/>
      <c r="K390" s="654"/>
      <c r="L390" s="649"/>
      <c r="M390" s="648"/>
      <c r="N390" s="648"/>
      <c r="O390" s="649"/>
    </row>
    <row r="391">
      <c r="C391" s="653"/>
      <c r="D391" s="654"/>
      <c r="E391" s="654"/>
      <c r="F391" s="654"/>
      <c r="G391" s="654"/>
      <c r="H391" s="655"/>
      <c r="I391" s="656"/>
      <c r="J391" s="657"/>
      <c r="K391" s="654"/>
      <c r="L391" s="649"/>
      <c r="M391" s="648"/>
      <c r="N391" s="648"/>
      <c r="O391" s="649"/>
    </row>
    <row r="392">
      <c r="C392" s="653"/>
      <c r="D392" s="654"/>
      <c r="E392" s="654"/>
      <c r="F392" s="654"/>
      <c r="G392" s="654"/>
      <c r="H392" s="655"/>
      <c r="I392" s="656"/>
      <c r="J392" s="657"/>
      <c r="K392" s="654"/>
      <c r="L392" s="649"/>
      <c r="M392" s="648"/>
      <c r="N392" s="648"/>
      <c r="O392" s="649"/>
    </row>
    <row r="393">
      <c r="C393" s="653"/>
      <c r="D393" s="654"/>
      <c r="E393" s="654"/>
      <c r="F393" s="654"/>
      <c r="G393" s="654"/>
      <c r="H393" s="655"/>
      <c r="I393" s="656"/>
      <c r="J393" s="657"/>
      <c r="K393" s="654"/>
      <c r="L393" s="649"/>
      <c r="M393" s="648"/>
      <c r="N393" s="648"/>
      <c r="O393" s="649"/>
    </row>
    <row r="394">
      <c r="C394" s="653"/>
      <c r="D394" s="654"/>
      <c r="E394" s="654"/>
      <c r="F394" s="654"/>
      <c r="G394" s="654"/>
      <c r="H394" s="655"/>
      <c r="I394" s="656"/>
      <c r="J394" s="657"/>
      <c r="K394" s="654"/>
      <c r="L394" s="649"/>
      <c r="M394" s="648"/>
      <c r="N394" s="648"/>
      <c r="O394" s="649"/>
    </row>
    <row r="395">
      <c r="C395" s="653"/>
      <c r="D395" s="654"/>
      <c r="E395" s="654"/>
      <c r="F395" s="654"/>
      <c r="G395" s="654"/>
      <c r="H395" s="655"/>
      <c r="I395" s="656"/>
      <c r="J395" s="657"/>
      <c r="K395" s="654"/>
      <c r="L395" s="649"/>
      <c r="M395" s="648"/>
      <c r="N395" s="648"/>
      <c r="O395" s="649"/>
    </row>
    <row r="396">
      <c r="C396" s="653"/>
      <c r="D396" s="654"/>
      <c r="E396" s="654"/>
      <c r="F396" s="654"/>
      <c r="G396" s="654"/>
      <c r="H396" s="655"/>
      <c r="I396" s="656"/>
      <c r="J396" s="657"/>
      <c r="K396" s="654"/>
      <c r="L396" s="649"/>
      <c r="M396" s="648"/>
      <c r="N396" s="648"/>
      <c r="O396" s="649"/>
    </row>
    <row r="397">
      <c r="C397" s="653"/>
      <c r="D397" s="654"/>
      <c r="E397" s="654"/>
      <c r="F397" s="654"/>
      <c r="G397" s="654"/>
      <c r="H397" s="655"/>
      <c r="I397" s="656"/>
      <c r="J397" s="657"/>
      <c r="K397" s="654"/>
      <c r="L397" s="649"/>
      <c r="M397" s="648"/>
      <c r="N397" s="648"/>
      <c r="O397" s="649"/>
    </row>
    <row r="398">
      <c r="C398" s="653"/>
      <c r="D398" s="654"/>
      <c r="E398" s="654"/>
      <c r="F398" s="654"/>
      <c r="G398" s="654"/>
      <c r="H398" s="655"/>
      <c r="I398" s="656"/>
      <c r="J398" s="657"/>
      <c r="K398" s="654"/>
      <c r="L398" s="649"/>
      <c r="M398" s="648"/>
      <c r="N398" s="648"/>
      <c r="O398" s="649"/>
    </row>
    <row r="399">
      <c r="C399" s="653"/>
      <c r="D399" s="654"/>
      <c r="E399" s="654"/>
      <c r="F399" s="654"/>
      <c r="G399" s="654"/>
      <c r="H399" s="655"/>
      <c r="I399" s="656"/>
      <c r="J399" s="657"/>
      <c r="K399" s="654"/>
      <c r="L399" s="649"/>
      <c r="M399" s="648"/>
      <c r="N399" s="648"/>
      <c r="O399" s="649"/>
    </row>
    <row r="400">
      <c r="C400" s="653"/>
      <c r="D400" s="654"/>
      <c r="E400" s="654"/>
      <c r="F400" s="654"/>
      <c r="G400" s="654"/>
      <c r="H400" s="655"/>
      <c r="I400" s="656"/>
      <c r="J400" s="657"/>
      <c r="K400" s="654"/>
      <c r="L400" s="649"/>
      <c r="M400" s="648"/>
      <c r="N400" s="648"/>
      <c r="O400" s="649"/>
    </row>
    <row r="401">
      <c r="C401" s="653"/>
      <c r="D401" s="654"/>
      <c r="E401" s="654"/>
      <c r="F401" s="654"/>
      <c r="G401" s="654"/>
      <c r="H401" s="655"/>
      <c r="I401" s="656"/>
      <c r="J401" s="657"/>
      <c r="K401" s="654"/>
      <c r="L401" s="649"/>
      <c r="M401" s="648"/>
      <c r="N401" s="648"/>
      <c r="O401" s="649"/>
    </row>
    <row r="402">
      <c r="C402" s="653"/>
      <c r="D402" s="654"/>
      <c r="E402" s="654"/>
      <c r="F402" s="654"/>
      <c r="G402" s="654"/>
      <c r="H402" s="655"/>
      <c r="I402" s="656"/>
      <c r="J402" s="657"/>
      <c r="K402" s="654"/>
      <c r="L402" s="649"/>
      <c r="M402" s="648"/>
      <c r="N402" s="648"/>
      <c r="O402" s="649"/>
    </row>
    <row r="403">
      <c r="C403" s="653"/>
      <c r="D403" s="654"/>
      <c r="E403" s="654"/>
      <c r="F403" s="654"/>
      <c r="G403" s="654"/>
      <c r="H403" s="655"/>
      <c r="I403" s="656"/>
      <c r="J403" s="657"/>
      <c r="K403" s="654"/>
      <c r="L403" s="649"/>
      <c r="M403" s="648"/>
      <c r="N403" s="648"/>
      <c r="O403" s="649"/>
    </row>
    <row r="404">
      <c r="C404" s="653"/>
      <c r="D404" s="654"/>
      <c r="E404" s="654"/>
      <c r="F404" s="654"/>
      <c r="G404" s="654"/>
      <c r="H404" s="655"/>
      <c r="I404" s="656"/>
      <c r="J404" s="657"/>
      <c r="K404" s="654"/>
      <c r="L404" s="649"/>
      <c r="M404" s="648"/>
      <c r="N404" s="648"/>
      <c r="O404" s="649"/>
    </row>
    <row r="405">
      <c r="C405" s="653"/>
      <c r="D405" s="654"/>
      <c r="E405" s="654"/>
      <c r="F405" s="654"/>
      <c r="G405" s="654"/>
      <c r="H405" s="655"/>
      <c r="I405" s="656"/>
      <c r="J405" s="657"/>
      <c r="K405" s="654"/>
      <c r="L405" s="649"/>
      <c r="M405" s="648"/>
      <c r="N405" s="648"/>
      <c r="O405" s="649"/>
    </row>
    <row r="406">
      <c r="C406" s="653"/>
      <c r="D406" s="654"/>
      <c r="E406" s="654"/>
      <c r="F406" s="654"/>
      <c r="G406" s="654"/>
      <c r="H406" s="655"/>
      <c r="I406" s="656"/>
      <c r="J406" s="657"/>
      <c r="K406" s="654"/>
      <c r="L406" s="649"/>
      <c r="M406" s="648"/>
      <c r="N406" s="648"/>
      <c r="O406" s="649"/>
    </row>
    <row r="407">
      <c r="C407" s="653"/>
      <c r="D407" s="654"/>
      <c r="E407" s="654"/>
      <c r="F407" s="654"/>
      <c r="G407" s="654"/>
      <c r="H407" s="655"/>
      <c r="I407" s="656"/>
      <c r="J407" s="657"/>
      <c r="K407" s="654"/>
      <c r="L407" s="649"/>
      <c r="M407" s="648"/>
      <c r="N407" s="648"/>
      <c r="O407" s="649"/>
    </row>
    <row r="408">
      <c r="C408" s="653"/>
      <c r="D408" s="654"/>
      <c r="E408" s="654"/>
      <c r="F408" s="654"/>
      <c r="G408" s="654"/>
      <c r="H408" s="655"/>
      <c r="I408" s="656"/>
      <c r="J408" s="657"/>
      <c r="K408" s="654"/>
      <c r="L408" s="649"/>
      <c r="M408" s="648"/>
      <c r="N408" s="648"/>
      <c r="O408" s="649"/>
    </row>
    <row r="409">
      <c r="C409" s="653"/>
      <c r="D409" s="654"/>
      <c r="E409" s="654"/>
      <c r="F409" s="654"/>
      <c r="G409" s="654"/>
      <c r="H409" s="655"/>
      <c r="I409" s="656"/>
      <c r="J409" s="657"/>
      <c r="K409" s="654"/>
      <c r="L409" s="649"/>
      <c r="M409" s="648"/>
      <c r="N409" s="648"/>
      <c r="O409" s="649"/>
    </row>
    <row r="410">
      <c r="C410" s="653"/>
      <c r="D410" s="654"/>
      <c r="E410" s="654"/>
      <c r="F410" s="654"/>
      <c r="G410" s="654"/>
      <c r="H410" s="655"/>
      <c r="I410" s="656"/>
      <c r="J410" s="657"/>
      <c r="K410" s="654"/>
      <c r="L410" s="649"/>
      <c r="M410" s="648"/>
      <c r="N410" s="648"/>
      <c r="O410" s="649"/>
    </row>
    <row r="411">
      <c r="C411" s="653"/>
      <c r="D411" s="654"/>
      <c r="E411" s="654"/>
      <c r="F411" s="654"/>
      <c r="G411" s="654"/>
      <c r="H411" s="655"/>
      <c r="I411" s="656"/>
      <c r="J411" s="657"/>
      <c r="K411" s="654"/>
      <c r="L411" s="649"/>
      <c r="M411" s="648"/>
      <c r="N411" s="648"/>
      <c r="O411" s="649"/>
    </row>
    <row r="412">
      <c r="C412" s="653"/>
      <c r="D412" s="654"/>
      <c r="E412" s="654"/>
      <c r="F412" s="654"/>
      <c r="G412" s="654"/>
      <c r="H412" s="655"/>
      <c r="I412" s="656"/>
      <c r="J412" s="657"/>
      <c r="K412" s="654"/>
      <c r="L412" s="649"/>
      <c r="M412" s="648"/>
      <c r="N412" s="648"/>
      <c r="O412" s="649"/>
    </row>
    <row r="413">
      <c r="C413" s="653"/>
      <c r="D413" s="654"/>
      <c r="E413" s="654"/>
      <c r="F413" s="654"/>
      <c r="G413" s="654"/>
      <c r="H413" s="655"/>
      <c r="I413" s="656"/>
      <c r="J413" s="657"/>
      <c r="K413" s="654"/>
      <c r="L413" s="649"/>
      <c r="M413" s="648"/>
      <c r="N413" s="648"/>
      <c r="O413" s="649"/>
    </row>
    <row r="414">
      <c r="C414" s="653"/>
      <c r="D414" s="654"/>
      <c r="E414" s="654"/>
      <c r="F414" s="654"/>
      <c r="G414" s="654"/>
      <c r="H414" s="655"/>
      <c r="I414" s="656"/>
      <c r="J414" s="657"/>
      <c r="K414" s="654"/>
      <c r="L414" s="649"/>
      <c r="M414" s="648"/>
      <c r="N414" s="648"/>
      <c r="O414" s="649"/>
    </row>
    <row r="415">
      <c r="C415" s="653"/>
      <c r="D415" s="654"/>
      <c r="E415" s="654"/>
      <c r="F415" s="654"/>
      <c r="G415" s="654"/>
      <c r="H415" s="655"/>
      <c r="I415" s="656"/>
      <c r="J415" s="657"/>
      <c r="K415" s="654"/>
      <c r="L415" s="649"/>
      <c r="M415" s="648"/>
      <c r="N415" s="648"/>
      <c r="O415" s="649"/>
    </row>
    <row r="416">
      <c r="C416" s="653"/>
      <c r="D416" s="654"/>
      <c r="E416" s="654"/>
      <c r="F416" s="654"/>
      <c r="G416" s="654"/>
      <c r="H416" s="655"/>
      <c r="I416" s="656"/>
      <c r="J416" s="657"/>
      <c r="K416" s="654"/>
      <c r="L416" s="649"/>
      <c r="M416" s="648"/>
      <c r="N416" s="648"/>
      <c r="O416" s="649"/>
    </row>
    <row r="417">
      <c r="C417" s="653"/>
      <c r="D417" s="654"/>
      <c r="E417" s="654"/>
      <c r="F417" s="654"/>
      <c r="G417" s="654"/>
      <c r="H417" s="655"/>
      <c r="I417" s="656"/>
      <c r="J417" s="657"/>
      <c r="K417" s="654"/>
      <c r="L417" s="649"/>
      <c r="M417" s="648"/>
      <c r="N417" s="648"/>
      <c r="O417" s="649"/>
    </row>
    <row r="418">
      <c r="C418" s="653"/>
      <c r="D418" s="654"/>
      <c r="E418" s="654"/>
      <c r="F418" s="654"/>
      <c r="G418" s="654"/>
      <c r="H418" s="655"/>
      <c r="I418" s="656"/>
      <c r="J418" s="657"/>
      <c r="K418" s="654"/>
      <c r="L418" s="649"/>
      <c r="M418" s="648"/>
      <c r="N418" s="648"/>
      <c r="O418" s="649"/>
    </row>
    <row r="419">
      <c r="C419" s="653"/>
      <c r="D419" s="654"/>
      <c r="E419" s="654"/>
      <c r="F419" s="654"/>
      <c r="G419" s="654"/>
      <c r="H419" s="655"/>
      <c r="I419" s="656"/>
      <c r="J419" s="657"/>
      <c r="K419" s="654"/>
      <c r="L419" s="649"/>
      <c r="M419" s="648"/>
      <c r="N419" s="648"/>
      <c r="O419" s="649"/>
    </row>
    <row r="420">
      <c r="C420" s="653"/>
      <c r="D420" s="654"/>
      <c r="E420" s="654"/>
      <c r="F420" s="654"/>
      <c r="G420" s="654"/>
      <c r="H420" s="655"/>
      <c r="I420" s="656"/>
      <c r="J420" s="657"/>
      <c r="K420" s="654"/>
      <c r="L420" s="649"/>
      <c r="M420" s="648"/>
      <c r="N420" s="648"/>
      <c r="O420" s="649"/>
    </row>
    <row r="421">
      <c r="C421" s="653"/>
      <c r="D421" s="654"/>
      <c r="E421" s="654"/>
      <c r="F421" s="654"/>
      <c r="G421" s="654"/>
      <c r="H421" s="655"/>
      <c r="I421" s="656"/>
      <c r="J421" s="657"/>
      <c r="K421" s="654"/>
      <c r="L421" s="649"/>
      <c r="M421" s="648"/>
      <c r="N421" s="648"/>
      <c r="O421" s="649"/>
    </row>
    <row r="422">
      <c r="C422" s="653"/>
      <c r="D422" s="654"/>
      <c r="E422" s="654"/>
      <c r="F422" s="654"/>
      <c r="G422" s="654"/>
      <c r="H422" s="655"/>
      <c r="I422" s="656"/>
      <c r="J422" s="657"/>
      <c r="K422" s="654"/>
      <c r="L422" s="649"/>
      <c r="M422" s="648"/>
      <c r="N422" s="648"/>
      <c r="O422" s="649"/>
    </row>
    <row r="423">
      <c r="C423" s="653"/>
      <c r="D423" s="654"/>
      <c r="E423" s="654"/>
      <c r="F423" s="654"/>
      <c r="G423" s="654"/>
      <c r="H423" s="655"/>
      <c r="I423" s="656"/>
      <c r="J423" s="657"/>
      <c r="K423" s="654"/>
      <c r="L423" s="649"/>
      <c r="M423" s="648"/>
      <c r="N423" s="648"/>
      <c r="O423" s="649"/>
    </row>
    <row r="424">
      <c r="C424" s="653"/>
      <c r="D424" s="654"/>
      <c r="E424" s="654"/>
      <c r="F424" s="654"/>
      <c r="G424" s="654"/>
      <c r="H424" s="655"/>
      <c r="I424" s="656"/>
      <c r="J424" s="657"/>
      <c r="K424" s="654"/>
      <c r="L424" s="649"/>
      <c r="M424" s="648"/>
      <c r="N424" s="648"/>
      <c r="O424" s="649"/>
    </row>
    <row r="425">
      <c r="C425" s="653"/>
      <c r="D425" s="654"/>
      <c r="E425" s="654"/>
      <c r="F425" s="654"/>
      <c r="G425" s="654"/>
      <c r="H425" s="655"/>
      <c r="I425" s="656"/>
      <c r="J425" s="657"/>
      <c r="K425" s="654"/>
      <c r="L425" s="649"/>
      <c r="M425" s="648"/>
      <c r="N425" s="648"/>
      <c r="O425" s="649"/>
    </row>
    <row r="426">
      <c r="C426" s="653"/>
      <c r="D426" s="654"/>
      <c r="E426" s="654"/>
      <c r="F426" s="654"/>
      <c r="G426" s="654"/>
      <c r="H426" s="655"/>
      <c r="I426" s="656"/>
      <c r="J426" s="657"/>
      <c r="K426" s="654"/>
      <c r="L426" s="649"/>
      <c r="M426" s="648"/>
      <c r="N426" s="648"/>
      <c r="O426" s="649"/>
    </row>
    <row r="427">
      <c r="C427" s="653"/>
      <c r="D427" s="654"/>
      <c r="E427" s="654"/>
      <c r="F427" s="654"/>
      <c r="G427" s="654"/>
      <c r="H427" s="655"/>
      <c r="I427" s="656"/>
      <c r="J427" s="657"/>
      <c r="K427" s="654"/>
      <c r="L427" s="649"/>
      <c r="M427" s="648"/>
      <c r="N427" s="648"/>
      <c r="O427" s="649"/>
    </row>
    <row r="428">
      <c r="C428" s="653"/>
      <c r="D428" s="654"/>
      <c r="E428" s="654"/>
      <c r="F428" s="654"/>
      <c r="G428" s="654"/>
      <c r="H428" s="655"/>
      <c r="I428" s="656"/>
      <c r="J428" s="657"/>
      <c r="K428" s="654"/>
      <c r="L428" s="649"/>
      <c r="M428" s="648"/>
      <c r="N428" s="648"/>
      <c r="O428" s="649"/>
    </row>
    <row r="429">
      <c r="C429" s="653"/>
      <c r="D429" s="654"/>
      <c r="E429" s="654"/>
      <c r="F429" s="654"/>
      <c r="G429" s="654"/>
      <c r="H429" s="655"/>
      <c r="I429" s="656"/>
      <c r="J429" s="657"/>
      <c r="K429" s="654"/>
      <c r="L429" s="649"/>
      <c r="M429" s="648"/>
      <c r="N429" s="648"/>
      <c r="O429" s="649"/>
    </row>
    <row r="430">
      <c r="C430" s="653"/>
      <c r="D430" s="654"/>
      <c r="E430" s="654"/>
      <c r="F430" s="654"/>
      <c r="G430" s="654"/>
      <c r="H430" s="655"/>
      <c r="I430" s="656"/>
      <c r="J430" s="657"/>
      <c r="K430" s="654"/>
      <c r="L430" s="649"/>
      <c r="M430" s="648"/>
      <c r="N430" s="648"/>
      <c r="O430" s="649"/>
    </row>
    <row r="431">
      <c r="C431" s="653"/>
      <c r="D431" s="654"/>
      <c r="E431" s="654"/>
      <c r="F431" s="654"/>
      <c r="G431" s="654"/>
      <c r="H431" s="655"/>
      <c r="I431" s="656"/>
      <c r="J431" s="657"/>
      <c r="K431" s="654"/>
      <c r="L431" s="649"/>
      <c r="M431" s="648"/>
      <c r="N431" s="648"/>
      <c r="O431" s="649"/>
    </row>
    <row r="432">
      <c r="C432" s="653"/>
      <c r="D432" s="654"/>
      <c r="E432" s="654"/>
      <c r="F432" s="654"/>
      <c r="G432" s="654"/>
      <c r="H432" s="655"/>
      <c r="I432" s="656"/>
      <c r="J432" s="657"/>
      <c r="K432" s="654"/>
      <c r="L432" s="649"/>
      <c r="M432" s="648"/>
      <c r="N432" s="648"/>
      <c r="O432" s="649"/>
    </row>
    <row r="433">
      <c r="C433" s="653"/>
      <c r="D433" s="654"/>
      <c r="E433" s="654"/>
      <c r="F433" s="654"/>
      <c r="G433" s="654"/>
      <c r="H433" s="655"/>
      <c r="I433" s="656"/>
      <c r="J433" s="657"/>
      <c r="K433" s="654"/>
      <c r="L433" s="649"/>
      <c r="M433" s="648"/>
      <c r="N433" s="648"/>
      <c r="O433" s="649"/>
    </row>
    <row r="434">
      <c r="C434" s="653"/>
      <c r="D434" s="654"/>
      <c r="E434" s="654"/>
      <c r="F434" s="654"/>
      <c r="G434" s="654"/>
      <c r="H434" s="655"/>
      <c r="I434" s="656"/>
      <c r="J434" s="657"/>
      <c r="K434" s="654"/>
      <c r="L434" s="649"/>
      <c r="M434" s="648"/>
      <c r="N434" s="648"/>
      <c r="O434" s="649"/>
    </row>
    <row r="435">
      <c r="C435" s="653"/>
      <c r="D435" s="654"/>
      <c r="E435" s="654"/>
      <c r="F435" s="654"/>
      <c r="G435" s="654"/>
      <c r="H435" s="655"/>
      <c r="I435" s="656"/>
      <c r="J435" s="657"/>
      <c r="K435" s="654"/>
      <c r="L435" s="649"/>
      <c r="M435" s="648"/>
      <c r="N435" s="648"/>
      <c r="O435" s="649"/>
    </row>
    <row r="436">
      <c r="C436" s="653"/>
      <c r="D436" s="654"/>
      <c r="E436" s="654"/>
      <c r="F436" s="654"/>
      <c r="G436" s="654"/>
      <c r="H436" s="655"/>
      <c r="I436" s="656"/>
      <c r="J436" s="657"/>
      <c r="K436" s="654"/>
      <c r="L436" s="649"/>
      <c r="M436" s="648"/>
      <c r="N436" s="648"/>
      <c r="O436" s="649"/>
    </row>
    <row r="437">
      <c r="C437" s="653"/>
      <c r="D437" s="654"/>
      <c r="E437" s="654"/>
      <c r="F437" s="654"/>
      <c r="G437" s="654"/>
      <c r="H437" s="655"/>
      <c r="I437" s="656"/>
      <c r="J437" s="657"/>
      <c r="K437" s="654"/>
      <c r="L437" s="649"/>
      <c r="M437" s="648"/>
      <c r="N437" s="648"/>
      <c r="O437" s="649"/>
    </row>
    <row r="438">
      <c r="C438" s="653"/>
      <c r="D438" s="654"/>
      <c r="E438" s="654"/>
      <c r="F438" s="654"/>
      <c r="G438" s="654"/>
      <c r="H438" s="655"/>
      <c r="I438" s="656"/>
      <c r="J438" s="657"/>
      <c r="K438" s="654"/>
      <c r="L438" s="649"/>
      <c r="M438" s="648"/>
      <c r="N438" s="648"/>
      <c r="O438" s="649"/>
    </row>
    <row r="439">
      <c r="C439" s="653"/>
      <c r="D439" s="654"/>
      <c r="E439" s="654"/>
      <c r="F439" s="654"/>
      <c r="G439" s="654"/>
      <c r="H439" s="655"/>
      <c r="I439" s="656"/>
      <c r="J439" s="657"/>
      <c r="K439" s="654"/>
      <c r="L439" s="649"/>
      <c r="M439" s="648"/>
      <c r="N439" s="648"/>
      <c r="O439" s="649"/>
    </row>
    <row r="440">
      <c r="C440" s="653"/>
      <c r="D440" s="654"/>
      <c r="E440" s="654"/>
      <c r="F440" s="654"/>
      <c r="G440" s="654"/>
      <c r="H440" s="655"/>
      <c r="I440" s="656"/>
      <c r="J440" s="657"/>
      <c r="K440" s="654"/>
      <c r="L440" s="649"/>
      <c r="M440" s="648"/>
      <c r="N440" s="648"/>
      <c r="O440" s="649"/>
    </row>
    <row r="441">
      <c r="C441" s="653"/>
      <c r="D441" s="654"/>
      <c r="E441" s="654"/>
      <c r="F441" s="654"/>
      <c r="G441" s="654"/>
      <c r="H441" s="655"/>
      <c r="I441" s="656"/>
      <c r="J441" s="657"/>
      <c r="K441" s="654"/>
      <c r="L441" s="649"/>
      <c r="M441" s="648"/>
      <c r="N441" s="648"/>
      <c r="O441" s="649"/>
    </row>
    <row r="442">
      <c r="C442" s="653"/>
      <c r="D442" s="654"/>
      <c r="E442" s="654"/>
      <c r="F442" s="654"/>
      <c r="G442" s="654"/>
      <c r="H442" s="655"/>
      <c r="I442" s="656"/>
      <c r="J442" s="657"/>
      <c r="K442" s="654"/>
      <c r="L442" s="649"/>
      <c r="M442" s="648"/>
      <c r="N442" s="648"/>
      <c r="O442" s="649"/>
    </row>
    <row r="443">
      <c r="C443" s="653"/>
      <c r="D443" s="654"/>
      <c r="E443" s="654"/>
      <c r="F443" s="654"/>
      <c r="G443" s="654"/>
      <c r="H443" s="655"/>
      <c r="I443" s="656"/>
      <c r="J443" s="657"/>
      <c r="K443" s="654"/>
      <c r="L443" s="649"/>
      <c r="M443" s="648"/>
      <c r="N443" s="648"/>
      <c r="O443" s="649"/>
    </row>
    <row r="444">
      <c r="C444" s="653"/>
      <c r="D444" s="654"/>
      <c r="E444" s="654"/>
      <c r="F444" s="654"/>
      <c r="G444" s="654"/>
      <c r="H444" s="655"/>
      <c r="I444" s="656"/>
      <c r="J444" s="657"/>
      <c r="K444" s="654"/>
      <c r="L444" s="649"/>
      <c r="M444" s="648"/>
      <c r="N444" s="648"/>
      <c r="O444" s="649"/>
    </row>
    <row r="445">
      <c r="C445" s="653"/>
      <c r="D445" s="654"/>
      <c r="E445" s="654"/>
      <c r="F445" s="654"/>
      <c r="G445" s="654"/>
      <c r="H445" s="655"/>
      <c r="I445" s="656"/>
      <c r="J445" s="657"/>
      <c r="K445" s="654"/>
      <c r="L445" s="649"/>
      <c r="M445" s="648"/>
      <c r="N445" s="648"/>
      <c r="O445" s="649"/>
    </row>
    <row r="446">
      <c r="C446" s="653"/>
      <c r="D446" s="654"/>
      <c r="E446" s="654"/>
      <c r="F446" s="654"/>
      <c r="G446" s="654"/>
      <c r="H446" s="655"/>
      <c r="I446" s="656"/>
      <c r="J446" s="657"/>
      <c r="K446" s="654"/>
      <c r="L446" s="649"/>
      <c r="M446" s="648"/>
      <c r="N446" s="648"/>
      <c r="O446" s="649"/>
    </row>
    <row r="447">
      <c r="C447" s="653"/>
      <c r="D447" s="654"/>
      <c r="E447" s="654"/>
      <c r="F447" s="654"/>
      <c r="G447" s="654"/>
      <c r="H447" s="655"/>
      <c r="I447" s="656"/>
      <c r="J447" s="657"/>
      <c r="K447" s="654"/>
      <c r="L447" s="649"/>
      <c r="M447" s="648"/>
      <c r="N447" s="648"/>
      <c r="O447" s="649"/>
    </row>
    <row r="448">
      <c r="C448" s="653"/>
      <c r="D448" s="654"/>
      <c r="E448" s="654"/>
      <c r="F448" s="654"/>
      <c r="G448" s="654"/>
      <c r="H448" s="655"/>
      <c r="I448" s="656"/>
      <c r="J448" s="657"/>
      <c r="K448" s="654"/>
      <c r="L448" s="649"/>
      <c r="M448" s="648"/>
      <c r="N448" s="648"/>
      <c r="O448" s="649"/>
    </row>
    <row r="449">
      <c r="C449" s="653"/>
      <c r="D449" s="654"/>
      <c r="E449" s="654"/>
      <c r="F449" s="654"/>
      <c r="G449" s="654"/>
      <c r="H449" s="655"/>
      <c r="I449" s="656"/>
      <c r="J449" s="657"/>
      <c r="K449" s="654"/>
      <c r="L449" s="649"/>
      <c r="M449" s="648"/>
      <c r="N449" s="648"/>
      <c r="O449" s="649"/>
    </row>
    <row r="450">
      <c r="C450" s="653"/>
      <c r="D450" s="654"/>
      <c r="E450" s="654"/>
      <c r="F450" s="654"/>
      <c r="G450" s="654"/>
      <c r="H450" s="655"/>
      <c r="I450" s="656"/>
      <c r="J450" s="657"/>
      <c r="K450" s="654"/>
      <c r="L450" s="649"/>
      <c r="M450" s="648"/>
      <c r="N450" s="648"/>
      <c r="O450" s="649"/>
    </row>
    <row r="451">
      <c r="C451" s="653"/>
      <c r="D451" s="654"/>
      <c r="E451" s="654"/>
      <c r="F451" s="654"/>
      <c r="G451" s="654"/>
      <c r="H451" s="655"/>
      <c r="I451" s="656"/>
      <c r="J451" s="657"/>
      <c r="K451" s="654"/>
      <c r="L451" s="649"/>
      <c r="M451" s="648"/>
      <c r="N451" s="648"/>
      <c r="O451" s="649"/>
    </row>
    <row r="452">
      <c r="C452" s="653"/>
      <c r="D452" s="654"/>
      <c r="E452" s="654"/>
      <c r="F452" s="654"/>
      <c r="G452" s="654"/>
      <c r="H452" s="655"/>
      <c r="I452" s="656"/>
      <c r="J452" s="657"/>
      <c r="K452" s="654"/>
      <c r="L452" s="649"/>
      <c r="M452" s="648"/>
      <c r="N452" s="648"/>
      <c r="O452" s="649"/>
    </row>
    <row r="453">
      <c r="C453" s="653"/>
      <c r="D453" s="654"/>
      <c r="E453" s="654"/>
      <c r="F453" s="654"/>
      <c r="G453" s="654"/>
      <c r="H453" s="655"/>
      <c r="I453" s="656"/>
      <c r="J453" s="657"/>
      <c r="K453" s="654"/>
      <c r="L453" s="649"/>
      <c r="M453" s="648"/>
      <c r="N453" s="648"/>
      <c r="O453" s="649"/>
    </row>
    <row r="454">
      <c r="C454" s="653"/>
      <c r="D454" s="654"/>
      <c r="E454" s="654"/>
      <c r="F454" s="654"/>
      <c r="G454" s="654"/>
      <c r="H454" s="655"/>
      <c r="I454" s="656"/>
      <c r="J454" s="657"/>
      <c r="K454" s="654"/>
      <c r="L454" s="649"/>
      <c r="M454" s="648"/>
      <c r="N454" s="648"/>
      <c r="O454" s="649"/>
    </row>
    <row r="455">
      <c r="C455" s="653"/>
      <c r="D455" s="654"/>
      <c r="E455" s="654"/>
      <c r="F455" s="654"/>
      <c r="G455" s="654"/>
      <c r="H455" s="655"/>
      <c r="I455" s="656"/>
      <c r="J455" s="657"/>
      <c r="K455" s="654"/>
      <c r="L455" s="649"/>
      <c r="M455" s="648"/>
      <c r="N455" s="648"/>
      <c r="O455" s="649"/>
    </row>
    <row r="456">
      <c r="C456" s="653"/>
      <c r="D456" s="654"/>
      <c r="E456" s="654"/>
      <c r="F456" s="654"/>
      <c r="G456" s="654"/>
      <c r="H456" s="655"/>
      <c r="I456" s="656"/>
      <c r="J456" s="657"/>
      <c r="K456" s="654"/>
      <c r="L456" s="649"/>
      <c r="M456" s="648"/>
      <c r="N456" s="648"/>
      <c r="O456" s="649"/>
    </row>
    <row r="457">
      <c r="C457" s="653"/>
      <c r="D457" s="654"/>
      <c r="E457" s="654"/>
      <c r="F457" s="654"/>
      <c r="G457" s="654"/>
      <c r="H457" s="655"/>
      <c r="I457" s="656"/>
      <c r="J457" s="657"/>
      <c r="K457" s="654"/>
      <c r="L457" s="649"/>
      <c r="M457" s="648"/>
      <c r="N457" s="648"/>
      <c r="O457" s="649"/>
    </row>
    <row r="458">
      <c r="C458" s="653"/>
      <c r="D458" s="654"/>
      <c r="E458" s="654"/>
      <c r="F458" s="654"/>
      <c r="G458" s="654"/>
      <c r="H458" s="655"/>
      <c r="I458" s="656"/>
      <c r="J458" s="657"/>
      <c r="K458" s="654"/>
      <c r="L458" s="649"/>
      <c r="M458" s="648"/>
      <c r="N458" s="648"/>
      <c r="O458" s="649"/>
    </row>
    <row r="459">
      <c r="C459" s="653"/>
      <c r="D459" s="654"/>
      <c r="E459" s="654"/>
      <c r="F459" s="654"/>
      <c r="G459" s="654"/>
      <c r="H459" s="655"/>
      <c r="I459" s="656"/>
      <c r="J459" s="657"/>
      <c r="K459" s="654"/>
      <c r="L459" s="649"/>
      <c r="M459" s="648"/>
      <c r="N459" s="648"/>
      <c r="O459" s="649"/>
    </row>
    <row r="460">
      <c r="C460" s="653"/>
      <c r="D460" s="654"/>
      <c r="E460" s="654"/>
      <c r="F460" s="654"/>
      <c r="G460" s="654"/>
      <c r="H460" s="655"/>
      <c r="I460" s="656"/>
      <c r="J460" s="657"/>
      <c r="K460" s="654"/>
      <c r="L460" s="649"/>
      <c r="M460" s="648"/>
      <c r="N460" s="648"/>
      <c r="O460" s="649"/>
    </row>
    <row r="461">
      <c r="C461" s="653"/>
      <c r="D461" s="654"/>
      <c r="E461" s="654"/>
      <c r="F461" s="654"/>
      <c r="G461" s="654"/>
      <c r="H461" s="655"/>
      <c r="I461" s="656"/>
      <c r="J461" s="657"/>
      <c r="K461" s="654"/>
      <c r="L461" s="649"/>
      <c r="M461" s="648"/>
      <c r="N461" s="648"/>
      <c r="O461" s="649"/>
    </row>
    <row r="462">
      <c r="C462" s="653"/>
      <c r="D462" s="654"/>
      <c r="E462" s="654"/>
      <c r="F462" s="654"/>
      <c r="G462" s="654"/>
      <c r="H462" s="655"/>
      <c r="I462" s="656"/>
      <c r="J462" s="657"/>
      <c r="K462" s="654"/>
      <c r="L462" s="649"/>
      <c r="M462" s="648"/>
      <c r="N462" s="648"/>
      <c r="O462" s="649"/>
    </row>
    <row r="463">
      <c r="C463" s="653"/>
      <c r="D463" s="654"/>
      <c r="E463" s="654"/>
      <c r="F463" s="654"/>
      <c r="G463" s="654"/>
      <c r="H463" s="655"/>
      <c r="I463" s="656"/>
      <c r="J463" s="657"/>
      <c r="K463" s="654"/>
      <c r="L463" s="649"/>
      <c r="M463" s="648"/>
      <c r="N463" s="648"/>
      <c r="O463" s="649"/>
    </row>
    <row r="464">
      <c r="C464" s="653"/>
      <c r="D464" s="654"/>
      <c r="E464" s="654"/>
      <c r="F464" s="654"/>
      <c r="G464" s="654"/>
      <c r="H464" s="655"/>
      <c r="I464" s="656"/>
      <c r="J464" s="657"/>
      <c r="K464" s="654"/>
      <c r="L464" s="649"/>
      <c r="M464" s="648"/>
      <c r="N464" s="648"/>
      <c r="O464" s="649"/>
    </row>
    <row r="465">
      <c r="C465" s="653"/>
      <c r="D465" s="654"/>
      <c r="E465" s="654"/>
      <c r="F465" s="654"/>
      <c r="G465" s="654"/>
      <c r="H465" s="655"/>
      <c r="I465" s="656"/>
      <c r="J465" s="657"/>
      <c r="K465" s="654"/>
      <c r="L465" s="649"/>
      <c r="M465" s="648"/>
      <c r="N465" s="648"/>
      <c r="O465" s="649"/>
    </row>
    <row r="466">
      <c r="C466" s="653"/>
      <c r="D466" s="654"/>
      <c r="E466" s="654"/>
      <c r="F466" s="654"/>
      <c r="G466" s="654"/>
      <c r="H466" s="655"/>
      <c r="I466" s="656"/>
      <c r="J466" s="657"/>
      <c r="K466" s="654"/>
      <c r="L466" s="649"/>
      <c r="M466" s="648"/>
      <c r="N466" s="648"/>
      <c r="O466" s="649"/>
    </row>
    <row r="467">
      <c r="C467" s="653"/>
      <c r="D467" s="654"/>
      <c r="E467" s="654"/>
      <c r="F467" s="654"/>
      <c r="G467" s="654"/>
      <c r="H467" s="655"/>
      <c r="I467" s="656"/>
      <c r="J467" s="657"/>
      <c r="K467" s="654"/>
      <c r="L467" s="649"/>
      <c r="M467" s="648"/>
      <c r="N467" s="648"/>
      <c r="O467" s="649"/>
    </row>
    <row r="468">
      <c r="C468" s="653"/>
      <c r="D468" s="654"/>
      <c r="E468" s="654"/>
      <c r="F468" s="654"/>
      <c r="G468" s="654"/>
      <c r="H468" s="655"/>
      <c r="I468" s="656"/>
      <c r="J468" s="657"/>
      <c r="K468" s="654"/>
      <c r="L468" s="649"/>
      <c r="M468" s="648"/>
      <c r="N468" s="648"/>
      <c r="O468" s="649"/>
    </row>
    <row r="469">
      <c r="C469" s="653"/>
      <c r="D469" s="654"/>
      <c r="E469" s="654"/>
      <c r="F469" s="654"/>
      <c r="G469" s="654"/>
      <c r="H469" s="655"/>
      <c r="I469" s="656"/>
      <c r="J469" s="657"/>
      <c r="K469" s="654"/>
      <c r="L469" s="649"/>
      <c r="M469" s="648"/>
      <c r="N469" s="648"/>
      <c r="O469" s="649"/>
    </row>
    <row r="470">
      <c r="C470" s="653"/>
      <c r="D470" s="654"/>
      <c r="E470" s="654"/>
      <c r="F470" s="654"/>
      <c r="G470" s="654"/>
      <c r="H470" s="655"/>
      <c r="I470" s="656"/>
      <c r="J470" s="657"/>
      <c r="K470" s="654"/>
      <c r="L470" s="649"/>
      <c r="M470" s="648"/>
      <c r="N470" s="648"/>
      <c r="O470" s="649"/>
    </row>
    <row r="471">
      <c r="C471" s="653"/>
      <c r="D471" s="654"/>
      <c r="E471" s="654"/>
      <c r="F471" s="654"/>
      <c r="G471" s="654"/>
      <c r="H471" s="655"/>
      <c r="I471" s="656"/>
      <c r="J471" s="657"/>
      <c r="K471" s="654"/>
      <c r="L471" s="649"/>
      <c r="M471" s="648"/>
      <c r="N471" s="648"/>
      <c r="O471" s="649"/>
    </row>
    <row r="472">
      <c r="C472" s="653"/>
      <c r="D472" s="654"/>
      <c r="E472" s="654"/>
      <c r="F472" s="654"/>
      <c r="G472" s="654"/>
      <c r="H472" s="655"/>
      <c r="I472" s="656"/>
      <c r="J472" s="657"/>
      <c r="K472" s="654"/>
      <c r="L472" s="649"/>
      <c r="M472" s="648"/>
      <c r="N472" s="648"/>
      <c r="O472" s="649"/>
    </row>
    <row r="473">
      <c r="C473" s="653"/>
      <c r="D473" s="654"/>
      <c r="E473" s="654"/>
      <c r="F473" s="654"/>
      <c r="G473" s="654"/>
      <c r="H473" s="655"/>
      <c r="I473" s="656"/>
      <c r="J473" s="657"/>
      <c r="K473" s="654"/>
      <c r="L473" s="649"/>
      <c r="M473" s="648"/>
      <c r="N473" s="648"/>
      <c r="O473" s="649"/>
    </row>
    <row r="474">
      <c r="C474" s="653"/>
      <c r="D474" s="654"/>
      <c r="E474" s="654"/>
      <c r="F474" s="654"/>
      <c r="G474" s="654"/>
      <c r="H474" s="655"/>
      <c r="I474" s="656"/>
      <c r="J474" s="657"/>
      <c r="K474" s="654"/>
      <c r="L474" s="649"/>
      <c r="M474" s="648"/>
      <c r="N474" s="648"/>
      <c r="O474" s="649"/>
    </row>
    <row r="475">
      <c r="C475" s="653"/>
      <c r="D475" s="654"/>
      <c r="E475" s="654"/>
      <c r="F475" s="654"/>
      <c r="G475" s="654"/>
      <c r="H475" s="655"/>
      <c r="I475" s="656"/>
      <c r="J475" s="657"/>
      <c r="K475" s="654"/>
      <c r="L475" s="649"/>
      <c r="M475" s="648"/>
      <c r="N475" s="648"/>
      <c r="O475" s="649"/>
    </row>
    <row r="476">
      <c r="C476" s="653"/>
      <c r="D476" s="654"/>
      <c r="E476" s="654"/>
      <c r="F476" s="654"/>
      <c r="G476" s="654"/>
      <c r="H476" s="655"/>
      <c r="I476" s="656"/>
      <c r="J476" s="657"/>
      <c r="K476" s="654"/>
      <c r="L476" s="649"/>
      <c r="M476" s="648"/>
      <c r="N476" s="648"/>
      <c r="O476" s="649"/>
    </row>
    <row r="477">
      <c r="C477" s="653"/>
      <c r="D477" s="654"/>
      <c r="E477" s="654"/>
      <c r="F477" s="654"/>
      <c r="G477" s="654"/>
      <c r="H477" s="655"/>
      <c r="I477" s="656"/>
      <c r="J477" s="657"/>
      <c r="K477" s="654"/>
      <c r="L477" s="649"/>
      <c r="M477" s="648"/>
      <c r="N477" s="648"/>
      <c r="O477" s="649"/>
    </row>
    <row r="478">
      <c r="C478" s="653"/>
      <c r="D478" s="654"/>
      <c r="E478" s="654"/>
      <c r="F478" s="654"/>
      <c r="G478" s="654"/>
      <c r="H478" s="655"/>
      <c r="I478" s="656"/>
      <c r="J478" s="657"/>
      <c r="K478" s="654"/>
      <c r="L478" s="649"/>
      <c r="M478" s="648"/>
      <c r="N478" s="648"/>
      <c r="O478" s="649"/>
    </row>
    <row r="479">
      <c r="C479" s="653"/>
      <c r="D479" s="654"/>
      <c r="E479" s="654"/>
      <c r="F479" s="654"/>
      <c r="G479" s="654"/>
      <c r="H479" s="655"/>
      <c r="I479" s="656"/>
      <c r="J479" s="657"/>
      <c r="K479" s="654"/>
      <c r="L479" s="649"/>
      <c r="M479" s="648"/>
      <c r="N479" s="648"/>
      <c r="O479" s="649"/>
    </row>
    <row r="480">
      <c r="C480" s="653"/>
      <c r="D480" s="654"/>
      <c r="E480" s="654"/>
      <c r="F480" s="654"/>
      <c r="G480" s="654"/>
      <c r="H480" s="655"/>
      <c r="I480" s="656"/>
      <c r="J480" s="657"/>
      <c r="K480" s="654"/>
      <c r="L480" s="649"/>
      <c r="M480" s="648"/>
      <c r="N480" s="648"/>
      <c r="O480" s="649"/>
    </row>
    <row r="481">
      <c r="C481" s="653"/>
      <c r="D481" s="654"/>
      <c r="E481" s="654"/>
      <c r="F481" s="654"/>
      <c r="G481" s="654"/>
      <c r="H481" s="655"/>
      <c r="I481" s="656"/>
      <c r="J481" s="657"/>
      <c r="K481" s="654"/>
      <c r="L481" s="649"/>
      <c r="M481" s="648"/>
      <c r="N481" s="648"/>
      <c r="O481" s="649"/>
    </row>
    <row r="482">
      <c r="C482" s="653"/>
      <c r="D482" s="654"/>
      <c r="E482" s="654"/>
      <c r="F482" s="654"/>
      <c r="G482" s="654"/>
      <c r="H482" s="655"/>
      <c r="I482" s="656"/>
      <c r="J482" s="657"/>
      <c r="K482" s="654"/>
      <c r="L482" s="649"/>
      <c r="M482" s="648"/>
      <c r="N482" s="648"/>
      <c r="O482" s="649"/>
    </row>
    <row r="483">
      <c r="C483" s="653"/>
      <c r="D483" s="654"/>
      <c r="E483" s="654"/>
      <c r="F483" s="654"/>
      <c r="G483" s="654"/>
      <c r="H483" s="655"/>
      <c r="I483" s="656"/>
      <c r="J483" s="657"/>
      <c r="K483" s="654"/>
      <c r="L483" s="649"/>
      <c r="M483" s="648"/>
      <c r="N483" s="648"/>
      <c r="O483" s="649"/>
    </row>
    <row r="484">
      <c r="C484" s="653"/>
      <c r="D484" s="654"/>
      <c r="E484" s="654"/>
      <c r="F484" s="654"/>
      <c r="G484" s="654"/>
      <c r="H484" s="655"/>
      <c r="I484" s="656"/>
      <c r="J484" s="657"/>
      <c r="K484" s="654"/>
      <c r="L484" s="649"/>
      <c r="M484" s="648"/>
      <c r="N484" s="648"/>
      <c r="O484" s="649"/>
    </row>
    <row r="485">
      <c r="C485" s="653"/>
      <c r="D485" s="654"/>
      <c r="E485" s="654"/>
      <c r="F485" s="654"/>
      <c r="G485" s="654"/>
      <c r="H485" s="655"/>
      <c r="I485" s="656"/>
      <c r="J485" s="657"/>
      <c r="K485" s="654"/>
      <c r="L485" s="649"/>
      <c r="M485" s="648"/>
      <c r="N485" s="648"/>
      <c r="O485" s="649"/>
    </row>
    <row r="486">
      <c r="C486" s="653"/>
      <c r="D486" s="654"/>
      <c r="E486" s="654"/>
      <c r="F486" s="654"/>
      <c r="G486" s="654"/>
      <c r="H486" s="655"/>
      <c r="I486" s="656"/>
      <c r="J486" s="657"/>
      <c r="K486" s="654"/>
      <c r="L486" s="649"/>
      <c r="M486" s="648"/>
      <c r="N486" s="648"/>
      <c r="O486" s="649"/>
    </row>
    <row r="487">
      <c r="C487" s="653"/>
      <c r="D487" s="654"/>
      <c r="E487" s="654"/>
      <c r="F487" s="654"/>
      <c r="G487" s="654"/>
      <c r="H487" s="655"/>
      <c r="I487" s="656"/>
      <c r="J487" s="657"/>
      <c r="K487" s="654"/>
      <c r="L487" s="649"/>
      <c r="M487" s="648"/>
      <c r="N487" s="648"/>
      <c r="O487" s="649"/>
    </row>
    <row r="488">
      <c r="C488" s="653"/>
      <c r="D488" s="654"/>
      <c r="E488" s="654"/>
      <c r="F488" s="654"/>
      <c r="G488" s="654"/>
      <c r="H488" s="655"/>
      <c r="I488" s="656"/>
      <c r="J488" s="657"/>
      <c r="K488" s="654"/>
      <c r="L488" s="649"/>
      <c r="M488" s="648"/>
      <c r="N488" s="648"/>
      <c r="O488" s="649"/>
    </row>
    <row r="489">
      <c r="C489" s="653"/>
      <c r="D489" s="654"/>
      <c r="E489" s="654"/>
      <c r="F489" s="654"/>
      <c r="G489" s="654"/>
      <c r="H489" s="655"/>
      <c r="I489" s="656"/>
      <c r="J489" s="657"/>
      <c r="K489" s="654"/>
      <c r="L489" s="649"/>
      <c r="M489" s="648"/>
      <c r="N489" s="648"/>
      <c r="O489" s="649"/>
    </row>
    <row r="490">
      <c r="C490" s="653"/>
      <c r="D490" s="654"/>
      <c r="E490" s="654"/>
      <c r="F490" s="654"/>
      <c r="G490" s="654"/>
      <c r="H490" s="655"/>
      <c r="I490" s="656"/>
      <c r="J490" s="657"/>
      <c r="K490" s="654"/>
      <c r="L490" s="649"/>
      <c r="M490" s="648"/>
      <c r="N490" s="648"/>
      <c r="O490" s="649"/>
    </row>
    <row r="491">
      <c r="C491" s="653"/>
      <c r="D491" s="654"/>
      <c r="E491" s="654"/>
      <c r="F491" s="654"/>
      <c r="G491" s="654"/>
      <c r="H491" s="655"/>
      <c r="I491" s="656"/>
      <c r="J491" s="657"/>
      <c r="K491" s="654"/>
      <c r="L491" s="649"/>
      <c r="M491" s="648"/>
      <c r="N491" s="648"/>
      <c r="O491" s="649"/>
    </row>
    <row r="492">
      <c r="C492" s="653"/>
      <c r="D492" s="654"/>
      <c r="E492" s="654"/>
      <c r="F492" s="654"/>
      <c r="G492" s="654"/>
      <c r="H492" s="655"/>
      <c r="I492" s="656"/>
      <c r="J492" s="657"/>
      <c r="K492" s="654"/>
      <c r="L492" s="649"/>
      <c r="M492" s="648"/>
      <c r="N492" s="648"/>
      <c r="O492" s="649"/>
    </row>
    <row r="493">
      <c r="C493" s="653"/>
      <c r="D493" s="654"/>
      <c r="E493" s="654"/>
      <c r="F493" s="654"/>
      <c r="G493" s="654"/>
      <c r="H493" s="655"/>
      <c r="I493" s="656"/>
      <c r="J493" s="657"/>
      <c r="K493" s="654"/>
      <c r="L493" s="649"/>
      <c r="M493" s="648"/>
      <c r="N493" s="648"/>
      <c r="O493" s="649"/>
    </row>
    <row r="494">
      <c r="C494" s="653"/>
      <c r="D494" s="654"/>
      <c r="E494" s="654"/>
      <c r="F494" s="654"/>
      <c r="G494" s="654"/>
      <c r="H494" s="655"/>
      <c r="I494" s="656"/>
      <c r="J494" s="657"/>
      <c r="K494" s="654"/>
      <c r="L494" s="649"/>
      <c r="M494" s="648"/>
      <c r="N494" s="648"/>
      <c r="O494" s="649"/>
    </row>
    <row r="495">
      <c r="C495" s="653"/>
      <c r="D495" s="654"/>
      <c r="E495" s="654"/>
      <c r="F495" s="654"/>
      <c r="G495" s="654"/>
      <c r="H495" s="655"/>
      <c r="I495" s="656"/>
      <c r="J495" s="657"/>
      <c r="K495" s="654"/>
      <c r="L495" s="649"/>
      <c r="M495" s="648"/>
      <c r="N495" s="648"/>
      <c r="O495" s="649"/>
    </row>
    <row r="496">
      <c r="C496" s="653"/>
      <c r="D496" s="654"/>
      <c r="E496" s="654"/>
      <c r="F496" s="654"/>
      <c r="G496" s="654"/>
      <c r="H496" s="655"/>
      <c r="I496" s="656"/>
      <c r="J496" s="657"/>
      <c r="K496" s="654"/>
      <c r="L496" s="649"/>
      <c r="M496" s="648"/>
      <c r="N496" s="648"/>
      <c r="O496" s="649"/>
    </row>
    <row r="497">
      <c r="C497" s="653"/>
      <c r="D497" s="654"/>
      <c r="E497" s="654"/>
      <c r="F497" s="654"/>
      <c r="G497" s="654"/>
      <c r="H497" s="655"/>
      <c r="I497" s="656"/>
      <c r="J497" s="657"/>
      <c r="K497" s="654"/>
      <c r="L497" s="649"/>
      <c r="M497" s="648"/>
      <c r="N497" s="648"/>
      <c r="O497" s="649"/>
    </row>
    <row r="498">
      <c r="C498" s="653"/>
      <c r="D498" s="654"/>
      <c r="E498" s="654"/>
      <c r="F498" s="654"/>
      <c r="G498" s="654"/>
      <c r="H498" s="655"/>
      <c r="I498" s="656"/>
      <c r="J498" s="657"/>
      <c r="K498" s="654"/>
      <c r="L498" s="649"/>
      <c r="M498" s="648"/>
      <c r="N498" s="648"/>
      <c r="O498" s="649"/>
    </row>
    <row r="499">
      <c r="C499" s="653"/>
      <c r="D499" s="654"/>
      <c r="E499" s="654"/>
      <c r="F499" s="654"/>
      <c r="G499" s="654"/>
      <c r="H499" s="655"/>
      <c r="I499" s="656"/>
      <c r="J499" s="657"/>
      <c r="K499" s="654"/>
      <c r="L499" s="649"/>
      <c r="M499" s="648"/>
      <c r="N499" s="648"/>
      <c r="O499" s="649"/>
    </row>
    <row r="500">
      <c r="C500" s="653"/>
      <c r="D500" s="654"/>
      <c r="E500" s="654"/>
      <c r="F500" s="654"/>
      <c r="G500" s="654"/>
      <c r="H500" s="655"/>
      <c r="I500" s="656"/>
      <c r="J500" s="657"/>
      <c r="K500" s="654"/>
      <c r="L500" s="649"/>
      <c r="M500" s="648"/>
      <c r="N500" s="648"/>
      <c r="O500" s="649"/>
    </row>
    <row r="501">
      <c r="C501" s="653"/>
      <c r="D501" s="654"/>
      <c r="E501" s="654"/>
      <c r="F501" s="654"/>
      <c r="G501" s="654"/>
      <c r="H501" s="655"/>
      <c r="I501" s="656"/>
      <c r="J501" s="657"/>
      <c r="K501" s="654"/>
      <c r="L501" s="649"/>
      <c r="M501" s="648"/>
      <c r="N501" s="648"/>
      <c r="O501" s="649"/>
    </row>
    <row r="502">
      <c r="C502" s="653"/>
      <c r="D502" s="654"/>
      <c r="E502" s="654"/>
      <c r="F502" s="654"/>
      <c r="G502" s="654"/>
      <c r="H502" s="655"/>
      <c r="I502" s="656"/>
      <c r="J502" s="657"/>
      <c r="K502" s="654"/>
      <c r="L502" s="649"/>
      <c r="M502" s="648"/>
      <c r="N502" s="648"/>
      <c r="O502" s="649"/>
    </row>
    <row r="503">
      <c r="C503" s="653"/>
      <c r="D503" s="654"/>
      <c r="E503" s="654"/>
      <c r="F503" s="654"/>
      <c r="G503" s="654"/>
      <c r="H503" s="655"/>
      <c r="I503" s="656"/>
      <c r="J503" s="657"/>
      <c r="K503" s="654"/>
      <c r="L503" s="649"/>
      <c r="M503" s="648"/>
      <c r="N503" s="648"/>
      <c r="O503" s="649"/>
    </row>
    <row r="504">
      <c r="C504" s="653"/>
      <c r="D504" s="654"/>
      <c r="E504" s="654"/>
      <c r="F504" s="654"/>
      <c r="G504" s="654"/>
      <c r="H504" s="655"/>
      <c r="I504" s="656"/>
      <c r="J504" s="657"/>
      <c r="K504" s="654"/>
      <c r="L504" s="649"/>
      <c r="M504" s="648"/>
      <c r="N504" s="648"/>
      <c r="O504" s="649"/>
    </row>
    <row r="505">
      <c r="C505" s="653"/>
      <c r="D505" s="654"/>
      <c r="E505" s="654"/>
      <c r="F505" s="654"/>
      <c r="G505" s="654"/>
      <c r="H505" s="655"/>
      <c r="I505" s="656"/>
      <c r="J505" s="657"/>
      <c r="K505" s="654"/>
      <c r="L505" s="649"/>
      <c r="M505" s="648"/>
      <c r="N505" s="648"/>
      <c r="O505" s="649"/>
    </row>
    <row r="506">
      <c r="C506" s="653"/>
      <c r="D506" s="654"/>
      <c r="E506" s="654"/>
      <c r="F506" s="654"/>
      <c r="G506" s="654"/>
      <c r="H506" s="655"/>
      <c r="I506" s="656"/>
      <c r="J506" s="657"/>
      <c r="K506" s="654"/>
      <c r="L506" s="649"/>
      <c r="M506" s="648"/>
      <c r="N506" s="648"/>
      <c r="O506" s="649"/>
    </row>
    <row r="507">
      <c r="C507" s="653"/>
      <c r="D507" s="654"/>
      <c r="E507" s="654"/>
      <c r="F507" s="654"/>
      <c r="G507" s="654"/>
      <c r="H507" s="655"/>
      <c r="I507" s="656"/>
      <c r="J507" s="657"/>
      <c r="K507" s="654"/>
      <c r="L507" s="649"/>
      <c r="M507" s="648"/>
      <c r="N507" s="648"/>
      <c r="O507" s="649"/>
    </row>
    <row r="508">
      <c r="C508" s="653"/>
      <c r="D508" s="654"/>
      <c r="E508" s="654"/>
      <c r="F508" s="654"/>
      <c r="G508" s="654"/>
      <c r="H508" s="655"/>
      <c r="I508" s="656"/>
      <c r="J508" s="657"/>
      <c r="K508" s="654"/>
      <c r="L508" s="649"/>
      <c r="M508" s="648"/>
      <c r="N508" s="648"/>
      <c r="O508" s="649"/>
    </row>
    <row r="509">
      <c r="C509" s="653"/>
      <c r="D509" s="654"/>
      <c r="E509" s="654"/>
      <c r="F509" s="654"/>
      <c r="G509" s="654"/>
      <c r="H509" s="655"/>
      <c r="I509" s="656"/>
      <c r="J509" s="657"/>
      <c r="K509" s="654"/>
      <c r="L509" s="649"/>
      <c r="M509" s="648"/>
      <c r="N509" s="648"/>
      <c r="O509" s="649"/>
    </row>
    <row r="510">
      <c r="C510" s="653"/>
      <c r="D510" s="654"/>
      <c r="E510" s="654"/>
      <c r="F510" s="654"/>
      <c r="G510" s="654"/>
      <c r="H510" s="655"/>
      <c r="I510" s="656"/>
      <c r="J510" s="657"/>
      <c r="K510" s="654"/>
      <c r="L510" s="649"/>
      <c r="M510" s="648"/>
      <c r="N510" s="648"/>
      <c r="O510" s="649"/>
    </row>
    <row r="511">
      <c r="C511" s="653"/>
      <c r="D511" s="654"/>
      <c r="E511" s="654"/>
      <c r="F511" s="654"/>
      <c r="G511" s="654"/>
      <c r="H511" s="655"/>
      <c r="I511" s="656"/>
      <c r="J511" s="657"/>
      <c r="K511" s="654"/>
      <c r="L511" s="649"/>
      <c r="M511" s="648"/>
      <c r="N511" s="648"/>
      <c r="O511" s="649"/>
    </row>
    <row r="512">
      <c r="C512" s="653"/>
      <c r="D512" s="654"/>
      <c r="E512" s="654"/>
      <c r="F512" s="654"/>
      <c r="G512" s="654"/>
      <c r="H512" s="655"/>
      <c r="I512" s="656"/>
      <c r="J512" s="657"/>
      <c r="K512" s="654"/>
      <c r="L512" s="649"/>
      <c r="M512" s="648"/>
      <c r="N512" s="648"/>
      <c r="O512" s="649"/>
    </row>
    <row r="513">
      <c r="C513" s="653"/>
      <c r="D513" s="654"/>
      <c r="E513" s="654"/>
      <c r="F513" s="654"/>
      <c r="G513" s="654"/>
      <c r="H513" s="655"/>
      <c r="I513" s="656"/>
      <c r="J513" s="657"/>
      <c r="K513" s="654"/>
      <c r="L513" s="649"/>
      <c r="M513" s="648"/>
      <c r="N513" s="648"/>
      <c r="O513" s="649"/>
    </row>
    <row r="514">
      <c r="C514" s="653"/>
      <c r="D514" s="654"/>
      <c r="E514" s="654"/>
      <c r="F514" s="654"/>
      <c r="G514" s="654"/>
      <c r="H514" s="655"/>
      <c r="I514" s="656"/>
      <c r="J514" s="657"/>
      <c r="K514" s="654"/>
      <c r="L514" s="649"/>
      <c r="M514" s="648"/>
      <c r="N514" s="648"/>
      <c r="O514" s="649"/>
    </row>
    <row r="515">
      <c r="C515" s="653"/>
      <c r="D515" s="654"/>
      <c r="E515" s="654"/>
      <c r="F515" s="654"/>
      <c r="G515" s="654"/>
      <c r="H515" s="655"/>
      <c r="I515" s="656"/>
      <c r="J515" s="657"/>
      <c r="K515" s="654"/>
      <c r="L515" s="649"/>
      <c r="M515" s="648"/>
      <c r="N515" s="648"/>
      <c r="O515" s="649"/>
    </row>
    <row r="516">
      <c r="C516" s="653"/>
      <c r="D516" s="654"/>
      <c r="E516" s="654"/>
      <c r="F516" s="654"/>
      <c r="G516" s="654"/>
      <c r="H516" s="655"/>
      <c r="I516" s="656"/>
      <c r="J516" s="657"/>
      <c r="K516" s="654"/>
      <c r="L516" s="649"/>
      <c r="M516" s="648"/>
      <c r="N516" s="648"/>
      <c r="O516" s="649"/>
    </row>
    <row r="517">
      <c r="C517" s="653"/>
      <c r="D517" s="654"/>
      <c r="E517" s="654"/>
      <c r="F517" s="654"/>
      <c r="G517" s="654"/>
      <c r="H517" s="655"/>
      <c r="I517" s="656"/>
      <c r="J517" s="657"/>
      <c r="K517" s="654"/>
      <c r="L517" s="649"/>
      <c r="M517" s="648"/>
      <c r="N517" s="648"/>
      <c r="O517" s="649"/>
    </row>
    <row r="518">
      <c r="C518" s="653"/>
      <c r="D518" s="654"/>
      <c r="E518" s="654"/>
      <c r="F518" s="654"/>
      <c r="G518" s="654"/>
      <c r="H518" s="655"/>
      <c r="I518" s="656"/>
      <c r="J518" s="657"/>
      <c r="K518" s="654"/>
      <c r="L518" s="649"/>
      <c r="M518" s="648"/>
      <c r="N518" s="648"/>
      <c r="O518" s="649"/>
    </row>
    <row r="519">
      <c r="C519" s="653"/>
      <c r="D519" s="654"/>
      <c r="E519" s="654"/>
      <c r="F519" s="654"/>
      <c r="G519" s="654"/>
      <c r="H519" s="655"/>
      <c r="I519" s="656"/>
      <c r="J519" s="657"/>
      <c r="K519" s="654"/>
      <c r="L519" s="649"/>
      <c r="M519" s="648"/>
      <c r="N519" s="648"/>
      <c r="O519" s="649"/>
    </row>
    <row r="520">
      <c r="C520" s="653"/>
      <c r="D520" s="654"/>
      <c r="E520" s="654"/>
      <c r="F520" s="654"/>
      <c r="G520" s="654"/>
      <c r="H520" s="655"/>
      <c r="I520" s="656"/>
      <c r="J520" s="657"/>
      <c r="K520" s="654"/>
      <c r="L520" s="649"/>
      <c r="M520" s="648"/>
      <c r="N520" s="648"/>
      <c r="O520" s="649"/>
    </row>
    <row r="521">
      <c r="C521" s="653"/>
      <c r="D521" s="654"/>
      <c r="E521" s="654"/>
      <c r="F521" s="654"/>
      <c r="G521" s="654"/>
      <c r="H521" s="655"/>
      <c r="I521" s="656"/>
      <c r="J521" s="657"/>
      <c r="K521" s="654"/>
      <c r="L521" s="649"/>
      <c r="M521" s="648"/>
      <c r="N521" s="648"/>
      <c r="O521" s="649"/>
    </row>
    <row r="522">
      <c r="C522" s="653"/>
      <c r="D522" s="654"/>
      <c r="E522" s="654"/>
      <c r="F522" s="654"/>
      <c r="G522" s="654"/>
      <c r="H522" s="655"/>
      <c r="I522" s="656"/>
      <c r="J522" s="657"/>
      <c r="K522" s="654"/>
      <c r="L522" s="649"/>
      <c r="M522" s="648"/>
      <c r="N522" s="648"/>
      <c r="O522" s="649"/>
    </row>
    <row r="523">
      <c r="C523" s="653"/>
      <c r="D523" s="654"/>
      <c r="E523" s="654"/>
      <c r="F523" s="654"/>
      <c r="G523" s="654"/>
      <c r="H523" s="655"/>
      <c r="I523" s="656"/>
      <c r="J523" s="657"/>
      <c r="K523" s="654"/>
      <c r="L523" s="649"/>
      <c r="M523" s="648"/>
      <c r="N523" s="648"/>
      <c r="O523" s="649"/>
    </row>
    <row r="524">
      <c r="C524" s="653"/>
      <c r="D524" s="654"/>
      <c r="E524" s="654"/>
      <c r="F524" s="654"/>
      <c r="G524" s="654"/>
      <c r="H524" s="655"/>
      <c r="I524" s="656"/>
      <c r="J524" s="657"/>
      <c r="K524" s="654"/>
      <c r="L524" s="649"/>
      <c r="M524" s="648"/>
      <c r="N524" s="648"/>
      <c r="O524" s="649"/>
    </row>
    <row r="525">
      <c r="C525" s="653"/>
      <c r="D525" s="654"/>
      <c r="E525" s="654"/>
      <c r="F525" s="654"/>
      <c r="G525" s="654"/>
      <c r="H525" s="655"/>
      <c r="I525" s="656"/>
      <c r="J525" s="657"/>
      <c r="K525" s="654"/>
      <c r="L525" s="649"/>
      <c r="M525" s="648"/>
      <c r="N525" s="648"/>
      <c r="O525" s="649"/>
    </row>
    <row r="526">
      <c r="C526" s="653"/>
      <c r="D526" s="654"/>
      <c r="E526" s="654"/>
      <c r="F526" s="654"/>
      <c r="G526" s="654"/>
      <c r="H526" s="655"/>
      <c r="I526" s="656"/>
      <c r="J526" s="657"/>
      <c r="K526" s="654"/>
      <c r="L526" s="649"/>
      <c r="M526" s="648"/>
      <c r="N526" s="648"/>
      <c r="O526" s="649"/>
    </row>
    <row r="527">
      <c r="C527" s="653"/>
      <c r="D527" s="654"/>
      <c r="E527" s="654"/>
      <c r="F527" s="654"/>
      <c r="G527" s="654"/>
      <c r="H527" s="655"/>
      <c r="I527" s="656"/>
      <c r="J527" s="657"/>
      <c r="K527" s="654"/>
      <c r="L527" s="649"/>
      <c r="M527" s="648"/>
      <c r="N527" s="648"/>
      <c r="O527" s="649"/>
    </row>
    <row r="528">
      <c r="C528" s="653"/>
      <c r="D528" s="654"/>
      <c r="E528" s="654"/>
      <c r="F528" s="654"/>
      <c r="G528" s="654"/>
      <c r="H528" s="655"/>
      <c r="I528" s="656"/>
      <c r="J528" s="657"/>
      <c r="K528" s="654"/>
      <c r="L528" s="649"/>
      <c r="M528" s="648"/>
      <c r="N528" s="648"/>
      <c r="O528" s="649"/>
    </row>
    <row r="529">
      <c r="C529" s="653"/>
      <c r="D529" s="654"/>
      <c r="E529" s="654"/>
      <c r="F529" s="654"/>
      <c r="G529" s="654"/>
      <c r="H529" s="655"/>
      <c r="I529" s="656"/>
      <c r="J529" s="657"/>
      <c r="K529" s="654"/>
      <c r="L529" s="649"/>
      <c r="M529" s="648"/>
      <c r="N529" s="648"/>
      <c r="O529" s="649"/>
    </row>
    <row r="530">
      <c r="C530" s="653"/>
      <c r="D530" s="654"/>
      <c r="E530" s="654"/>
      <c r="F530" s="654"/>
      <c r="G530" s="654"/>
      <c r="H530" s="655"/>
      <c r="I530" s="656"/>
      <c r="J530" s="657"/>
      <c r="K530" s="654"/>
      <c r="L530" s="649"/>
      <c r="M530" s="648"/>
      <c r="N530" s="648"/>
      <c r="O530" s="649"/>
    </row>
    <row r="531">
      <c r="C531" s="653"/>
      <c r="D531" s="654"/>
      <c r="E531" s="654"/>
      <c r="F531" s="654"/>
      <c r="G531" s="654"/>
      <c r="H531" s="655"/>
      <c r="I531" s="656"/>
      <c r="J531" s="657"/>
      <c r="K531" s="654"/>
      <c r="L531" s="649"/>
      <c r="M531" s="648"/>
      <c r="N531" s="648"/>
      <c r="O531" s="649"/>
    </row>
    <row r="532">
      <c r="C532" s="653"/>
      <c r="D532" s="654"/>
      <c r="E532" s="654"/>
      <c r="F532" s="654"/>
      <c r="G532" s="654"/>
      <c r="H532" s="655"/>
      <c r="I532" s="656"/>
      <c r="J532" s="657"/>
      <c r="K532" s="654"/>
      <c r="L532" s="649"/>
      <c r="M532" s="648"/>
      <c r="N532" s="648"/>
      <c r="O532" s="649"/>
    </row>
    <row r="533">
      <c r="C533" s="653"/>
      <c r="D533" s="654"/>
      <c r="E533" s="654"/>
      <c r="F533" s="654"/>
      <c r="G533" s="654"/>
      <c r="H533" s="655"/>
      <c r="I533" s="656"/>
      <c r="J533" s="657"/>
      <c r="K533" s="654"/>
      <c r="L533" s="649"/>
      <c r="M533" s="648"/>
      <c r="N533" s="648"/>
      <c r="O533" s="649"/>
    </row>
    <row r="534">
      <c r="C534" s="653"/>
      <c r="D534" s="654"/>
      <c r="E534" s="654"/>
      <c r="F534" s="654"/>
      <c r="G534" s="654"/>
      <c r="H534" s="655"/>
      <c r="I534" s="656"/>
      <c r="J534" s="657"/>
      <c r="K534" s="654"/>
      <c r="L534" s="649"/>
      <c r="M534" s="648"/>
      <c r="N534" s="648"/>
      <c r="O534" s="649"/>
    </row>
    <row r="535">
      <c r="C535" s="653"/>
      <c r="D535" s="654"/>
      <c r="E535" s="654"/>
      <c r="F535" s="654"/>
      <c r="G535" s="654"/>
      <c r="H535" s="655"/>
      <c r="I535" s="656"/>
      <c r="J535" s="657"/>
      <c r="K535" s="654"/>
      <c r="L535" s="649"/>
      <c r="M535" s="648"/>
      <c r="N535" s="648"/>
      <c r="O535" s="649"/>
    </row>
    <row r="536">
      <c r="C536" s="653"/>
      <c r="D536" s="654"/>
      <c r="E536" s="654"/>
      <c r="F536" s="654"/>
      <c r="G536" s="654"/>
      <c r="H536" s="655"/>
      <c r="I536" s="656"/>
      <c r="J536" s="657"/>
      <c r="K536" s="654"/>
      <c r="L536" s="649"/>
      <c r="M536" s="648"/>
      <c r="N536" s="648"/>
      <c r="O536" s="649"/>
    </row>
    <row r="537">
      <c r="C537" s="653"/>
      <c r="D537" s="654"/>
      <c r="E537" s="654"/>
      <c r="F537" s="654"/>
      <c r="G537" s="654"/>
      <c r="H537" s="655"/>
      <c r="I537" s="656"/>
      <c r="J537" s="657"/>
      <c r="K537" s="654"/>
      <c r="L537" s="649"/>
      <c r="M537" s="648"/>
      <c r="N537" s="648"/>
      <c r="O537" s="649"/>
    </row>
    <row r="538">
      <c r="C538" s="653"/>
      <c r="D538" s="654"/>
      <c r="E538" s="654"/>
      <c r="F538" s="654"/>
      <c r="G538" s="654"/>
      <c r="H538" s="655"/>
      <c r="I538" s="656"/>
      <c r="J538" s="657"/>
      <c r="K538" s="654"/>
      <c r="L538" s="649"/>
      <c r="M538" s="648"/>
      <c r="N538" s="648"/>
      <c r="O538" s="649"/>
    </row>
    <row r="539">
      <c r="C539" s="653"/>
      <c r="D539" s="654"/>
      <c r="E539" s="654"/>
      <c r="F539" s="654"/>
      <c r="G539" s="654"/>
      <c r="H539" s="655"/>
      <c r="I539" s="656"/>
      <c r="J539" s="657"/>
      <c r="K539" s="654"/>
      <c r="L539" s="649"/>
      <c r="M539" s="648"/>
      <c r="N539" s="648"/>
      <c r="O539" s="649"/>
    </row>
    <row r="540">
      <c r="C540" s="653"/>
      <c r="D540" s="654"/>
      <c r="E540" s="654"/>
      <c r="F540" s="654"/>
      <c r="G540" s="654"/>
      <c r="H540" s="655"/>
      <c r="I540" s="656"/>
      <c r="J540" s="657"/>
      <c r="K540" s="654"/>
      <c r="L540" s="649"/>
      <c r="M540" s="648"/>
      <c r="N540" s="648"/>
      <c r="O540" s="649"/>
    </row>
    <row r="541">
      <c r="C541" s="653"/>
      <c r="D541" s="654"/>
      <c r="E541" s="654"/>
      <c r="F541" s="654"/>
      <c r="G541" s="654"/>
      <c r="H541" s="655"/>
      <c r="I541" s="656"/>
      <c r="J541" s="657"/>
      <c r="K541" s="654"/>
      <c r="L541" s="649"/>
      <c r="M541" s="648"/>
      <c r="N541" s="648"/>
      <c r="O541" s="649"/>
    </row>
    <row r="542">
      <c r="C542" s="653"/>
      <c r="D542" s="654"/>
      <c r="E542" s="654"/>
      <c r="F542" s="654"/>
      <c r="G542" s="654"/>
      <c r="H542" s="655"/>
      <c r="I542" s="656"/>
      <c r="J542" s="657"/>
      <c r="K542" s="654"/>
      <c r="L542" s="649"/>
      <c r="M542" s="648"/>
      <c r="N542" s="648"/>
      <c r="O542" s="649"/>
    </row>
    <row r="543">
      <c r="C543" s="653"/>
      <c r="D543" s="654"/>
      <c r="E543" s="654"/>
      <c r="F543" s="654"/>
      <c r="G543" s="654"/>
      <c r="H543" s="655"/>
      <c r="I543" s="656"/>
      <c r="J543" s="657"/>
      <c r="K543" s="654"/>
      <c r="L543" s="649"/>
      <c r="M543" s="648"/>
      <c r="N543" s="648"/>
      <c r="O543" s="649"/>
    </row>
    <row r="544">
      <c r="C544" s="653"/>
      <c r="D544" s="654"/>
      <c r="E544" s="654"/>
      <c r="F544" s="654"/>
      <c r="G544" s="654"/>
      <c r="H544" s="655"/>
      <c r="I544" s="656"/>
      <c r="J544" s="657"/>
      <c r="K544" s="654"/>
      <c r="L544" s="649"/>
      <c r="M544" s="648"/>
      <c r="N544" s="648"/>
      <c r="O544" s="649"/>
    </row>
    <row r="545">
      <c r="C545" s="653"/>
      <c r="D545" s="654"/>
      <c r="E545" s="654"/>
      <c r="F545" s="654"/>
      <c r="G545" s="654"/>
      <c r="H545" s="655"/>
      <c r="I545" s="656"/>
      <c r="J545" s="657"/>
      <c r="K545" s="654"/>
      <c r="L545" s="649"/>
      <c r="M545" s="648"/>
      <c r="N545" s="648"/>
      <c r="O545" s="649"/>
    </row>
    <row r="546">
      <c r="C546" s="653"/>
      <c r="D546" s="654"/>
      <c r="E546" s="654"/>
      <c r="F546" s="654"/>
      <c r="G546" s="654"/>
      <c r="H546" s="655"/>
      <c r="I546" s="656"/>
      <c r="J546" s="657"/>
      <c r="K546" s="654"/>
      <c r="L546" s="649"/>
      <c r="M546" s="648"/>
      <c r="N546" s="648"/>
      <c r="O546" s="649"/>
    </row>
    <row r="547">
      <c r="C547" s="653"/>
      <c r="D547" s="654"/>
      <c r="E547" s="654"/>
      <c r="F547" s="654"/>
      <c r="G547" s="654"/>
      <c r="H547" s="655"/>
      <c r="I547" s="656"/>
      <c r="J547" s="657"/>
      <c r="K547" s="654"/>
      <c r="L547" s="649"/>
      <c r="M547" s="648"/>
      <c r="N547" s="648"/>
      <c r="O547" s="649"/>
    </row>
    <row r="548">
      <c r="C548" s="653"/>
      <c r="D548" s="654"/>
      <c r="E548" s="654"/>
      <c r="F548" s="654"/>
      <c r="G548" s="654"/>
      <c r="H548" s="655"/>
      <c r="I548" s="656"/>
      <c r="J548" s="657"/>
      <c r="K548" s="654"/>
      <c r="L548" s="649"/>
      <c r="M548" s="648"/>
      <c r="N548" s="648"/>
      <c r="O548" s="649"/>
    </row>
    <row r="549">
      <c r="C549" s="653"/>
      <c r="D549" s="654"/>
      <c r="E549" s="654"/>
      <c r="F549" s="654"/>
      <c r="G549" s="654"/>
      <c r="H549" s="655"/>
      <c r="I549" s="656"/>
      <c r="J549" s="657"/>
      <c r="K549" s="654"/>
      <c r="L549" s="649"/>
      <c r="M549" s="648"/>
      <c r="N549" s="648"/>
      <c r="O549" s="649"/>
    </row>
    <row r="550">
      <c r="C550" s="653"/>
      <c r="D550" s="654"/>
      <c r="E550" s="654"/>
      <c r="F550" s="654"/>
      <c r="G550" s="654"/>
      <c r="H550" s="655"/>
      <c r="I550" s="656"/>
      <c r="J550" s="657"/>
      <c r="K550" s="654"/>
      <c r="L550" s="649"/>
      <c r="M550" s="648"/>
      <c r="N550" s="648"/>
      <c r="O550" s="649"/>
    </row>
    <row r="551">
      <c r="C551" s="653"/>
      <c r="D551" s="654"/>
      <c r="E551" s="654"/>
      <c r="F551" s="654"/>
      <c r="G551" s="654"/>
      <c r="H551" s="655"/>
      <c r="I551" s="656"/>
      <c r="J551" s="657"/>
      <c r="K551" s="654"/>
      <c r="L551" s="649"/>
      <c r="M551" s="648"/>
      <c r="N551" s="648"/>
      <c r="O551" s="649"/>
    </row>
    <row r="552">
      <c r="C552" s="653"/>
      <c r="D552" s="654"/>
      <c r="E552" s="654"/>
      <c r="F552" s="654"/>
      <c r="G552" s="654"/>
      <c r="H552" s="655"/>
      <c r="I552" s="656"/>
      <c r="J552" s="657"/>
      <c r="K552" s="654"/>
      <c r="L552" s="649"/>
      <c r="M552" s="648"/>
      <c r="N552" s="648"/>
      <c r="O552" s="649"/>
    </row>
    <row r="553">
      <c r="C553" s="653"/>
      <c r="D553" s="654"/>
      <c r="E553" s="654"/>
      <c r="F553" s="654"/>
      <c r="G553" s="654"/>
      <c r="H553" s="655"/>
      <c r="I553" s="656"/>
      <c r="J553" s="657"/>
      <c r="K553" s="654"/>
      <c r="L553" s="649"/>
      <c r="M553" s="648"/>
      <c r="N553" s="648"/>
      <c r="O553" s="649"/>
    </row>
    <row r="554">
      <c r="C554" s="653"/>
      <c r="D554" s="654"/>
      <c r="E554" s="654"/>
      <c r="F554" s="654"/>
      <c r="G554" s="654"/>
      <c r="H554" s="655"/>
      <c r="I554" s="656"/>
      <c r="J554" s="657"/>
      <c r="K554" s="654"/>
      <c r="L554" s="649"/>
      <c r="M554" s="648"/>
      <c r="N554" s="648"/>
      <c r="O554" s="649"/>
    </row>
    <row r="555">
      <c r="C555" s="653"/>
      <c r="D555" s="654"/>
      <c r="E555" s="654"/>
      <c r="F555" s="654"/>
      <c r="G555" s="654"/>
      <c r="H555" s="655"/>
      <c r="I555" s="656"/>
      <c r="J555" s="657"/>
      <c r="K555" s="654"/>
      <c r="L555" s="649"/>
      <c r="M555" s="648"/>
      <c r="N555" s="648"/>
      <c r="O555" s="649"/>
    </row>
    <row r="556">
      <c r="C556" s="653"/>
      <c r="D556" s="654"/>
      <c r="E556" s="654"/>
      <c r="F556" s="654"/>
      <c r="G556" s="654"/>
      <c r="H556" s="655"/>
      <c r="I556" s="656"/>
      <c r="J556" s="657"/>
      <c r="K556" s="654"/>
      <c r="L556" s="649"/>
      <c r="M556" s="648"/>
      <c r="N556" s="648"/>
      <c r="O556" s="649"/>
    </row>
    <row r="557">
      <c r="C557" s="653"/>
      <c r="D557" s="654"/>
      <c r="E557" s="654"/>
      <c r="F557" s="654"/>
      <c r="G557" s="654"/>
      <c r="H557" s="655"/>
      <c r="I557" s="656"/>
      <c r="J557" s="657"/>
      <c r="K557" s="654"/>
      <c r="L557" s="649"/>
      <c r="M557" s="648"/>
      <c r="N557" s="648"/>
      <c r="O557" s="649"/>
    </row>
    <row r="558">
      <c r="C558" s="653"/>
      <c r="D558" s="654"/>
      <c r="E558" s="654"/>
      <c r="F558" s="654"/>
      <c r="G558" s="654"/>
      <c r="H558" s="655"/>
      <c r="I558" s="656"/>
      <c r="J558" s="657"/>
      <c r="K558" s="654"/>
      <c r="L558" s="649"/>
      <c r="M558" s="648"/>
      <c r="N558" s="648"/>
      <c r="O558" s="649"/>
    </row>
    <row r="559">
      <c r="C559" s="653"/>
      <c r="D559" s="654"/>
      <c r="E559" s="654"/>
      <c r="F559" s="654"/>
      <c r="G559" s="654"/>
      <c r="H559" s="655"/>
      <c r="I559" s="656"/>
      <c r="J559" s="657"/>
      <c r="K559" s="654"/>
      <c r="L559" s="649"/>
      <c r="M559" s="648"/>
      <c r="N559" s="648"/>
      <c r="O559" s="649"/>
    </row>
    <row r="560">
      <c r="C560" s="653"/>
      <c r="D560" s="654"/>
      <c r="E560" s="654"/>
      <c r="F560" s="654"/>
      <c r="G560" s="654"/>
      <c r="H560" s="655"/>
      <c r="I560" s="656"/>
      <c r="J560" s="657"/>
      <c r="K560" s="654"/>
      <c r="L560" s="649"/>
      <c r="M560" s="648"/>
      <c r="N560" s="648"/>
      <c r="O560" s="649"/>
    </row>
    <row r="561">
      <c r="C561" s="653"/>
      <c r="D561" s="654"/>
      <c r="E561" s="654"/>
      <c r="F561" s="654"/>
      <c r="G561" s="654"/>
      <c r="H561" s="655"/>
      <c r="I561" s="656"/>
      <c r="J561" s="657"/>
      <c r="K561" s="654"/>
      <c r="L561" s="649"/>
      <c r="M561" s="648"/>
      <c r="N561" s="648"/>
      <c r="O561" s="649"/>
    </row>
    <row r="562">
      <c r="C562" s="653"/>
      <c r="D562" s="654"/>
      <c r="E562" s="654"/>
      <c r="F562" s="654"/>
      <c r="G562" s="654"/>
      <c r="H562" s="655"/>
      <c r="I562" s="656"/>
      <c r="J562" s="657"/>
      <c r="K562" s="654"/>
      <c r="L562" s="649"/>
      <c r="M562" s="648"/>
      <c r="N562" s="648"/>
      <c r="O562" s="649"/>
    </row>
    <row r="563">
      <c r="C563" s="653"/>
      <c r="D563" s="654"/>
      <c r="E563" s="654"/>
      <c r="F563" s="654"/>
      <c r="G563" s="654"/>
      <c r="H563" s="655"/>
      <c r="I563" s="656"/>
      <c r="J563" s="657"/>
      <c r="K563" s="654"/>
      <c r="L563" s="649"/>
      <c r="M563" s="648"/>
      <c r="N563" s="648"/>
      <c r="O563" s="649"/>
    </row>
    <row r="564">
      <c r="C564" s="653"/>
      <c r="D564" s="654"/>
      <c r="E564" s="654"/>
      <c r="F564" s="654"/>
      <c r="G564" s="654"/>
      <c r="H564" s="655"/>
      <c r="I564" s="656"/>
      <c r="J564" s="657"/>
      <c r="K564" s="654"/>
      <c r="L564" s="649"/>
      <c r="M564" s="648"/>
      <c r="N564" s="648"/>
      <c r="O564" s="649"/>
    </row>
    <row r="565">
      <c r="C565" s="653"/>
      <c r="D565" s="654"/>
      <c r="E565" s="654"/>
      <c r="F565" s="654"/>
      <c r="G565" s="654"/>
      <c r="H565" s="655"/>
      <c r="I565" s="656"/>
      <c r="J565" s="657"/>
      <c r="K565" s="654"/>
      <c r="L565" s="649"/>
      <c r="M565" s="648"/>
      <c r="N565" s="648"/>
      <c r="O565" s="649"/>
    </row>
    <row r="566">
      <c r="C566" s="653"/>
      <c r="D566" s="654"/>
      <c r="E566" s="654"/>
      <c r="F566" s="654"/>
      <c r="G566" s="654"/>
      <c r="H566" s="655"/>
      <c r="I566" s="656"/>
      <c r="J566" s="657"/>
      <c r="K566" s="654"/>
      <c r="L566" s="649"/>
      <c r="M566" s="648"/>
      <c r="N566" s="648"/>
      <c r="O566" s="649"/>
    </row>
    <row r="567">
      <c r="C567" s="653"/>
      <c r="D567" s="654"/>
      <c r="E567" s="654"/>
      <c r="F567" s="654"/>
      <c r="G567" s="654"/>
      <c r="H567" s="655"/>
      <c r="I567" s="656"/>
      <c r="J567" s="657"/>
      <c r="K567" s="654"/>
      <c r="L567" s="649"/>
      <c r="M567" s="648"/>
      <c r="N567" s="648"/>
      <c r="O567" s="649"/>
    </row>
    <row r="568">
      <c r="C568" s="653"/>
      <c r="D568" s="654"/>
      <c r="E568" s="654"/>
      <c r="F568" s="654"/>
      <c r="G568" s="654"/>
      <c r="H568" s="655"/>
      <c r="I568" s="656"/>
      <c r="J568" s="657"/>
      <c r="K568" s="654"/>
      <c r="L568" s="649"/>
      <c r="M568" s="648"/>
      <c r="N568" s="648"/>
      <c r="O568" s="649"/>
    </row>
    <row r="569">
      <c r="C569" s="653"/>
      <c r="D569" s="654"/>
      <c r="E569" s="654"/>
      <c r="F569" s="654"/>
      <c r="G569" s="654"/>
      <c r="H569" s="655"/>
      <c r="I569" s="656"/>
      <c r="J569" s="657"/>
      <c r="K569" s="654"/>
      <c r="L569" s="649"/>
      <c r="M569" s="648"/>
      <c r="N569" s="648"/>
      <c r="O569" s="649"/>
    </row>
    <row r="570">
      <c r="C570" s="653"/>
      <c r="D570" s="654"/>
      <c r="E570" s="654"/>
      <c r="F570" s="654"/>
      <c r="G570" s="654"/>
      <c r="H570" s="655"/>
      <c r="I570" s="656"/>
      <c r="J570" s="657"/>
      <c r="K570" s="654"/>
      <c r="L570" s="649"/>
      <c r="M570" s="648"/>
      <c r="N570" s="648"/>
      <c r="O570" s="649"/>
    </row>
    <row r="571">
      <c r="C571" s="653"/>
      <c r="D571" s="654"/>
      <c r="E571" s="654"/>
      <c r="F571" s="654"/>
      <c r="G571" s="654"/>
      <c r="H571" s="655"/>
      <c r="I571" s="656"/>
      <c r="J571" s="657"/>
      <c r="K571" s="654"/>
      <c r="L571" s="649"/>
      <c r="M571" s="648"/>
      <c r="N571" s="648"/>
      <c r="O571" s="649"/>
    </row>
    <row r="572">
      <c r="C572" s="653"/>
      <c r="D572" s="654"/>
      <c r="E572" s="654"/>
      <c r="F572" s="654"/>
      <c r="G572" s="654"/>
      <c r="H572" s="655"/>
      <c r="I572" s="656"/>
      <c r="J572" s="657"/>
      <c r="K572" s="654"/>
      <c r="L572" s="649"/>
      <c r="M572" s="648"/>
      <c r="N572" s="648"/>
      <c r="O572" s="649"/>
    </row>
    <row r="573">
      <c r="C573" s="653"/>
      <c r="D573" s="654"/>
      <c r="E573" s="654"/>
      <c r="F573" s="654"/>
      <c r="G573" s="654"/>
      <c r="H573" s="655"/>
      <c r="I573" s="656"/>
      <c r="J573" s="657"/>
      <c r="K573" s="654"/>
      <c r="L573" s="649"/>
      <c r="M573" s="648"/>
      <c r="N573" s="648"/>
      <c r="O573" s="649"/>
    </row>
    <row r="574">
      <c r="C574" s="653"/>
      <c r="D574" s="654"/>
      <c r="E574" s="654"/>
      <c r="F574" s="654"/>
      <c r="G574" s="654"/>
      <c r="H574" s="655"/>
      <c r="I574" s="656"/>
      <c r="J574" s="657"/>
      <c r="K574" s="654"/>
      <c r="L574" s="649"/>
      <c r="M574" s="648"/>
      <c r="N574" s="648"/>
      <c r="O574" s="649"/>
    </row>
    <row r="575">
      <c r="C575" s="653"/>
      <c r="D575" s="654"/>
      <c r="E575" s="654"/>
      <c r="F575" s="654"/>
      <c r="G575" s="654"/>
      <c r="H575" s="655"/>
      <c r="I575" s="656"/>
      <c r="J575" s="657"/>
      <c r="K575" s="654"/>
      <c r="L575" s="649"/>
      <c r="M575" s="648"/>
      <c r="N575" s="648"/>
      <c r="O575" s="649"/>
    </row>
    <row r="576">
      <c r="C576" s="653"/>
      <c r="D576" s="654"/>
      <c r="E576" s="654"/>
      <c r="F576" s="654"/>
      <c r="G576" s="654"/>
      <c r="H576" s="655"/>
      <c r="I576" s="656"/>
      <c r="J576" s="657"/>
      <c r="K576" s="654"/>
      <c r="L576" s="649"/>
      <c r="M576" s="648"/>
      <c r="N576" s="648"/>
      <c r="O576" s="649"/>
    </row>
    <row r="577">
      <c r="C577" s="653"/>
      <c r="D577" s="654"/>
      <c r="E577" s="654"/>
      <c r="F577" s="654"/>
      <c r="G577" s="654"/>
      <c r="H577" s="655"/>
      <c r="I577" s="656"/>
      <c r="J577" s="657"/>
      <c r="K577" s="654"/>
      <c r="L577" s="649"/>
      <c r="M577" s="648"/>
      <c r="N577" s="648"/>
      <c r="O577" s="649"/>
    </row>
    <row r="578">
      <c r="C578" s="653"/>
      <c r="D578" s="654"/>
      <c r="E578" s="654"/>
      <c r="F578" s="654"/>
      <c r="G578" s="654"/>
      <c r="H578" s="655"/>
      <c r="I578" s="656"/>
      <c r="J578" s="657"/>
      <c r="K578" s="654"/>
      <c r="L578" s="649"/>
      <c r="M578" s="648"/>
      <c r="N578" s="648"/>
      <c r="O578" s="649"/>
    </row>
    <row r="579">
      <c r="C579" s="653"/>
      <c r="D579" s="654"/>
      <c r="E579" s="654"/>
      <c r="F579" s="654"/>
      <c r="G579" s="654"/>
      <c r="H579" s="655"/>
      <c r="I579" s="656"/>
      <c r="J579" s="657"/>
      <c r="K579" s="654"/>
      <c r="L579" s="649"/>
      <c r="M579" s="648"/>
      <c r="N579" s="648"/>
      <c r="O579" s="649"/>
    </row>
    <row r="580">
      <c r="C580" s="653"/>
      <c r="D580" s="654"/>
      <c r="E580" s="654"/>
      <c r="F580" s="654"/>
      <c r="G580" s="654"/>
      <c r="H580" s="655"/>
      <c r="I580" s="656"/>
      <c r="J580" s="657"/>
      <c r="K580" s="654"/>
      <c r="L580" s="649"/>
      <c r="M580" s="648"/>
      <c r="N580" s="648"/>
      <c r="O580" s="649"/>
    </row>
    <row r="581">
      <c r="C581" s="653"/>
      <c r="D581" s="654"/>
      <c r="E581" s="654"/>
      <c r="F581" s="654"/>
      <c r="G581" s="654"/>
      <c r="H581" s="655"/>
      <c r="I581" s="656"/>
      <c r="J581" s="657"/>
      <c r="K581" s="654"/>
      <c r="L581" s="649"/>
      <c r="M581" s="648"/>
      <c r="N581" s="648"/>
      <c r="O581" s="649"/>
    </row>
    <row r="582">
      <c r="C582" s="653"/>
      <c r="D582" s="654"/>
      <c r="E582" s="654"/>
      <c r="F582" s="654"/>
      <c r="G582" s="654"/>
      <c r="H582" s="655"/>
      <c r="I582" s="656"/>
      <c r="J582" s="657"/>
      <c r="K582" s="654"/>
      <c r="L582" s="649"/>
      <c r="M582" s="648"/>
      <c r="N582" s="648"/>
      <c r="O582" s="649"/>
    </row>
    <row r="583">
      <c r="C583" s="653"/>
      <c r="D583" s="654"/>
      <c r="E583" s="654"/>
      <c r="F583" s="654"/>
      <c r="G583" s="654"/>
      <c r="H583" s="655"/>
      <c r="I583" s="656"/>
      <c r="J583" s="657"/>
      <c r="K583" s="654"/>
      <c r="L583" s="649"/>
      <c r="M583" s="648"/>
      <c r="N583" s="648"/>
      <c r="O583" s="649"/>
    </row>
    <row r="584">
      <c r="C584" s="653"/>
      <c r="D584" s="654"/>
      <c r="E584" s="654"/>
      <c r="F584" s="654"/>
      <c r="G584" s="654"/>
      <c r="H584" s="655"/>
      <c r="I584" s="656"/>
      <c r="J584" s="657"/>
      <c r="K584" s="654"/>
      <c r="L584" s="649"/>
      <c r="M584" s="648"/>
      <c r="N584" s="648"/>
      <c r="O584" s="649"/>
    </row>
    <row r="585">
      <c r="C585" s="653"/>
      <c r="D585" s="654"/>
      <c r="E585" s="654"/>
      <c r="F585" s="654"/>
      <c r="G585" s="654"/>
      <c r="H585" s="655"/>
      <c r="I585" s="656"/>
      <c r="J585" s="657"/>
      <c r="K585" s="654"/>
      <c r="L585" s="649"/>
      <c r="M585" s="648"/>
      <c r="N585" s="648"/>
      <c r="O585" s="649"/>
    </row>
    <row r="586">
      <c r="C586" s="653"/>
      <c r="D586" s="654"/>
      <c r="E586" s="654"/>
      <c r="F586" s="654"/>
      <c r="G586" s="654"/>
      <c r="H586" s="655"/>
      <c r="I586" s="656"/>
      <c r="J586" s="657"/>
      <c r="K586" s="654"/>
      <c r="L586" s="649"/>
      <c r="M586" s="648"/>
      <c r="N586" s="648"/>
      <c r="O586" s="649"/>
    </row>
    <row r="587">
      <c r="C587" s="653"/>
      <c r="D587" s="654"/>
      <c r="E587" s="654"/>
      <c r="F587" s="654"/>
      <c r="G587" s="654"/>
      <c r="H587" s="655"/>
      <c r="I587" s="656"/>
      <c r="J587" s="657"/>
      <c r="K587" s="654"/>
      <c r="L587" s="649"/>
      <c r="M587" s="648"/>
      <c r="N587" s="648"/>
      <c r="O587" s="649"/>
    </row>
    <row r="588">
      <c r="C588" s="653"/>
      <c r="D588" s="654"/>
      <c r="E588" s="654"/>
      <c r="F588" s="654"/>
      <c r="G588" s="654"/>
      <c r="H588" s="655"/>
      <c r="I588" s="656"/>
      <c r="J588" s="657"/>
      <c r="K588" s="654"/>
      <c r="L588" s="649"/>
      <c r="M588" s="648"/>
      <c r="N588" s="648"/>
      <c r="O588" s="649"/>
    </row>
    <row r="589">
      <c r="C589" s="653"/>
      <c r="D589" s="654"/>
      <c r="E589" s="654"/>
      <c r="F589" s="654"/>
      <c r="G589" s="654"/>
      <c r="H589" s="655"/>
      <c r="I589" s="656"/>
      <c r="J589" s="657"/>
      <c r="K589" s="654"/>
      <c r="L589" s="649"/>
      <c r="M589" s="648"/>
      <c r="N589" s="648"/>
      <c r="O589" s="649"/>
    </row>
    <row r="590">
      <c r="C590" s="653"/>
      <c r="D590" s="654"/>
      <c r="E590" s="654"/>
      <c r="F590" s="654"/>
      <c r="G590" s="654"/>
      <c r="H590" s="655"/>
      <c r="I590" s="656"/>
      <c r="J590" s="657"/>
      <c r="K590" s="654"/>
      <c r="L590" s="649"/>
      <c r="M590" s="648"/>
      <c r="N590" s="648"/>
      <c r="O590" s="649"/>
    </row>
    <row r="591">
      <c r="C591" s="653"/>
      <c r="D591" s="654"/>
      <c r="E591" s="654"/>
      <c r="F591" s="654"/>
      <c r="G591" s="654"/>
      <c r="H591" s="655"/>
      <c r="I591" s="656"/>
      <c r="J591" s="657"/>
      <c r="K591" s="654"/>
      <c r="L591" s="649"/>
      <c r="M591" s="648"/>
      <c r="N591" s="648"/>
      <c r="O591" s="649"/>
    </row>
    <row r="592">
      <c r="C592" s="653"/>
      <c r="D592" s="654"/>
      <c r="E592" s="654"/>
      <c r="F592" s="654"/>
      <c r="G592" s="654"/>
      <c r="H592" s="655"/>
      <c r="I592" s="656"/>
      <c r="J592" s="657"/>
      <c r="K592" s="654"/>
      <c r="L592" s="649"/>
      <c r="M592" s="648"/>
      <c r="N592" s="648"/>
      <c r="O592" s="649"/>
    </row>
    <row r="593">
      <c r="C593" s="653"/>
      <c r="D593" s="654"/>
      <c r="E593" s="654"/>
      <c r="F593" s="654"/>
      <c r="G593" s="654"/>
      <c r="H593" s="655"/>
      <c r="I593" s="656"/>
      <c r="J593" s="657"/>
      <c r="K593" s="654"/>
      <c r="L593" s="649"/>
      <c r="M593" s="648"/>
      <c r="N593" s="648"/>
      <c r="O593" s="649"/>
    </row>
    <row r="594">
      <c r="C594" s="653"/>
      <c r="D594" s="654"/>
      <c r="E594" s="654"/>
      <c r="F594" s="654"/>
      <c r="G594" s="654"/>
      <c r="H594" s="655"/>
      <c r="I594" s="656"/>
      <c r="J594" s="657"/>
      <c r="K594" s="654"/>
      <c r="L594" s="649"/>
      <c r="M594" s="648"/>
      <c r="N594" s="648"/>
      <c r="O594" s="649"/>
    </row>
    <row r="595">
      <c r="C595" s="653"/>
      <c r="D595" s="654"/>
      <c r="E595" s="654"/>
      <c r="F595" s="654"/>
      <c r="G595" s="654"/>
      <c r="H595" s="655"/>
      <c r="I595" s="656"/>
      <c r="J595" s="657"/>
      <c r="K595" s="654"/>
      <c r="L595" s="649"/>
      <c r="M595" s="648"/>
      <c r="N595" s="648"/>
      <c r="O595" s="649"/>
    </row>
    <row r="596">
      <c r="C596" s="653"/>
      <c r="D596" s="654"/>
      <c r="E596" s="654"/>
      <c r="F596" s="654"/>
      <c r="G596" s="654"/>
      <c r="H596" s="655"/>
      <c r="I596" s="656"/>
      <c r="J596" s="657"/>
      <c r="K596" s="654"/>
      <c r="L596" s="649"/>
      <c r="M596" s="648"/>
      <c r="N596" s="648"/>
      <c r="O596" s="649"/>
    </row>
    <row r="597">
      <c r="C597" s="653"/>
      <c r="D597" s="654"/>
      <c r="E597" s="654"/>
      <c r="F597" s="654"/>
      <c r="G597" s="654"/>
      <c r="H597" s="655"/>
      <c r="I597" s="656"/>
      <c r="J597" s="657"/>
      <c r="K597" s="654"/>
      <c r="L597" s="649"/>
      <c r="M597" s="648"/>
      <c r="N597" s="648"/>
      <c r="O597" s="649"/>
    </row>
    <row r="598">
      <c r="C598" s="653"/>
      <c r="D598" s="654"/>
      <c r="E598" s="654"/>
      <c r="F598" s="654"/>
      <c r="G598" s="654"/>
      <c r="H598" s="655"/>
      <c r="I598" s="656"/>
      <c r="J598" s="657"/>
      <c r="K598" s="654"/>
      <c r="L598" s="649"/>
      <c r="M598" s="648"/>
      <c r="N598" s="648"/>
      <c r="O598" s="649"/>
    </row>
    <row r="599">
      <c r="C599" s="653"/>
      <c r="D599" s="654"/>
      <c r="E599" s="654"/>
      <c r="F599" s="654"/>
      <c r="G599" s="654"/>
      <c r="H599" s="655"/>
      <c r="I599" s="656"/>
      <c r="J599" s="657"/>
      <c r="K599" s="654"/>
      <c r="L599" s="649"/>
      <c r="M599" s="648"/>
      <c r="N599" s="648"/>
      <c r="O599" s="649"/>
    </row>
    <row r="600">
      <c r="C600" s="653"/>
      <c r="D600" s="654"/>
      <c r="E600" s="654"/>
      <c r="F600" s="654"/>
      <c r="G600" s="654"/>
      <c r="H600" s="655"/>
      <c r="I600" s="656"/>
      <c r="J600" s="657"/>
      <c r="K600" s="654"/>
      <c r="L600" s="649"/>
      <c r="M600" s="648"/>
      <c r="N600" s="648"/>
      <c r="O600" s="649"/>
    </row>
    <row r="601">
      <c r="C601" s="653"/>
      <c r="D601" s="654"/>
      <c r="E601" s="654"/>
      <c r="F601" s="654"/>
      <c r="G601" s="654"/>
      <c r="H601" s="655"/>
      <c r="I601" s="656"/>
      <c r="J601" s="657"/>
      <c r="K601" s="654"/>
      <c r="L601" s="649"/>
      <c r="M601" s="648"/>
      <c r="N601" s="648"/>
      <c r="O601" s="649"/>
    </row>
    <row r="602">
      <c r="C602" s="653"/>
      <c r="D602" s="654"/>
      <c r="E602" s="654"/>
      <c r="F602" s="654"/>
      <c r="G602" s="654"/>
      <c r="H602" s="655"/>
      <c r="I602" s="656"/>
      <c r="J602" s="657"/>
      <c r="K602" s="654"/>
      <c r="L602" s="649"/>
      <c r="M602" s="648"/>
      <c r="N602" s="648"/>
      <c r="O602" s="649"/>
    </row>
    <row r="603">
      <c r="C603" s="653"/>
      <c r="D603" s="654"/>
      <c r="E603" s="654"/>
      <c r="F603" s="654"/>
      <c r="G603" s="654"/>
      <c r="H603" s="655"/>
      <c r="I603" s="656"/>
      <c r="J603" s="657"/>
      <c r="K603" s="654"/>
      <c r="L603" s="649"/>
      <c r="M603" s="648"/>
      <c r="N603" s="648"/>
      <c r="O603" s="649"/>
    </row>
    <row r="604">
      <c r="C604" s="653"/>
      <c r="D604" s="654"/>
      <c r="E604" s="654"/>
      <c r="F604" s="654"/>
      <c r="G604" s="654"/>
      <c r="H604" s="655"/>
      <c r="I604" s="656"/>
      <c r="J604" s="657"/>
      <c r="K604" s="654"/>
      <c r="L604" s="649"/>
      <c r="M604" s="648"/>
      <c r="N604" s="648"/>
      <c r="O604" s="649"/>
    </row>
    <row r="605">
      <c r="C605" s="653"/>
      <c r="D605" s="654"/>
      <c r="E605" s="654"/>
      <c r="F605" s="654"/>
      <c r="G605" s="654"/>
      <c r="H605" s="655"/>
      <c r="I605" s="656"/>
      <c r="J605" s="657"/>
      <c r="K605" s="654"/>
      <c r="L605" s="649"/>
      <c r="M605" s="648"/>
      <c r="N605" s="648"/>
      <c r="O605" s="649"/>
    </row>
    <row r="606">
      <c r="C606" s="653"/>
      <c r="D606" s="654"/>
      <c r="E606" s="654"/>
      <c r="F606" s="654"/>
      <c r="G606" s="654"/>
      <c r="H606" s="655"/>
      <c r="I606" s="656"/>
      <c r="J606" s="657"/>
      <c r="K606" s="654"/>
      <c r="L606" s="649"/>
      <c r="M606" s="648"/>
      <c r="N606" s="648"/>
      <c r="O606" s="649"/>
    </row>
    <row r="607">
      <c r="C607" s="653"/>
      <c r="D607" s="654"/>
      <c r="E607" s="654"/>
      <c r="F607" s="654"/>
      <c r="G607" s="654"/>
      <c r="H607" s="655"/>
      <c r="I607" s="656"/>
      <c r="J607" s="657"/>
      <c r="K607" s="654"/>
      <c r="L607" s="649"/>
      <c r="M607" s="648"/>
      <c r="N607" s="648"/>
      <c r="O607" s="649"/>
    </row>
    <row r="608">
      <c r="C608" s="653"/>
      <c r="D608" s="654"/>
      <c r="E608" s="654"/>
      <c r="F608" s="654"/>
      <c r="G608" s="654"/>
      <c r="H608" s="655"/>
      <c r="I608" s="656"/>
      <c r="J608" s="657"/>
      <c r="K608" s="654"/>
      <c r="L608" s="649"/>
      <c r="M608" s="648"/>
      <c r="N608" s="648"/>
      <c r="O608" s="649"/>
    </row>
    <row r="609">
      <c r="C609" s="653"/>
      <c r="D609" s="654"/>
      <c r="E609" s="654"/>
      <c r="F609" s="654"/>
      <c r="G609" s="654"/>
      <c r="H609" s="655"/>
      <c r="I609" s="656"/>
      <c r="J609" s="657"/>
      <c r="K609" s="654"/>
      <c r="L609" s="649"/>
      <c r="M609" s="648"/>
      <c r="N609" s="648"/>
      <c r="O609" s="649"/>
    </row>
    <row r="610">
      <c r="C610" s="653"/>
      <c r="D610" s="654"/>
      <c r="E610" s="654"/>
      <c r="F610" s="654"/>
      <c r="G610" s="654"/>
      <c r="H610" s="655"/>
      <c r="I610" s="656"/>
      <c r="J610" s="657"/>
      <c r="K610" s="654"/>
      <c r="L610" s="649"/>
      <c r="M610" s="648"/>
      <c r="N610" s="648"/>
      <c r="O610" s="649"/>
    </row>
    <row r="611">
      <c r="C611" s="653"/>
      <c r="D611" s="654"/>
      <c r="E611" s="654"/>
      <c r="F611" s="654"/>
      <c r="G611" s="654"/>
      <c r="H611" s="655"/>
      <c r="I611" s="656"/>
      <c r="J611" s="657"/>
      <c r="K611" s="654"/>
      <c r="L611" s="649"/>
      <c r="M611" s="648"/>
      <c r="N611" s="648"/>
      <c r="O611" s="649"/>
    </row>
    <row r="612">
      <c r="C612" s="653"/>
      <c r="D612" s="654"/>
      <c r="E612" s="654"/>
      <c r="F612" s="654"/>
      <c r="G612" s="654"/>
      <c r="H612" s="655"/>
      <c r="I612" s="656"/>
      <c r="J612" s="657"/>
      <c r="K612" s="654"/>
      <c r="L612" s="649"/>
      <c r="M612" s="648"/>
      <c r="N612" s="648"/>
      <c r="O612" s="649"/>
    </row>
    <row r="613">
      <c r="C613" s="653"/>
      <c r="D613" s="654"/>
      <c r="E613" s="654"/>
      <c r="F613" s="654"/>
      <c r="G613" s="654"/>
      <c r="H613" s="655"/>
      <c r="I613" s="656"/>
      <c r="J613" s="657"/>
      <c r="K613" s="654"/>
      <c r="L613" s="649"/>
      <c r="M613" s="648"/>
      <c r="N613" s="648"/>
      <c r="O613" s="649"/>
    </row>
    <row r="614">
      <c r="C614" s="653"/>
      <c r="D614" s="654"/>
      <c r="E614" s="654"/>
      <c r="F614" s="654"/>
      <c r="G614" s="654"/>
      <c r="H614" s="655"/>
      <c r="I614" s="656"/>
      <c r="J614" s="657"/>
      <c r="K614" s="654"/>
      <c r="L614" s="649"/>
      <c r="M614" s="648"/>
      <c r="N614" s="648"/>
      <c r="O614" s="649"/>
    </row>
    <row r="615">
      <c r="C615" s="653"/>
      <c r="D615" s="654"/>
      <c r="E615" s="654"/>
      <c r="F615" s="654"/>
      <c r="G615" s="654"/>
      <c r="H615" s="655"/>
      <c r="I615" s="656"/>
      <c r="J615" s="657"/>
      <c r="K615" s="654"/>
      <c r="L615" s="649"/>
      <c r="M615" s="648"/>
      <c r="N615" s="648"/>
      <c r="O615" s="649"/>
    </row>
    <row r="616">
      <c r="C616" s="653"/>
      <c r="D616" s="654"/>
      <c r="E616" s="654"/>
      <c r="F616" s="654"/>
      <c r="G616" s="654"/>
      <c r="H616" s="655"/>
      <c r="I616" s="656"/>
      <c r="J616" s="657"/>
      <c r="K616" s="654"/>
      <c r="L616" s="649"/>
      <c r="M616" s="648"/>
      <c r="N616" s="648"/>
      <c r="O616" s="649"/>
    </row>
    <row r="617">
      <c r="C617" s="653"/>
      <c r="D617" s="654"/>
      <c r="E617" s="654"/>
      <c r="F617" s="654"/>
      <c r="G617" s="654"/>
      <c r="H617" s="655"/>
      <c r="I617" s="656"/>
      <c r="J617" s="657"/>
      <c r="K617" s="654"/>
      <c r="L617" s="649"/>
      <c r="M617" s="648"/>
      <c r="N617" s="648"/>
      <c r="O617" s="649"/>
    </row>
    <row r="618">
      <c r="C618" s="653"/>
      <c r="D618" s="654"/>
      <c r="E618" s="654"/>
      <c r="F618" s="654"/>
      <c r="G618" s="654"/>
      <c r="H618" s="655"/>
      <c r="I618" s="656"/>
      <c r="J618" s="657"/>
      <c r="K618" s="654"/>
      <c r="L618" s="649"/>
      <c r="M618" s="648"/>
      <c r="N618" s="648"/>
      <c r="O618" s="649"/>
    </row>
    <row r="619">
      <c r="C619" s="653"/>
      <c r="D619" s="654"/>
      <c r="E619" s="654"/>
      <c r="F619" s="654"/>
      <c r="G619" s="654"/>
      <c r="H619" s="655"/>
      <c r="I619" s="656"/>
      <c r="J619" s="657"/>
      <c r="K619" s="654"/>
      <c r="L619" s="649"/>
      <c r="M619" s="648"/>
      <c r="N619" s="648"/>
      <c r="O619" s="649"/>
    </row>
    <row r="620">
      <c r="C620" s="653"/>
      <c r="D620" s="654"/>
      <c r="E620" s="654"/>
      <c r="F620" s="654"/>
      <c r="G620" s="654"/>
      <c r="H620" s="655"/>
      <c r="I620" s="656"/>
      <c r="J620" s="657"/>
      <c r="K620" s="654"/>
      <c r="L620" s="649"/>
      <c r="M620" s="648"/>
      <c r="N620" s="648"/>
      <c r="O620" s="649"/>
    </row>
    <row r="621">
      <c r="C621" s="653"/>
      <c r="D621" s="654"/>
      <c r="E621" s="654"/>
      <c r="F621" s="654"/>
      <c r="G621" s="654"/>
      <c r="H621" s="655"/>
      <c r="I621" s="656"/>
      <c r="J621" s="657"/>
      <c r="K621" s="654"/>
      <c r="L621" s="649"/>
      <c r="M621" s="648"/>
      <c r="N621" s="648"/>
      <c r="O621" s="649"/>
    </row>
    <row r="622">
      <c r="C622" s="653"/>
      <c r="D622" s="654"/>
      <c r="E622" s="654"/>
      <c r="F622" s="654"/>
      <c r="G622" s="654"/>
      <c r="H622" s="655"/>
      <c r="I622" s="656"/>
      <c r="J622" s="657"/>
      <c r="K622" s="654"/>
      <c r="L622" s="649"/>
      <c r="M622" s="648"/>
      <c r="N622" s="648"/>
      <c r="O622" s="649"/>
    </row>
    <row r="623">
      <c r="C623" s="653"/>
      <c r="D623" s="654"/>
      <c r="E623" s="654"/>
      <c r="F623" s="654"/>
      <c r="G623" s="654"/>
      <c r="H623" s="655"/>
      <c r="I623" s="656"/>
      <c r="J623" s="657"/>
      <c r="K623" s="654"/>
      <c r="L623" s="649"/>
      <c r="M623" s="648"/>
      <c r="N623" s="648"/>
      <c r="O623" s="649"/>
    </row>
    <row r="624">
      <c r="C624" s="653"/>
      <c r="D624" s="654"/>
      <c r="E624" s="654"/>
      <c r="F624" s="654"/>
      <c r="G624" s="654"/>
      <c r="H624" s="655"/>
      <c r="I624" s="656"/>
      <c r="J624" s="657"/>
      <c r="K624" s="654"/>
      <c r="L624" s="649"/>
      <c r="M624" s="648"/>
      <c r="N624" s="648"/>
      <c r="O624" s="649"/>
    </row>
    <row r="625">
      <c r="C625" s="653"/>
      <c r="D625" s="654"/>
      <c r="E625" s="654"/>
      <c r="F625" s="654"/>
      <c r="G625" s="654"/>
      <c r="H625" s="655"/>
      <c r="I625" s="656"/>
      <c r="J625" s="657"/>
      <c r="K625" s="654"/>
      <c r="L625" s="649"/>
      <c r="M625" s="648"/>
      <c r="N625" s="648"/>
      <c r="O625" s="649"/>
    </row>
    <row r="626">
      <c r="C626" s="653"/>
      <c r="D626" s="654"/>
      <c r="E626" s="654"/>
      <c r="F626" s="654"/>
      <c r="G626" s="654"/>
      <c r="H626" s="655"/>
      <c r="I626" s="656"/>
      <c r="J626" s="657"/>
      <c r="K626" s="654"/>
      <c r="L626" s="649"/>
      <c r="M626" s="648"/>
      <c r="N626" s="648"/>
      <c r="O626" s="649"/>
    </row>
    <row r="627">
      <c r="C627" s="653"/>
      <c r="D627" s="654"/>
      <c r="E627" s="654"/>
      <c r="F627" s="654"/>
      <c r="G627" s="654"/>
      <c r="H627" s="655"/>
      <c r="I627" s="656"/>
      <c r="J627" s="657"/>
      <c r="K627" s="654"/>
      <c r="L627" s="649"/>
      <c r="M627" s="648"/>
      <c r="N627" s="648"/>
      <c r="O627" s="649"/>
    </row>
    <row r="628">
      <c r="C628" s="653"/>
      <c r="D628" s="654"/>
      <c r="E628" s="654"/>
      <c r="F628" s="654"/>
      <c r="G628" s="654"/>
      <c r="H628" s="655"/>
      <c r="I628" s="656"/>
      <c r="J628" s="657"/>
      <c r="K628" s="654"/>
      <c r="L628" s="649"/>
      <c r="M628" s="648"/>
      <c r="N628" s="648"/>
      <c r="O628" s="649"/>
    </row>
    <row r="629">
      <c r="C629" s="653"/>
      <c r="D629" s="654"/>
      <c r="E629" s="654"/>
      <c r="F629" s="654"/>
      <c r="G629" s="654"/>
      <c r="H629" s="655"/>
      <c r="I629" s="656"/>
      <c r="J629" s="657"/>
      <c r="K629" s="654"/>
      <c r="L629" s="649"/>
      <c r="M629" s="648"/>
      <c r="N629" s="648"/>
      <c r="O629" s="649"/>
    </row>
    <row r="630">
      <c r="C630" s="653"/>
      <c r="D630" s="654"/>
      <c r="E630" s="654"/>
      <c r="F630" s="654"/>
      <c r="G630" s="654"/>
      <c r="H630" s="655"/>
      <c r="I630" s="656"/>
      <c r="J630" s="657"/>
      <c r="K630" s="654"/>
      <c r="L630" s="649"/>
      <c r="M630" s="648"/>
      <c r="N630" s="648"/>
      <c r="O630" s="649"/>
    </row>
    <row r="631">
      <c r="C631" s="653"/>
      <c r="D631" s="654"/>
      <c r="E631" s="654"/>
      <c r="F631" s="654"/>
      <c r="G631" s="654"/>
      <c r="H631" s="655"/>
      <c r="I631" s="656"/>
      <c r="J631" s="657"/>
      <c r="K631" s="654"/>
      <c r="L631" s="649"/>
      <c r="M631" s="648"/>
      <c r="N631" s="648"/>
      <c r="O631" s="649"/>
    </row>
    <row r="632">
      <c r="C632" s="653"/>
      <c r="D632" s="654"/>
      <c r="E632" s="654"/>
      <c r="F632" s="654"/>
      <c r="G632" s="654"/>
      <c r="H632" s="655"/>
      <c r="I632" s="656"/>
      <c r="J632" s="657"/>
      <c r="K632" s="654"/>
      <c r="L632" s="649"/>
      <c r="M632" s="648"/>
      <c r="N632" s="648"/>
      <c r="O632" s="649"/>
    </row>
    <row r="633">
      <c r="C633" s="653"/>
      <c r="D633" s="654"/>
      <c r="E633" s="654"/>
      <c r="F633" s="654"/>
      <c r="G633" s="654"/>
      <c r="H633" s="655"/>
      <c r="I633" s="656"/>
      <c r="J633" s="657"/>
      <c r="K633" s="654"/>
      <c r="L633" s="649"/>
      <c r="M633" s="648"/>
      <c r="N633" s="648"/>
      <c r="O633" s="649"/>
    </row>
    <row r="634">
      <c r="C634" s="653"/>
      <c r="D634" s="654"/>
      <c r="E634" s="654"/>
      <c r="F634" s="654"/>
      <c r="G634" s="654"/>
      <c r="H634" s="655"/>
      <c r="I634" s="656"/>
      <c r="J634" s="657"/>
      <c r="K634" s="654"/>
      <c r="L634" s="649"/>
      <c r="M634" s="648"/>
      <c r="N634" s="648"/>
      <c r="O634" s="649"/>
    </row>
    <row r="635">
      <c r="C635" s="653"/>
      <c r="D635" s="654"/>
      <c r="E635" s="654"/>
      <c r="F635" s="654"/>
      <c r="G635" s="654"/>
      <c r="H635" s="655"/>
      <c r="I635" s="656"/>
      <c r="J635" s="657"/>
      <c r="K635" s="654"/>
      <c r="L635" s="649"/>
      <c r="M635" s="648"/>
      <c r="N635" s="648"/>
      <c r="O635" s="649"/>
    </row>
    <row r="636">
      <c r="C636" s="653"/>
      <c r="D636" s="654"/>
      <c r="E636" s="654"/>
      <c r="F636" s="654"/>
      <c r="G636" s="654"/>
      <c r="H636" s="655"/>
      <c r="I636" s="656"/>
      <c r="J636" s="657"/>
      <c r="K636" s="654"/>
      <c r="L636" s="649"/>
      <c r="M636" s="648"/>
      <c r="N636" s="648"/>
      <c r="O636" s="649"/>
    </row>
    <row r="637">
      <c r="C637" s="653"/>
      <c r="D637" s="654"/>
      <c r="E637" s="654"/>
      <c r="F637" s="654"/>
      <c r="G637" s="654"/>
      <c r="H637" s="655"/>
      <c r="I637" s="656"/>
      <c r="J637" s="657"/>
      <c r="K637" s="654"/>
      <c r="L637" s="649"/>
      <c r="M637" s="648"/>
      <c r="N637" s="648"/>
      <c r="O637" s="649"/>
    </row>
    <row r="638">
      <c r="C638" s="653"/>
      <c r="D638" s="654"/>
      <c r="E638" s="654"/>
      <c r="F638" s="654"/>
      <c r="G638" s="654"/>
      <c r="H638" s="655"/>
      <c r="I638" s="656"/>
      <c r="J638" s="657"/>
      <c r="K638" s="654"/>
      <c r="L638" s="649"/>
      <c r="M638" s="648"/>
      <c r="N638" s="648"/>
      <c r="O638" s="649"/>
    </row>
    <row r="639">
      <c r="C639" s="653"/>
      <c r="D639" s="654"/>
      <c r="E639" s="654"/>
      <c r="F639" s="654"/>
      <c r="G639" s="654"/>
      <c r="H639" s="655"/>
      <c r="I639" s="656"/>
      <c r="J639" s="657"/>
      <c r="K639" s="654"/>
      <c r="L639" s="649"/>
      <c r="M639" s="648"/>
      <c r="N639" s="648"/>
      <c r="O639" s="649"/>
    </row>
    <row r="640">
      <c r="C640" s="653"/>
      <c r="D640" s="654"/>
      <c r="E640" s="654"/>
      <c r="F640" s="654"/>
      <c r="G640" s="654"/>
      <c r="H640" s="655"/>
      <c r="I640" s="656"/>
      <c r="J640" s="657"/>
      <c r="K640" s="654"/>
      <c r="L640" s="649"/>
      <c r="M640" s="648"/>
      <c r="N640" s="648"/>
      <c r="O640" s="649"/>
    </row>
    <row r="641">
      <c r="C641" s="653"/>
      <c r="D641" s="654"/>
      <c r="E641" s="654"/>
      <c r="F641" s="654"/>
      <c r="G641" s="654"/>
      <c r="H641" s="655"/>
      <c r="I641" s="656"/>
      <c r="J641" s="657"/>
      <c r="K641" s="654"/>
      <c r="L641" s="649"/>
      <c r="M641" s="648"/>
      <c r="N641" s="648"/>
      <c r="O641" s="649"/>
    </row>
    <row r="642">
      <c r="C642" s="653"/>
      <c r="D642" s="654"/>
      <c r="E642" s="654"/>
      <c r="F642" s="654"/>
      <c r="G642" s="654"/>
      <c r="H642" s="655"/>
      <c r="I642" s="656"/>
      <c r="J642" s="657"/>
      <c r="K642" s="654"/>
      <c r="L642" s="649"/>
      <c r="M642" s="648"/>
      <c r="N642" s="648"/>
      <c r="O642" s="649"/>
    </row>
    <row r="643">
      <c r="C643" s="653"/>
      <c r="D643" s="654"/>
      <c r="E643" s="654"/>
      <c r="F643" s="654"/>
      <c r="G643" s="654"/>
      <c r="H643" s="655"/>
      <c r="I643" s="656"/>
      <c r="J643" s="657"/>
      <c r="K643" s="654"/>
      <c r="L643" s="649"/>
      <c r="M643" s="648"/>
      <c r="N643" s="648"/>
      <c r="O643" s="649"/>
    </row>
    <row r="644">
      <c r="C644" s="653"/>
      <c r="D644" s="654"/>
      <c r="E644" s="654"/>
      <c r="F644" s="654"/>
      <c r="G644" s="654"/>
      <c r="H644" s="655"/>
      <c r="I644" s="656"/>
      <c r="J644" s="657"/>
      <c r="K644" s="654"/>
      <c r="L644" s="649"/>
      <c r="M644" s="648"/>
      <c r="N644" s="648"/>
      <c r="O644" s="649"/>
    </row>
    <row r="645">
      <c r="C645" s="653"/>
      <c r="D645" s="654"/>
      <c r="E645" s="654"/>
      <c r="F645" s="654"/>
      <c r="G645" s="654"/>
      <c r="H645" s="655"/>
      <c r="I645" s="656"/>
      <c r="J645" s="657"/>
      <c r="K645" s="654"/>
      <c r="L645" s="649"/>
      <c r="M645" s="648"/>
      <c r="N645" s="648"/>
      <c r="O645" s="649"/>
    </row>
    <row r="646">
      <c r="C646" s="653"/>
      <c r="D646" s="654"/>
      <c r="E646" s="654"/>
      <c r="F646" s="654"/>
      <c r="G646" s="654"/>
      <c r="H646" s="655"/>
      <c r="I646" s="656"/>
      <c r="J646" s="657"/>
      <c r="K646" s="654"/>
      <c r="L646" s="649"/>
      <c r="M646" s="648"/>
      <c r="N646" s="648"/>
      <c r="O646" s="649"/>
    </row>
    <row r="647">
      <c r="C647" s="653"/>
      <c r="D647" s="654"/>
      <c r="E647" s="654"/>
      <c r="F647" s="654"/>
      <c r="G647" s="654"/>
      <c r="H647" s="655"/>
      <c r="I647" s="656"/>
      <c r="J647" s="657"/>
      <c r="K647" s="654"/>
      <c r="L647" s="649"/>
      <c r="M647" s="648"/>
      <c r="N647" s="648"/>
      <c r="O647" s="649"/>
    </row>
    <row r="648">
      <c r="C648" s="653"/>
      <c r="D648" s="654"/>
      <c r="E648" s="654"/>
      <c r="F648" s="654"/>
      <c r="G648" s="654"/>
      <c r="H648" s="655"/>
      <c r="I648" s="656"/>
      <c r="J648" s="657"/>
      <c r="K648" s="654"/>
      <c r="L648" s="649"/>
      <c r="M648" s="648"/>
      <c r="N648" s="648"/>
      <c r="O648" s="649"/>
    </row>
    <row r="649">
      <c r="C649" s="653"/>
      <c r="D649" s="654"/>
      <c r="E649" s="654"/>
      <c r="F649" s="654"/>
      <c r="G649" s="654"/>
      <c r="H649" s="655"/>
      <c r="I649" s="656"/>
      <c r="J649" s="657"/>
      <c r="K649" s="654"/>
      <c r="L649" s="649"/>
      <c r="M649" s="648"/>
      <c r="N649" s="648"/>
      <c r="O649" s="649"/>
    </row>
    <row r="650">
      <c r="C650" s="653"/>
      <c r="D650" s="654"/>
      <c r="E650" s="654"/>
      <c r="F650" s="654"/>
      <c r="G650" s="654"/>
      <c r="H650" s="655"/>
      <c r="I650" s="656"/>
      <c r="J650" s="657"/>
      <c r="K650" s="654"/>
      <c r="L650" s="649"/>
      <c r="M650" s="648"/>
      <c r="N650" s="648"/>
      <c r="O650" s="649"/>
    </row>
    <row r="651">
      <c r="C651" s="653"/>
      <c r="D651" s="654"/>
      <c r="E651" s="654"/>
      <c r="F651" s="654"/>
      <c r="G651" s="654"/>
      <c r="H651" s="655"/>
      <c r="I651" s="656"/>
      <c r="J651" s="657"/>
      <c r="K651" s="654"/>
      <c r="L651" s="649"/>
      <c r="M651" s="648"/>
      <c r="N651" s="648"/>
      <c r="O651" s="649"/>
    </row>
    <row r="652">
      <c r="C652" s="653"/>
      <c r="D652" s="654"/>
      <c r="E652" s="654"/>
      <c r="F652" s="654"/>
      <c r="G652" s="654"/>
      <c r="H652" s="655"/>
      <c r="I652" s="656"/>
      <c r="J652" s="657"/>
      <c r="K652" s="654"/>
      <c r="L652" s="649"/>
      <c r="M652" s="648"/>
      <c r="N652" s="648"/>
      <c r="O652" s="649"/>
    </row>
    <row r="653">
      <c r="C653" s="653"/>
      <c r="D653" s="654"/>
      <c r="E653" s="654"/>
      <c r="F653" s="654"/>
      <c r="G653" s="654"/>
      <c r="H653" s="655"/>
      <c r="I653" s="656"/>
      <c r="J653" s="657"/>
      <c r="K653" s="654"/>
      <c r="L653" s="649"/>
      <c r="M653" s="648"/>
      <c r="N653" s="648"/>
      <c r="O653" s="649"/>
    </row>
    <row r="654">
      <c r="C654" s="653"/>
      <c r="D654" s="654"/>
      <c r="E654" s="654"/>
      <c r="F654" s="654"/>
      <c r="G654" s="654"/>
      <c r="H654" s="655"/>
      <c r="I654" s="656"/>
      <c r="J654" s="657"/>
      <c r="K654" s="654"/>
      <c r="L654" s="649"/>
      <c r="M654" s="648"/>
      <c r="N654" s="648"/>
      <c r="O654" s="649"/>
    </row>
    <row r="655">
      <c r="C655" s="653"/>
      <c r="D655" s="654"/>
      <c r="E655" s="654"/>
      <c r="F655" s="654"/>
      <c r="G655" s="654"/>
      <c r="H655" s="655"/>
      <c r="I655" s="656"/>
      <c r="J655" s="657"/>
      <c r="K655" s="654"/>
      <c r="L655" s="649"/>
      <c r="M655" s="648"/>
      <c r="N655" s="648"/>
      <c r="O655" s="649"/>
    </row>
    <row r="656">
      <c r="C656" s="653"/>
      <c r="D656" s="654"/>
      <c r="E656" s="654"/>
      <c r="F656" s="654"/>
      <c r="G656" s="654"/>
      <c r="H656" s="655"/>
      <c r="I656" s="656"/>
      <c r="J656" s="657"/>
      <c r="K656" s="654"/>
      <c r="L656" s="649"/>
      <c r="M656" s="648"/>
      <c r="N656" s="648"/>
      <c r="O656" s="649"/>
    </row>
    <row r="657">
      <c r="C657" s="653"/>
      <c r="D657" s="654"/>
      <c r="E657" s="654"/>
      <c r="F657" s="654"/>
      <c r="G657" s="654"/>
      <c r="H657" s="655"/>
      <c r="I657" s="656"/>
      <c r="J657" s="657"/>
      <c r="K657" s="654"/>
      <c r="L657" s="649"/>
      <c r="M657" s="648"/>
      <c r="N657" s="648"/>
      <c r="O657" s="649"/>
    </row>
    <row r="658">
      <c r="C658" s="653"/>
      <c r="D658" s="654"/>
      <c r="E658" s="654"/>
      <c r="F658" s="654"/>
      <c r="G658" s="654"/>
      <c r="H658" s="655"/>
      <c r="I658" s="656"/>
      <c r="J658" s="657"/>
      <c r="K658" s="654"/>
      <c r="L658" s="649"/>
      <c r="M658" s="648"/>
      <c r="N658" s="648"/>
      <c r="O658" s="649"/>
    </row>
    <row r="659">
      <c r="C659" s="653"/>
      <c r="D659" s="654"/>
      <c r="E659" s="654"/>
      <c r="F659" s="654"/>
      <c r="G659" s="654"/>
      <c r="H659" s="655"/>
      <c r="I659" s="656"/>
      <c r="J659" s="657"/>
      <c r="K659" s="654"/>
      <c r="L659" s="649"/>
      <c r="M659" s="648"/>
      <c r="N659" s="648"/>
      <c r="O659" s="649"/>
    </row>
    <row r="660">
      <c r="C660" s="653"/>
      <c r="D660" s="654"/>
      <c r="E660" s="654"/>
      <c r="F660" s="654"/>
      <c r="G660" s="654"/>
      <c r="H660" s="655"/>
      <c r="I660" s="656"/>
      <c r="J660" s="657"/>
      <c r="K660" s="654"/>
      <c r="L660" s="649"/>
      <c r="M660" s="648"/>
      <c r="N660" s="648"/>
      <c r="O660" s="649"/>
    </row>
    <row r="661">
      <c r="C661" s="653"/>
      <c r="D661" s="654"/>
      <c r="E661" s="654"/>
      <c r="F661" s="654"/>
      <c r="G661" s="654"/>
      <c r="H661" s="655"/>
      <c r="I661" s="656"/>
      <c r="J661" s="657"/>
      <c r="K661" s="654"/>
      <c r="L661" s="649"/>
      <c r="M661" s="648"/>
      <c r="N661" s="648"/>
      <c r="O661" s="649"/>
    </row>
    <row r="662">
      <c r="C662" s="653"/>
      <c r="D662" s="654"/>
      <c r="E662" s="654"/>
      <c r="F662" s="654"/>
      <c r="G662" s="654"/>
      <c r="H662" s="655"/>
      <c r="I662" s="656"/>
      <c r="J662" s="657"/>
      <c r="K662" s="654"/>
      <c r="L662" s="649"/>
      <c r="M662" s="648"/>
      <c r="N662" s="648"/>
      <c r="O662" s="649"/>
    </row>
    <row r="663">
      <c r="C663" s="653"/>
      <c r="D663" s="654"/>
      <c r="E663" s="654"/>
      <c r="F663" s="654"/>
      <c r="G663" s="654"/>
      <c r="H663" s="655"/>
      <c r="I663" s="656"/>
      <c r="J663" s="657"/>
      <c r="K663" s="654"/>
      <c r="L663" s="649"/>
      <c r="M663" s="648"/>
      <c r="N663" s="648"/>
      <c r="O663" s="649"/>
    </row>
    <row r="664">
      <c r="C664" s="653"/>
      <c r="D664" s="654"/>
      <c r="E664" s="654"/>
      <c r="F664" s="654"/>
      <c r="G664" s="654"/>
      <c r="H664" s="655"/>
      <c r="I664" s="656"/>
      <c r="J664" s="657"/>
      <c r="K664" s="654"/>
      <c r="L664" s="649"/>
      <c r="M664" s="648"/>
      <c r="N664" s="648"/>
      <c r="O664" s="649"/>
    </row>
    <row r="665">
      <c r="C665" s="653"/>
      <c r="D665" s="654"/>
      <c r="E665" s="654"/>
      <c r="F665" s="654"/>
      <c r="G665" s="654"/>
      <c r="H665" s="655"/>
      <c r="I665" s="656"/>
      <c r="J665" s="657"/>
      <c r="K665" s="654"/>
      <c r="L665" s="649"/>
      <c r="M665" s="648"/>
      <c r="N665" s="648"/>
      <c r="O665" s="649"/>
    </row>
    <row r="666">
      <c r="C666" s="653"/>
      <c r="D666" s="654"/>
      <c r="E666" s="654"/>
      <c r="F666" s="654"/>
      <c r="G666" s="654"/>
      <c r="H666" s="655"/>
      <c r="I666" s="656"/>
      <c r="J666" s="657"/>
      <c r="K666" s="654"/>
      <c r="L666" s="649"/>
      <c r="M666" s="648"/>
      <c r="N666" s="648"/>
      <c r="O666" s="649"/>
    </row>
    <row r="667">
      <c r="C667" s="653"/>
      <c r="D667" s="654"/>
      <c r="E667" s="654"/>
      <c r="F667" s="654"/>
      <c r="G667" s="654"/>
      <c r="H667" s="655"/>
      <c r="I667" s="656"/>
      <c r="J667" s="657"/>
      <c r="K667" s="654"/>
      <c r="L667" s="649"/>
      <c r="M667" s="648"/>
      <c r="N667" s="648"/>
      <c r="O667" s="649"/>
    </row>
    <row r="668">
      <c r="C668" s="653"/>
      <c r="D668" s="654"/>
      <c r="E668" s="654"/>
      <c r="F668" s="654"/>
      <c r="G668" s="654"/>
      <c r="H668" s="655"/>
      <c r="I668" s="656"/>
      <c r="J668" s="657"/>
      <c r="K668" s="654"/>
      <c r="L668" s="649"/>
      <c r="M668" s="648"/>
      <c r="N668" s="648"/>
      <c r="O668" s="649"/>
    </row>
    <row r="669">
      <c r="C669" s="653"/>
      <c r="D669" s="654"/>
      <c r="E669" s="654"/>
      <c r="F669" s="654"/>
      <c r="G669" s="654"/>
      <c r="H669" s="655"/>
      <c r="I669" s="656"/>
      <c r="J669" s="657"/>
      <c r="K669" s="654"/>
      <c r="L669" s="649"/>
      <c r="M669" s="648"/>
      <c r="N669" s="648"/>
      <c r="O669" s="649"/>
    </row>
    <row r="670">
      <c r="C670" s="653"/>
      <c r="D670" s="654"/>
      <c r="E670" s="654"/>
      <c r="F670" s="654"/>
      <c r="G670" s="654"/>
      <c r="H670" s="655"/>
      <c r="I670" s="656"/>
      <c r="J670" s="657"/>
      <c r="K670" s="654"/>
      <c r="L670" s="649"/>
      <c r="M670" s="648"/>
      <c r="N670" s="648"/>
      <c r="O670" s="649"/>
    </row>
    <row r="671">
      <c r="C671" s="653"/>
      <c r="D671" s="654"/>
      <c r="E671" s="654"/>
      <c r="F671" s="654"/>
      <c r="G671" s="654"/>
      <c r="H671" s="655"/>
      <c r="I671" s="656"/>
      <c r="J671" s="657"/>
      <c r="K671" s="654"/>
      <c r="L671" s="649"/>
      <c r="M671" s="648"/>
      <c r="N671" s="648"/>
      <c r="O671" s="649"/>
    </row>
    <row r="672">
      <c r="C672" s="653"/>
      <c r="D672" s="654"/>
      <c r="E672" s="654"/>
      <c r="F672" s="654"/>
      <c r="G672" s="654"/>
      <c r="H672" s="655"/>
      <c r="I672" s="656"/>
      <c r="J672" s="657"/>
      <c r="K672" s="654"/>
      <c r="L672" s="649"/>
      <c r="M672" s="648"/>
      <c r="N672" s="648"/>
      <c r="O672" s="649"/>
    </row>
    <row r="673">
      <c r="C673" s="653"/>
      <c r="D673" s="654"/>
      <c r="E673" s="654"/>
      <c r="F673" s="654"/>
      <c r="G673" s="654"/>
      <c r="H673" s="655"/>
      <c r="I673" s="656"/>
      <c r="J673" s="657"/>
      <c r="K673" s="654"/>
      <c r="L673" s="649"/>
      <c r="M673" s="648"/>
      <c r="N673" s="648"/>
      <c r="O673" s="649"/>
    </row>
    <row r="674">
      <c r="C674" s="653"/>
      <c r="D674" s="654"/>
      <c r="E674" s="654"/>
      <c r="F674" s="654"/>
      <c r="G674" s="654"/>
      <c r="H674" s="655"/>
      <c r="I674" s="656"/>
      <c r="J674" s="657"/>
      <c r="K674" s="654"/>
      <c r="L674" s="649"/>
      <c r="M674" s="648"/>
      <c r="N674" s="648"/>
      <c r="O674" s="649"/>
    </row>
    <row r="675">
      <c r="C675" s="653"/>
      <c r="D675" s="654"/>
      <c r="E675" s="654"/>
      <c r="F675" s="654"/>
      <c r="G675" s="654"/>
      <c r="H675" s="655"/>
      <c r="I675" s="656"/>
      <c r="J675" s="657"/>
      <c r="K675" s="654"/>
      <c r="L675" s="649"/>
      <c r="M675" s="648"/>
      <c r="N675" s="648"/>
      <c r="O675" s="649"/>
    </row>
    <row r="676">
      <c r="C676" s="653"/>
      <c r="D676" s="654"/>
      <c r="E676" s="654"/>
      <c r="F676" s="654"/>
      <c r="G676" s="654"/>
      <c r="H676" s="655"/>
      <c r="I676" s="656"/>
      <c r="J676" s="657"/>
      <c r="K676" s="654"/>
      <c r="L676" s="649"/>
      <c r="M676" s="648"/>
      <c r="N676" s="648"/>
      <c r="O676" s="649"/>
    </row>
    <row r="677">
      <c r="C677" s="653"/>
      <c r="D677" s="654"/>
      <c r="E677" s="654"/>
      <c r="F677" s="654"/>
      <c r="G677" s="654"/>
      <c r="H677" s="655"/>
      <c r="I677" s="656"/>
      <c r="J677" s="657"/>
      <c r="K677" s="654"/>
      <c r="L677" s="649"/>
      <c r="M677" s="648"/>
      <c r="N677" s="648"/>
      <c r="O677" s="649"/>
    </row>
    <row r="678">
      <c r="C678" s="653"/>
      <c r="D678" s="654"/>
      <c r="E678" s="654"/>
      <c r="F678" s="654"/>
      <c r="G678" s="654"/>
      <c r="H678" s="655"/>
      <c r="I678" s="656"/>
      <c r="J678" s="657"/>
      <c r="K678" s="654"/>
      <c r="L678" s="649"/>
      <c r="M678" s="648"/>
      <c r="N678" s="648"/>
      <c r="O678" s="649"/>
    </row>
    <row r="679">
      <c r="C679" s="653"/>
      <c r="D679" s="654"/>
      <c r="E679" s="654"/>
      <c r="F679" s="654"/>
      <c r="G679" s="654"/>
      <c r="H679" s="655"/>
      <c r="I679" s="656"/>
      <c r="J679" s="657"/>
      <c r="K679" s="654"/>
      <c r="L679" s="649"/>
      <c r="M679" s="648"/>
      <c r="N679" s="648"/>
      <c r="O679" s="649"/>
    </row>
    <row r="680">
      <c r="C680" s="653"/>
      <c r="D680" s="654"/>
      <c r="E680" s="654"/>
      <c r="F680" s="654"/>
      <c r="G680" s="654"/>
      <c r="H680" s="655"/>
      <c r="I680" s="656"/>
      <c r="J680" s="657"/>
      <c r="K680" s="654"/>
      <c r="L680" s="649"/>
      <c r="M680" s="648"/>
      <c r="N680" s="648"/>
      <c r="O680" s="649"/>
    </row>
    <row r="681">
      <c r="C681" s="653"/>
      <c r="D681" s="654"/>
      <c r="E681" s="654"/>
      <c r="F681" s="654"/>
      <c r="G681" s="654"/>
      <c r="H681" s="655"/>
      <c r="I681" s="656"/>
      <c r="J681" s="657"/>
      <c r="K681" s="654"/>
      <c r="L681" s="649"/>
      <c r="M681" s="648"/>
      <c r="N681" s="648"/>
      <c r="O681" s="649"/>
    </row>
    <row r="682">
      <c r="C682" s="653"/>
      <c r="D682" s="654"/>
      <c r="E682" s="654"/>
      <c r="F682" s="654"/>
      <c r="G682" s="654"/>
      <c r="H682" s="655"/>
      <c r="I682" s="656"/>
      <c r="J682" s="657"/>
      <c r="K682" s="654"/>
      <c r="L682" s="649"/>
      <c r="M682" s="648"/>
      <c r="N682" s="648"/>
      <c r="O682" s="649"/>
    </row>
    <row r="683">
      <c r="C683" s="653"/>
      <c r="D683" s="654"/>
      <c r="E683" s="654"/>
      <c r="F683" s="654"/>
      <c r="G683" s="654"/>
      <c r="H683" s="655"/>
      <c r="I683" s="656"/>
      <c r="J683" s="657"/>
      <c r="K683" s="654"/>
      <c r="L683" s="649"/>
      <c r="M683" s="648"/>
      <c r="N683" s="648"/>
      <c r="O683" s="649"/>
    </row>
    <row r="684">
      <c r="C684" s="653"/>
      <c r="D684" s="654"/>
      <c r="E684" s="654"/>
      <c r="F684" s="654"/>
      <c r="G684" s="654"/>
      <c r="H684" s="655"/>
      <c r="I684" s="656"/>
      <c r="J684" s="657"/>
      <c r="K684" s="654"/>
      <c r="L684" s="649"/>
      <c r="M684" s="648"/>
      <c r="N684" s="648"/>
      <c r="O684" s="649"/>
    </row>
    <row r="685">
      <c r="C685" s="653"/>
      <c r="D685" s="654"/>
      <c r="E685" s="654"/>
      <c r="F685" s="654"/>
      <c r="G685" s="654"/>
      <c r="H685" s="655"/>
      <c r="I685" s="656"/>
      <c r="J685" s="657"/>
      <c r="K685" s="654"/>
      <c r="L685" s="649"/>
      <c r="M685" s="648"/>
      <c r="N685" s="648"/>
      <c r="O685" s="649"/>
    </row>
    <row r="686">
      <c r="C686" s="653"/>
      <c r="D686" s="654"/>
      <c r="E686" s="654"/>
      <c r="F686" s="654"/>
      <c r="G686" s="654"/>
      <c r="H686" s="655"/>
      <c r="I686" s="656"/>
      <c r="J686" s="657"/>
      <c r="K686" s="654"/>
      <c r="L686" s="649"/>
      <c r="M686" s="648"/>
      <c r="N686" s="648"/>
      <c r="O686" s="649"/>
    </row>
    <row r="687">
      <c r="C687" s="653"/>
      <c r="D687" s="654"/>
      <c r="E687" s="654"/>
      <c r="F687" s="654"/>
      <c r="G687" s="654"/>
      <c r="H687" s="655"/>
      <c r="I687" s="656"/>
      <c r="J687" s="657"/>
      <c r="K687" s="654"/>
      <c r="L687" s="649"/>
      <c r="M687" s="648"/>
      <c r="N687" s="648"/>
      <c r="O687" s="649"/>
    </row>
    <row r="688">
      <c r="C688" s="653"/>
      <c r="D688" s="654"/>
      <c r="E688" s="654"/>
      <c r="F688" s="654"/>
      <c r="G688" s="654"/>
      <c r="H688" s="655"/>
      <c r="I688" s="656"/>
      <c r="J688" s="657"/>
      <c r="K688" s="654"/>
      <c r="L688" s="649"/>
      <c r="M688" s="648"/>
      <c r="N688" s="648"/>
      <c r="O688" s="649"/>
    </row>
    <row r="689">
      <c r="C689" s="653"/>
      <c r="D689" s="654"/>
      <c r="E689" s="654"/>
      <c r="F689" s="654"/>
      <c r="G689" s="654"/>
      <c r="H689" s="655"/>
      <c r="I689" s="656"/>
      <c r="J689" s="657"/>
      <c r="K689" s="654"/>
      <c r="L689" s="649"/>
      <c r="M689" s="648"/>
      <c r="N689" s="648"/>
      <c r="O689" s="649"/>
    </row>
    <row r="690">
      <c r="C690" s="653"/>
      <c r="D690" s="654"/>
      <c r="E690" s="654"/>
      <c r="F690" s="654"/>
      <c r="G690" s="654"/>
      <c r="H690" s="655"/>
      <c r="I690" s="656"/>
      <c r="J690" s="657"/>
      <c r="K690" s="654"/>
      <c r="L690" s="649"/>
      <c r="M690" s="648"/>
      <c r="N690" s="648"/>
      <c r="O690" s="649"/>
    </row>
    <row r="691">
      <c r="C691" s="653"/>
      <c r="D691" s="654"/>
      <c r="E691" s="654"/>
      <c r="F691" s="654"/>
      <c r="G691" s="654"/>
      <c r="H691" s="655"/>
      <c r="I691" s="656"/>
      <c r="J691" s="657"/>
      <c r="K691" s="654"/>
      <c r="L691" s="649"/>
      <c r="M691" s="648"/>
      <c r="N691" s="648"/>
      <c r="O691" s="649"/>
    </row>
    <row r="692">
      <c r="C692" s="653"/>
      <c r="D692" s="654"/>
      <c r="E692" s="654"/>
      <c r="F692" s="654"/>
      <c r="G692" s="654"/>
      <c r="H692" s="655"/>
      <c r="I692" s="656"/>
      <c r="J692" s="657"/>
      <c r="K692" s="654"/>
      <c r="L692" s="649"/>
      <c r="M692" s="648"/>
      <c r="N692" s="648"/>
      <c r="O692" s="649"/>
    </row>
    <row r="693">
      <c r="C693" s="653"/>
      <c r="D693" s="654"/>
      <c r="E693" s="654"/>
      <c r="F693" s="654"/>
      <c r="G693" s="654"/>
      <c r="H693" s="655"/>
      <c r="I693" s="656"/>
      <c r="J693" s="657"/>
      <c r="K693" s="654"/>
      <c r="L693" s="649"/>
      <c r="M693" s="648"/>
      <c r="N693" s="648"/>
      <c r="O693" s="649"/>
    </row>
    <row r="694">
      <c r="C694" s="653"/>
      <c r="D694" s="654"/>
      <c r="E694" s="654"/>
      <c r="F694" s="654"/>
      <c r="G694" s="654"/>
      <c r="H694" s="655"/>
      <c r="I694" s="656"/>
      <c r="J694" s="657"/>
      <c r="K694" s="654"/>
      <c r="L694" s="649"/>
      <c r="M694" s="648"/>
      <c r="N694" s="648"/>
      <c r="O694" s="649"/>
    </row>
    <row r="695">
      <c r="C695" s="653"/>
      <c r="D695" s="654"/>
      <c r="E695" s="654"/>
      <c r="F695" s="654"/>
      <c r="G695" s="654"/>
      <c r="H695" s="655"/>
      <c r="I695" s="656"/>
      <c r="J695" s="657"/>
      <c r="K695" s="654"/>
      <c r="L695" s="649"/>
      <c r="M695" s="648"/>
      <c r="N695" s="648"/>
      <c r="O695" s="649"/>
    </row>
    <row r="696">
      <c r="C696" s="653"/>
      <c r="D696" s="654"/>
      <c r="E696" s="654"/>
      <c r="F696" s="654"/>
      <c r="G696" s="654"/>
      <c r="H696" s="655"/>
      <c r="I696" s="656"/>
      <c r="J696" s="657"/>
      <c r="K696" s="654"/>
      <c r="L696" s="649"/>
      <c r="M696" s="648"/>
      <c r="N696" s="648"/>
      <c r="O696" s="649"/>
    </row>
    <row r="697">
      <c r="C697" s="653"/>
      <c r="D697" s="654"/>
      <c r="E697" s="654"/>
      <c r="F697" s="654"/>
      <c r="G697" s="654"/>
      <c r="H697" s="655"/>
      <c r="I697" s="656"/>
      <c r="J697" s="657"/>
      <c r="K697" s="654"/>
      <c r="L697" s="649"/>
      <c r="M697" s="648"/>
      <c r="N697" s="648"/>
      <c r="O697" s="649"/>
    </row>
    <row r="698">
      <c r="C698" s="653"/>
      <c r="D698" s="654"/>
      <c r="E698" s="654"/>
      <c r="F698" s="654"/>
      <c r="G698" s="654"/>
      <c r="H698" s="655"/>
      <c r="I698" s="656"/>
      <c r="J698" s="657"/>
      <c r="K698" s="654"/>
      <c r="L698" s="649"/>
      <c r="M698" s="648"/>
      <c r="N698" s="648"/>
      <c r="O698" s="649"/>
    </row>
    <row r="699">
      <c r="C699" s="653"/>
      <c r="D699" s="654"/>
      <c r="E699" s="654"/>
      <c r="F699" s="654"/>
      <c r="G699" s="654"/>
      <c r="H699" s="655"/>
      <c r="I699" s="656"/>
      <c r="J699" s="657"/>
      <c r="K699" s="654"/>
      <c r="L699" s="649"/>
      <c r="M699" s="648"/>
      <c r="N699" s="648"/>
      <c r="O699" s="649"/>
    </row>
    <row r="700">
      <c r="C700" s="653"/>
      <c r="D700" s="654"/>
      <c r="E700" s="654"/>
      <c r="F700" s="654"/>
      <c r="G700" s="654"/>
      <c r="H700" s="655"/>
      <c r="I700" s="656"/>
      <c r="J700" s="657"/>
      <c r="K700" s="654"/>
      <c r="L700" s="649"/>
      <c r="M700" s="648"/>
      <c r="N700" s="648"/>
      <c r="O700" s="649"/>
    </row>
    <row r="701">
      <c r="C701" s="653"/>
      <c r="D701" s="654"/>
      <c r="E701" s="654"/>
      <c r="F701" s="654"/>
      <c r="G701" s="654"/>
      <c r="H701" s="655"/>
      <c r="I701" s="656"/>
      <c r="J701" s="657"/>
      <c r="K701" s="654"/>
      <c r="L701" s="649"/>
      <c r="M701" s="648"/>
      <c r="N701" s="648"/>
      <c r="O701" s="649"/>
    </row>
    <row r="702">
      <c r="C702" s="653"/>
      <c r="D702" s="654"/>
      <c r="E702" s="654"/>
      <c r="F702" s="654"/>
      <c r="G702" s="654"/>
      <c r="H702" s="655"/>
      <c r="I702" s="656"/>
      <c r="J702" s="657"/>
      <c r="K702" s="654"/>
      <c r="L702" s="649"/>
      <c r="M702" s="648"/>
      <c r="N702" s="648"/>
      <c r="O702" s="649"/>
    </row>
    <row r="703">
      <c r="C703" s="653"/>
      <c r="D703" s="654"/>
      <c r="E703" s="654"/>
      <c r="F703" s="654"/>
      <c r="G703" s="654"/>
      <c r="H703" s="655"/>
      <c r="I703" s="656"/>
      <c r="J703" s="657"/>
      <c r="K703" s="654"/>
      <c r="L703" s="649"/>
      <c r="M703" s="648"/>
      <c r="N703" s="648"/>
      <c r="O703" s="649"/>
    </row>
    <row r="704">
      <c r="C704" s="653"/>
      <c r="D704" s="654"/>
      <c r="E704" s="654"/>
      <c r="F704" s="654"/>
      <c r="G704" s="654"/>
      <c r="H704" s="655"/>
      <c r="I704" s="656"/>
      <c r="J704" s="657"/>
      <c r="K704" s="654"/>
      <c r="L704" s="649"/>
      <c r="M704" s="648"/>
      <c r="N704" s="648"/>
      <c r="O704" s="649"/>
    </row>
    <row r="705">
      <c r="C705" s="653"/>
      <c r="D705" s="654"/>
      <c r="E705" s="654"/>
      <c r="F705" s="654"/>
      <c r="G705" s="654"/>
      <c r="H705" s="655"/>
      <c r="I705" s="656"/>
      <c r="J705" s="657"/>
      <c r="K705" s="654"/>
      <c r="L705" s="649"/>
      <c r="M705" s="648"/>
      <c r="N705" s="648"/>
      <c r="O705" s="649"/>
    </row>
    <row r="706">
      <c r="C706" s="653"/>
      <c r="D706" s="654"/>
      <c r="E706" s="654"/>
      <c r="F706" s="654"/>
      <c r="G706" s="654"/>
      <c r="H706" s="655"/>
      <c r="I706" s="656"/>
      <c r="J706" s="657"/>
      <c r="K706" s="654"/>
      <c r="L706" s="649"/>
      <c r="M706" s="648"/>
      <c r="N706" s="648"/>
      <c r="O706" s="649"/>
    </row>
    <row r="707">
      <c r="C707" s="653"/>
      <c r="D707" s="654"/>
      <c r="E707" s="654"/>
      <c r="F707" s="654"/>
      <c r="G707" s="654"/>
      <c r="H707" s="655"/>
      <c r="I707" s="656"/>
      <c r="J707" s="657"/>
      <c r="K707" s="654"/>
      <c r="L707" s="649"/>
      <c r="M707" s="648"/>
      <c r="N707" s="648"/>
      <c r="O707" s="649"/>
    </row>
    <row r="708">
      <c r="C708" s="653"/>
      <c r="D708" s="654"/>
      <c r="E708" s="654"/>
      <c r="F708" s="654"/>
      <c r="G708" s="654"/>
      <c r="H708" s="655"/>
      <c r="I708" s="656"/>
      <c r="J708" s="657"/>
      <c r="K708" s="654"/>
      <c r="L708" s="649"/>
      <c r="M708" s="648"/>
      <c r="N708" s="648"/>
      <c r="O708" s="649"/>
    </row>
    <row r="709">
      <c r="C709" s="653"/>
      <c r="D709" s="654"/>
      <c r="E709" s="654"/>
      <c r="F709" s="654"/>
      <c r="G709" s="654"/>
      <c r="H709" s="655"/>
      <c r="I709" s="656"/>
      <c r="J709" s="657"/>
      <c r="K709" s="654"/>
      <c r="L709" s="649"/>
      <c r="M709" s="648"/>
      <c r="N709" s="648"/>
      <c r="O709" s="649"/>
    </row>
    <row r="710">
      <c r="C710" s="653"/>
      <c r="D710" s="654"/>
      <c r="E710" s="654"/>
      <c r="F710" s="654"/>
      <c r="G710" s="654"/>
      <c r="H710" s="655"/>
      <c r="I710" s="656"/>
      <c r="J710" s="657"/>
      <c r="K710" s="654"/>
      <c r="L710" s="649"/>
      <c r="M710" s="648"/>
      <c r="N710" s="648"/>
      <c r="O710" s="649"/>
    </row>
    <row r="711">
      <c r="C711" s="653"/>
      <c r="D711" s="654"/>
      <c r="E711" s="654"/>
      <c r="F711" s="654"/>
      <c r="G711" s="654"/>
      <c r="H711" s="655"/>
      <c r="I711" s="656"/>
      <c r="J711" s="657"/>
      <c r="K711" s="654"/>
      <c r="L711" s="649"/>
      <c r="M711" s="648"/>
      <c r="N711" s="648"/>
      <c r="O711" s="649"/>
    </row>
    <row r="712">
      <c r="C712" s="653"/>
      <c r="D712" s="654"/>
      <c r="E712" s="654"/>
      <c r="F712" s="654"/>
      <c r="G712" s="654"/>
      <c r="H712" s="655"/>
      <c r="I712" s="656"/>
      <c r="J712" s="657"/>
      <c r="K712" s="654"/>
      <c r="L712" s="649"/>
      <c r="M712" s="648"/>
      <c r="N712" s="648"/>
      <c r="O712" s="649"/>
    </row>
    <row r="713">
      <c r="C713" s="653"/>
      <c r="D713" s="654"/>
      <c r="E713" s="654"/>
      <c r="F713" s="654"/>
      <c r="G713" s="654"/>
      <c r="H713" s="655"/>
      <c r="I713" s="656"/>
      <c r="J713" s="657"/>
      <c r="K713" s="654"/>
      <c r="L713" s="649"/>
      <c r="M713" s="648"/>
      <c r="N713" s="648"/>
      <c r="O713" s="649"/>
    </row>
    <row r="714">
      <c r="C714" s="653"/>
      <c r="D714" s="654"/>
      <c r="E714" s="654"/>
      <c r="F714" s="654"/>
      <c r="G714" s="654"/>
      <c r="H714" s="655"/>
      <c r="I714" s="656"/>
      <c r="J714" s="657"/>
      <c r="K714" s="654"/>
      <c r="L714" s="649"/>
      <c r="M714" s="648"/>
      <c r="N714" s="648"/>
      <c r="O714" s="649"/>
    </row>
    <row r="715">
      <c r="C715" s="653"/>
      <c r="D715" s="654"/>
      <c r="E715" s="654"/>
      <c r="F715" s="654"/>
      <c r="G715" s="654"/>
      <c r="H715" s="655"/>
      <c r="I715" s="656"/>
      <c r="J715" s="657"/>
      <c r="K715" s="654"/>
      <c r="L715" s="649"/>
      <c r="M715" s="648"/>
      <c r="N715" s="648"/>
      <c r="O715" s="649"/>
    </row>
    <row r="716">
      <c r="C716" s="653"/>
      <c r="D716" s="654"/>
      <c r="E716" s="654"/>
      <c r="F716" s="654"/>
      <c r="G716" s="654"/>
      <c r="H716" s="655"/>
      <c r="I716" s="656"/>
      <c r="J716" s="657"/>
      <c r="K716" s="654"/>
      <c r="L716" s="649"/>
      <c r="M716" s="648"/>
      <c r="N716" s="648"/>
      <c r="O716" s="649"/>
    </row>
    <row r="717">
      <c r="C717" s="653"/>
      <c r="D717" s="654"/>
      <c r="E717" s="654"/>
      <c r="F717" s="654"/>
      <c r="G717" s="654"/>
      <c r="H717" s="655"/>
      <c r="I717" s="656"/>
      <c r="J717" s="657"/>
      <c r="K717" s="654"/>
      <c r="L717" s="649"/>
      <c r="M717" s="648"/>
      <c r="N717" s="648"/>
      <c r="O717" s="649"/>
    </row>
    <row r="718">
      <c r="C718" s="653"/>
      <c r="D718" s="654"/>
      <c r="E718" s="654"/>
      <c r="F718" s="654"/>
      <c r="G718" s="654"/>
      <c r="H718" s="655"/>
      <c r="I718" s="656"/>
      <c r="J718" s="657"/>
      <c r="K718" s="654"/>
      <c r="L718" s="649"/>
      <c r="M718" s="648"/>
      <c r="N718" s="648"/>
      <c r="O718" s="649"/>
    </row>
    <row r="719">
      <c r="C719" s="653"/>
      <c r="D719" s="654"/>
      <c r="E719" s="654"/>
      <c r="F719" s="654"/>
      <c r="G719" s="654"/>
      <c r="H719" s="655"/>
      <c r="I719" s="656"/>
      <c r="J719" s="657"/>
      <c r="K719" s="654"/>
      <c r="L719" s="649"/>
      <c r="M719" s="648"/>
      <c r="N719" s="648"/>
      <c r="O719" s="649"/>
    </row>
    <row r="720">
      <c r="C720" s="653"/>
      <c r="D720" s="654"/>
      <c r="E720" s="654"/>
      <c r="F720" s="654"/>
      <c r="G720" s="654"/>
      <c r="H720" s="655"/>
      <c r="I720" s="656"/>
      <c r="J720" s="657"/>
      <c r="K720" s="654"/>
      <c r="L720" s="649"/>
      <c r="M720" s="648"/>
      <c r="N720" s="648"/>
      <c r="O720" s="649"/>
    </row>
    <row r="721">
      <c r="C721" s="653"/>
      <c r="D721" s="654"/>
      <c r="E721" s="654"/>
      <c r="F721" s="654"/>
      <c r="G721" s="654"/>
      <c r="H721" s="655"/>
      <c r="I721" s="656"/>
      <c r="J721" s="657"/>
      <c r="K721" s="654"/>
      <c r="L721" s="649"/>
      <c r="M721" s="648"/>
      <c r="N721" s="648"/>
      <c r="O721" s="649"/>
    </row>
    <row r="722">
      <c r="C722" s="653"/>
      <c r="D722" s="654"/>
      <c r="E722" s="654"/>
      <c r="F722" s="654"/>
      <c r="G722" s="654"/>
      <c r="H722" s="655"/>
      <c r="I722" s="656"/>
      <c r="J722" s="657"/>
      <c r="K722" s="654"/>
      <c r="L722" s="649"/>
      <c r="M722" s="648"/>
      <c r="N722" s="648"/>
      <c r="O722" s="649"/>
    </row>
    <row r="723">
      <c r="C723" s="653"/>
      <c r="D723" s="654"/>
      <c r="E723" s="654"/>
      <c r="F723" s="654"/>
      <c r="G723" s="654"/>
      <c r="H723" s="655"/>
      <c r="I723" s="656"/>
      <c r="J723" s="657"/>
      <c r="K723" s="654"/>
      <c r="L723" s="649"/>
      <c r="M723" s="648"/>
      <c r="N723" s="648"/>
      <c r="O723" s="649"/>
    </row>
    <row r="724">
      <c r="C724" s="653"/>
      <c r="D724" s="654"/>
      <c r="E724" s="654"/>
      <c r="F724" s="654"/>
      <c r="G724" s="654"/>
      <c r="H724" s="655"/>
      <c r="I724" s="656"/>
      <c r="J724" s="657"/>
      <c r="K724" s="654"/>
      <c r="L724" s="649"/>
      <c r="M724" s="648"/>
      <c r="N724" s="648"/>
      <c r="O724" s="649"/>
    </row>
    <row r="725">
      <c r="C725" s="653"/>
      <c r="D725" s="654"/>
      <c r="E725" s="654"/>
      <c r="F725" s="654"/>
      <c r="G725" s="654"/>
      <c r="H725" s="655"/>
      <c r="I725" s="656"/>
      <c r="J725" s="657"/>
      <c r="K725" s="654"/>
      <c r="L725" s="649"/>
      <c r="M725" s="648"/>
      <c r="N725" s="648"/>
      <c r="O725" s="649"/>
    </row>
    <row r="726">
      <c r="C726" s="653"/>
      <c r="D726" s="654"/>
      <c r="E726" s="654"/>
      <c r="F726" s="654"/>
      <c r="G726" s="654"/>
      <c r="H726" s="655"/>
      <c r="I726" s="656"/>
      <c r="J726" s="657"/>
      <c r="K726" s="654"/>
      <c r="L726" s="649"/>
      <c r="M726" s="648"/>
      <c r="N726" s="648"/>
      <c r="O726" s="649"/>
    </row>
    <row r="727">
      <c r="C727" s="653"/>
      <c r="D727" s="654"/>
      <c r="E727" s="654"/>
      <c r="F727" s="654"/>
      <c r="G727" s="654"/>
      <c r="H727" s="655"/>
      <c r="I727" s="656"/>
      <c r="J727" s="657"/>
      <c r="K727" s="654"/>
      <c r="L727" s="649"/>
      <c r="M727" s="648"/>
      <c r="N727" s="648"/>
      <c r="O727" s="649"/>
    </row>
    <row r="728">
      <c r="C728" s="653"/>
      <c r="D728" s="654"/>
      <c r="E728" s="654"/>
      <c r="F728" s="654"/>
      <c r="G728" s="654"/>
      <c r="H728" s="655"/>
      <c r="I728" s="656"/>
      <c r="J728" s="657"/>
      <c r="K728" s="654"/>
      <c r="L728" s="649"/>
      <c r="M728" s="648"/>
      <c r="N728" s="648"/>
      <c r="O728" s="649"/>
    </row>
    <row r="729">
      <c r="C729" s="653"/>
      <c r="D729" s="654"/>
      <c r="E729" s="654"/>
      <c r="F729" s="654"/>
      <c r="G729" s="654"/>
      <c r="H729" s="655"/>
      <c r="I729" s="656"/>
      <c r="J729" s="657"/>
      <c r="K729" s="654"/>
      <c r="L729" s="649"/>
      <c r="M729" s="648"/>
      <c r="N729" s="648"/>
      <c r="O729" s="649"/>
    </row>
    <row r="730">
      <c r="C730" s="653"/>
      <c r="D730" s="654"/>
      <c r="E730" s="654"/>
      <c r="F730" s="654"/>
      <c r="G730" s="654"/>
      <c r="H730" s="655"/>
      <c r="I730" s="656"/>
      <c r="J730" s="657"/>
      <c r="K730" s="654"/>
      <c r="L730" s="649"/>
      <c r="M730" s="648"/>
      <c r="N730" s="648"/>
      <c r="O730" s="649"/>
    </row>
    <row r="731">
      <c r="C731" s="653"/>
      <c r="D731" s="654"/>
      <c r="E731" s="654"/>
      <c r="F731" s="654"/>
      <c r="G731" s="654"/>
      <c r="H731" s="655"/>
      <c r="I731" s="656"/>
      <c r="J731" s="657"/>
      <c r="K731" s="654"/>
      <c r="L731" s="649"/>
      <c r="M731" s="648"/>
      <c r="N731" s="648"/>
      <c r="O731" s="649"/>
    </row>
    <row r="732">
      <c r="C732" s="653"/>
      <c r="D732" s="654"/>
      <c r="E732" s="654"/>
      <c r="F732" s="654"/>
      <c r="G732" s="654"/>
      <c r="H732" s="655"/>
      <c r="I732" s="656"/>
      <c r="J732" s="657"/>
      <c r="K732" s="654"/>
      <c r="L732" s="649"/>
      <c r="M732" s="648"/>
      <c r="N732" s="648"/>
      <c r="O732" s="649"/>
    </row>
    <row r="733">
      <c r="C733" s="653"/>
      <c r="D733" s="654"/>
      <c r="E733" s="654"/>
      <c r="F733" s="654"/>
      <c r="G733" s="654"/>
      <c r="H733" s="655"/>
      <c r="I733" s="656"/>
      <c r="J733" s="657"/>
      <c r="K733" s="654"/>
      <c r="L733" s="649"/>
      <c r="M733" s="648"/>
      <c r="N733" s="648"/>
      <c r="O733" s="649"/>
    </row>
    <row r="734">
      <c r="C734" s="653"/>
      <c r="D734" s="654"/>
      <c r="E734" s="654"/>
      <c r="F734" s="654"/>
      <c r="G734" s="654"/>
      <c r="H734" s="655"/>
      <c r="I734" s="656"/>
      <c r="J734" s="657"/>
      <c r="K734" s="654"/>
      <c r="L734" s="649"/>
      <c r="M734" s="648"/>
      <c r="N734" s="648"/>
      <c r="O734" s="649"/>
    </row>
    <row r="735">
      <c r="C735" s="653"/>
      <c r="D735" s="654"/>
      <c r="E735" s="654"/>
      <c r="F735" s="654"/>
      <c r="G735" s="654"/>
      <c r="H735" s="655"/>
      <c r="I735" s="656"/>
      <c r="J735" s="657"/>
      <c r="K735" s="654"/>
      <c r="L735" s="649"/>
      <c r="M735" s="648"/>
      <c r="N735" s="648"/>
      <c r="O735" s="649"/>
    </row>
    <row r="736">
      <c r="C736" s="653"/>
      <c r="D736" s="654"/>
      <c r="E736" s="654"/>
      <c r="F736" s="654"/>
      <c r="G736" s="654"/>
      <c r="H736" s="655"/>
      <c r="I736" s="656"/>
      <c r="J736" s="657"/>
      <c r="K736" s="654"/>
      <c r="L736" s="649"/>
      <c r="M736" s="648"/>
      <c r="N736" s="648"/>
      <c r="O736" s="649"/>
    </row>
    <row r="737">
      <c r="C737" s="653"/>
      <c r="D737" s="654"/>
      <c r="E737" s="654"/>
      <c r="F737" s="654"/>
      <c r="G737" s="654"/>
      <c r="H737" s="655"/>
      <c r="I737" s="656"/>
      <c r="J737" s="657"/>
      <c r="K737" s="654"/>
      <c r="L737" s="649"/>
      <c r="M737" s="648"/>
      <c r="N737" s="648"/>
      <c r="O737" s="649"/>
    </row>
    <row r="738">
      <c r="C738" s="653"/>
      <c r="D738" s="654"/>
      <c r="E738" s="654"/>
      <c r="F738" s="654"/>
      <c r="G738" s="654"/>
      <c r="H738" s="655"/>
      <c r="I738" s="656"/>
      <c r="J738" s="657"/>
      <c r="K738" s="654"/>
      <c r="L738" s="649"/>
      <c r="M738" s="648"/>
      <c r="N738" s="648"/>
      <c r="O738" s="649"/>
    </row>
    <row r="739">
      <c r="C739" s="653"/>
      <c r="D739" s="654"/>
      <c r="E739" s="654"/>
      <c r="F739" s="654"/>
      <c r="G739" s="654"/>
      <c r="H739" s="655"/>
      <c r="I739" s="656"/>
      <c r="J739" s="657"/>
      <c r="K739" s="654"/>
      <c r="L739" s="649"/>
      <c r="M739" s="648"/>
      <c r="N739" s="648"/>
      <c r="O739" s="649"/>
    </row>
    <row r="740">
      <c r="C740" s="653"/>
      <c r="D740" s="654"/>
      <c r="E740" s="654"/>
      <c r="F740" s="654"/>
      <c r="G740" s="654"/>
      <c r="H740" s="655"/>
      <c r="I740" s="656"/>
      <c r="J740" s="657"/>
      <c r="K740" s="654"/>
      <c r="L740" s="649"/>
      <c r="M740" s="648"/>
      <c r="N740" s="648"/>
      <c r="O740" s="649"/>
    </row>
    <row r="741">
      <c r="C741" s="653"/>
      <c r="D741" s="654"/>
      <c r="E741" s="654"/>
      <c r="F741" s="654"/>
      <c r="G741" s="654"/>
      <c r="H741" s="655"/>
      <c r="I741" s="656"/>
      <c r="J741" s="657"/>
      <c r="K741" s="654"/>
      <c r="L741" s="649"/>
      <c r="M741" s="648"/>
      <c r="N741" s="648"/>
      <c r="O741" s="649"/>
    </row>
    <row r="742">
      <c r="C742" s="653"/>
      <c r="D742" s="654"/>
      <c r="E742" s="654"/>
      <c r="F742" s="654"/>
      <c r="G742" s="654"/>
      <c r="H742" s="655"/>
      <c r="I742" s="656"/>
      <c r="J742" s="657"/>
      <c r="K742" s="654"/>
      <c r="L742" s="649"/>
      <c r="M742" s="648"/>
      <c r="N742" s="648"/>
      <c r="O742" s="649"/>
    </row>
    <row r="743">
      <c r="C743" s="653"/>
      <c r="D743" s="654"/>
      <c r="E743" s="654"/>
      <c r="F743" s="654"/>
      <c r="G743" s="654"/>
      <c r="H743" s="655"/>
      <c r="I743" s="656"/>
      <c r="J743" s="657"/>
      <c r="K743" s="654"/>
      <c r="L743" s="649"/>
      <c r="M743" s="648"/>
      <c r="N743" s="648"/>
      <c r="O743" s="649"/>
    </row>
    <row r="744">
      <c r="C744" s="653"/>
      <c r="D744" s="654"/>
      <c r="E744" s="654"/>
      <c r="F744" s="654"/>
      <c r="G744" s="654"/>
      <c r="H744" s="655"/>
      <c r="I744" s="656"/>
      <c r="J744" s="657"/>
      <c r="K744" s="654"/>
      <c r="L744" s="649"/>
      <c r="M744" s="648"/>
      <c r="N744" s="648"/>
      <c r="O744" s="649"/>
    </row>
    <row r="745">
      <c r="C745" s="653"/>
      <c r="D745" s="654"/>
      <c r="E745" s="654"/>
      <c r="F745" s="654"/>
      <c r="G745" s="654"/>
      <c r="H745" s="655"/>
      <c r="I745" s="656"/>
      <c r="J745" s="657"/>
      <c r="K745" s="654"/>
      <c r="L745" s="649"/>
      <c r="M745" s="648"/>
      <c r="N745" s="648"/>
      <c r="O745" s="649"/>
    </row>
    <row r="746">
      <c r="C746" s="653"/>
      <c r="D746" s="654"/>
      <c r="E746" s="654"/>
      <c r="F746" s="654"/>
      <c r="G746" s="654"/>
      <c r="H746" s="655"/>
      <c r="I746" s="656"/>
      <c r="J746" s="657"/>
      <c r="K746" s="654"/>
      <c r="L746" s="649"/>
      <c r="M746" s="648"/>
      <c r="N746" s="648"/>
      <c r="O746" s="649"/>
    </row>
    <row r="747">
      <c r="C747" s="653"/>
      <c r="D747" s="654"/>
      <c r="E747" s="654"/>
      <c r="F747" s="654"/>
      <c r="G747" s="654"/>
      <c r="H747" s="655"/>
      <c r="I747" s="656"/>
      <c r="J747" s="657"/>
      <c r="K747" s="654"/>
      <c r="L747" s="649"/>
      <c r="M747" s="648"/>
      <c r="N747" s="648"/>
      <c r="O747" s="649"/>
    </row>
    <row r="748">
      <c r="C748" s="653"/>
      <c r="D748" s="654"/>
      <c r="E748" s="654"/>
      <c r="F748" s="654"/>
      <c r="G748" s="654"/>
      <c r="H748" s="655"/>
      <c r="I748" s="656"/>
      <c r="J748" s="657"/>
      <c r="K748" s="654"/>
      <c r="L748" s="649"/>
      <c r="M748" s="648"/>
      <c r="N748" s="648"/>
      <c r="O748" s="649"/>
    </row>
    <row r="749">
      <c r="C749" s="653"/>
      <c r="D749" s="654"/>
      <c r="E749" s="654"/>
      <c r="F749" s="654"/>
      <c r="G749" s="654"/>
      <c r="H749" s="655"/>
      <c r="I749" s="656"/>
      <c r="J749" s="657"/>
      <c r="K749" s="654"/>
      <c r="L749" s="649"/>
      <c r="M749" s="648"/>
      <c r="N749" s="648"/>
      <c r="O749" s="649"/>
    </row>
    <row r="750">
      <c r="C750" s="653"/>
      <c r="D750" s="654"/>
      <c r="E750" s="654"/>
      <c r="F750" s="654"/>
      <c r="G750" s="654"/>
      <c r="H750" s="655"/>
      <c r="I750" s="656"/>
      <c r="J750" s="657"/>
      <c r="K750" s="654"/>
      <c r="L750" s="649"/>
      <c r="M750" s="648"/>
      <c r="N750" s="648"/>
      <c r="O750" s="649"/>
    </row>
    <row r="751">
      <c r="C751" s="653"/>
      <c r="D751" s="654"/>
      <c r="E751" s="654"/>
      <c r="F751" s="654"/>
      <c r="G751" s="654"/>
      <c r="H751" s="655"/>
      <c r="I751" s="656"/>
      <c r="J751" s="657"/>
      <c r="K751" s="654"/>
      <c r="L751" s="649"/>
      <c r="M751" s="648"/>
      <c r="N751" s="648"/>
      <c r="O751" s="649"/>
    </row>
    <row r="752">
      <c r="C752" s="653"/>
      <c r="D752" s="654"/>
      <c r="E752" s="654"/>
      <c r="F752" s="654"/>
      <c r="G752" s="654"/>
      <c r="H752" s="655"/>
      <c r="I752" s="656"/>
      <c r="J752" s="657"/>
      <c r="K752" s="654"/>
      <c r="L752" s="649"/>
      <c r="M752" s="648"/>
      <c r="N752" s="648"/>
      <c r="O752" s="649"/>
    </row>
    <row r="753">
      <c r="C753" s="653"/>
      <c r="D753" s="654"/>
      <c r="E753" s="654"/>
      <c r="F753" s="654"/>
      <c r="G753" s="654"/>
      <c r="H753" s="655"/>
      <c r="I753" s="656"/>
      <c r="J753" s="657"/>
      <c r="K753" s="654"/>
      <c r="L753" s="649"/>
      <c r="M753" s="648"/>
      <c r="N753" s="648"/>
      <c r="O753" s="649"/>
    </row>
    <row r="754">
      <c r="C754" s="653"/>
      <c r="D754" s="654"/>
      <c r="E754" s="654"/>
      <c r="F754" s="654"/>
      <c r="G754" s="654"/>
      <c r="H754" s="655"/>
      <c r="I754" s="656"/>
      <c r="J754" s="657"/>
      <c r="K754" s="654"/>
      <c r="L754" s="649"/>
      <c r="M754" s="648"/>
      <c r="N754" s="648"/>
      <c r="O754" s="649"/>
    </row>
    <row r="755">
      <c r="C755" s="653"/>
      <c r="D755" s="654"/>
      <c r="E755" s="654"/>
      <c r="F755" s="654"/>
      <c r="G755" s="654"/>
      <c r="H755" s="655"/>
      <c r="I755" s="656"/>
      <c r="J755" s="657"/>
      <c r="K755" s="654"/>
      <c r="L755" s="649"/>
      <c r="M755" s="648"/>
      <c r="N755" s="648"/>
      <c r="O755" s="649"/>
    </row>
    <row r="756">
      <c r="C756" s="653"/>
      <c r="D756" s="654"/>
      <c r="E756" s="654"/>
      <c r="F756" s="654"/>
      <c r="G756" s="654"/>
      <c r="H756" s="655"/>
      <c r="I756" s="656"/>
      <c r="J756" s="657"/>
      <c r="K756" s="654"/>
      <c r="L756" s="649"/>
      <c r="M756" s="648"/>
      <c r="N756" s="648"/>
      <c r="O756" s="649"/>
    </row>
    <row r="757">
      <c r="C757" s="653"/>
      <c r="D757" s="654"/>
      <c r="E757" s="654"/>
      <c r="F757" s="654"/>
      <c r="G757" s="654"/>
      <c r="H757" s="655"/>
      <c r="I757" s="656"/>
      <c r="J757" s="657"/>
      <c r="K757" s="654"/>
      <c r="L757" s="649"/>
      <c r="M757" s="648"/>
      <c r="N757" s="648"/>
      <c r="O757" s="649"/>
    </row>
    <row r="758">
      <c r="C758" s="653"/>
      <c r="D758" s="654"/>
      <c r="E758" s="654"/>
      <c r="F758" s="654"/>
      <c r="G758" s="654"/>
      <c r="H758" s="655"/>
      <c r="I758" s="656"/>
      <c r="J758" s="657"/>
      <c r="K758" s="654"/>
      <c r="L758" s="649"/>
      <c r="M758" s="648"/>
      <c r="N758" s="648"/>
      <c r="O758" s="649"/>
    </row>
    <row r="759">
      <c r="C759" s="653"/>
      <c r="D759" s="654"/>
      <c r="E759" s="654"/>
      <c r="F759" s="654"/>
      <c r="G759" s="654"/>
      <c r="H759" s="655"/>
      <c r="I759" s="656"/>
      <c r="J759" s="657"/>
      <c r="K759" s="654"/>
      <c r="L759" s="649"/>
      <c r="M759" s="648"/>
      <c r="N759" s="648"/>
      <c r="O759" s="649"/>
    </row>
    <row r="760">
      <c r="C760" s="653"/>
      <c r="D760" s="654"/>
      <c r="E760" s="654"/>
      <c r="F760" s="654"/>
      <c r="G760" s="654"/>
      <c r="H760" s="655"/>
      <c r="I760" s="656"/>
      <c r="J760" s="657"/>
      <c r="K760" s="654"/>
      <c r="L760" s="649"/>
      <c r="M760" s="648"/>
      <c r="N760" s="648"/>
      <c r="O760" s="649"/>
    </row>
    <row r="761">
      <c r="C761" s="653"/>
      <c r="D761" s="654"/>
      <c r="E761" s="654"/>
      <c r="F761" s="654"/>
      <c r="G761" s="654"/>
      <c r="H761" s="655"/>
      <c r="I761" s="656"/>
      <c r="J761" s="657"/>
      <c r="K761" s="654"/>
      <c r="L761" s="649"/>
      <c r="M761" s="648"/>
      <c r="N761" s="648"/>
      <c r="O761" s="649"/>
    </row>
    <row r="762">
      <c r="C762" s="653"/>
      <c r="D762" s="654"/>
      <c r="E762" s="654"/>
      <c r="F762" s="654"/>
      <c r="G762" s="654"/>
      <c r="H762" s="655"/>
      <c r="I762" s="656"/>
      <c r="J762" s="657"/>
      <c r="K762" s="654"/>
      <c r="L762" s="649"/>
      <c r="M762" s="648"/>
      <c r="N762" s="648"/>
      <c r="O762" s="649"/>
    </row>
    <row r="763">
      <c r="C763" s="653"/>
      <c r="D763" s="654"/>
      <c r="E763" s="654"/>
      <c r="F763" s="654"/>
      <c r="G763" s="654"/>
      <c r="H763" s="655"/>
      <c r="I763" s="656"/>
      <c r="J763" s="657"/>
      <c r="K763" s="654"/>
      <c r="L763" s="649"/>
      <c r="M763" s="648"/>
      <c r="N763" s="648"/>
      <c r="O763" s="649"/>
    </row>
    <row r="764">
      <c r="C764" s="653"/>
      <c r="D764" s="654"/>
      <c r="E764" s="654"/>
      <c r="F764" s="654"/>
      <c r="G764" s="654"/>
      <c r="H764" s="655"/>
      <c r="I764" s="656"/>
      <c r="J764" s="657"/>
      <c r="K764" s="654"/>
      <c r="L764" s="649"/>
      <c r="M764" s="648"/>
      <c r="N764" s="648"/>
      <c r="O764" s="649"/>
    </row>
    <row r="765">
      <c r="C765" s="653"/>
      <c r="D765" s="654"/>
      <c r="E765" s="654"/>
      <c r="F765" s="654"/>
      <c r="G765" s="654"/>
      <c r="H765" s="655"/>
      <c r="I765" s="656"/>
      <c r="J765" s="657"/>
      <c r="K765" s="654"/>
      <c r="L765" s="649"/>
      <c r="M765" s="648"/>
      <c r="N765" s="648"/>
      <c r="O765" s="649"/>
    </row>
    <row r="766">
      <c r="C766" s="653"/>
      <c r="D766" s="654"/>
      <c r="E766" s="654"/>
      <c r="F766" s="654"/>
      <c r="G766" s="654"/>
      <c r="H766" s="655"/>
      <c r="I766" s="656"/>
      <c r="J766" s="657"/>
      <c r="K766" s="654"/>
      <c r="L766" s="649"/>
      <c r="M766" s="648"/>
      <c r="N766" s="648"/>
      <c r="O766" s="649"/>
    </row>
    <row r="767">
      <c r="C767" s="653"/>
      <c r="D767" s="654"/>
      <c r="E767" s="654"/>
      <c r="F767" s="654"/>
      <c r="G767" s="654"/>
      <c r="H767" s="655"/>
      <c r="I767" s="656"/>
      <c r="J767" s="657"/>
      <c r="K767" s="654"/>
      <c r="L767" s="649"/>
      <c r="M767" s="648"/>
      <c r="N767" s="648"/>
      <c r="O767" s="649"/>
    </row>
    <row r="768">
      <c r="C768" s="653"/>
      <c r="D768" s="654"/>
      <c r="E768" s="654"/>
      <c r="F768" s="654"/>
      <c r="G768" s="654"/>
      <c r="H768" s="655"/>
      <c r="I768" s="656"/>
      <c r="J768" s="657"/>
      <c r="K768" s="654"/>
      <c r="L768" s="649"/>
      <c r="M768" s="648"/>
      <c r="N768" s="648"/>
      <c r="O768" s="649"/>
    </row>
    <row r="769">
      <c r="C769" s="653"/>
      <c r="D769" s="654"/>
      <c r="E769" s="654"/>
      <c r="F769" s="654"/>
      <c r="G769" s="654"/>
      <c r="H769" s="655"/>
      <c r="I769" s="656"/>
      <c r="J769" s="657"/>
      <c r="K769" s="654"/>
      <c r="L769" s="649"/>
      <c r="M769" s="648"/>
      <c r="N769" s="648"/>
      <c r="O769" s="649"/>
    </row>
    <row r="770">
      <c r="C770" s="653"/>
      <c r="D770" s="654"/>
      <c r="E770" s="654"/>
      <c r="F770" s="654"/>
      <c r="G770" s="654"/>
      <c r="H770" s="655"/>
      <c r="I770" s="656"/>
      <c r="J770" s="657"/>
      <c r="K770" s="654"/>
      <c r="L770" s="649"/>
      <c r="M770" s="648"/>
      <c r="N770" s="648"/>
      <c r="O770" s="649"/>
    </row>
    <row r="771">
      <c r="C771" s="653"/>
      <c r="D771" s="654"/>
      <c r="E771" s="654"/>
      <c r="F771" s="654"/>
      <c r="G771" s="654"/>
      <c r="H771" s="655"/>
      <c r="I771" s="656"/>
      <c r="J771" s="657"/>
      <c r="K771" s="654"/>
      <c r="L771" s="649"/>
      <c r="M771" s="648"/>
      <c r="N771" s="648"/>
      <c r="O771" s="649"/>
    </row>
    <row r="772">
      <c r="C772" s="653"/>
      <c r="D772" s="654"/>
      <c r="E772" s="654"/>
      <c r="F772" s="654"/>
      <c r="G772" s="654"/>
      <c r="H772" s="655"/>
      <c r="I772" s="656"/>
      <c r="J772" s="657"/>
      <c r="K772" s="654"/>
      <c r="L772" s="649"/>
      <c r="M772" s="648"/>
      <c r="N772" s="648"/>
      <c r="O772" s="649"/>
    </row>
    <row r="773">
      <c r="C773" s="653"/>
      <c r="D773" s="654"/>
      <c r="E773" s="654"/>
      <c r="F773" s="654"/>
      <c r="G773" s="654"/>
      <c r="H773" s="655"/>
      <c r="I773" s="656"/>
      <c r="J773" s="657"/>
      <c r="K773" s="654"/>
      <c r="L773" s="649"/>
      <c r="M773" s="648"/>
      <c r="N773" s="648"/>
      <c r="O773" s="649"/>
    </row>
    <row r="774">
      <c r="C774" s="653"/>
      <c r="D774" s="654"/>
      <c r="E774" s="654"/>
      <c r="F774" s="654"/>
      <c r="G774" s="654"/>
      <c r="H774" s="655"/>
      <c r="I774" s="656"/>
      <c r="J774" s="657"/>
      <c r="K774" s="654"/>
      <c r="L774" s="649"/>
      <c r="M774" s="648"/>
      <c r="N774" s="648"/>
      <c r="O774" s="649"/>
    </row>
    <row r="775">
      <c r="C775" s="653"/>
      <c r="D775" s="654"/>
      <c r="E775" s="654"/>
      <c r="F775" s="654"/>
      <c r="G775" s="654"/>
      <c r="H775" s="655"/>
      <c r="I775" s="656"/>
      <c r="J775" s="657"/>
      <c r="K775" s="654"/>
      <c r="L775" s="649"/>
      <c r="M775" s="648"/>
      <c r="N775" s="648"/>
      <c r="O775" s="649"/>
    </row>
    <row r="776">
      <c r="C776" s="653"/>
      <c r="D776" s="654"/>
      <c r="E776" s="654"/>
      <c r="F776" s="654"/>
      <c r="G776" s="654"/>
      <c r="H776" s="655"/>
      <c r="I776" s="656"/>
      <c r="J776" s="657"/>
      <c r="K776" s="654"/>
      <c r="L776" s="649"/>
      <c r="M776" s="648"/>
      <c r="N776" s="648"/>
      <c r="O776" s="649"/>
    </row>
    <row r="777">
      <c r="C777" s="653"/>
      <c r="D777" s="654"/>
      <c r="E777" s="654"/>
      <c r="F777" s="654"/>
      <c r="G777" s="654"/>
      <c r="H777" s="655"/>
      <c r="I777" s="656"/>
      <c r="J777" s="657"/>
      <c r="K777" s="654"/>
      <c r="L777" s="649"/>
      <c r="M777" s="648"/>
      <c r="N777" s="648"/>
      <c r="O777" s="649"/>
    </row>
    <row r="778">
      <c r="C778" s="653"/>
      <c r="D778" s="654"/>
      <c r="E778" s="654"/>
      <c r="F778" s="654"/>
      <c r="G778" s="654"/>
      <c r="H778" s="655"/>
      <c r="I778" s="656"/>
      <c r="J778" s="657"/>
      <c r="K778" s="654"/>
      <c r="L778" s="649"/>
      <c r="M778" s="648"/>
      <c r="N778" s="648"/>
      <c r="O778" s="649"/>
    </row>
    <row r="779">
      <c r="C779" s="653"/>
      <c r="D779" s="654"/>
      <c r="E779" s="654"/>
      <c r="F779" s="654"/>
      <c r="G779" s="654"/>
      <c r="H779" s="655"/>
      <c r="I779" s="656"/>
      <c r="J779" s="657"/>
      <c r="K779" s="654"/>
      <c r="L779" s="649"/>
      <c r="M779" s="648"/>
      <c r="N779" s="648"/>
      <c r="O779" s="649"/>
    </row>
    <row r="780">
      <c r="C780" s="653"/>
      <c r="D780" s="654"/>
      <c r="E780" s="654"/>
      <c r="F780" s="654"/>
      <c r="G780" s="654"/>
      <c r="H780" s="655"/>
      <c r="I780" s="656"/>
      <c r="J780" s="657"/>
      <c r="K780" s="654"/>
      <c r="L780" s="649"/>
      <c r="M780" s="648"/>
      <c r="N780" s="648"/>
      <c r="O780" s="649"/>
    </row>
    <row r="781">
      <c r="C781" s="653"/>
      <c r="D781" s="654"/>
      <c r="E781" s="654"/>
      <c r="F781" s="654"/>
      <c r="G781" s="654"/>
      <c r="H781" s="655"/>
      <c r="I781" s="656"/>
      <c r="J781" s="657"/>
      <c r="K781" s="654"/>
      <c r="L781" s="649"/>
      <c r="M781" s="648"/>
      <c r="N781" s="648"/>
      <c r="O781" s="649"/>
    </row>
    <row r="782">
      <c r="C782" s="653"/>
      <c r="D782" s="654"/>
      <c r="E782" s="654"/>
      <c r="F782" s="654"/>
      <c r="G782" s="654"/>
      <c r="H782" s="655"/>
      <c r="I782" s="656"/>
      <c r="J782" s="657"/>
      <c r="K782" s="654"/>
      <c r="L782" s="649"/>
      <c r="M782" s="648"/>
      <c r="N782" s="648"/>
      <c r="O782" s="649"/>
    </row>
    <row r="783">
      <c r="C783" s="653"/>
      <c r="D783" s="654"/>
      <c r="E783" s="654"/>
      <c r="F783" s="654"/>
      <c r="G783" s="654"/>
      <c r="H783" s="655"/>
      <c r="I783" s="656"/>
      <c r="J783" s="657"/>
      <c r="K783" s="654"/>
      <c r="L783" s="649"/>
      <c r="M783" s="648"/>
      <c r="N783" s="648"/>
      <c r="O783" s="649"/>
    </row>
    <row r="784">
      <c r="C784" s="653"/>
      <c r="D784" s="654"/>
      <c r="E784" s="654"/>
      <c r="F784" s="654"/>
      <c r="G784" s="654"/>
      <c r="H784" s="655"/>
      <c r="I784" s="656"/>
      <c r="J784" s="657"/>
      <c r="K784" s="654"/>
      <c r="L784" s="649"/>
      <c r="M784" s="648"/>
      <c r="N784" s="648"/>
      <c r="O784" s="649"/>
    </row>
    <row r="785">
      <c r="C785" s="653"/>
      <c r="D785" s="654"/>
      <c r="E785" s="654"/>
      <c r="F785" s="654"/>
      <c r="G785" s="654"/>
      <c r="H785" s="655"/>
      <c r="I785" s="656"/>
      <c r="J785" s="657"/>
      <c r="K785" s="654"/>
      <c r="L785" s="649"/>
      <c r="M785" s="648"/>
      <c r="N785" s="648"/>
      <c r="O785" s="649"/>
    </row>
    <row r="786">
      <c r="C786" s="653"/>
      <c r="D786" s="654"/>
      <c r="E786" s="654"/>
      <c r="F786" s="654"/>
      <c r="G786" s="654"/>
      <c r="H786" s="655"/>
      <c r="I786" s="656"/>
      <c r="J786" s="657"/>
      <c r="K786" s="654"/>
      <c r="L786" s="649"/>
      <c r="M786" s="648"/>
      <c r="N786" s="648"/>
      <c r="O786" s="649"/>
    </row>
    <row r="787">
      <c r="C787" s="653"/>
      <c r="D787" s="654"/>
      <c r="E787" s="654"/>
      <c r="F787" s="654"/>
      <c r="G787" s="654"/>
      <c r="H787" s="655"/>
      <c r="I787" s="656"/>
      <c r="J787" s="657"/>
      <c r="K787" s="654"/>
      <c r="L787" s="649"/>
      <c r="M787" s="648"/>
      <c r="N787" s="648"/>
      <c r="O787" s="649"/>
    </row>
    <row r="788">
      <c r="C788" s="653"/>
      <c r="D788" s="654"/>
      <c r="E788" s="654"/>
      <c r="F788" s="654"/>
      <c r="G788" s="654"/>
      <c r="H788" s="655"/>
      <c r="I788" s="656"/>
      <c r="J788" s="657"/>
      <c r="K788" s="654"/>
      <c r="L788" s="649"/>
      <c r="M788" s="648"/>
      <c r="N788" s="648"/>
      <c r="O788" s="649"/>
    </row>
    <row r="789">
      <c r="C789" s="653"/>
      <c r="D789" s="654"/>
      <c r="E789" s="654"/>
      <c r="F789" s="654"/>
      <c r="G789" s="654"/>
      <c r="H789" s="655"/>
      <c r="I789" s="656"/>
      <c r="J789" s="657"/>
      <c r="K789" s="654"/>
      <c r="L789" s="649"/>
      <c r="M789" s="648"/>
      <c r="N789" s="648"/>
      <c r="O789" s="649"/>
    </row>
    <row r="790">
      <c r="C790" s="653"/>
      <c r="D790" s="654"/>
      <c r="E790" s="654"/>
      <c r="F790" s="654"/>
      <c r="G790" s="654"/>
      <c r="H790" s="655"/>
      <c r="I790" s="656"/>
      <c r="J790" s="657"/>
      <c r="K790" s="654"/>
      <c r="L790" s="649"/>
      <c r="M790" s="648"/>
      <c r="N790" s="648"/>
      <c r="O790" s="649"/>
    </row>
    <row r="791">
      <c r="C791" s="653"/>
      <c r="D791" s="654"/>
      <c r="E791" s="654"/>
      <c r="F791" s="654"/>
      <c r="G791" s="654"/>
      <c r="H791" s="655"/>
      <c r="I791" s="656"/>
      <c r="J791" s="657"/>
      <c r="K791" s="654"/>
      <c r="L791" s="649"/>
      <c r="M791" s="648"/>
      <c r="N791" s="648"/>
      <c r="O791" s="649"/>
    </row>
    <row r="792">
      <c r="C792" s="653"/>
      <c r="D792" s="654"/>
      <c r="E792" s="654"/>
      <c r="F792" s="654"/>
      <c r="G792" s="654"/>
      <c r="H792" s="655"/>
      <c r="I792" s="656"/>
      <c r="J792" s="657"/>
      <c r="K792" s="654"/>
      <c r="L792" s="649"/>
      <c r="M792" s="648"/>
      <c r="N792" s="648"/>
      <c r="O792" s="649"/>
    </row>
    <row r="793">
      <c r="C793" s="653"/>
      <c r="D793" s="654"/>
      <c r="E793" s="654"/>
      <c r="F793" s="654"/>
      <c r="G793" s="654"/>
      <c r="H793" s="655"/>
      <c r="I793" s="656"/>
      <c r="J793" s="657"/>
      <c r="K793" s="654"/>
      <c r="L793" s="649"/>
      <c r="M793" s="648"/>
      <c r="N793" s="648"/>
      <c r="O793" s="649"/>
    </row>
    <row r="794">
      <c r="C794" s="653"/>
      <c r="D794" s="654"/>
      <c r="E794" s="654"/>
      <c r="F794" s="654"/>
      <c r="G794" s="654"/>
      <c r="H794" s="655"/>
      <c r="I794" s="656"/>
      <c r="J794" s="657"/>
      <c r="K794" s="654"/>
      <c r="L794" s="649"/>
      <c r="M794" s="648"/>
      <c r="N794" s="648"/>
      <c r="O794" s="649"/>
    </row>
    <row r="795">
      <c r="C795" s="653"/>
      <c r="D795" s="654"/>
      <c r="E795" s="654"/>
      <c r="F795" s="654"/>
      <c r="G795" s="654"/>
      <c r="H795" s="655"/>
      <c r="I795" s="656"/>
      <c r="J795" s="657"/>
      <c r="K795" s="654"/>
      <c r="L795" s="649"/>
      <c r="M795" s="648"/>
      <c r="N795" s="648"/>
      <c r="O795" s="649"/>
    </row>
    <row r="796">
      <c r="C796" s="653"/>
      <c r="D796" s="654"/>
      <c r="E796" s="654"/>
      <c r="F796" s="654"/>
      <c r="G796" s="654"/>
      <c r="H796" s="655"/>
      <c r="I796" s="656"/>
      <c r="J796" s="657"/>
      <c r="K796" s="654"/>
      <c r="L796" s="649"/>
      <c r="M796" s="648"/>
      <c r="N796" s="648"/>
      <c r="O796" s="649"/>
    </row>
    <row r="797">
      <c r="C797" s="653"/>
      <c r="D797" s="654"/>
      <c r="E797" s="654"/>
      <c r="F797" s="654"/>
      <c r="G797" s="654"/>
      <c r="H797" s="655"/>
      <c r="I797" s="656"/>
      <c r="J797" s="657"/>
      <c r="K797" s="654"/>
      <c r="L797" s="649"/>
      <c r="M797" s="648"/>
      <c r="N797" s="648"/>
      <c r="O797" s="649"/>
    </row>
    <row r="798">
      <c r="C798" s="653"/>
      <c r="D798" s="654"/>
      <c r="E798" s="654"/>
      <c r="F798" s="654"/>
      <c r="G798" s="654"/>
      <c r="H798" s="655"/>
      <c r="I798" s="656"/>
      <c r="J798" s="657"/>
      <c r="K798" s="654"/>
      <c r="L798" s="649"/>
      <c r="M798" s="648"/>
      <c r="N798" s="648"/>
      <c r="O798" s="649"/>
    </row>
    <row r="799">
      <c r="C799" s="653"/>
      <c r="D799" s="654"/>
      <c r="E799" s="654"/>
      <c r="F799" s="654"/>
      <c r="G799" s="654"/>
      <c r="H799" s="655"/>
      <c r="I799" s="656"/>
      <c r="J799" s="657"/>
      <c r="K799" s="654"/>
      <c r="L799" s="649"/>
      <c r="M799" s="648"/>
      <c r="N799" s="648"/>
      <c r="O799" s="649"/>
    </row>
    <row r="800">
      <c r="C800" s="653"/>
      <c r="D800" s="654"/>
      <c r="E800" s="654"/>
      <c r="F800" s="654"/>
      <c r="G800" s="654"/>
      <c r="H800" s="655"/>
      <c r="I800" s="656"/>
      <c r="J800" s="657"/>
      <c r="K800" s="654"/>
      <c r="L800" s="649"/>
      <c r="M800" s="648"/>
      <c r="N800" s="648"/>
      <c r="O800" s="649"/>
    </row>
    <row r="801">
      <c r="C801" s="653"/>
      <c r="D801" s="654"/>
      <c r="E801" s="654"/>
      <c r="F801" s="654"/>
      <c r="G801" s="654"/>
      <c r="H801" s="655"/>
      <c r="I801" s="656"/>
      <c r="J801" s="657"/>
      <c r="K801" s="654"/>
      <c r="L801" s="649"/>
      <c r="M801" s="648"/>
      <c r="N801" s="648"/>
      <c r="O801" s="649"/>
    </row>
    <row r="802">
      <c r="C802" s="653"/>
      <c r="D802" s="654"/>
      <c r="E802" s="654"/>
      <c r="F802" s="654"/>
      <c r="G802" s="654"/>
      <c r="H802" s="655"/>
      <c r="I802" s="656"/>
      <c r="J802" s="657"/>
      <c r="K802" s="654"/>
      <c r="L802" s="649"/>
      <c r="M802" s="648"/>
      <c r="N802" s="648"/>
      <c r="O802" s="649"/>
    </row>
    <row r="803">
      <c r="C803" s="653"/>
      <c r="D803" s="654"/>
      <c r="E803" s="654"/>
      <c r="F803" s="654"/>
      <c r="G803" s="654"/>
      <c r="H803" s="655"/>
      <c r="I803" s="656"/>
      <c r="J803" s="657"/>
      <c r="K803" s="654"/>
      <c r="L803" s="649"/>
      <c r="M803" s="648"/>
      <c r="N803" s="648"/>
      <c r="O803" s="649"/>
    </row>
    <row r="804">
      <c r="C804" s="653"/>
      <c r="D804" s="654"/>
      <c r="E804" s="654"/>
      <c r="F804" s="654"/>
      <c r="G804" s="654"/>
      <c r="H804" s="655"/>
      <c r="I804" s="656"/>
      <c r="J804" s="657"/>
      <c r="K804" s="654"/>
      <c r="L804" s="649"/>
      <c r="M804" s="648"/>
      <c r="N804" s="648"/>
      <c r="O804" s="649"/>
    </row>
    <row r="805">
      <c r="C805" s="653"/>
      <c r="D805" s="654"/>
      <c r="E805" s="654"/>
      <c r="F805" s="654"/>
      <c r="G805" s="654"/>
      <c r="H805" s="655"/>
      <c r="I805" s="656"/>
      <c r="J805" s="657"/>
      <c r="K805" s="654"/>
      <c r="L805" s="649"/>
      <c r="M805" s="648"/>
      <c r="N805" s="648"/>
      <c r="O805" s="649"/>
    </row>
    <row r="806">
      <c r="C806" s="653"/>
      <c r="D806" s="654"/>
      <c r="E806" s="654"/>
      <c r="F806" s="654"/>
      <c r="G806" s="654"/>
      <c r="H806" s="655"/>
      <c r="I806" s="656"/>
      <c r="J806" s="657"/>
      <c r="K806" s="654"/>
      <c r="L806" s="649"/>
      <c r="M806" s="648"/>
      <c r="N806" s="648"/>
      <c r="O806" s="649"/>
    </row>
    <row r="807">
      <c r="C807" s="653"/>
      <c r="D807" s="654"/>
      <c r="E807" s="654"/>
      <c r="F807" s="654"/>
      <c r="G807" s="654"/>
      <c r="H807" s="655"/>
      <c r="I807" s="656"/>
      <c r="J807" s="657"/>
      <c r="K807" s="654"/>
      <c r="L807" s="649"/>
      <c r="M807" s="648"/>
      <c r="N807" s="648"/>
      <c r="O807" s="649"/>
    </row>
    <row r="808">
      <c r="C808" s="653"/>
      <c r="D808" s="654"/>
      <c r="E808" s="654"/>
      <c r="F808" s="654"/>
      <c r="G808" s="654"/>
      <c r="H808" s="655"/>
      <c r="I808" s="656"/>
      <c r="J808" s="657"/>
      <c r="K808" s="654"/>
      <c r="L808" s="649"/>
      <c r="M808" s="648"/>
      <c r="N808" s="648"/>
      <c r="O808" s="649"/>
    </row>
    <row r="809">
      <c r="C809" s="653"/>
      <c r="D809" s="654"/>
      <c r="E809" s="654"/>
      <c r="F809" s="654"/>
      <c r="G809" s="654"/>
      <c r="H809" s="655"/>
      <c r="I809" s="656"/>
      <c r="J809" s="657"/>
      <c r="K809" s="654"/>
      <c r="L809" s="649"/>
      <c r="M809" s="648"/>
      <c r="N809" s="648"/>
      <c r="O809" s="649"/>
    </row>
    <row r="810">
      <c r="C810" s="653"/>
      <c r="D810" s="654"/>
      <c r="E810" s="654"/>
      <c r="F810" s="654"/>
      <c r="G810" s="654"/>
      <c r="H810" s="655"/>
      <c r="I810" s="656"/>
      <c r="J810" s="657"/>
      <c r="K810" s="654"/>
      <c r="L810" s="649"/>
      <c r="M810" s="648"/>
      <c r="N810" s="648"/>
      <c r="O810" s="649"/>
    </row>
    <row r="811">
      <c r="C811" s="653"/>
      <c r="D811" s="654"/>
      <c r="E811" s="654"/>
      <c r="F811" s="654"/>
      <c r="G811" s="654"/>
      <c r="H811" s="655"/>
      <c r="I811" s="656"/>
      <c r="J811" s="657"/>
      <c r="K811" s="654"/>
      <c r="L811" s="649"/>
      <c r="M811" s="648"/>
      <c r="N811" s="648"/>
      <c r="O811" s="649"/>
    </row>
    <row r="812">
      <c r="C812" s="653"/>
      <c r="D812" s="654"/>
      <c r="E812" s="654"/>
      <c r="F812" s="654"/>
      <c r="G812" s="654"/>
      <c r="H812" s="655"/>
      <c r="I812" s="656"/>
      <c r="J812" s="657"/>
      <c r="K812" s="654"/>
      <c r="L812" s="649"/>
      <c r="M812" s="648"/>
      <c r="N812" s="648"/>
      <c r="O812" s="649"/>
    </row>
    <row r="813">
      <c r="C813" s="653"/>
      <c r="D813" s="654"/>
      <c r="E813" s="654"/>
      <c r="F813" s="654"/>
      <c r="G813" s="654"/>
      <c r="H813" s="655"/>
      <c r="I813" s="656"/>
      <c r="J813" s="657"/>
      <c r="K813" s="654"/>
      <c r="L813" s="649"/>
      <c r="M813" s="648"/>
      <c r="N813" s="648"/>
      <c r="O813" s="649"/>
    </row>
    <row r="814">
      <c r="C814" s="653"/>
      <c r="D814" s="654"/>
      <c r="E814" s="654"/>
      <c r="F814" s="654"/>
      <c r="G814" s="654"/>
      <c r="H814" s="655"/>
      <c r="I814" s="656"/>
      <c r="J814" s="657"/>
      <c r="K814" s="654"/>
      <c r="L814" s="649"/>
      <c r="M814" s="648"/>
      <c r="N814" s="648"/>
      <c r="O814" s="649"/>
    </row>
    <row r="815">
      <c r="C815" s="653"/>
      <c r="D815" s="654"/>
      <c r="E815" s="654"/>
      <c r="F815" s="654"/>
      <c r="G815" s="654"/>
      <c r="H815" s="655"/>
      <c r="I815" s="656"/>
      <c r="J815" s="657"/>
      <c r="K815" s="654"/>
      <c r="L815" s="649"/>
      <c r="M815" s="648"/>
      <c r="N815" s="648"/>
      <c r="O815" s="649"/>
    </row>
    <row r="816">
      <c r="C816" s="653"/>
      <c r="D816" s="654"/>
      <c r="E816" s="654"/>
      <c r="F816" s="654"/>
      <c r="G816" s="654"/>
      <c r="H816" s="655"/>
      <c r="I816" s="656"/>
      <c r="J816" s="657"/>
      <c r="K816" s="654"/>
      <c r="L816" s="649"/>
      <c r="M816" s="648"/>
      <c r="N816" s="648"/>
      <c r="O816" s="649"/>
    </row>
    <row r="817">
      <c r="C817" s="653"/>
      <c r="D817" s="654"/>
      <c r="E817" s="654"/>
      <c r="F817" s="654"/>
      <c r="G817" s="654"/>
      <c r="H817" s="655"/>
      <c r="I817" s="656"/>
      <c r="J817" s="657"/>
      <c r="K817" s="654"/>
      <c r="L817" s="649"/>
      <c r="M817" s="648"/>
      <c r="N817" s="648"/>
      <c r="O817" s="649"/>
    </row>
    <row r="818">
      <c r="C818" s="653"/>
      <c r="D818" s="654"/>
      <c r="E818" s="654"/>
      <c r="F818" s="654"/>
      <c r="G818" s="654"/>
      <c r="H818" s="655"/>
      <c r="I818" s="656"/>
      <c r="J818" s="657"/>
      <c r="K818" s="654"/>
      <c r="L818" s="649"/>
      <c r="M818" s="648"/>
      <c r="N818" s="648"/>
      <c r="O818" s="649"/>
    </row>
    <row r="819">
      <c r="C819" s="653"/>
      <c r="D819" s="654"/>
      <c r="E819" s="654"/>
      <c r="F819" s="654"/>
      <c r="G819" s="654"/>
      <c r="H819" s="655"/>
      <c r="I819" s="656"/>
      <c r="J819" s="657"/>
      <c r="K819" s="654"/>
      <c r="L819" s="649"/>
      <c r="M819" s="648"/>
      <c r="N819" s="648"/>
      <c r="O819" s="649"/>
    </row>
    <row r="820">
      <c r="C820" s="653"/>
      <c r="D820" s="654"/>
      <c r="E820" s="654"/>
      <c r="F820" s="654"/>
      <c r="G820" s="654"/>
      <c r="H820" s="655"/>
      <c r="I820" s="656"/>
      <c r="J820" s="657"/>
      <c r="K820" s="654"/>
      <c r="L820" s="649"/>
      <c r="M820" s="648"/>
      <c r="N820" s="648"/>
      <c r="O820" s="649"/>
    </row>
    <row r="821">
      <c r="C821" s="653"/>
      <c r="D821" s="654"/>
      <c r="E821" s="654"/>
      <c r="F821" s="654"/>
      <c r="G821" s="654"/>
      <c r="H821" s="655"/>
      <c r="I821" s="656"/>
      <c r="J821" s="657"/>
      <c r="K821" s="654"/>
      <c r="L821" s="649"/>
      <c r="M821" s="648"/>
      <c r="N821" s="648"/>
      <c r="O821" s="649"/>
    </row>
    <row r="822">
      <c r="C822" s="653"/>
      <c r="D822" s="654"/>
      <c r="E822" s="654"/>
      <c r="F822" s="654"/>
      <c r="G822" s="654"/>
      <c r="H822" s="655"/>
      <c r="I822" s="656"/>
      <c r="J822" s="657"/>
      <c r="K822" s="654"/>
      <c r="L822" s="649"/>
      <c r="M822" s="648"/>
      <c r="N822" s="648"/>
      <c r="O822" s="649"/>
    </row>
    <row r="823">
      <c r="C823" s="653"/>
      <c r="D823" s="654"/>
      <c r="E823" s="654"/>
      <c r="F823" s="654"/>
      <c r="G823" s="654"/>
      <c r="H823" s="655"/>
      <c r="I823" s="656"/>
      <c r="J823" s="657"/>
      <c r="K823" s="654"/>
      <c r="L823" s="649"/>
      <c r="M823" s="648"/>
      <c r="N823" s="648"/>
      <c r="O823" s="649"/>
    </row>
    <row r="824">
      <c r="C824" s="653"/>
      <c r="D824" s="654"/>
      <c r="E824" s="654"/>
      <c r="F824" s="654"/>
      <c r="G824" s="654"/>
      <c r="H824" s="655"/>
      <c r="I824" s="656"/>
      <c r="J824" s="657"/>
      <c r="K824" s="654"/>
      <c r="L824" s="649"/>
      <c r="M824" s="648"/>
      <c r="N824" s="648"/>
      <c r="O824" s="649"/>
    </row>
    <row r="825">
      <c r="C825" s="653"/>
      <c r="D825" s="654"/>
      <c r="E825" s="654"/>
      <c r="F825" s="654"/>
      <c r="G825" s="654"/>
      <c r="H825" s="655"/>
      <c r="I825" s="656"/>
      <c r="J825" s="657"/>
      <c r="K825" s="654"/>
      <c r="L825" s="649"/>
      <c r="M825" s="648"/>
      <c r="N825" s="648"/>
      <c r="O825" s="649"/>
    </row>
    <row r="826">
      <c r="C826" s="653"/>
      <c r="D826" s="654"/>
      <c r="E826" s="654"/>
      <c r="F826" s="654"/>
      <c r="G826" s="654"/>
      <c r="H826" s="655"/>
      <c r="I826" s="656"/>
      <c r="J826" s="657"/>
      <c r="K826" s="654"/>
      <c r="L826" s="649"/>
      <c r="M826" s="648"/>
      <c r="N826" s="648"/>
      <c r="O826" s="649"/>
    </row>
    <row r="827">
      <c r="C827" s="653"/>
      <c r="D827" s="654"/>
      <c r="E827" s="654"/>
      <c r="F827" s="654"/>
      <c r="G827" s="654"/>
      <c r="H827" s="655"/>
      <c r="I827" s="656"/>
      <c r="J827" s="657"/>
      <c r="K827" s="654"/>
      <c r="L827" s="649"/>
      <c r="M827" s="648"/>
      <c r="N827" s="648"/>
      <c r="O827" s="649"/>
    </row>
    <row r="828">
      <c r="C828" s="653"/>
      <c r="D828" s="654"/>
      <c r="E828" s="654"/>
      <c r="F828" s="654"/>
      <c r="G828" s="654"/>
      <c r="H828" s="655"/>
      <c r="I828" s="656"/>
      <c r="J828" s="657"/>
      <c r="K828" s="654"/>
      <c r="L828" s="649"/>
      <c r="M828" s="648"/>
      <c r="N828" s="648"/>
      <c r="O828" s="649"/>
    </row>
    <row r="829">
      <c r="C829" s="653"/>
      <c r="D829" s="654"/>
      <c r="E829" s="654"/>
      <c r="F829" s="654"/>
      <c r="G829" s="654"/>
      <c r="H829" s="655"/>
      <c r="I829" s="656"/>
      <c r="J829" s="657"/>
      <c r="K829" s="654"/>
      <c r="L829" s="649"/>
      <c r="M829" s="648"/>
      <c r="N829" s="648"/>
      <c r="O829" s="649"/>
    </row>
    <row r="830">
      <c r="C830" s="653"/>
      <c r="D830" s="654"/>
      <c r="E830" s="654"/>
      <c r="F830" s="654"/>
      <c r="G830" s="654"/>
      <c r="H830" s="655"/>
      <c r="I830" s="656"/>
      <c r="J830" s="657"/>
      <c r="K830" s="654"/>
      <c r="L830" s="649"/>
      <c r="M830" s="648"/>
      <c r="N830" s="648"/>
      <c r="O830" s="649"/>
    </row>
    <row r="831">
      <c r="C831" s="653"/>
      <c r="D831" s="654"/>
      <c r="E831" s="654"/>
      <c r="F831" s="654"/>
      <c r="G831" s="654"/>
      <c r="H831" s="655"/>
      <c r="I831" s="656"/>
      <c r="J831" s="657"/>
      <c r="K831" s="654"/>
      <c r="L831" s="649"/>
      <c r="M831" s="648"/>
      <c r="N831" s="648"/>
      <c r="O831" s="649"/>
    </row>
    <row r="832">
      <c r="C832" s="653"/>
      <c r="D832" s="654"/>
      <c r="E832" s="654"/>
      <c r="F832" s="654"/>
      <c r="G832" s="654"/>
      <c r="H832" s="655"/>
      <c r="I832" s="656"/>
      <c r="J832" s="657"/>
      <c r="K832" s="654"/>
      <c r="L832" s="649"/>
      <c r="M832" s="648"/>
      <c r="N832" s="648"/>
      <c r="O832" s="649"/>
    </row>
    <row r="833">
      <c r="C833" s="653"/>
      <c r="D833" s="654"/>
      <c r="E833" s="654"/>
      <c r="F833" s="654"/>
      <c r="G833" s="654"/>
      <c r="H833" s="655"/>
      <c r="I833" s="656"/>
      <c r="J833" s="657"/>
      <c r="K833" s="654"/>
      <c r="L833" s="649"/>
      <c r="M833" s="648"/>
      <c r="N833" s="648"/>
      <c r="O833" s="649"/>
    </row>
    <row r="834">
      <c r="C834" s="653"/>
      <c r="D834" s="654"/>
      <c r="E834" s="654"/>
      <c r="F834" s="654"/>
      <c r="G834" s="654"/>
      <c r="H834" s="655"/>
      <c r="I834" s="656"/>
      <c r="J834" s="657"/>
      <c r="K834" s="654"/>
      <c r="L834" s="649"/>
      <c r="M834" s="648"/>
      <c r="N834" s="648"/>
      <c r="O834" s="649"/>
    </row>
    <row r="835">
      <c r="C835" s="653"/>
      <c r="D835" s="654"/>
      <c r="E835" s="654"/>
      <c r="F835" s="654"/>
      <c r="G835" s="654"/>
      <c r="H835" s="655"/>
      <c r="I835" s="656"/>
      <c r="J835" s="657"/>
      <c r="K835" s="654"/>
      <c r="L835" s="649"/>
      <c r="M835" s="648"/>
      <c r="N835" s="648"/>
      <c r="O835" s="649"/>
    </row>
    <row r="836">
      <c r="C836" s="653"/>
      <c r="D836" s="654"/>
      <c r="E836" s="654"/>
      <c r="F836" s="654"/>
      <c r="G836" s="654"/>
      <c r="H836" s="655"/>
      <c r="I836" s="656"/>
      <c r="J836" s="657"/>
      <c r="K836" s="654"/>
      <c r="L836" s="649"/>
      <c r="M836" s="648"/>
      <c r="N836" s="648"/>
      <c r="O836" s="649"/>
    </row>
    <row r="837">
      <c r="C837" s="653"/>
      <c r="D837" s="654"/>
      <c r="E837" s="654"/>
      <c r="F837" s="654"/>
      <c r="G837" s="654"/>
      <c r="H837" s="655"/>
      <c r="I837" s="656"/>
      <c r="J837" s="657"/>
      <c r="K837" s="654"/>
      <c r="L837" s="649"/>
      <c r="M837" s="648"/>
      <c r="N837" s="648"/>
      <c r="O837" s="649"/>
    </row>
    <row r="838">
      <c r="C838" s="653"/>
      <c r="D838" s="654"/>
      <c r="E838" s="654"/>
      <c r="F838" s="654"/>
      <c r="G838" s="654"/>
      <c r="H838" s="655"/>
      <c r="I838" s="656"/>
      <c r="J838" s="657"/>
      <c r="K838" s="654"/>
      <c r="L838" s="649"/>
      <c r="M838" s="648"/>
      <c r="N838" s="648"/>
      <c r="O838" s="649"/>
    </row>
    <row r="839">
      <c r="C839" s="653"/>
      <c r="D839" s="654"/>
      <c r="E839" s="654"/>
      <c r="F839" s="654"/>
      <c r="G839" s="654"/>
      <c r="H839" s="655"/>
      <c r="I839" s="656"/>
      <c r="J839" s="657"/>
      <c r="K839" s="654"/>
      <c r="L839" s="649"/>
      <c r="M839" s="648"/>
      <c r="N839" s="648"/>
      <c r="O839" s="649"/>
    </row>
    <row r="840">
      <c r="C840" s="653"/>
      <c r="D840" s="654"/>
      <c r="E840" s="654"/>
      <c r="F840" s="654"/>
      <c r="G840" s="654"/>
      <c r="H840" s="655"/>
      <c r="I840" s="656"/>
      <c r="J840" s="657"/>
      <c r="K840" s="654"/>
      <c r="L840" s="649"/>
      <c r="M840" s="648"/>
      <c r="N840" s="648"/>
      <c r="O840" s="649"/>
    </row>
    <row r="841">
      <c r="C841" s="653"/>
      <c r="D841" s="654"/>
      <c r="E841" s="654"/>
      <c r="F841" s="654"/>
      <c r="G841" s="654"/>
      <c r="H841" s="655"/>
      <c r="I841" s="656"/>
      <c r="J841" s="657"/>
      <c r="K841" s="654"/>
      <c r="L841" s="649"/>
      <c r="M841" s="648"/>
      <c r="N841" s="648"/>
      <c r="O841" s="649"/>
    </row>
    <row r="842">
      <c r="C842" s="653"/>
      <c r="D842" s="654"/>
      <c r="E842" s="654"/>
      <c r="F842" s="654"/>
      <c r="G842" s="654"/>
      <c r="H842" s="655"/>
      <c r="I842" s="656"/>
      <c r="J842" s="657"/>
      <c r="K842" s="654"/>
      <c r="L842" s="649"/>
      <c r="M842" s="648"/>
      <c r="N842" s="648"/>
      <c r="O842" s="649"/>
    </row>
    <row r="843">
      <c r="C843" s="653"/>
      <c r="D843" s="654"/>
      <c r="E843" s="654"/>
      <c r="F843" s="654"/>
      <c r="G843" s="654"/>
      <c r="H843" s="655"/>
      <c r="I843" s="656"/>
      <c r="J843" s="657"/>
      <c r="K843" s="654"/>
      <c r="L843" s="649"/>
      <c r="M843" s="648"/>
      <c r="N843" s="648"/>
      <c r="O843" s="649"/>
    </row>
    <row r="844">
      <c r="C844" s="653"/>
      <c r="D844" s="654"/>
      <c r="E844" s="654"/>
      <c r="F844" s="654"/>
      <c r="G844" s="654"/>
      <c r="H844" s="655"/>
      <c r="I844" s="656"/>
      <c r="J844" s="657"/>
      <c r="K844" s="654"/>
      <c r="L844" s="649"/>
      <c r="M844" s="648"/>
      <c r="N844" s="648"/>
      <c r="O844" s="649"/>
    </row>
    <row r="845">
      <c r="C845" s="653"/>
      <c r="D845" s="654"/>
      <c r="E845" s="654"/>
      <c r="F845" s="654"/>
      <c r="G845" s="654"/>
      <c r="H845" s="655"/>
      <c r="I845" s="656"/>
      <c r="J845" s="657"/>
      <c r="K845" s="654"/>
      <c r="L845" s="649"/>
      <c r="M845" s="648"/>
      <c r="N845" s="648"/>
      <c r="O845" s="649"/>
    </row>
    <row r="846">
      <c r="C846" s="653"/>
      <c r="D846" s="654"/>
      <c r="E846" s="654"/>
      <c r="F846" s="654"/>
      <c r="G846" s="654"/>
      <c r="H846" s="655"/>
      <c r="I846" s="656"/>
      <c r="J846" s="657"/>
      <c r="K846" s="654"/>
      <c r="L846" s="649"/>
      <c r="M846" s="648"/>
      <c r="N846" s="648"/>
      <c r="O846" s="649"/>
    </row>
    <row r="847">
      <c r="C847" s="653"/>
      <c r="D847" s="654"/>
      <c r="E847" s="654"/>
      <c r="F847" s="654"/>
      <c r="G847" s="654"/>
      <c r="H847" s="655"/>
      <c r="I847" s="656"/>
      <c r="J847" s="657"/>
      <c r="K847" s="654"/>
      <c r="L847" s="649"/>
      <c r="M847" s="648"/>
      <c r="N847" s="648"/>
      <c r="O847" s="649"/>
    </row>
    <row r="848">
      <c r="C848" s="653"/>
      <c r="D848" s="654"/>
      <c r="E848" s="654"/>
      <c r="F848" s="654"/>
      <c r="G848" s="654"/>
      <c r="H848" s="655"/>
      <c r="I848" s="656"/>
      <c r="J848" s="657"/>
      <c r="K848" s="654"/>
      <c r="L848" s="649"/>
      <c r="M848" s="648"/>
      <c r="N848" s="648"/>
      <c r="O848" s="649"/>
    </row>
    <row r="849">
      <c r="C849" s="653"/>
      <c r="D849" s="654"/>
      <c r="E849" s="654"/>
      <c r="F849" s="654"/>
      <c r="G849" s="654"/>
      <c r="H849" s="655"/>
      <c r="I849" s="656"/>
      <c r="J849" s="657"/>
      <c r="K849" s="654"/>
      <c r="L849" s="649"/>
      <c r="M849" s="648"/>
      <c r="N849" s="648"/>
      <c r="O849" s="649"/>
    </row>
    <row r="850">
      <c r="C850" s="653"/>
      <c r="D850" s="654"/>
      <c r="E850" s="654"/>
      <c r="F850" s="654"/>
      <c r="G850" s="654"/>
      <c r="H850" s="655"/>
      <c r="I850" s="656"/>
      <c r="J850" s="657"/>
      <c r="K850" s="654"/>
      <c r="L850" s="649"/>
      <c r="M850" s="648"/>
      <c r="N850" s="648"/>
      <c r="O850" s="649"/>
    </row>
    <row r="851">
      <c r="C851" s="653"/>
      <c r="D851" s="654"/>
      <c r="E851" s="654"/>
      <c r="F851" s="654"/>
      <c r="G851" s="654"/>
      <c r="H851" s="655"/>
      <c r="I851" s="656"/>
      <c r="J851" s="657"/>
      <c r="K851" s="654"/>
      <c r="L851" s="649"/>
      <c r="M851" s="648"/>
      <c r="N851" s="648"/>
      <c r="O851" s="649"/>
    </row>
    <row r="852">
      <c r="C852" s="653"/>
      <c r="D852" s="654"/>
      <c r="E852" s="654"/>
      <c r="F852" s="654"/>
      <c r="G852" s="654"/>
      <c r="H852" s="655"/>
      <c r="I852" s="656"/>
      <c r="J852" s="657"/>
      <c r="K852" s="654"/>
      <c r="L852" s="649"/>
      <c r="M852" s="648"/>
      <c r="N852" s="648"/>
      <c r="O852" s="649"/>
    </row>
    <row r="853">
      <c r="C853" s="653"/>
      <c r="D853" s="654"/>
      <c r="E853" s="654"/>
      <c r="F853" s="654"/>
      <c r="G853" s="654"/>
      <c r="H853" s="655"/>
      <c r="I853" s="656"/>
      <c r="J853" s="657"/>
      <c r="K853" s="654"/>
      <c r="L853" s="649"/>
      <c r="M853" s="648"/>
      <c r="N853" s="648"/>
      <c r="O853" s="649"/>
    </row>
    <row r="854">
      <c r="C854" s="653"/>
      <c r="D854" s="654"/>
      <c r="E854" s="654"/>
      <c r="F854" s="654"/>
      <c r="G854" s="654"/>
      <c r="H854" s="655"/>
      <c r="I854" s="656"/>
      <c r="J854" s="657"/>
      <c r="K854" s="654"/>
      <c r="L854" s="649"/>
      <c r="M854" s="648"/>
      <c r="N854" s="648"/>
      <c r="O854" s="649"/>
    </row>
    <row r="855">
      <c r="C855" s="653"/>
      <c r="D855" s="654"/>
      <c r="E855" s="654"/>
      <c r="F855" s="654"/>
      <c r="G855" s="654"/>
      <c r="H855" s="655"/>
      <c r="I855" s="656"/>
      <c r="J855" s="657"/>
      <c r="K855" s="654"/>
      <c r="L855" s="649"/>
      <c r="M855" s="648"/>
      <c r="N855" s="648"/>
      <c r="O855" s="649"/>
    </row>
    <row r="856">
      <c r="C856" s="653"/>
      <c r="D856" s="654"/>
      <c r="E856" s="654"/>
      <c r="F856" s="654"/>
      <c r="G856" s="654"/>
      <c r="H856" s="655"/>
      <c r="I856" s="656"/>
      <c r="J856" s="657"/>
      <c r="K856" s="654"/>
      <c r="L856" s="649"/>
      <c r="M856" s="648"/>
      <c r="N856" s="648"/>
      <c r="O856" s="649"/>
    </row>
    <row r="857">
      <c r="C857" s="653"/>
      <c r="D857" s="654"/>
      <c r="E857" s="654"/>
      <c r="F857" s="654"/>
      <c r="G857" s="654"/>
      <c r="H857" s="655"/>
      <c r="I857" s="656"/>
      <c r="J857" s="657"/>
      <c r="K857" s="654"/>
      <c r="L857" s="649"/>
      <c r="M857" s="648"/>
      <c r="N857" s="648"/>
      <c r="O857" s="649"/>
    </row>
    <row r="858">
      <c r="C858" s="653"/>
      <c r="D858" s="654"/>
      <c r="E858" s="654"/>
      <c r="F858" s="654"/>
      <c r="G858" s="654"/>
      <c r="H858" s="655"/>
      <c r="I858" s="656"/>
      <c r="J858" s="657"/>
      <c r="K858" s="654"/>
      <c r="L858" s="649"/>
      <c r="M858" s="648"/>
      <c r="N858" s="648"/>
      <c r="O858" s="649"/>
    </row>
    <row r="859">
      <c r="C859" s="653"/>
      <c r="D859" s="654"/>
      <c r="E859" s="654"/>
      <c r="F859" s="654"/>
      <c r="G859" s="654"/>
      <c r="H859" s="655"/>
      <c r="I859" s="656"/>
      <c r="J859" s="657"/>
      <c r="K859" s="654"/>
      <c r="L859" s="649"/>
      <c r="M859" s="648"/>
      <c r="N859" s="648"/>
      <c r="O859" s="649"/>
    </row>
    <row r="860">
      <c r="C860" s="653"/>
      <c r="D860" s="654"/>
      <c r="E860" s="654"/>
      <c r="F860" s="654"/>
      <c r="G860" s="654"/>
      <c r="H860" s="655"/>
      <c r="I860" s="656"/>
      <c r="J860" s="657"/>
      <c r="K860" s="654"/>
      <c r="L860" s="649"/>
      <c r="M860" s="648"/>
      <c r="N860" s="648"/>
      <c r="O860" s="649"/>
    </row>
    <row r="861">
      <c r="C861" s="653"/>
      <c r="D861" s="654"/>
      <c r="E861" s="654"/>
      <c r="F861" s="654"/>
      <c r="G861" s="654"/>
      <c r="H861" s="655"/>
      <c r="I861" s="656"/>
      <c r="J861" s="657"/>
      <c r="K861" s="654"/>
      <c r="L861" s="649"/>
      <c r="M861" s="648"/>
      <c r="N861" s="648"/>
      <c r="O861" s="649"/>
    </row>
    <row r="862">
      <c r="C862" s="653"/>
      <c r="D862" s="654"/>
      <c r="E862" s="654"/>
      <c r="F862" s="654"/>
      <c r="G862" s="654"/>
      <c r="H862" s="655"/>
      <c r="I862" s="656"/>
      <c r="J862" s="657"/>
      <c r="K862" s="654"/>
      <c r="L862" s="649"/>
      <c r="M862" s="648"/>
      <c r="N862" s="648"/>
      <c r="O862" s="649"/>
    </row>
    <row r="863">
      <c r="C863" s="653"/>
      <c r="D863" s="654"/>
      <c r="E863" s="654"/>
      <c r="F863" s="654"/>
      <c r="G863" s="654"/>
      <c r="H863" s="655"/>
      <c r="I863" s="656"/>
      <c r="J863" s="657"/>
      <c r="K863" s="654"/>
      <c r="L863" s="649"/>
      <c r="M863" s="648"/>
      <c r="N863" s="648"/>
      <c r="O863" s="649"/>
    </row>
    <row r="864">
      <c r="C864" s="653"/>
      <c r="D864" s="654"/>
      <c r="E864" s="654"/>
      <c r="F864" s="654"/>
      <c r="G864" s="654"/>
      <c r="H864" s="655"/>
      <c r="I864" s="656"/>
      <c r="J864" s="657"/>
      <c r="K864" s="654"/>
      <c r="L864" s="649"/>
      <c r="M864" s="648"/>
      <c r="N864" s="648"/>
      <c r="O864" s="649"/>
    </row>
    <row r="865">
      <c r="C865" s="653"/>
      <c r="D865" s="654"/>
      <c r="E865" s="654"/>
      <c r="F865" s="654"/>
      <c r="G865" s="654"/>
      <c r="H865" s="655"/>
      <c r="I865" s="656"/>
      <c r="J865" s="657"/>
      <c r="K865" s="654"/>
      <c r="L865" s="649"/>
      <c r="M865" s="648"/>
      <c r="N865" s="648"/>
      <c r="O865" s="649"/>
    </row>
    <row r="866">
      <c r="C866" s="653"/>
      <c r="D866" s="654"/>
      <c r="E866" s="654"/>
      <c r="F866" s="654"/>
      <c r="G866" s="654"/>
      <c r="H866" s="655"/>
      <c r="I866" s="656"/>
      <c r="J866" s="657"/>
      <c r="K866" s="654"/>
      <c r="L866" s="649"/>
      <c r="M866" s="648"/>
      <c r="N866" s="648"/>
      <c r="O866" s="649"/>
    </row>
    <row r="867">
      <c r="C867" s="653"/>
      <c r="D867" s="654"/>
      <c r="E867" s="654"/>
      <c r="F867" s="654"/>
      <c r="G867" s="654"/>
      <c r="H867" s="655"/>
      <c r="I867" s="656"/>
      <c r="J867" s="657"/>
      <c r="K867" s="654"/>
      <c r="L867" s="649"/>
      <c r="M867" s="648"/>
      <c r="N867" s="648"/>
      <c r="O867" s="649"/>
    </row>
    <row r="868">
      <c r="C868" s="653"/>
      <c r="D868" s="654"/>
      <c r="E868" s="654"/>
      <c r="F868" s="654"/>
      <c r="G868" s="654"/>
      <c r="H868" s="655"/>
      <c r="I868" s="656"/>
      <c r="J868" s="657"/>
      <c r="K868" s="654"/>
      <c r="L868" s="649"/>
      <c r="M868" s="648"/>
      <c r="N868" s="648"/>
      <c r="O868" s="649"/>
    </row>
    <row r="869">
      <c r="C869" s="653"/>
      <c r="D869" s="654"/>
      <c r="E869" s="654"/>
      <c r="F869" s="654"/>
      <c r="G869" s="654"/>
      <c r="H869" s="655"/>
      <c r="I869" s="656"/>
      <c r="J869" s="657"/>
      <c r="K869" s="654"/>
      <c r="L869" s="649"/>
      <c r="M869" s="648"/>
      <c r="N869" s="648"/>
      <c r="O869" s="649"/>
    </row>
    <row r="870">
      <c r="C870" s="653"/>
      <c r="D870" s="654"/>
      <c r="E870" s="654"/>
      <c r="F870" s="654"/>
      <c r="G870" s="654"/>
      <c r="H870" s="655"/>
      <c r="I870" s="656"/>
      <c r="J870" s="657"/>
      <c r="K870" s="654"/>
      <c r="L870" s="649"/>
      <c r="M870" s="648"/>
      <c r="N870" s="648"/>
      <c r="O870" s="649"/>
    </row>
    <row r="871">
      <c r="C871" s="653"/>
      <c r="D871" s="654"/>
      <c r="E871" s="654"/>
      <c r="F871" s="654"/>
      <c r="G871" s="654"/>
      <c r="H871" s="655"/>
      <c r="I871" s="656"/>
      <c r="J871" s="657"/>
      <c r="K871" s="654"/>
      <c r="L871" s="649"/>
      <c r="M871" s="648"/>
      <c r="N871" s="648"/>
      <c r="O871" s="649"/>
    </row>
    <row r="872">
      <c r="C872" s="653"/>
      <c r="D872" s="654"/>
      <c r="E872" s="654"/>
      <c r="F872" s="654"/>
      <c r="G872" s="654"/>
      <c r="H872" s="655"/>
      <c r="I872" s="656"/>
      <c r="J872" s="657"/>
      <c r="K872" s="654"/>
      <c r="L872" s="649"/>
      <c r="M872" s="648"/>
      <c r="N872" s="648"/>
      <c r="O872" s="649"/>
    </row>
    <row r="873">
      <c r="C873" s="653"/>
      <c r="D873" s="654"/>
      <c r="E873" s="654"/>
      <c r="F873" s="654"/>
      <c r="G873" s="654"/>
      <c r="H873" s="655"/>
      <c r="I873" s="656"/>
      <c r="J873" s="657"/>
      <c r="K873" s="654"/>
      <c r="L873" s="649"/>
      <c r="M873" s="648"/>
      <c r="N873" s="648"/>
      <c r="O873" s="649"/>
    </row>
    <row r="874">
      <c r="C874" s="653"/>
      <c r="D874" s="654"/>
      <c r="E874" s="654"/>
      <c r="F874" s="654"/>
      <c r="G874" s="654"/>
      <c r="H874" s="655"/>
      <c r="I874" s="656"/>
      <c r="J874" s="657"/>
      <c r="K874" s="654"/>
      <c r="L874" s="649"/>
      <c r="M874" s="648"/>
      <c r="N874" s="648"/>
      <c r="O874" s="649"/>
    </row>
    <row r="875">
      <c r="C875" s="653"/>
      <c r="D875" s="654"/>
      <c r="E875" s="654"/>
      <c r="F875" s="654"/>
      <c r="G875" s="654"/>
      <c r="H875" s="655"/>
      <c r="I875" s="656"/>
      <c r="J875" s="657"/>
      <c r="K875" s="654"/>
      <c r="L875" s="649"/>
      <c r="M875" s="648"/>
      <c r="N875" s="648"/>
      <c r="O875" s="649"/>
    </row>
    <row r="876">
      <c r="C876" s="653"/>
      <c r="D876" s="654"/>
      <c r="E876" s="654"/>
      <c r="F876" s="654"/>
      <c r="G876" s="654"/>
      <c r="H876" s="655"/>
      <c r="I876" s="656"/>
      <c r="J876" s="657"/>
      <c r="K876" s="654"/>
      <c r="L876" s="649"/>
      <c r="M876" s="648"/>
      <c r="N876" s="648"/>
      <c r="O876" s="649"/>
    </row>
    <row r="877">
      <c r="C877" s="653"/>
      <c r="D877" s="654"/>
      <c r="E877" s="654"/>
      <c r="F877" s="654"/>
      <c r="G877" s="654"/>
      <c r="H877" s="655"/>
      <c r="I877" s="656"/>
      <c r="J877" s="657"/>
      <c r="K877" s="654"/>
      <c r="L877" s="649"/>
      <c r="M877" s="648"/>
      <c r="N877" s="648"/>
      <c r="O877" s="649"/>
    </row>
    <row r="878">
      <c r="C878" s="653"/>
      <c r="D878" s="654"/>
      <c r="E878" s="654"/>
      <c r="F878" s="654"/>
      <c r="G878" s="654"/>
      <c r="H878" s="655"/>
      <c r="I878" s="656"/>
      <c r="J878" s="657"/>
      <c r="K878" s="654"/>
      <c r="L878" s="649"/>
      <c r="M878" s="648"/>
      <c r="N878" s="648"/>
      <c r="O878" s="649"/>
    </row>
    <row r="879">
      <c r="C879" s="653"/>
      <c r="D879" s="654"/>
      <c r="E879" s="654"/>
      <c r="F879" s="654"/>
      <c r="G879" s="654"/>
      <c r="H879" s="655"/>
      <c r="I879" s="656"/>
      <c r="J879" s="657"/>
      <c r="K879" s="654"/>
      <c r="L879" s="649"/>
      <c r="M879" s="648"/>
      <c r="N879" s="648"/>
      <c r="O879" s="649"/>
    </row>
    <row r="880">
      <c r="C880" s="653"/>
      <c r="D880" s="654"/>
      <c r="E880" s="654"/>
      <c r="F880" s="654"/>
      <c r="G880" s="654"/>
      <c r="H880" s="655"/>
      <c r="I880" s="656"/>
      <c r="J880" s="657"/>
      <c r="K880" s="654"/>
      <c r="L880" s="649"/>
      <c r="M880" s="648"/>
      <c r="N880" s="648"/>
      <c r="O880" s="649"/>
    </row>
    <row r="881">
      <c r="C881" s="653"/>
      <c r="D881" s="654"/>
      <c r="E881" s="654"/>
      <c r="F881" s="654"/>
      <c r="G881" s="654"/>
      <c r="H881" s="655"/>
      <c r="I881" s="656"/>
      <c r="J881" s="657"/>
      <c r="K881" s="654"/>
      <c r="L881" s="649"/>
      <c r="M881" s="648"/>
      <c r="N881" s="648"/>
      <c r="O881" s="649"/>
    </row>
    <row r="882">
      <c r="C882" s="653"/>
      <c r="D882" s="654"/>
      <c r="E882" s="654"/>
      <c r="F882" s="654"/>
      <c r="G882" s="654"/>
      <c r="H882" s="655"/>
      <c r="I882" s="656"/>
      <c r="J882" s="657"/>
      <c r="K882" s="654"/>
      <c r="L882" s="649"/>
      <c r="M882" s="648"/>
      <c r="N882" s="648"/>
      <c r="O882" s="649"/>
    </row>
    <row r="883">
      <c r="C883" s="653"/>
      <c r="D883" s="654"/>
      <c r="E883" s="654"/>
      <c r="F883" s="654"/>
      <c r="G883" s="654"/>
      <c r="H883" s="655"/>
      <c r="I883" s="656"/>
      <c r="J883" s="657"/>
      <c r="K883" s="654"/>
      <c r="L883" s="649"/>
      <c r="M883" s="648"/>
      <c r="N883" s="648"/>
      <c r="O883" s="649"/>
    </row>
    <row r="884">
      <c r="C884" s="653"/>
      <c r="D884" s="654"/>
      <c r="E884" s="654"/>
      <c r="F884" s="654"/>
      <c r="G884" s="654"/>
      <c r="H884" s="655"/>
      <c r="I884" s="656"/>
      <c r="J884" s="657"/>
      <c r="K884" s="654"/>
      <c r="L884" s="649"/>
      <c r="M884" s="648"/>
      <c r="N884" s="648"/>
      <c r="O884" s="649"/>
    </row>
    <row r="885">
      <c r="C885" s="653"/>
      <c r="D885" s="654"/>
      <c r="E885" s="654"/>
      <c r="F885" s="654"/>
      <c r="G885" s="654"/>
      <c r="H885" s="655"/>
      <c r="I885" s="656"/>
      <c r="J885" s="657"/>
      <c r="K885" s="654"/>
      <c r="L885" s="649"/>
      <c r="M885" s="648"/>
      <c r="N885" s="648"/>
      <c r="O885" s="649"/>
    </row>
    <row r="886">
      <c r="C886" s="653"/>
      <c r="D886" s="654"/>
      <c r="E886" s="654"/>
      <c r="F886" s="654"/>
      <c r="G886" s="654"/>
      <c r="H886" s="655"/>
      <c r="I886" s="656"/>
      <c r="J886" s="657"/>
      <c r="K886" s="654"/>
      <c r="L886" s="649"/>
      <c r="M886" s="648"/>
      <c r="N886" s="648"/>
      <c r="O886" s="649"/>
    </row>
    <row r="887">
      <c r="C887" s="653"/>
      <c r="D887" s="654"/>
      <c r="E887" s="654"/>
      <c r="F887" s="654"/>
      <c r="G887" s="654"/>
      <c r="H887" s="655"/>
      <c r="I887" s="656"/>
      <c r="J887" s="657"/>
      <c r="K887" s="654"/>
      <c r="L887" s="649"/>
      <c r="M887" s="648"/>
      <c r="N887" s="648"/>
      <c r="O887" s="649"/>
    </row>
    <row r="888">
      <c r="C888" s="653"/>
      <c r="D888" s="654"/>
      <c r="E888" s="654"/>
      <c r="F888" s="654"/>
      <c r="G888" s="654"/>
      <c r="H888" s="655"/>
      <c r="I888" s="656"/>
      <c r="J888" s="657"/>
      <c r="K888" s="654"/>
      <c r="L888" s="649"/>
      <c r="M888" s="648"/>
      <c r="N888" s="648"/>
      <c r="O888" s="649"/>
    </row>
    <row r="889">
      <c r="C889" s="653"/>
      <c r="D889" s="654"/>
      <c r="E889" s="654"/>
      <c r="F889" s="654"/>
      <c r="G889" s="654"/>
      <c r="H889" s="655"/>
      <c r="I889" s="656"/>
      <c r="J889" s="657"/>
      <c r="K889" s="654"/>
      <c r="L889" s="649"/>
      <c r="M889" s="648"/>
      <c r="N889" s="648"/>
      <c r="O889" s="649"/>
    </row>
    <row r="890">
      <c r="C890" s="653"/>
      <c r="D890" s="654"/>
      <c r="E890" s="654"/>
      <c r="F890" s="654"/>
      <c r="G890" s="654"/>
      <c r="H890" s="655"/>
      <c r="I890" s="656"/>
      <c r="J890" s="657"/>
      <c r="K890" s="654"/>
      <c r="L890" s="649"/>
      <c r="M890" s="648"/>
      <c r="N890" s="648"/>
      <c r="O890" s="649"/>
    </row>
    <row r="891">
      <c r="C891" s="653"/>
      <c r="D891" s="654"/>
      <c r="E891" s="654"/>
      <c r="F891" s="654"/>
      <c r="G891" s="654"/>
      <c r="H891" s="655"/>
      <c r="I891" s="656"/>
      <c r="J891" s="657"/>
      <c r="K891" s="654"/>
      <c r="L891" s="649"/>
      <c r="M891" s="648"/>
      <c r="N891" s="648"/>
      <c r="O891" s="649"/>
    </row>
    <row r="892">
      <c r="C892" s="653"/>
      <c r="D892" s="654"/>
      <c r="E892" s="654"/>
      <c r="F892" s="654"/>
      <c r="G892" s="654"/>
      <c r="H892" s="655"/>
      <c r="I892" s="656"/>
      <c r="J892" s="657"/>
      <c r="K892" s="654"/>
      <c r="L892" s="649"/>
      <c r="M892" s="648"/>
      <c r="N892" s="648"/>
      <c r="O892" s="649"/>
    </row>
    <row r="893">
      <c r="C893" s="653"/>
      <c r="D893" s="654"/>
      <c r="E893" s="654"/>
      <c r="F893" s="654"/>
      <c r="G893" s="654"/>
      <c r="H893" s="655"/>
      <c r="I893" s="656"/>
      <c r="J893" s="657"/>
      <c r="K893" s="654"/>
      <c r="L893" s="649"/>
      <c r="M893" s="648"/>
      <c r="N893" s="648"/>
      <c r="O893" s="649"/>
    </row>
    <row r="894">
      <c r="C894" s="653"/>
      <c r="D894" s="654"/>
      <c r="E894" s="654"/>
      <c r="F894" s="654"/>
      <c r="G894" s="654"/>
      <c r="H894" s="655"/>
      <c r="I894" s="656"/>
      <c r="J894" s="657"/>
      <c r="K894" s="654"/>
      <c r="L894" s="649"/>
      <c r="M894" s="648"/>
      <c r="N894" s="648"/>
      <c r="O894" s="649"/>
    </row>
    <row r="895">
      <c r="C895" s="653"/>
      <c r="D895" s="654"/>
      <c r="E895" s="654"/>
      <c r="F895" s="654"/>
      <c r="G895" s="654"/>
      <c r="H895" s="655"/>
      <c r="I895" s="656"/>
      <c r="J895" s="657"/>
      <c r="K895" s="654"/>
      <c r="L895" s="649"/>
      <c r="M895" s="648"/>
      <c r="N895" s="648"/>
      <c r="O895" s="649"/>
    </row>
    <row r="896">
      <c r="C896" s="653"/>
      <c r="D896" s="654"/>
      <c r="E896" s="654"/>
      <c r="F896" s="654"/>
      <c r="G896" s="654"/>
      <c r="H896" s="655"/>
      <c r="I896" s="656"/>
      <c r="J896" s="657"/>
      <c r="K896" s="654"/>
      <c r="L896" s="649"/>
      <c r="M896" s="648"/>
      <c r="N896" s="648"/>
      <c r="O896" s="649"/>
    </row>
    <row r="897">
      <c r="C897" s="653"/>
      <c r="D897" s="654"/>
      <c r="E897" s="654"/>
      <c r="F897" s="654"/>
      <c r="G897" s="654"/>
      <c r="H897" s="655"/>
      <c r="I897" s="656"/>
      <c r="J897" s="657"/>
      <c r="K897" s="654"/>
      <c r="L897" s="649"/>
      <c r="M897" s="648"/>
      <c r="N897" s="648"/>
      <c r="O897" s="649"/>
    </row>
    <row r="898">
      <c r="C898" s="653"/>
      <c r="D898" s="654"/>
      <c r="E898" s="654"/>
      <c r="F898" s="654"/>
      <c r="G898" s="654"/>
      <c r="H898" s="655"/>
      <c r="I898" s="656"/>
      <c r="J898" s="657"/>
      <c r="K898" s="654"/>
      <c r="L898" s="649"/>
      <c r="M898" s="648"/>
      <c r="N898" s="648"/>
      <c r="O898" s="649"/>
    </row>
    <row r="899">
      <c r="C899" s="653"/>
      <c r="D899" s="654"/>
      <c r="E899" s="654"/>
      <c r="F899" s="654"/>
      <c r="G899" s="654"/>
      <c r="H899" s="655"/>
      <c r="I899" s="656"/>
      <c r="J899" s="657"/>
      <c r="K899" s="654"/>
      <c r="L899" s="649"/>
      <c r="M899" s="648"/>
      <c r="N899" s="648"/>
      <c r="O899" s="649"/>
    </row>
    <row r="900">
      <c r="C900" s="653"/>
      <c r="D900" s="654"/>
      <c r="E900" s="654"/>
      <c r="F900" s="654"/>
      <c r="G900" s="654"/>
      <c r="H900" s="655"/>
      <c r="I900" s="656"/>
      <c r="J900" s="657"/>
      <c r="K900" s="654"/>
      <c r="L900" s="649"/>
      <c r="M900" s="648"/>
      <c r="N900" s="648"/>
      <c r="O900" s="649"/>
    </row>
    <row r="901">
      <c r="C901" s="653"/>
      <c r="D901" s="654"/>
      <c r="E901" s="654"/>
      <c r="F901" s="654"/>
      <c r="G901" s="654"/>
      <c r="H901" s="655"/>
      <c r="I901" s="656"/>
      <c r="J901" s="657"/>
      <c r="K901" s="654"/>
      <c r="L901" s="649"/>
      <c r="M901" s="648"/>
      <c r="N901" s="648"/>
      <c r="O901" s="649"/>
    </row>
    <row r="902">
      <c r="C902" s="653"/>
      <c r="D902" s="654"/>
      <c r="E902" s="654"/>
      <c r="F902" s="654"/>
      <c r="G902" s="654"/>
      <c r="H902" s="655"/>
      <c r="I902" s="656"/>
      <c r="J902" s="657"/>
      <c r="K902" s="654"/>
      <c r="L902" s="649"/>
      <c r="M902" s="648"/>
      <c r="N902" s="648"/>
      <c r="O902" s="649"/>
    </row>
    <row r="903">
      <c r="C903" s="653"/>
      <c r="D903" s="654"/>
      <c r="E903" s="654"/>
      <c r="F903" s="654"/>
      <c r="G903" s="654"/>
      <c r="H903" s="655"/>
      <c r="I903" s="656"/>
      <c r="J903" s="657"/>
      <c r="K903" s="654"/>
      <c r="L903" s="649"/>
      <c r="M903" s="648"/>
      <c r="N903" s="648"/>
      <c r="O903" s="649"/>
    </row>
    <row r="904">
      <c r="C904" s="653"/>
      <c r="D904" s="654"/>
      <c r="E904" s="654"/>
      <c r="F904" s="654"/>
      <c r="G904" s="654"/>
      <c r="H904" s="655"/>
      <c r="I904" s="656"/>
      <c r="J904" s="657"/>
      <c r="K904" s="654"/>
      <c r="L904" s="649"/>
      <c r="M904" s="648"/>
      <c r="N904" s="648"/>
      <c r="O904" s="649"/>
    </row>
    <row r="905">
      <c r="C905" s="653"/>
      <c r="D905" s="654"/>
      <c r="E905" s="654"/>
      <c r="F905" s="654"/>
      <c r="G905" s="654"/>
      <c r="H905" s="655"/>
      <c r="I905" s="656"/>
      <c r="J905" s="657"/>
      <c r="K905" s="654"/>
      <c r="L905" s="649"/>
      <c r="M905" s="648"/>
      <c r="N905" s="648"/>
      <c r="O905" s="649"/>
    </row>
    <row r="906">
      <c r="C906" s="653"/>
      <c r="D906" s="654"/>
      <c r="E906" s="654"/>
      <c r="F906" s="654"/>
      <c r="G906" s="654"/>
      <c r="H906" s="655"/>
      <c r="I906" s="656"/>
      <c r="J906" s="657"/>
      <c r="K906" s="654"/>
      <c r="L906" s="649"/>
      <c r="M906" s="648"/>
      <c r="N906" s="648"/>
      <c r="O906" s="649"/>
    </row>
    <row r="907">
      <c r="C907" s="653"/>
      <c r="D907" s="654"/>
      <c r="E907" s="654"/>
      <c r="F907" s="654"/>
      <c r="G907" s="654"/>
      <c r="H907" s="655"/>
      <c r="I907" s="656"/>
      <c r="J907" s="657"/>
      <c r="K907" s="654"/>
      <c r="L907" s="649"/>
      <c r="M907" s="648"/>
      <c r="N907" s="648"/>
      <c r="O907" s="649"/>
    </row>
    <row r="908">
      <c r="C908" s="653"/>
      <c r="D908" s="654"/>
      <c r="E908" s="654"/>
      <c r="F908" s="654"/>
      <c r="G908" s="654"/>
      <c r="H908" s="655"/>
      <c r="I908" s="656"/>
      <c r="J908" s="657"/>
      <c r="K908" s="654"/>
      <c r="L908" s="649"/>
      <c r="M908" s="648"/>
      <c r="N908" s="648"/>
      <c r="O908" s="649"/>
    </row>
    <row r="909">
      <c r="C909" s="653"/>
      <c r="D909" s="654"/>
      <c r="E909" s="654"/>
      <c r="F909" s="654"/>
      <c r="G909" s="654"/>
      <c r="H909" s="655"/>
      <c r="I909" s="656"/>
      <c r="J909" s="657"/>
      <c r="K909" s="654"/>
      <c r="L909" s="649"/>
      <c r="M909" s="648"/>
      <c r="N909" s="648"/>
      <c r="O909" s="649"/>
    </row>
    <row r="910">
      <c r="C910" s="653"/>
      <c r="D910" s="654"/>
      <c r="E910" s="654"/>
      <c r="F910" s="654"/>
      <c r="G910" s="654"/>
      <c r="H910" s="655"/>
      <c r="I910" s="656"/>
      <c r="J910" s="657"/>
      <c r="K910" s="654"/>
      <c r="L910" s="649"/>
      <c r="M910" s="648"/>
      <c r="N910" s="648"/>
      <c r="O910" s="649"/>
    </row>
    <row r="911">
      <c r="C911" s="653"/>
      <c r="D911" s="654"/>
      <c r="E911" s="654"/>
      <c r="F911" s="654"/>
      <c r="G911" s="654"/>
      <c r="H911" s="655"/>
      <c r="I911" s="656"/>
      <c r="J911" s="657"/>
      <c r="K911" s="654"/>
      <c r="L911" s="649"/>
      <c r="M911" s="648"/>
      <c r="N911" s="648"/>
      <c r="O911" s="649"/>
    </row>
    <row r="912">
      <c r="C912" s="653"/>
      <c r="D912" s="654"/>
      <c r="E912" s="654"/>
      <c r="F912" s="654"/>
      <c r="G912" s="654"/>
      <c r="H912" s="655"/>
      <c r="I912" s="656"/>
      <c r="J912" s="657"/>
      <c r="K912" s="654"/>
      <c r="L912" s="649"/>
      <c r="M912" s="648"/>
      <c r="N912" s="648"/>
      <c r="O912" s="649"/>
    </row>
    <row r="913">
      <c r="C913" s="653"/>
      <c r="D913" s="654"/>
      <c r="E913" s="654"/>
      <c r="F913" s="654"/>
      <c r="G913" s="654"/>
      <c r="H913" s="655"/>
      <c r="I913" s="656"/>
      <c r="J913" s="657"/>
      <c r="K913" s="654"/>
      <c r="L913" s="649"/>
      <c r="M913" s="648"/>
      <c r="N913" s="648"/>
      <c r="O913" s="649"/>
    </row>
    <row r="914">
      <c r="C914" s="653"/>
      <c r="D914" s="654"/>
      <c r="E914" s="654"/>
      <c r="F914" s="654"/>
      <c r="G914" s="654"/>
      <c r="H914" s="655"/>
      <c r="I914" s="656"/>
      <c r="J914" s="657"/>
      <c r="K914" s="654"/>
      <c r="L914" s="649"/>
      <c r="M914" s="648"/>
      <c r="N914" s="648"/>
      <c r="O914" s="649"/>
    </row>
    <row r="915">
      <c r="C915" s="653"/>
      <c r="D915" s="654"/>
      <c r="E915" s="654"/>
      <c r="F915" s="654"/>
      <c r="G915" s="654"/>
      <c r="H915" s="655"/>
      <c r="I915" s="656"/>
      <c r="J915" s="657"/>
      <c r="K915" s="654"/>
      <c r="L915" s="649"/>
      <c r="M915" s="648"/>
      <c r="N915" s="648"/>
      <c r="O915" s="649"/>
    </row>
    <row r="916">
      <c r="C916" s="653"/>
      <c r="D916" s="654"/>
      <c r="E916" s="654"/>
      <c r="F916" s="654"/>
      <c r="G916" s="654"/>
      <c r="H916" s="655"/>
      <c r="I916" s="656"/>
      <c r="J916" s="657"/>
      <c r="K916" s="654"/>
      <c r="L916" s="649"/>
      <c r="M916" s="648"/>
      <c r="N916" s="648"/>
      <c r="O916" s="649"/>
    </row>
    <row r="917">
      <c r="C917" s="653"/>
      <c r="D917" s="654"/>
      <c r="E917" s="654"/>
      <c r="F917" s="654"/>
      <c r="G917" s="654"/>
      <c r="H917" s="655"/>
      <c r="I917" s="656"/>
      <c r="J917" s="657"/>
      <c r="K917" s="654"/>
      <c r="L917" s="649"/>
      <c r="M917" s="648"/>
      <c r="N917" s="648"/>
      <c r="O917" s="649"/>
    </row>
    <row r="918">
      <c r="C918" s="653"/>
      <c r="D918" s="654"/>
      <c r="E918" s="654"/>
      <c r="F918" s="654"/>
      <c r="G918" s="654"/>
      <c r="H918" s="655"/>
      <c r="I918" s="656"/>
      <c r="J918" s="657"/>
      <c r="K918" s="654"/>
      <c r="L918" s="649"/>
      <c r="M918" s="648"/>
      <c r="N918" s="648"/>
      <c r="O918" s="649"/>
    </row>
    <row r="919">
      <c r="C919" s="653"/>
      <c r="D919" s="654"/>
      <c r="E919" s="654"/>
      <c r="F919" s="654"/>
      <c r="G919" s="654"/>
      <c r="H919" s="655"/>
      <c r="I919" s="656"/>
      <c r="J919" s="657"/>
      <c r="K919" s="654"/>
      <c r="L919" s="649"/>
      <c r="M919" s="648"/>
      <c r="N919" s="648"/>
      <c r="O919" s="649"/>
    </row>
    <row r="920">
      <c r="C920" s="653"/>
      <c r="D920" s="654"/>
      <c r="E920" s="654"/>
      <c r="F920" s="654"/>
      <c r="G920" s="654"/>
      <c r="H920" s="655"/>
      <c r="I920" s="656"/>
      <c r="J920" s="657"/>
      <c r="K920" s="654"/>
      <c r="L920" s="649"/>
      <c r="M920" s="648"/>
      <c r="N920" s="648"/>
      <c r="O920" s="649"/>
    </row>
    <row r="921">
      <c r="C921" s="653"/>
      <c r="D921" s="654"/>
      <c r="E921" s="654"/>
      <c r="F921" s="654"/>
      <c r="G921" s="654"/>
      <c r="H921" s="655"/>
      <c r="I921" s="656"/>
      <c r="J921" s="657"/>
      <c r="K921" s="654"/>
      <c r="L921" s="649"/>
      <c r="M921" s="648"/>
      <c r="N921" s="648"/>
      <c r="O921" s="649"/>
    </row>
    <row r="922">
      <c r="C922" s="653"/>
      <c r="D922" s="654"/>
      <c r="E922" s="654"/>
      <c r="F922" s="654"/>
      <c r="G922" s="654"/>
      <c r="H922" s="655"/>
      <c r="I922" s="656"/>
      <c r="J922" s="657"/>
      <c r="K922" s="654"/>
      <c r="L922" s="649"/>
      <c r="M922" s="648"/>
      <c r="N922" s="648"/>
      <c r="O922" s="649"/>
    </row>
    <row r="923">
      <c r="C923" s="653"/>
      <c r="D923" s="654"/>
      <c r="E923" s="654"/>
      <c r="F923" s="654"/>
      <c r="G923" s="654"/>
      <c r="H923" s="655"/>
      <c r="I923" s="656"/>
      <c r="J923" s="657"/>
      <c r="K923" s="654"/>
      <c r="L923" s="649"/>
      <c r="M923" s="648"/>
      <c r="N923" s="648"/>
      <c r="O923" s="649"/>
    </row>
    <row r="924">
      <c r="C924" s="653"/>
      <c r="D924" s="654"/>
      <c r="E924" s="654"/>
      <c r="F924" s="654"/>
      <c r="G924" s="654"/>
      <c r="H924" s="655"/>
      <c r="I924" s="656"/>
      <c r="J924" s="657"/>
      <c r="K924" s="654"/>
      <c r="L924" s="649"/>
      <c r="M924" s="648"/>
      <c r="N924" s="648"/>
      <c r="O924" s="649"/>
    </row>
    <row r="925">
      <c r="C925" s="653"/>
      <c r="D925" s="654"/>
      <c r="E925" s="654"/>
      <c r="F925" s="654"/>
      <c r="G925" s="654"/>
      <c r="H925" s="655"/>
      <c r="I925" s="656"/>
      <c r="J925" s="657"/>
      <c r="K925" s="654"/>
      <c r="L925" s="649"/>
      <c r="M925" s="648"/>
      <c r="N925" s="648"/>
      <c r="O925" s="649"/>
    </row>
    <row r="926">
      <c r="C926" s="653"/>
      <c r="D926" s="654"/>
      <c r="E926" s="654"/>
      <c r="F926" s="654"/>
      <c r="G926" s="654"/>
      <c r="H926" s="655"/>
      <c r="I926" s="656"/>
      <c r="J926" s="657"/>
      <c r="K926" s="654"/>
      <c r="L926" s="649"/>
      <c r="M926" s="648"/>
      <c r="N926" s="648"/>
      <c r="O926" s="649"/>
    </row>
    <row r="927">
      <c r="C927" s="653"/>
      <c r="D927" s="654"/>
      <c r="E927" s="654"/>
      <c r="F927" s="654"/>
      <c r="G927" s="654"/>
      <c r="H927" s="655"/>
      <c r="I927" s="656"/>
      <c r="J927" s="657"/>
      <c r="K927" s="654"/>
      <c r="L927" s="649"/>
      <c r="M927" s="648"/>
      <c r="N927" s="648"/>
      <c r="O927" s="649"/>
    </row>
    <row r="928">
      <c r="C928" s="653"/>
      <c r="D928" s="654"/>
      <c r="E928" s="654"/>
      <c r="F928" s="654"/>
      <c r="G928" s="654"/>
      <c r="H928" s="655"/>
      <c r="I928" s="656"/>
      <c r="J928" s="657"/>
      <c r="K928" s="654"/>
      <c r="L928" s="649"/>
      <c r="M928" s="648"/>
      <c r="N928" s="648"/>
      <c r="O928" s="649"/>
    </row>
    <row r="929">
      <c r="C929" s="653"/>
      <c r="D929" s="654"/>
      <c r="E929" s="654"/>
      <c r="F929" s="654"/>
      <c r="G929" s="654"/>
      <c r="H929" s="655"/>
      <c r="I929" s="656"/>
      <c r="J929" s="657"/>
      <c r="K929" s="654"/>
      <c r="L929" s="649"/>
      <c r="M929" s="648"/>
      <c r="N929" s="648"/>
      <c r="O929" s="649"/>
    </row>
    <row r="930">
      <c r="C930" s="653"/>
      <c r="D930" s="654"/>
      <c r="E930" s="654"/>
      <c r="F930" s="654"/>
      <c r="G930" s="654"/>
      <c r="H930" s="655"/>
      <c r="I930" s="656"/>
      <c r="J930" s="657"/>
      <c r="K930" s="654"/>
      <c r="L930" s="649"/>
      <c r="M930" s="648"/>
      <c r="N930" s="648"/>
      <c r="O930" s="649"/>
    </row>
    <row r="931">
      <c r="C931" s="653"/>
      <c r="D931" s="654"/>
      <c r="E931" s="654"/>
      <c r="F931" s="654"/>
      <c r="G931" s="654"/>
      <c r="H931" s="655"/>
      <c r="I931" s="656"/>
      <c r="J931" s="657"/>
      <c r="K931" s="654"/>
      <c r="L931" s="649"/>
      <c r="M931" s="648"/>
      <c r="N931" s="648"/>
      <c r="O931" s="649"/>
    </row>
    <row r="932">
      <c r="C932" s="653"/>
      <c r="D932" s="654"/>
      <c r="E932" s="654"/>
      <c r="F932" s="654"/>
      <c r="G932" s="654"/>
      <c r="H932" s="655"/>
      <c r="I932" s="656"/>
      <c r="J932" s="657"/>
      <c r="K932" s="654"/>
      <c r="L932" s="649"/>
      <c r="M932" s="648"/>
      <c r="N932" s="648"/>
      <c r="O932" s="649"/>
    </row>
    <row r="933">
      <c r="C933" s="653"/>
      <c r="D933" s="654"/>
      <c r="E933" s="654"/>
      <c r="F933" s="654"/>
      <c r="G933" s="654"/>
      <c r="H933" s="655"/>
      <c r="I933" s="656"/>
      <c r="J933" s="657"/>
      <c r="K933" s="654"/>
      <c r="L933" s="649"/>
      <c r="M933" s="648"/>
      <c r="N933" s="648"/>
      <c r="O933" s="649"/>
    </row>
    <row r="934">
      <c r="C934" s="653"/>
      <c r="D934" s="654"/>
      <c r="E934" s="654"/>
      <c r="F934" s="654"/>
      <c r="G934" s="654"/>
      <c r="H934" s="655"/>
      <c r="I934" s="656"/>
      <c r="J934" s="657"/>
      <c r="K934" s="654"/>
      <c r="L934" s="649"/>
      <c r="M934" s="648"/>
      <c r="N934" s="648"/>
      <c r="O934" s="649"/>
    </row>
    <row r="935">
      <c r="C935" s="653"/>
      <c r="D935" s="654"/>
      <c r="E935" s="654"/>
      <c r="F935" s="654"/>
      <c r="G935" s="654"/>
      <c r="H935" s="655"/>
      <c r="I935" s="656"/>
      <c r="J935" s="657"/>
      <c r="K935" s="654"/>
      <c r="L935" s="649"/>
      <c r="M935" s="648"/>
      <c r="N935" s="648"/>
      <c r="O935" s="649"/>
    </row>
    <row r="936">
      <c r="C936" s="653"/>
      <c r="D936" s="654"/>
      <c r="E936" s="654"/>
      <c r="F936" s="654"/>
      <c r="G936" s="654"/>
      <c r="H936" s="655"/>
      <c r="I936" s="656"/>
      <c r="J936" s="657"/>
      <c r="K936" s="654"/>
      <c r="L936" s="649"/>
      <c r="M936" s="648"/>
      <c r="N936" s="648"/>
      <c r="O936" s="649"/>
    </row>
    <row r="937">
      <c r="C937" s="653"/>
      <c r="D937" s="654"/>
      <c r="E937" s="654"/>
      <c r="F937" s="654"/>
      <c r="G937" s="654"/>
      <c r="H937" s="655"/>
      <c r="I937" s="656"/>
      <c r="J937" s="657"/>
      <c r="K937" s="654"/>
      <c r="L937" s="649"/>
      <c r="M937" s="648"/>
      <c r="N937" s="648"/>
      <c r="O937" s="649"/>
    </row>
    <row r="938">
      <c r="C938" s="653"/>
      <c r="D938" s="654"/>
      <c r="E938" s="654"/>
      <c r="F938" s="654"/>
      <c r="G938" s="654"/>
      <c r="H938" s="655"/>
      <c r="I938" s="656"/>
      <c r="J938" s="657"/>
      <c r="K938" s="654"/>
      <c r="L938" s="649"/>
      <c r="M938" s="648"/>
      <c r="N938" s="648"/>
      <c r="O938" s="649"/>
    </row>
    <row r="939">
      <c r="C939" s="653"/>
      <c r="D939" s="654"/>
      <c r="E939" s="654"/>
      <c r="F939" s="654"/>
      <c r="G939" s="654"/>
      <c r="H939" s="655"/>
      <c r="I939" s="656"/>
      <c r="J939" s="657"/>
      <c r="K939" s="654"/>
      <c r="L939" s="649"/>
      <c r="M939" s="648"/>
      <c r="N939" s="648"/>
      <c r="O939" s="649"/>
    </row>
    <row r="940">
      <c r="C940" s="653"/>
      <c r="D940" s="654"/>
      <c r="E940" s="654"/>
      <c r="F940" s="654"/>
      <c r="G940" s="654"/>
      <c r="H940" s="655"/>
      <c r="I940" s="656"/>
      <c r="J940" s="657"/>
      <c r="K940" s="654"/>
      <c r="L940" s="649"/>
      <c r="M940" s="648"/>
      <c r="N940" s="648"/>
      <c r="O940" s="649"/>
    </row>
    <row r="941">
      <c r="C941" s="653"/>
      <c r="D941" s="654"/>
      <c r="E941" s="654"/>
      <c r="F941" s="654"/>
      <c r="G941" s="654"/>
      <c r="H941" s="655"/>
      <c r="I941" s="656"/>
      <c r="J941" s="657"/>
      <c r="K941" s="654"/>
      <c r="L941" s="649"/>
      <c r="M941" s="648"/>
      <c r="N941" s="648"/>
      <c r="O941" s="649"/>
    </row>
    <row r="942">
      <c r="C942" s="653"/>
      <c r="D942" s="654"/>
      <c r="E942" s="654"/>
      <c r="F942" s="654"/>
      <c r="G942" s="654"/>
      <c r="H942" s="655"/>
      <c r="I942" s="656"/>
      <c r="J942" s="657"/>
      <c r="K942" s="654"/>
      <c r="L942" s="649"/>
      <c r="M942" s="648"/>
      <c r="N942" s="648"/>
      <c r="O942" s="649"/>
    </row>
    <row r="943">
      <c r="C943" s="653"/>
      <c r="D943" s="654"/>
      <c r="E943" s="654"/>
      <c r="F943" s="654"/>
      <c r="G943" s="654"/>
      <c r="H943" s="655"/>
      <c r="I943" s="656"/>
      <c r="J943" s="657"/>
      <c r="K943" s="654"/>
      <c r="L943" s="649"/>
      <c r="M943" s="648"/>
      <c r="N943" s="648"/>
      <c r="O943" s="649"/>
    </row>
    <row r="944">
      <c r="C944" s="653"/>
      <c r="D944" s="654"/>
      <c r="E944" s="654"/>
      <c r="F944" s="654"/>
      <c r="G944" s="654"/>
      <c r="H944" s="655"/>
      <c r="I944" s="656"/>
      <c r="J944" s="657"/>
      <c r="K944" s="654"/>
      <c r="L944" s="649"/>
      <c r="M944" s="648"/>
      <c r="N944" s="648"/>
      <c r="O944" s="649"/>
    </row>
    <row r="945">
      <c r="C945" s="653"/>
      <c r="D945" s="654"/>
      <c r="E945" s="654"/>
      <c r="F945" s="654"/>
      <c r="G945" s="654"/>
      <c r="H945" s="655"/>
      <c r="I945" s="656"/>
      <c r="J945" s="657"/>
      <c r="K945" s="654"/>
      <c r="L945" s="649"/>
      <c r="M945" s="648"/>
      <c r="N945" s="648"/>
      <c r="O945" s="649"/>
    </row>
    <row r="946">
      <c r="C946" s="653"/>
      <c r="D946" s="654"/>
      <c r="E946" s="654"/>
      <c r="F946" s="654"/>
      <c r="G946" s="654"/>
      <c r="H946" s="655"/>
      <c r="I946" s="656"/>
      <c r="J946" s="657"/>
      <c r="K946" s="654"/>
      <c r="L946" s="649"/>
      <c r="M946" s="648"/>
      <c r="N946" s="648"/>
      <c r="O946" s="649"/>
    </row>
    <row r="947">
      <c r="C947" s="653"/>
      <c r="D947" s="654"/>
      <c r="E947" s="654"/>
      <c r="F947" s="654"/>
      <c r="G947" s="654"/>
      <c r="H947" s="655"/>
      <c r="I947" s="656"/>
      <c r="J947" s="657"/>
      <c r="K947" s="654"/>
      <c r="L947" s="649"/>
      <c r="M947" s="648"/>
      <c r="N947" s="648"/>
      <c r="O947" s="649"/>
    </row>
    <row r="948">
      <c r="C948" s="653"/>
      <c r="D948" s="654"/>
      <c r="E948" s="654"/>
      <c r="F948" s="654"/>
      <c r="G948" s="654"/>
      <c r="H948" s="655"/>
      <c r="I948" s="656"/>
      <c r="J948" s="657"/>
      <c r="K948" s="654"/>
      <c r="L948" s="649"/>
      <c r="M948" s="648"/>
      <c r="N948" s="648"/>
      <c r="O948" s="649"/>
    </row>
    <row r="949">
      <c r="C949" s="653"/>
      <c r="D949" s="654"/>
      <c r="E949" s="654"/>
      <c r="F949" s="654"/>
      <c r="G949" s="654"/>
      <c r="H949" s="655"/>
      <c r="I949" s="656"/>
      <c r="J949" s="657"/>
      <c r="K949" s="654"/>
      <c r="L949" s="649"/>
      <c r="M949" s="648"/>
      <c r="N949" s="648"/>
      <c r="O949" s="649"/>
    </row>
    <row r="950">
      <c r="C950" s="653"/>
      <c r="D950" s="654"/>
      <c r="E950" s="654"/>
      <c r="F950" s="654"/>
      <c r="G950" s="654"/>
      <c r="H950" s="655"/>
      <c r="I950" s="656"/>
      <c r="J950" s="657"/>
      <c r="K950" s="654"/>
      <c r="L950" s="649"/>
      <c r="M950" s="648"/>
      <c r="N950" s="648"/>
      <c r="O950" s="649"/>
    </row>
    <row r="951">
      <c r="C951" s="653"/>
      <c r="D951" s="654"/>
      <c r="E951" s="654"/>
      <c r="F951" s="654"/>
      <c r="G951" s="654"/>
      <c r="H951" s="655"/>
      <c r="I951" s="656"/>
      <c r="J951" s="657"/>
      <c r="K951" s="654"/>
      <c r="L951" s="649"/>
      <c r="M951" s="648"/>
      <c r="N951" s="648"/>
      <c r="O951" s="649"/>
    </row>
    <row r="952">
      <c r="C952" s="653"/>
      <c r="D952" s="654"/>
      <c r="E952" s="654"/>
      <c r="F952" s="654"/>
      <c r="G952" s="654"/>
      <c r="H952" s="655"/>
      <c r="I952" s="656"/>
      <c r="J952" s="657"/>
      <c r="K952" s="654"/>
      <c r="L952" s="649"/>
      <c r="M952" s="648"/>
      <c r="N952" s="648"/>
      <c r="O952" s="649"/>
    </row>
    <row r="953">
      <c r="C953" s="653"/>
      <c r="D953" s="654"/>
      <c r="E953" s="654"/>
      <c r="F953" s="654"/>
      <c r="G953" s="654"/>
      <c r="H953" s="655"/>
      <c r="I953" s="656"/>
      <c r="J953" s="657"/>
      <c r="K953" s="654"/>
      <c r="L953" s="649"/>
      <c r="M953" s="648"/>
      <c r="N953" s="648"/>
      <c r="O953" s="649"/>
    </row>
    <row r="954">
      <c r="C954" s="653"/>
      <c r="D954" s="654"/>
      <c r="E954" s="654"/>
      <c r="F954" s="654"/>
      <c r="G954" s="654"/>
      <c r="H954" s="655"/>
      <c r="I954" s="656"/>
      <c r="J954" s="657"/>
      <c r="K954" s="654"/>
      <c r="L954" s="649"/>
      <c r="M954" s="648"/>
      <c r="N954" s="648"/>
      <c r="O954" s="649"/>
    </row>
    <row r="955">
      <c r="C955" s="653"/>
      <c r="D955" s="654"/>
      <c r="E955" s="654"/>
      <c r="F955" s="654"/>
      <c r="G955" s="654"/>
      <c r="H955" s="655"/>
      <c r="I955" s="656"/>
      <c r="J955" s="657"/>
      <c r="K955" s="654"/>
      <c r="L955" s="649"/>
      <c r="M955" s="648"/>
      <c r="N955" s="648"/>
      <c r="O955" s="649"/>
    </row>
    <row r="956">
      <c r="C956" s="653"/>
      <c r="D956" s="654"/>
      <c r="E956" s="654"/>
      <c r="F956" s="654"/>
      <c r="G956" s="654"/>
      <c r="H956" s="655"/>
      <c r="I956" s="656"/>
      <c r="J956" s="657"/>
      <c r="K956" s="654"/>
      <c r="L956" s="649"/>
      <c r="M956" s="648"/>
      <c r="N956" s="648"/>
      <c r="O956" s="649"/>
    </row>
    <row r="957">
      <c r="C957" s="653"/>
      <c r="D957" s="654"/>
      <c r="E957" s="654"/>
      <c r="F957" s="654"/>
      <c r="G957" s="654"/>
      <c r="H957" s="655"/>
      <c r="I957" s="656"/>
      <c r="J957" s="657"/>
      <c r="K957" s="654"/>
      <c r="L957" s="649"/>
      <c r="M957" s="648"/>
      <c r="N957" s="648"/>
      <c r="O957" s="649"/>
    </row>
    <row r="958">
      <c r="C958" s="653"/>
      <c r="D958" s="654"/>
      <c r="E958" s="654"/>
      <c r="F958" s="654"/>
      <c r="G958" s="654"/>
      <c r="H958" s="655"/>
      <c r="I958" s="656"/>
      <c r="J958" s="657"/>
      <c r="K958" s="654"/>
      <c r="L958" s="649"/>
      <c r="M958" s="648"/>
      <c r="N958" s="648"/>
      <c r="O958" s="649"/>
    </row>
    <row r="959">
      <c r="C959" s="653"/>
      <c r="D959" s="654"/>
      <c r="E959" s="654"/>
      <c r="F959" s="654"/>
      <c r="G959" s="654"/>
      <c r="H959" s="655"/>
      <c r="I959" s="656"/>
      <c r="J959" s="657"/>
      <c r="K959" s="654"/>
      <c r="L959" s="649"/>
      <c r="M959" s="648"/>
      <c r="N959" s="648"/>
      <c r="O959" s="649"/>
    </row>
    <row r="960">
      <c r="C960" s="653"/>
      <c r="D960" s="654"/>
      <c r="E960" s="654"/>
      <c r="F960" s="654"/>
      <c r="G960" s="654"/>
      <c r="H960" s="655"/>
      <c r="I960" s="656"/>
      <c r="J960" s="657"/>
      <c r="K960" s="654"/>
      <c r="L960" s="649"/>
      <c r="M960" s="648"/>
      <c r="N960" s="648"/>
      <c r="O960" s="649"/>
    </row>
    <row r="961">
      <c r="C961" s="653"/>
      <c r="D961" s="654"/>
      <c r="E961" s="654"/>
      <c r="F961" s="654"/>
      <c r="G961" s="654"/>
      <c r="H961" s="655"/>
      <c r="I961" s="656"/>
      <c r="J961" s="657"/>
      <c r="K961" s="654"/>
      <c r="L961" s="649"/>
      <c r="M961" s="648"/>
      <c r="N961" s="648"/>
      <c r="O961" s="649"/>
    </row>
    <row r="962">
      <c r="C962" s="653"/>
      <c r="D962" s="654"/>
      <c r="E962" s="654"/>
      <c r="F962" s="654"/>
      <c r="G962" s="654"/>
      <c r="H962" s="655"/>
      <c r="I962" s="656"/>
      <c r="J962" s="657"/>
      <c r="K962" s="654"/>
      <c r="L962" s="649"/>
      <c r="M962" s="648"/>
      <c r="N962" s="648"/>
      <c r="O962" s="649"/>
    </row>
    <row r="963">
      <c r="C963" s="653"/>
      <c r="D963" s="654"/>
      <c r="E963" s="654"/>
      <c r="F963" s="654"/>
      <c r="G963" s="654"/>
      <c r="H963" s="655"/>
      <c r="I963" s="656"/>
      <c r="J963" s="657"/>
      <c r="K963" s="654"/>
      <c r="L963" s="649"/>
      <c r="M963" s="648"/>
      <c r="N963" s="648"/>
      <c r="O963" s="649"/>
    </row>
    <row r="964">
      <c r="C964" s="653"/>
      <c r="D964" s="654"/>
      <c r="E964" s="654"/>
      <c r="F964" s="654"/>
      <c r="G964" s="654"/>
      <c r="H964" s="655"/>
      <c r="I964" s="656"/>
      <c r="J964" s="657"/>
      <c r="K964" s="654"/>
      <c r="L964" s="649"/>
      <c r="M964" s="648"/>
      <c r="N964" s="648"/>
      <c r="O964" s="649"/>
    </row>
    <row r="965">
      <c r="C965" s="653"/>
      <c r="D965" s="654"/>
      <c r="E965" s="654"/>
      <c r="F965" s="654"/>
      <c r="G965" s="654"/>
      <c r="H965" s="655"/>
      <c r="I965" s="656"/>
      <c r="J965" s="657"/>
      <c r="K965" s="654"/>
      <c r="L965" s="649"/>
      <c r="M965" s="648"/>
      <c r="N965" s="648"/>
      <c r="O965" s="649"/>
    </row>
    <row r="966">
      <c r="C966" s="653"/>
      <c r="D966" s="654"/>
      <c r="E966" s="654"/>
      <c r="F966" s="654"/>
      <c r="G966" s="654"/>
      <c r="H966" s="655"/>
      <c r="I966" s="656"/>
      <c r="J966" s="657"/>
      <c r="K966" s="654"/>
      <c r="L966" s="649"/>
      <c r="M966" s="648"/>
      <c r="N966" s="648"/>
      <c r="O966" s="649"/>
    </row>
    <row r="967">
      <c r="C967" s="653"/>
      <c r="D967" s="654"/>
      <c r="E967" s="654"/>
      <c r="F967" s="654"/>
      <c r="G967" s="654"/>
      <c r="H967" s="655"/>
      <c r="I967" s="656"/>
      <c r="J967" s="657"/>
      <c r="K967" s="654"/>
      <c r="L967" s="649"/>
      <c r="M967" s="648"/>
      <c r="N967" s="648"/>
      <c r="O967" s="649"/>
    </row>
    <row r="968">
      <c r="C968" s="653"/>
      <c r="D968" s="654"/>
      <c r="E968" s="654"/>
      <c r="F968" s="654"/>
      <c r="G968" s="654"/>
      <c r="H968" s="655"/>
      <c r="I968" s="656"/>
      <c r="J968" s="657"/>
      <c r="K968" s="654"/>
      <c r="L968" s="649"/>
      <c r="M968" s="648"/>
      <c r="N968" s="648"/>
      <c r="O968" s="649"/>
    </row>
    <row r="969">
      <c r="C969" s="653"/>
      <c r="D969" s="654"/>
      <c r="E969" s="654"/>
      <c r="F969" s="654"/>
      <c r="G969" s="654"/>
      <c r="H969" s="655"/>
      <c r="I969" s="656"/>
      <c r="J969" s="657"/>
      <c r="K969" s="654"/>
      <c r="L969" s="649"/>
      <c r="M969" s="648"/>
      <c r="N969" s="648"/>
      <c r="O969" s="649"/>
    </row>
    <row r="970">
      <c r="C970" s="653"/>
      <c r="D970" s="654"/>
      <c r="E970" s="654"/>
      <c r="F970" s="654"/>
      <c r="G970" s="654"/>
      <c r="H970" s="655"/>
      <c r="I970" s="656"/>
      <c r="J970" s="657"/>
      <c r="K970" s="654"/>
      <c r="L970" s="649"/>
      <c r="M970" s="648"/>
      <c r="N970" s="648"/>
      <c r="O970" s="649"/>
    </row>
    <row r="971">
      <c r="C971" s="653"/>
      <c r="D971" s="654"/>
      <c r="E971" s="654"/>
      <c r="F971" s="654"/>
      <c r="G971" s="654"/>
      <c r="H971" s="655"/>
      <c r="I971" s="656"/>
      <c r="J971" s="657"/>
      <c r="K971" s="654"/>
      <c r="L971" s="649"/>
      <c r="M971" s="648"/>
      <c r="N971" s="648"/>
      <c r="O971" s="649"/>
    </row>
    <row r="972">
      <c r="C972" s="653"/>
      <c r="D972" s="654"/>
      <c r="E972" s="654"/>
      <c r="F972" s="654"/>
      <c r="G972" s="654"/>
      <c r="H972" s="655"/>
      <c r="I972" s="656"/>
      <c r="J972" s="657"/>
      <c r="K972" s="654"/>
      <c r="L972" s="649"/>
      <c r="M972" s="648"/>
      <c r="N972" s="648"/>
      <c r="O972" s="649"/>
    </row>
    <row r="973">
      <c r="C973" s="653"/>
      <c r="D973" s="654"/>
      <c r="E973" s="654"/>
      <c r="F973" s="654"/>
      <c r="G973" s="654"/>
      <c r="H973" s="655"/>
      <c r="I973" s="656"/>
      <c r="J973" s="657"/>
      <c r="K973" s="654"/>
      <c r="L973" s="649"/>
      <c r="M973" s="648"/>
      <c r="N973" s="648"/>
      <c r="O973" s="649"/>
    </row>
    <row r="974">
      <c r="C974" s="653"/>
      <c r="D974" s="654"/>
      <c r="E974" s="654"/>
      <c r="F974" s="654"/>
      <c r="G974" s="654"/>
      <c r="H974" s="655"/>
      <c r="I974" s="656"/>
      <c r="J974" s="657"/>
      <c r="K974" s="654"/>
      <c r="L974" s="649"/>
      <c r="M974" s="648"/>
      <c r="N974" s="648"/>
      <c r="O974" s="649"/>
    </row>
    <row r="975">
      <c r="C975" s="653"/>
      <c r="D975" s="654"/>
      <c r="E975" s="654"/>
      <c r="F975" s="654"/>
      <c r="G975" s="654"/>
      <c r="H975" s="655"/>
      <c r="I975" s="656"/>
      <c r="J975" s="657"/>
      <c r="K975" s="654"/>
      <c r="L975" s="649"/>
      <c r="M975" s="648"/>
      <c r="N975" s="648"/>
      <c r="O975" s="649"/>
    </row>
    <row r="976">
      <c r="C976" s="653"/>
      <c r="D976" s="654"/>
      <c r="E976" s="654"/>
      <c r="F976" s="654"/>
      <c r="G976" s="654"/>
      <c r="H976" s="655"/>
      <c r="I976" s="656"/>
      <c r="J976" s="657"/>
      <c r="K976" s="654"/>
      <c r="L976" s="649"/>
      <c r="M976" s="648"/>
      <c r="N976" s="648"/>
      <c r="O976" s="649"/>
    </row>
    <row r="977">
      <c r="C977" s="653"/>
      <c r="D977" s="654"/>
      <c r="E977" s="654"/>
      <c r="F977" s="654"/>
      <c r="G977" s="654"/>
      <c r="H977" s="655"/>
      <c r="I977" s="656"/>
      <c r="J977" s="657"/>
      <c r="K977" s="654"/>
      <c r="L977" s="649"/>
      <c r="M977" s="648"/>
      <c r="N977" s="648"/>
      <c r="O977" s="649"/>
    </row>
    <row r="978">
      <c r="C978" s="653"/>
      <c r="D978" s="654"/>
      <c r="E978" s="654"/>
      <c r="F978" s="654"/>
      <c r="G978" s="654"/>
      <c r="H978" s="655"/>
      <c r="I978" s="656"/>
      <c r="J978" s="657"/>
      <c r="K978" s="654"/>
      <c r="L978" s="649"/>
      <c r="M978" s="648"/>
      <c r="N978" s="648"/>
      <c r="O978" s="649"/>
    </row>
    <row r="979">
      <c r="C979" s="653"/>
      <c r="D979" s="654"/>
      <c r="E979" s="654"/>
      <c r="F979" s="654"/>
      <c r="G979" s="654"/>
      <c r="H979" s="655"/>
      <c r="I979" s="656"/>
      <c r="J979" s="657"/>
      <c r="K979" s="654"/>
      <c r="L979" s="649"/>
      <c r="M979" s="648"/>
      <c r="N979" s="648"/>
      <c r="O979" s="649"/>
    </row>
    <row r="980">
      <c r="C980" s="653"/>
      <c r="D980" s="654"/>
      <c r="E980" s="654"/>
      <c r="F980" s="654"/>
      <c r="G980" s="654"/>
      <c r="H980" s="655"/>
      <c r="I980" s="656"/>
      <c r="J980" s="657"/>
      <c r="K980" s="654"/>
      <c r="L980" s="649"/>
      <c r="M980" s="648"/>
      <c r="N980" s="648"/>
      <c r="O980" s="649"/>
    </row>
    <row r="981">
      <c r="C981" s="653"/>
      <c r="D981" s="654"/>
      <c r="E981" s="654"/>
      <c r="F981" s="654"/>
      <c r="G981" s="654"/>
      <c r="H981" s="655"/>
      <c r="I981" s="656"/>
      <c r="J981" s="657"/>
      <c r="K981" s="654"/>
      <c r="L981" s="649"/>
      <c r="M981" s="648"/>
      <c r="N981" s="648"/>
      <c r="O981" s="649"/>
    </row>
    <row r="982">
      <c r="C982" s="653"/>
      <c r="D982" s="654"/>
      <c r="E982" s="654"/>
      <c r="F982" s="654"/>
      <c r="G982" s="654"/>
      <c r="H982" s="655"/>
      <c r="I982" s="656"/>
      <c r="J982" s="657"/>
      <c r="K982" s="654"/>
      <c r="L982" s="649"/>
      <c r="M982" s="648"/>
      <c r="N982" s="648"/>
      <c r="O982" s="649"/>
    </row>
    <row r="983">
      <c r="C983" s="653"/>
      <c r="D983" s="654"/>
      <c r="E983" s="654"/>
      <c r="F983" s="654"/>
      <c r="G983" s="654"/>
      <c r="H983" s="655"/>
      <c r="I983" s="656"/>
      <c r="J983" s="657"/>
      <c r="K983" s="654"/>
      <c r="L983" s="649"/>
      <c r="M983" s="648"/>
      <c r="N983" s="648"/>
      <c r="O983" s="649"/>
    </row>
    <row r="984">
      <c r="C984" s="653"/>
      <c r="D984" s="654"/>
      <c r="E984" s="654"/>
      <c r="F984" s="654"/>
      <c r="G984" s="654"/>
      <c r="H984" s="655"/>
      <c r="I984" s="656"/>
      <c r="J984" s="657"/>
      <c r="K984" s="654"/>
      <c r="L984" s="649"/>
      <c r="M984" s="648"/>
      <c r="N984" s="648"/>
      <c r="O984" s="649"/>
    </row>
    <row r="985">
      <c r="C985" s="653"/>
      <c r="D985" s="654"/>
      <c r="E985" s="654"/>
      <c r="F985" s="654"/>
      <c r="G985" s="654"/>
      <c r="H985" s="655"/>
      <c r="I985" s="656"/>
      <c r="J985" s="657"/>
      <c r="K985" s="654"/>
      <c r="L985" s="649"/>
      <c r="M985" s="648"/>
      <c r="N985" s="648"/>
      <c r="O985" s="649"/>
    </row>
    <row r="986">
      <c r="C986" s="653"/>
      <c r="D986" s="654"/>
      <c r="E986" s="654"/>
      <c r="F986" s="654"/>
      <c r="G986" s="654"/>
      <c r="H986" s="655"/>
      <c r="I986" s="656"/>
      <c r="J986" s="657"/>
      <c r="K986" s="654"/>
      <c r="L986" s="649"/>
      <c r="M986" s="648"/>
      <c r="N986" s="648"/>
      <c r="O986" s="649"/>
    </row>
    <row r="987">
      <c r="C987" s="653"/>
      <c r="D987" s="654"/>
      <c r="E987" s="654"/>
      <c r="F987" s="654"/>
      <c r="G987" s="654"/>
      <c r="H987" s="655"/>
      <c r="I987" s="656"/>
      <c r="J987" s="657"/>
      <c r="K987" s="654"/>
      <c r="L987" s="649"/>
      <c r="M987" s="648"/>
      <c r="N987" s="648"/>
      <c r="O987" s="649"/>
    </row>
    <row r="988">
      <c r="C988" s="653"/>
      <c r="D988" s="654"/>
      <c r="E988" s="654"/>
      <c r="F988" s="654"/>
      <c r="G988" s="654"/>
      <c r="H988" s="655"/>
      <c r="I988" s="656"/>
      <c r="J988" s="657"/>
      <c r="K988" s="654"/>
      <c r="L988" s="649"/>
      <c r="M988" s="648"/>
      <c r="N988" s="648"/>
      <c r="O988" s="649"/>
    </row>
    <row r="989">
      <c r="C989" s="653"/>
      <c r="D989" s="654"/>
      <c r="E989" s="654"/>
      <c r="F989" s="654"/>
      <c r="G989" s="654"/>
      <c r="H989" s="655"/>
      <c r="I989" s="656"/>
      <c r="J989" s="657"/>
      <c r="K989" s="654"/>
      <c r="L989" s="649"/>
      <c r="M989" s="648"/>
      <c r="N989" s="648"/>
      <c r="O989" s="649"/>
    </row>
    <row r="990">
      <c r="C990" s="653"/>
      <c r="D990" s="654"/>
      <c r="E990" s="654"/>
      <c r="F990" s="654"/>
      <c r="G990" s="654"/>
      <c r="H990" s="655"/>
      <c r="I990" s="656"/>
      <c r="J990" s="657"/>
      <c r="K990" s="654"/>
      <c r="L990" s="649"/>
      <c r="M990" s="648"/>
      <c r="N990" s="648"/>
      <c r="O990" s="649"/>
    </row>
    <row r="991">
      <c r="C991" s="653"/>
      <c r="D991" s="654"/>
      <c r="E991" s="654"/>
      <c r="F991" s="654"/>
      <c r="G991" s="654"/>
      <c r="H991" s="655"/>
      <c r="I991" s="656"/>
      <c r="J991" s="657"/>
      <c r="K991" s="654"/>
      <c r="L991" s="649"/>
      <c r="M991" s="648"/>
      <c r="N991" s="648"/>
      <c r="O991" s="649"/>
    </row>
    <row r="992">
      <c r="C992" s="653"/>
      <c r="D992" s="654"/>
      <c r="E992" s="654"/>
      <c r="F992" s="654"/>
      <c r="G992" s="654"/>
      <c r="H992" s="655"/>
      <c r="I992" s="656"/>
      <c r="J992" s="657"/>
      <c r="K992" s="654"/>
      <c r="L992" s="649"/>
      <c r="M992" s="648"/>
      <c r="N992" s="648"/>
      <c r="O992" s="649"/>
    </row>
    <row r="993">
      <c r="C993" s="653"/>
      <c r="D993" s="654"/>
      <c r="E993" s="654"/>
      <c r="F993" s="654"/>
      <c r="G993" s="654"/>
      <c r="H993" s="655"/>
      <c r="I993" s="656"/>
      <c r="J993" s="657"/>
      <c r="K993" s="654"/>
      <c r="L993" s="649"/>
      <c r="M993" s="648"/>
      <c r="N993" s="648"/>
      <c r="O993" s="649"/>
    </row>
    <row r="994">
      <c r="C994" s="653"/>
      <c r="D994" s="654"/>
      <c r="E994" s="654"/>
      <c r="F994" s="654"/>
      <c r="G994" s="654"/>
      <c r="H994" s="655"/>
      <c r="I994" s="656"/>
      <c r="J994" s="657"/>
      <c r="K994" s="654"/>
      <c r="L994" s="649"/>
      <c r="M994" s="648"/>
      <c r="N994" s="648"/>
      <c r="O994" s="649"/>
    </row>
    <row r="995">
      <c r="C995" s="653"/>
      <c r="D995" s="654"/>
      <c r="E995" s="654"/>
      <c r="F995" s="654"/>
      <c r="G995" s="654"/>
      <c r="H995" s="655"/>
      <c r="I995" s="656"/>
      <c r="J995" s="657"/>
      <c r="K995" s="654"/>
      <c r="L995" s="649"/>
      <c r="M995" s="648"/>
      <c r="N995" s="648"/>
      <c r="O995" s="649"/>
    </row>
    <row r="996">
      <c r="C996" s="653"/>
      <c r="D996" s="654"/>
      <c r="E996" s="654"/>
      <c r="F996" s="654"/>
      <c r="G996" s="654"/>
      <c r="H996" s="655"/>
      <c r="I996" s="656"/>
      <c r="J996" s="657"/>
      <c r="K996" s="654"/>
      <c r="L996" s="649"/>
      <c r="M996" s="648"/>
      <c r="N996" s="648"/>
      <c r="O996" s="649"/>
    </row>
    <row r="997">
      <c r="C997" s="653"/>
      <c r="D997" s="654"/>
      <c r="E997" s="654"/>
      <c r="F997" s="654"/>
      <c r="G997" s="654"/>
      <c r="H997" s="655"/>
      <c r="I997" s="656"/>
      <c r="J997" s="657"/>
      <c r="K997" s="654"/>
      <c r="L997" s="649"/>
      <c r="M997" s="648"/>
      <c r="N997" s="648"/>
      <c r="O997" s="649"/>
    </row>
    <row r="998">
      <c r="C998" s="653"/>
      <c r="D998" s="654"/>
      <c r="E998" s="654"/>
      <c r="F998" s="654"/>
      <c r="G998" s="654"/>
      <c r="H998" s="655"/>
      <c r="I998" s="656"/>
      <c r="J998" s="657"/>
      <c r="K998" s="654"/>
      <c r="L998" s="649"/>
      <c r="M998" s="648"/>
      <c r="N998" s="648"/>
      <c r="O998" s="649"/>
    </row>
    <row r="999">
      <c r="C999" s="653"/>
      <c r="D999" s="654"/>
      <c r="E999" s="654"/>
      <c r="F999" s="654"/>
      <c r="G999" s="654"/>
      <c r="H999" s="655"/>
      <c r="I999" s="656"/>
      <c r="J999" s="657"/>
      <c r="K999" s="654"/>
      <c r="L999" s="649"/>
      <c r="M999" s="648"/>
      <c r="N999" s="648"/>
      <c r="O999" s="649"/>
    </row>
    <row r="1000">
      <c r="C1000" s="653"/>
      <c r="D1000" s="654"/>
      <c r="E1000" s="654"/>
      <c r="F1000" s="654"/>
      <c r="G1000" s="654"/>
      <c r="H1000" s="655"/>
      <c r="I1000" s="656"/>
      <c r="J1000" s="657"/>
      <c r="K1000" s="654"/>
      <c r="L1000" s="649"/>
      <c r="M1000" s="648"/>
      <c r="N1000" s="648"/>
      <c r="O1000" s="649"/>
    </row>
    <row r="1001">
      <c r="C1001" s="653"/>
      <c r="D1001" s="654"/>
      <c r="E1001" s="654"/>
      <c r="F1001" s="654"/>
      <c r="G1001" s="654"/>
      <c r="H1001" s="655"/>
      <c r="I1001" s="656"/>
      <c r="J1001" s="657"/>
      <c r="K1001" s="654"/>
      <c r="L1001" s="649"/>
      <c r="M1001" s="648"/>
      <c r="N1001" s="648"/>
      <c r="O1001" s="649"/>
    </row>
    <row r="1002">
      <c r="C1002" s="653"/>
      <c r="D1002" s="654"/>
      <c r="E1002" s="654"/>
      <c r="F1002" s="654"/>
      <c r="G1002" s="654"/>
      <c r="H1002" s="655"/>
      <c r="I1002" s="656"/>
      <c r="J1002" s="657"/>
      <c r="K1002" s="654"/>
      <c r="L1002" s="649"/>
      <c r="M1002" s="648"/>
      <c r="N1002" s="648"/>
      <c r="O1002" s="649"/>
    </row>
    <row r="1003">
      <c r="C1003" s="653"/>
      <c r="D1003" s="654"/>
      <c r="E1003" s="654"/>
      <c r="F1003" s="654"/>
      <c r="G1003" s="654"/>
      <c r="H1003" s="655"/>
      <c r="I1003" s="656"/>
      <c r="J1003" s="657"/>
      <c r="K1003" s="654"/>
      <c r="L1003" s="649"/>
      <c r="M1003" s="648"/>
      <c r="N1003" s="648"/>
      <c r="O1003" s="649"/>
    </row>
    <row r="1004">
      <c r="C1004" s="653"/>
      <c r="D1004" s="654"/>
      <c r="E1004" s="654"/>
      <c r="F1004" s="654"/>
      <c r="G1004" s="654"/>
      <c r="H1004" s="655"/>
      <c r="I1004" s="656"/>
      <c r="J1004" s="657"/>
      <c r="K1004" s="654"/>
      <c r="L1004" s="649"/>
      <c r="M1004" s="648"/>
      <c r="N1004" s="648"/>
      <c r="O1004" s="649"/>
    </row>
    <row r="1005">
      <c r="C1005" s="653"/>
      <c r="D1005" s="654"/>
      <c r="E1005" s="654"/>
      <c r="F1005" s="654"/>
      <c r="G1005" s="654"/>
      <c r="H1005" s="655"/>
      <c r="I1005" s="656"/>
      <c r="J1005" s="657"/>
      <c r="K1005" s="654"/>
      <c r="L1005" s="649"/>
      <c r="M1005" s="648"/>
      <c r="N1005" s="648"/>
      <c r="O1005" s="649"/>
    </row>
    <row r="1006">
      <c r="C1006" s="653"/>
      <c r="D1006" s="654"/>
      <c r="E1006" s="654"/>
      <c r="F1006" s="654"/>
      <c r="G1006" s="654"/>
      <c r="H1006" s="655"/>
      <c r="I1006" s="656"/>
      <c r="J1006" s="657"/>
      <c r="K1006" s="654"/>
      <c r="L1006" s="649"/>
      <c r="M1006" s="648"/>
      <c r="N1006" s="648"/>
      <c r="O1006" s="649"/>
    </row>
    <row r="1007">
      <c r="C1007" s="653"/>
      <c r="D1007" s="654"/>
      <c r="E1007" s="654"/>
      <c r="F1007" s="654"/>
      <c r="G1007" s="654"/>
      <c r="H1007" s="655"/>
      <c r="I1007" s="656"/>
      <c r="J1007" s="657"/>
      <c r="K1007" s="654"/>
      <c r="L1007" s="649"/>
      <c r="M1007" s="648"/>
      <c r="N1007" s="648"/>
      <c r="O1007" s="649"/>
    </row>
    <row r="1008">
      <c r="C1008" s="653"/>
      <c r="D1008" s="654"/>
      <c r="E1008" s="654"/>
      <c r="F1008" s="654"/>
      <c r="G1008" s="654"/>
      <c r="H1008" s="655"/>
      <c r="I1008" s="656"/>
      <c r="J1008" s="657"/>
      <c r="K1008" s="654"/>
      <c r="L1008" s="649"/>
      <c r="M1008" s="648"/>
      <c r="N1008" s="648"/>
      <c r="O1008" s="649"/>
    </row>
    <row r="1009">
      <c r="C1009" s="653"/>
      <c r="D1009" s="654"/>
      <c r="E1009" s="654"/>
      <c r="F1009" s="654"/>
      <c r="G1009" s="654"/>
      <c r="H1009" s="655"/>
      <c r="I1009" s="656"/>
      <c r="J1009" s="657"/>
      <c r="K1009" s="654"/>
      <c r="L1009" s="649"/>
      <c r="M1009" s="648"/>
      <c r="N1009" s="648"/>
      <c r="O1009" s="649"/>
    </row>
    <row r="1010">
      <c r="C1010" s="653"/>
      <c r="D1010" s="654"/>
      <c r="E1010" s="654"/>
      <c r="F1010" s="654"/>
      <c r="G1010" s="654"/>
      <c r="H1010" s="655"/>
      <c r="I1010" s="656"/>
      <c r="J1010" s="657"/>
      <c r="K1010" s="654"/>
      <c r="L1010" s="649"/>
      <c r="M1010" s="648"/>
      <c r="N1010" s="648"/>
      <c r="O1010" s="649"/>
    </row>
    <row r="1011">
      <c r="C1011" s="653"/>
      <c r="D1011" s="654"/>
      <c r="E1011" s="654"/>
      <c r="F1011" s="654"/>
      <c r="G1011" s="654"/>
      <c r="H1011" s="655"/>
      <c r="I1011" s="656"/>
      <c r="J1011" s="657"/>
      <c r="K1011" s="654"/>
      <c r="L1011" s="649"/>
      <c r="M1011" s="648"/>
      <c r="N1011" s="648"/>
      <c r="O1011" s="649"/>
    </row>
    <row r="1012">
      <c r="C1012" s="653"/>
      <c r="D1012" s="654"/>
      <c r="E1012" s="654"/>
      <c r="F1012" s="654"/>
      <c r="G1012" s="654"/>
      <c r="H1012" s="655"/>
      <c r="I1012" s="656"/>
      <c r="J1012" s="657"/>
      <c r="K1012" s="654"/>
      <c r="L1012" s="649"/>
      <c r="M1012" s="648"/>
      <c r="N1012" s="648"/>
      <c r="O1012" s="649"/>
    </row>
    <row r="1013">
      <c r="C1013" s="653"/>
      <c r="D1013" s="654"/>
      <c r="E1013" s="654"/>
      <c r="F1013" s="654"/>
      <c r="G1013" s="654"/>
      <c r="H1013" s="655"/>
      <c r="I1013" s="656"/>
      <c r="J1013" s="657"/>
      <c r="K1013" s="654"/>
      <c r="L1013" s="649"/>
      <c r="M1013" s="648"/>
      <c r="N1013" s="648"/>
      <c r="O1013" s="649"/>
    </row>
    <row r="1014">
      <c r="C1014" s="653"/>
      <c r="D1014" s="654"/>
      <c r="E1014" s="654"/>
      <c r="F1014" s="654"/>
      <c r="G1014" s="654"/>
      <c r="H1014" s="655"/>
      <c r="I1014" s="656"/>
      <c r="J1014" s="657"/>
      <c r="K1014" s="654"/>
      <c r="L1014" s="649"/>
      <c r="M1014" s="648"/>
      <c r="N1014" s="648"/>
      <c r="O1014" s="649"/>
    </row>
    <row r="1015">
      <c r="C1015" s="653"/>
      <c r="D1015" s="654"/>
      <c r="E1015" s="654"/>
      <c r="F1015" s="654"/>
      <c r="G1015" s="654"/>
      <c r="H1015" s="655"/>
      <c r="I1015" s="656"/>
      <c r="J1015" s="657"/>
      <c r="K1015" s="654"/>
      <c r="L1015" s="649"/>
      <c r="M1015" s="648"/>
      <c r="N1015" s="648"/>
      <c r="O1015" s="649"/>
    </row>
    <row r="1016">
      <c r="C1016" s="653"/>
      <c r="D1016" s="654"/>
      <c r="E1016" s="654"/>
      <c r="F1016" s="654"/>
      <c r="G1016" s="654"/>
      <c r="H1016" s="655"/>
      <c r="I1016" s="656"/>
      <c r="J1016" s="657"/>
      <c r="K1016" s="654"/>
      <c r="L1016" s="649"/>
      <c r="M1016" s="648"/>
      <c r="N1016" s="648"/>
      <c r="O1016" s="649"/>
    </row>
    <row r="1017">
      <c r="C1017" s="653"/>
      <c r="D1017" s="654"/>
      <c r="E1017" s="654"/>
      <c r="F1017" s="654"/>
      <c r="G1017" s="654"/>
      <c r="H1017" s="655"/>
      <c r="I1017" s="656"/>
      <c r="J1017" s="657"/>
      <c r="K1017" s="654"/>
      <c r="L1017" s="649"/>
      <c r="M1017" s="648"/>
      <c r="N1017" s="648"/>
      <c r="O1017" s="649"/>
    </row>
    <row r="1018">
      <c r="C1018" s="653"/>
      <c r="D1018" s="654"/>
      <c r="E1018" s="654"/>
      <c r="F1018" s="654"/>
      <c r="G1018" s="654"/>
      <c r="H1018" s="655"/>
      <c r="I1018" s="656"/>
      <c r="J1018" s="657"/>
      <c r="K1018" s="654"/>
      <c r="L1018" s="649"/>
      <c r="M1018" s="648"/>
      <c r="N1018" s="648"/>
      <c r="O1018" s="649"/>
    </row>
    <row r="1019">
      <c r="C1019" s="653"/>
      <c r="D1019" s="654"/>
      <c r="E1019" s="654"/>
      <c r="F1019" s="654"/>
      <c r="G1019" s="654"/>
      <c r="H1019" s="655"/>
      <c r="I1019" s="656"/>
      <c r="J1019" s="657"/>
      <c r="K1019" s="654"/>
      <c r="L1019" s="649"/>
      <c r="M1019" s="648"/>
      <c r="N1019" s="648"/>
      <c r="O1019" s="649"/>
    </row>
    <row r="1020">
      <c r="C1020" s="653"/>
      <c r="D1020" s="654"/>
      <c r="E1020" s="654"/>
      <c r="F1020" s="654"/>
      <c r="G1020" s="654"/>
      <c r="H1020" s="655"/>
      <c r="I1020" s="656"/>
      <c r="J1020" s="657"/>
      <c r="K1020" s="654"/>
      <c r="L1020" s="649"/>
      <c r="M1020" s="648"/>
      <c r="N1020" s="648"/>
      <c r="O1020" s="649"/>
    </row>
    <row r="1021">
      <c r="C1021" s="653"/>
      <c r="D1021" s="654"/>
      <c r="E1021" s="654"/>
      <c r="F1021" s="654"/>
      <c r="G1021" s="654"/>
      <c r="H1021" s="655"/>
      <c r="I1021" s="656"/>
      <c r="J1021" s="657"/>
      <c r="K1021" s="654"/>
      <c r="L1021" s="649"/>
      <c r="M1021" s="648"/>
      <c r="N1021" s="648"/>
      <c r="O1021" s="649"/>
    </row>
    <row r="1022">
      <c r="C1022" s="653"/>
      <c r="D1022" s="654"/>
      <c r="E1022" s="654"/>
      <c r="F1022" s="654"/>
      <c r="G1022" s="654"/>
      <c r="H1022" s="655"/>
      <c r="I1022" s="656"/>
      <c r="J1022" s="657"/>
      <c r="K1022" s="654"/>
      <c r="L1022" s="649"/>
      <c r="M1022" s="648"/>
      <c r="N1022" s="648"/>
      <c r="O1022" s="649"/>
    </row>
    <row r="1023">
      <c r="C1023" s="653"/>
      <c r="D1023" s="654"/>
      <c r="E1023" s="654"/>
      <c r="F1023" s="654"/>
      <c r="G1023" s="654"/>
      <c r="H1023" s="655"/>
      <c r="I1023" s="656"/>
      <c r="J1023" s="657"/>
      <c r="K1023" s="654"/>
      <c r="L1023" s="649"/>
      <c r="M1023" s="648"/>
      <c r="N1023" s="648"/>
      <c r="O1023" s="649"/>
    </row>
    <row r="1024">
      <c r="C1024" s="653"/>
      <c r="D1024" s="654"/>
      <c r="E1024" s="654"/>
      <c r="F1024" s="654"/>
      <c r="G1024" s="654"/>
      <c r="H1024" s="655"/>
      <c r="I1024" s="656"/>
      <c r="J1024" s="657"/>
      <c r="K1024" s="654"/>
      <c r="L1024" s="649"/>
      <c r="M1024" s="648"/>
      <c r="N1024" s="648"/>
      <c r="O1024" s="649"/>
    </row>
    <row r="1025">
      <c r="C1025" s="653"/>
      <c r="D1025" s="654"/>
      <c r="E1025" s="654"/>
      <c r="F1025" s="654"/>
      <c r="G1025" s="654"/>
      <c r="H1025" s="655"/>
      <c r="I1025" s="656"/>
      <c r="J1025" s="657"/>
      <c r="K1025" s="654"/>
      <c r="L1025" s="649"/>
      <c r="M1025" s="648"/>
      <c r="N1025" s="648"/>
      <c r="O1025" s="649"/>
    </row>
    <row r="1026">
      <c r="C1026" s="653"/>
      <c r="D1026" s="654"/>
      <c r="E1026" s="654"/>
      <c r="F1026" s="654"/>
      <c r="G1026" s="654"/>
      <c r="H1026" s="655"/>
      <c r="I1026" s="656"/>
      <c r="J1026" s="657"/>
      <c r="K1026" s="654"/>
      <c r="L1026" s="649"/>
      <c r="M1026" s="648"/>
      <c r="N1026" s="648"/>
      <c r="O1026" s="649"/>
    </row>
    <row r="1027">
      <c r="C1027" s="653"/>
      <c r="D1027" s="654"/>
      <c r="E1027" s="654"/>
      <c r="F1027" s="654"/>
      <c r="G1027" s="654"/>
      <c r="H1027" s="655"/>
      <c r="I1027" s="656"/>
      <c r="J1027" s="657"/>
      <c r="K1027" s="654"/>
      <c r="L1027" s="649"/>
      <c r="M1027" s="648"/>
      <c r="N1027" s="648"/>
      <c r="O1027" s="649"/>
    </row>
    <row r="1028">
      <c r="C1028" s="653"/>
      <c r="D1028" s="654"/>
      <c r="E1028" s="654"/>
      <c r="F1028" s="654"/>
      <c r="G1028" s="654"/>
      <c r="H1028" s="655"/>
      <c r="I1028" s="656"/>
      <c r="J1028" s="657"/>
      <c r="K1028" s="654"/>
      <c r="L1028" s="649"/>
      <c r="M1028" s="648"/>
      <c r="N1028" s="648"/>
      <c r="O1028" s="649"/>
    </row>
    <row r="1029">
      <c r="C1029" s="653"/>
      <c r="D1029" s="654"/>
      <c r="E1029" s="654"/>
      <c r="F1029" s="654"/>
      <c r="G1029" s="654"/>
      <c r="H1029" s="655"/>
      <c r="I1029" s="656"/>
      <c r="J1029" s="657"/>
      <c r="K1029" s="654"/>
      <c r="L1029" s="649"/>
      <c r="M1029" s="648"/>
      <c r="N1029" s="648"/>
      <c r="O1029" s="649"/>
    </row>
    <row r="1030">
      <c r="C1030" s="653"/>
      <c r="D1030" s="654"/>
      <c r="E1030" s="654"/>
      <c r="F1030" s="654"/>
      <c r="G1030" s="654"/>
      <c r="H1030" s="655"/>
      <c r="I1030" s="656"/>
      <c r="J1030" s="657"/>
      <c r="K1030" s="654"/>
      <c r="L1030" s="649"/>
      <c r="M1030" s="648"/>
      <c r="N1030" s="648"/>
      <c r="O1030" s="649"/>
    </row>
    <row r="1031">
      <c r="C1031" s="653"/>
      <c r="D1031" s="654"/>
      <c r="E1031" s="654"/>
      <c r="F1031" s="654"/>
      <c r="G1031" s="654"/>
      <c r="H1031" s="655"/>
      <c r="I1031" s="656"/>
      <c r="J1031" s="657"/>
      <c r="K1031" s="654"/>
      <c r="L1031" s="649"/>
      <c r="M1031" s="648"/>
      <c r="N1031" s="648"/>
      <c r="O1031" s="649"/>
    </row>
  </sheetData>
  <mergeCells count="21">
    <mergeCell ref="C6:R6"/>
    <mergeCell ref="C24:R24"/>
    <mergeCell ref="C41:R41"/>
    <mergeCell ref="C58:L58"/>
    <mergeCell ref="C59:L59"/>
    <mergeCell ref="C60:L60"/>
    <mergeCell ref="C62:E62"/>
    <mergeCell ref="C71:C75"/>
    <mergeCell ref="C76:C78"/>
    <mergeCell ref="D76:D78"/>
    <mergeCell ref="E76:E78"/>
    <mergeCell ref="C80:C83"/>
    <mergeCell ref="D80:D83"/>
    <mergeCell ref="E80:E83"/>
    <mergeCell ref="F62:K62"/>
    <mergeCell ref="L62:N62"/>
    <mergeCell ref="C67:C69"/>
    <mergeCell ref="D67:D69"/>
    <mergeCell ref="E67:E69"/>
    <mergeCell ref="D71:D75"/>
    <mergeCell ref="E71:E75"/>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2" max="2" width="5.13"/>
    <col customWidth="1" min="3" max="28" width="10.63"/>
  </cols>
  <sheetData>
    <row r="6">
      <c r="B6" s="588" t="s">
        <v>28</v>
      </c>
      <c r="C6" s="589" t="s">
        <v>172</v>
      </c>
      <c r="D6" s="589" t="s">
        <v>326</v>
      </c>
      <c r="E6" s="590" t="s">
        <v>327</v>
      </c>
      <c r="F6" s="590" t="s">
        <v>328</v>
      </c>
      <c r="G6" s="589" t="s">
        <v>329</v>
      </c>
      <c r="H6" s="591" t="s">
        <v>330</v>
      </c>
      <c r="I6" s="7"/>
      <c r="J6" s="9"/>
      <c r="K6" s="591" t="s">
        <v>331</v>
      </c>
      <c r="L6" s="7"/>
      <c r="M6" s="9"/>
      <c r="N6" s="591" t="s">
        <v>332</v>
      </c>
      <c r="O6" s="7"/>
      <c r="P6" s="9"/>
      <c r="Q6" s="591" t="s">
        <v>333</v>
      </c>
      <c r="R6" s="7"/>
      <c r="S6" s="9"/>
      <c r="T6" s="591" t="s">
        <v>334</v>
      </c>
      <c r="U6" s="7"/>
      <c r="V6" s="9"/>
      <c r="W6" s="591" t="s">
        <v>335</v>
      </c>
      <c r="X6" s="7"/>
      <c r="Y6" s="9"/>
      <c r="Z6" s="591" t="s">
        <v>336</v>
      </c>
      <c r="AA6" s="7"/>
      <c r="AB6" s="9"/>
    </row>
    <row r="7">
      <c r="B7" s="388"/>
      <c r="C7" s="388"/>
      <c r="D7" s="388"/>
      <c r="E7" s="388"/>
      <c r="F7" s="388"/>
      <c r="G7" s="388"/>
      <c r="H7" s="592" t="s">
        <v>20</v>
      </c>
      <c r="I7" s="592" t="s">
        <v>337</v>
      </c>
      <c r="J7" s="592" t="s">
        <v>338</v>
      </c>
      <c r="K7" s="592" t="s">
        <v>20</v>
      </c>
      <c r="L7" s="592" t="s">
        <v>337</v>
      </c>
      <c r="M7" s="592" t="s">
        <v>338</v>
      </c>
      <c r="N7" s="592" t="s">
        <v>20</v>
      </c>
      <c r="O7" s="592" t="s">
        <v>337</v>
      </c>
      <c r="P7" s="592" t="s">
        <v>338</v>
      </c>
      <c r="Q7" s="592" t="s">
        <v>20</v>
      </c>
      <c r="R7" s="592" t="s">
        <v>337</v>
      </c>
      <c r="S7" s="592" t="s">
        <v>338</v>
      </c>
      <c r="T7" s="592" t="s">
        <v>20</v>
      </c>
      <c r="U7" s="592" t="s">
        <v>337</v>
      </c>
      <c r="V7" s="592" t="s">
        <v>338</v>
      </c>
      <c r="W7" s="592" t="s">
        <v>20</v>
      </c>
      <c r="X7" s="592" t="s">
        <v>337</v>
      </c>
      <c r="Y7" s="592" t="s">
        <v>338</v>
      </c>
      <c r="Z7" s="592" t="s">
        <v>20</v>
      </c>
      <c r="AA7" s="592" t="s">
        <v>337</v>
      </c>
      <c r="AB7" s="592" t="s">
        <v>338</v>
      </c>
    </row>
    <row r="8">
      <c r="B8" s="594" t="s">
        <v>179</v>
      </c>
      <c r="C8" s="595" t="s">
        <v>180</v>
      </c>
      <c r="D8" s="9"/>
      <c r="E8" s="596"/>
      <c r="F8" s="596"/>
      <c r="G8" s="596"/>
      <c r="H8" s="597">
        <v>0.27</v>
      </c>
      <c r="I8" s="596"/>
      <c r="J8" s="596"/>
      <c r="K8" s="597">
        <v>0.22</v>
      </c>
      <c r="L8" s="596"/>
      <c r="M8" s="596"/>
      <c r="N8" s="598">
        <v>0.3</v>
      </c>
      <c r="O8" s="599"/>
      <c r="P8" s="599"/>
      <c r="Q8" s="598">
        <v>0.3</v>
      </c>
      <c r="R8" s="599"/>
      <c r="S8" s="599"/>
      <c r="T8" s="598">
        <v>0.3</v>
      </c>
      <c r="U8" s="599"/>
      <c r="V8" s="599"/>
      <c r="W8" s="598">
        <v>0.3</v>
      </c>
      <c r="X8" s="599"/>
      <c r="Y8" s="599"/>
      <c r="Z8" s="598">
        <v>0.3</v>
      </c>
      <c r="AA8" s="600"/>
      <c r="AB8" s="600"/>
    </row>
    <row r="9">
      <c r="B9" s="601">
        <v>1.0</v>
      </c>
      <c r="C9" s="602" t="s">
        <v>183</v>
      </c>
      <c r="D9" s="603" t="s">
        <v>104</v>
      </c>
      <c r="E9" s="604" t="s">
        <v>148</v>
      </c>
      <c r="F9" s="603" t="s">
        <v>186</v>
      </c>
      <c r="G9" s="605" t="s">
        <v>185</v>
      </c>
      <c r="H9" s="606">
        <v>0.1</v>
      </c>
      <c r="I9" s="605">
        <v>126.39</v>
      </c>
      <c r="J9" s="605"/>
      <c r="K9" s="606">
        <v>0.1</v>
      </c>
      <c r="L9" s="605">
        <v>119.599</v>
      </c>
      <c r="M9" s="605"/>
      <c r="N9" s="606">
        <v>0.15</v>
      </c>
      <c r="O9" s="605">
        <v>125.672</v>
      </c>
      <c r="P9" s="607">
        <v>126496.0</v>
      </c>
      <c r="Q9" s="606">
        <v>0.15</v>
      </c>
      <c r="R9" s="607">
        <v>126175.0</v>
      </c>
      <c r="S9" s="607">
        <v>122887.0</v>
      </c>
      <c r="T9" s="606">
        <v>0.15</v>
      </c>
      <c r="U9" s="607">
        <v>130221.0</v>
      </c>
      <c r="V9" s="607">
        <v>121966.0</v>
      </c>
      <c r="W9" s="606">
        <v>0.1</v>
      </c>
      <c r="X9" s="607">
        <v>132695.0</v>
      </c>
      <c r="Y9" s="607">
        <v>125096.0</v>
      </c>
      <c r="Z9" s="606">
        <v>0.1</v>
      </c>
      <c r="AA9" s="607">
        <v>139178.0</v>
      </c>
      <c r="AB9" s="605"/>
    </row>
    <row r="10">
      <c r="B10" s="385"/>
      <c r="C10" s="385"/>
      <c r="D10" s="608" t="s">
        <v>339</v>
      </c>
      <c r="E10" s="609"/>
      <c r="F10" s="610"/>
      <c r="G10" s="611"/>
      <c r="H10" s="612">
        <v>0.1</v>
      </c>
      <c r="I10" s="611"/>
      <c r="J10" s="611"/>
      <c r="K10" s="612">
        <v>0.05</v>
      </c>
      <c r="L10" s="613"/>
      <c r="M10" s="613"/>
      <c r="N10" s="613"/>
      <c r="O10" s="613"/>
      <c r="P10" s="613"/>
      <c r="Q10" s="613"/>
      <c r="R10" s="613"/>
      <c r="S10" s="613"/>
      <c r="T10" s="613"/>
      <c r="U10" s="613"/>
      <c r="V10" s="613"/>
      <c r="W10" s="613"/>
      <c r="X10" s="613"/>
      <c r="Y10" s="613"/>
      <c r="Z10" s="613"/>
      <c r="AA10" s="613"/>
      <c r="AB10" s="613"/>
    </row>
    <row r="11">
      <c r="B11" s="385"/>
      <c r="C11" s="385"/>
      <c r="D11" s="608" t="s">
        <v>341</v>
      </c>
      <c r="E11" s="609"/>
      <c r="F11" s="609"/>
      <c r="G11" s="611"/>
      <c r="H11" s="612">
        <v>0.1</v>
      </c>
      <c r="I11" s="611"/>
      <c r="J11" s="611"/>
      <c r="K11" s="612">
        <v>0.05</v>
      </c>
      <c r="L11" s="613"/>
      <c r="M11" s="613"/>
      <c r="N11" s="613"/>
      <c r="O11" s="613"/>
      <c r="P11" s="613"/>
      <c r="Q11" s="613"/>
      <c r="R11" s="613"/>
      <c r="S11" s="613"/>
      <c r="T11" s="613"/>
      <c r="U11" s="613"/>
      <c r="V11" s="613"/>
      <c r="W11" s="613"/>
      <c r="X11" s="613"/>
      <c r="Y11" s="613"/>
      <c r="Z11" s="613"/>
      <c r="AA11" s="613"/>
      <c r="AB11" s="613"/>
    </row>
    <row r="12">
      <c r="B12" s="388"/>
      <c r="C12" s="388"/>
      <c r="D12" s="608" t="s">
        <v>345</v>
      </c>
      <c r="E12" s="609"/>
      <c r="F12" s="619"/>
      <c r="G12" s="620" t="s">
        <v>185</v>
      </c>
      <c r="H12" s="612">
        <v>0.1</v>
      </c>
      <c r="I12" s="620">
        <v>41.609</v>
      </c>
      <c r="J12" s="620"/>
      <c r="K12" s="612">
        <v>0.05</v>
      </c>
      <c r="L12" s="620">
        <v>46.151</v>
      </c>
      <c r="M12" s="620"/>
      <c r="N12" s="613"/>
      <c r="O12" s="613"/>
      <c r="P12" s="613"/>
      <c r="Q12" s="613"/>
      <c r="R12" s="613"/>
      <c r="S12" s="613"/>
      <c r="T12" s="613"/>
      <c r="U12" s="613"/>
      <c r="V12" s="613"/>
      <c r="W12" s="613"/>
      <c r="X12" s="613"/>
      <c r="Y12" s="613"/>
      <c r="Z12" s="613"/>
      <c r="AA12" s="613"/>
      <c r="AB12" s="613"/>
    </row>
    <row r="13">
      <c r="B13" s="622">
        <v>2.0</v>
      </c>
      <c r="C13" s="623" t="s">
        <v>190</v>
      </c>
      <c r="D13" s="603" t="s">
        <v>107</v>
      </c>
      <c r="E13" s="604" t="s">
        <v>191</v>
      </c>
      <c r="F13" s="603" t="s">
        <v>186</v>
      </c>
      <c r="G13" s="605" t="s">
        <v>185</v>
      </c>
      <c r="H13" s="624"/>
      <c r="I13" s="624"/>
      <c r="J13" s="624"/>
      <c r="K13" s="624"/>
      <c r="L13" s="624"/>
      <c r="M13" s="624"/>
      <c r="N13" s="625"/>
      <c r="O13" s="625"/>
      <c r="P13" s="625"/>
      <c r="Q13" s="625"/>
      <c r="R13" s="625"/>
      <c r="S13" s="625"/>
      <c r="T13" s="625"/>
      <c r="U13" s="625"/>
      <c r="V13" s="625"/>
      <c r="W13" s="606">
        <v>0.05</v>
      </c>
      <c r="X13" s="607">
        <v>1397.0</v>
      </c>
      <c r="Y13" s="607">
        <v>1539.0</v>
      </c>
      <c r="Z13" s="606">
        <v>0.05</v>
      </c>
      <c r="AA13" s="607">
        <v>1722.0</v>
      </c>
      <c r="AB13" s="605"/>
    </row>
    <row r="14">
      <c r="B14" s="601">
        <v>3.0</v>
      </c>
      <c r="C14" s="602" t="s">
        <v>195</v>
      </c>
      <c r="D14" s="631" t="s">
        <v>196</v>
      </c>
      <c r="E14" s="632"/>
      <c r="F14" s="633"/>
      <c r="G14" s="596"/>
      <c r="H14" s="597">
        <v>0.05</v>
      </c>
      <c r="I14" s="596"/>
      <c r="J14" s="596"/>
      <c r="K14" s="597">
        <v>0.05</v>
      </c>
      <c r="L14" s="599"/>
      <c r="M14" s="599"/>
      <c r="N14" s="598">
        <v>0.15</v>
      </c>
      <c r="O14" s="599"/>
      <c r="P14" s="599"/>
      <c r="Q14" s="598">
        <v>0.15</v>
      </c>
      <c r="R14" s="599"/>
      <c r="S14" s="599"/>
      <c r="T14" s="598">
        <v>0.15</v>
      </c>
      <c r="U14" s="599"/>
      <c r="V14" s="599"/>
      <c r="W14" s="598">
        <v>0.15</v>
      </c>
      <c r="X14" s="599"/>
      <c r="Y14" s="599"/>
      <c r="Z14" s="598">
        <v>0.15</v>
      </c>
      <c r="AA14" s="600"/>
      <c r="AB14" s="600"/>
    </row>
    <row r="15">
      <c r="B15" s="385"/>
      <c r="C15" s="385"/>
      <c r="D15" s="603" t="s">
        <v>353</v>
      </c>
      <c r="E15" s="634"/>
      <c r="F15" s="634"/>
      <c r="G15" s="605" t="s">
        <v>166</v>
      </c>
      <c r="H15" s="606">
        <v>0.05</v>
      </c>
      <c r="I15" s="606">
        <v>0.98</v>
      </c>
      <c r="J15" s="606"/>
      <c r="K15" s="606">
        <v>0.05</v>
      </c>
      <c r="L15" s="606">
        <v>0.98</v>
      </c>
      <c r="M15" s="606"/>
      <c r="N15" s="606">
        <v>0.1</v>
      </c>
      <c r="O15" s="606">
        <v>0.98</v>
      </c>
      <c r="P15" s="636">
        <v>0.783</v>
      </c>
      <c r="Q15" s="606">
        <v>0.1</v>
      </c>
      <c r="R15" s="606">
        <v>0.98</v>
      </c>
      <c r="S15" s="636">
        <v>0.8152</v>
      </c>
      <c r="T15" s="606">
        <v>0.1</v>
      </c>
      <c r="U15" s="606">
        <v>0.98</v>
      </c>
      <c r="V15" s="636">
        <v>1.1246</v>
      </c>
      <c r="W15" s="606">
        <v>0.1</v>
      </c>
      <c r="X15" s="606">
        <v>0.98</v>
      </c>
      <c r="Y15" s="606">
        <v>0.8205</v>
      </c>
      <c r="Z15" s="606">
        <v>0.1</v>
      </c>
      <c r="AA15" s="606">
        <v>0.98</v>
      </c>
      <c r="AB15" s="606"/>
    </row>
    <row r="16">
      <c r="B16" s="388"/>
      <c r="C16" s="388"/>
      <c r="D16" s="603" t="s">
        <v>202</v>
      </c>
      <c r="E16" s="603" t="s">
        <v>199</v>
      </c>
      <c r="F16" s="603" t="s">
        <v>200</v>
      </c>
      <c r="G16" s="605" t="s">
        <v>166</v>
      </c>
      <c r="H16" s="606">
        <v>0.02</v>
      </c>
      <c r="I16" s="605" t="s">
        <v>354</v>
      </c>
      <c r="J16" s="605"/>
      <c r="K16" s="606">
        <v>0.02</v>
      </c>
      <c r="L16" s="605">
        <v>1.0</v>
      </c>
      <c r="M16" s="605"/>
      <c r="N16" s="606">
        <v>0.05</v>
      </c>
      <c r="O16" s="605">
        <v>1.0</v>
      </c>
      <c r="P16" s="605">
        <v>1.0</v>
      </c>
      <c r="Q16" s="606">
        <v>0.05</v>
      </c>
      <c r="R16" s="605">
        <v>1.0</v>
      </c>
      <c r="S16" s="605">
        <v>1.0</v>
      </c>
      <c r="T16" s="606">
        <v>0.05</v>
      </c>
      <c r="U16" s="605">
        <v>1.0</v>
      </c>
      <c r="V16" s="605">
        <v>1.0</v>
      </c>
      <c r="W16" s="606">
        <v>0.05</v>
      </c>
      <c r="X16" s="605">
        <v>1.0</v>
      </c>
      <c r="Y16" s="605">
        <v>1.0</v>
      </c>
      <c r="Z16" s="606">
        <v>0.05</v>
      </c>
      <c r="AA16" s="605">
        <v>1.0</v>
      </c>
      <c r="AB16" s="605">
        <v>1.0</v>
      </c>
    </row>
    <row r="17">
      <c r="B17" s="594" t="s">
        <v>204</v>
      </c>
      <c r="C17" s="595" t="s">
        <v>205</v>
      </c>
      <c r="D17" s="9"/>
      <c r="E17" s="637" t="s">
        <v>203</v>
      </c>
      <c r="F17" s="638" t="s">
        <v>264</v>
      </c>
      <c r="G17" s="596"/>
      <c r="H17" s="597">
        <v>0.37</v>
      </c>
      <c r="I17" s="596"/>
      <c r="J17" s="596"/>
      <c r="K17" s="597">
        <v>0.42</v>
      </c>
      <c r="L17" s="599"/>
      <c r="M17" s="599"/>
      <c r="N17" s="598">
        <v>0.25</v>
      </c>
      <c r="O17" s="599"/>
      <c r="P17" s="599"/>
      <c r="Q17" s="599"/>
      <c r="R17" s="599"/>
      <c r="S17" s="599"/>
      <c r="T17" s="599"/>
      <c r="U17" s="599"/>
      <c r="V17" s="599"/>
      <c r="W17" s="599"/>
      <c r="X17" s="599"/>
      <c r="Y17" s="599"/>
      <c r="Z17" s="600"/>
      <c r="AA17" s="600"/>
      <c r="AB17" s="600"/>
    </row>
    <row r="18">
      <c r="B18" s="601">
        <v>1.0</v>
      </c>
      <c r="C18" s="602" t="s">
        <v>207</v>
      </c>
      <c r="D18" s="631" t="s">
        <v>208</v>
      </c>
      <c r="E18" s="632"/>
      <c r="F18" s="633"/>
      <c r="G18" s="596"/>
      <c r="H18" s="597">
        <v>0.32</v>
      </c>
      <c r="I18" s="596"/>
      <c r="J18" s="596"/>
      <c r="K18" s="597">
        <v>0.32</v>
      </c>
      <c r="L18" s="596"/>
      <c r="M18" s="596"/>
      <c r="N18" s="598">
        <v>0.2</v>
      </c>
      <c r="O18" s="599"/>
      <c r="P18" s="599"/>
      <c r="Q18" s="598">
        <v>0.2</v>
      </c>
      <c r="R18" s="599"/>
      <c r="S18" s="599"/>
      <c r="T18" s="598">
        <v>0.2</v>
      </c>
      <c r="U18" s="599"/>
      <c r="V18" s="599"/>
      <c r="W18" s="598">
        <v>0.25</v>
      </c>
      <c r="X18" s="599"/>
      <c r="Y18" s="599"/>
      <c r="Z18" s="598">
        <v>0.25</v>
      </c>
      <c r="AA18" s="600"/>
      <c r="AB18" s="600"/>
    </row>
    <row r="19">
      <c r="B19" s="385"/>
      <c r="C19" s="385"/>
      <c r="D19" s="603" t="s">
        <v>213</v>
      </c>
      <c r="E19" s="603" t="s">
        <v>214</v>
      </c>
      <c r="F19" s="639" t="s">
        <v>267</v>
      </c>
      <c r="G19" s="624"/>
      <c r="H19" s="624"/>
      <c r="I19" s="624"/>
      <c r="J19" s="624"/>
      <c r="K19" s="624"/>
      <c r="L19" s="624"/>
      <c r="M19" s="624"/>
      <c r="N19" s="625"/>
      <c r="O19" s="625"/>
      <c r="P19" s="625"/>
      <c r="Q19" s="625"/>
      <c r="R19" s="625"/>
      <c r="S19" s="625"/>
      <c r="T19" s="625"/>
      <c r="U19" s="625"/>
      <c r="V19" s="625"/>
      <c r="W19" s="606">
        <v>0.1</v>
      </c>
      <c r="X19" s="606">
        <v>0.98</v>
      </c>
      <c r="Y19" s="636">
        <v>0.9293</v>
      </c>
      <c r="Z19" s="606">
        <v>0.1</v>
      </c>
      <c r="AA19" s="606">
        <v>0.98</v>
      </c>
      <c r="AB19" s="636">
        <v>0.9685</v>
      </c>
    </row>
    <row r="20">
      <c r="B20" s="385"/>
      <c r="C20" s="385"/>
      <c r="D20" s="603" t="s">
        <v>118</v>
      </c>
      <c r="E20" s="603" t="s">
        <v>218</v>
      </c>
      <c r="F20" s="639" t="s">
        <v>273</v>
      </c>
      <c r="G20" s="605" t="s">
        <v>166</v>
      </c>
      <c r="H20" s="624"/>
      <c r="I20" s="624"/>
      <c r="J20" s="624"/>
      <c r="K20" s="624"/>
      <c r="L20" s="624"/>
      <c r="M20" s="624"/>
      <c r="N20" s="606">
        <v>0.05</v>
      </c>
      <c r="O20" s="606">
        <v>0.02</v>
      </c>
      <c r="P20" s="606">
        <v>0.0</v>
      </c>
      <c r="Q20" s="606">
        <v>0.05</v>
      </c>
      <c r="R20" s="606">
        <v>0.02</v>
      </c>
      <c r="S20" s="606">
        <v>0.0</v>
      </c>
      <c r="T20" s="606">
        <v>0.05</v>
      </c>
      <c r="U20" s="606">
        <v>0.02</v>
      </c>
      <c r="V20" s="640">
        <v>0.02654</v>
      </c>
      <c r="W20" s="606">
        <v>0.05</v>
      </c>
      <c r="X20" s="606">
        <v>0.02</v>
      </c>
      <c r="Y20" s="636">
        <v>0.0252</v>
      </c>
      <c r="Z20" s="606">
        <v>0.05</v>
      </c>
      <c r="AA20" s="606">
        <v>0.02</v>
      </c>
      <c r="AB20" s="636">
        <v>0.0156</v>
      </c>
    </row>
    <row r="21">
      <c r="B21" s="385"/>
      <c r="C21" s="385"/>
      <c r="D21" s="603" t="s">
        <v>220</v>
      </c>
      <c r="E21" s="603" t="s">
        <v>221</v>
      </c>
      <c r="F21" s="639" t="s">
        <v>355</v>
      </c>
      <c r="G21" s="605" t="s">
        <v>166</v>
      </c>
      <c r="H21" s="624"/>
      <c r="I21" s="624"/>
      <c r="J21" s="624"/>
      <c r="K21" s="624"/>
      <c r="L21" s="624"/>
      <c r="M21" s="624"/>
      <c r="N21" s="606">
        <v>0.05</v>
      </c>
      <c r="O21" s="640">
        <v>7.5E-4</v>
      </c>
      <c r="P21" s="640">
        <v>0.00105</v>
      </c>
      <c r="Q21" s="606">
        <v>0.05</v>
      </c>
      <c r="R21" s="640">
        <v>6.5E-4</v>
      </c>
      <c r="S21" s="640">
        <v>0.00116</v>
      </c>
      <c r="T21" s="606">
        <v>0.05</v>
      </c>
      <c r="U21" s="605" t="s">
        <v>356</v>
      </c>
      <c r="V21" s="640">
        <v>0.00129</v>
      </c>
      <c r="W21" s="606">
        <v>0.05</v>
      </c>
      <c r="X21" s="640">
        <v>4.6E-4</v>
      </c>
      <c r="Y21" s="640">
        <v>0.00185</v>
      </c>
      <c r="Z21" s="606">
        <v>0.05</v>
      </c>
      <c r="AA21" s="640">
        <v>3.7E-4</v>
      </c>
      <c r="AB21" s="640">
        <v>0.00212</v>
      </c>
    </row>
    <row r="22">
      <c r="B22" s="385"/>
      <c r="C22" s="385"/>
      <c r="D22" s="603" t="s">
        <v>223</v>
      </c>
      <c r="E22" s="603" t="s">
        <v>225</v>
      </c>
      <c r="F22" s="641" t="s">
        <v>357</v>
      </c>
      <c r="G22" s="605" t="s">
        <v>166</v>
      </c>
      <c r="H22" s="624"/>
      <c r="I22" s="624"/>
      <c r="J22" s="624"/>
      <c r="K22" s="624"/>
      <c r="L22" s="624"/>
      <c r="M22" s="624"/>
      <c r="N22" s="624"/>
      <c r="O22" s="624"/>
      <c r="P22" s="624"/>
      <c r="Q22" s="624"/>
      <c r="R22" s="624"/>
      <c r="S22" s="624"/>
      <c r="T22" s="624"/>
      <c r="U22" s="624"/>
      <c r="V22" s="624"/>
      <c r="W22" s="606">
        <v>0.05</v>
      </c>
      <c r="X22" s="636">
        <v>0.998</v>
      </c>
      <c r="Y22" s="606">
        <v>1.0</v>
      </c>
      <c r="Z22" s="606">
        <v>0.05</v>
      </c>
      <c r="AA22" s="636">
        <v>0.998</v>
      </c>
      <c r="AB22" s="636">
        <v>0.8333</v>
      </c>
    </row>
    <row r="23">
      <c r="B23" s="385"/>
      <c r="C23" s="385"/>
      <c r="D23" s="608" t="s">
        <v>363</v>
      </c>
      <c r="E23" s="609"/>
      <c r="F23" s="619"/>
      <c r="G23" s="620" t="s">
        <v>166</v>
      </c>
      <c r="H23" s="612">
        <v>0.03</v>
      </c>
      <c r="I23" s="620" t="s">
        <v>224</v>
      </c>
      <c r="J23" s="620"/>
      <c r="K23" s="612">
        <v>0.03</v>
      </c>
      <c r="L23" s="620" t="s">
        <v>224</v>
      </c>
      <c r="M23" s="620"/>
      <c r="N23" s="613"/>
      <c r="O23" s="613"/>
      <c r="P23" s="613"/>
      <c r="Q23" s="613"/>
      <c r="R23" s="613"/>
      <c r="S23" s="613"/>
      <c r="T23" s="613"/>
      <c r="U23" s="613"/>
      <c r="V23" s="613"/>
      <c r="W23" s="613"/>
      <c r="X23" s="613"/>
      <c r="Y23" s="613"/>
      <c r="Z23" s="613"/>
      <c r="AA23" s="613"/>
      <c r="AB23" s="613"/>
    </row>
    <row r="24">
      <c r="B24" s="385"/>
      <c r="C24" s="385"/>
      <c r="D24" s="608" t="s">
        <v>366</v>
      </c>
      <c r="E24" s="609"/>
      <c r="F24" s="619"/>
      <c r="G24" s="620" t="s">
        <v>166</v>
      </c>
      <c r="H24" s="612">
        <v>0.04</v>
      </c>
      <c r="I24" s="612">
        <v>0.98</v>
      </c>
      <c r="J24" s="612"/>
      <c r="K24" s="612">
        <v>0.04</v>
      </c>
      <c r="L24" s="612">
        <v>0.98</v>
      </c>
      <c r="M24" s="612"/>
      <c r="N24" s="613"/>
      <c r="O24" s="613"/>
      <c r="P24" s="613"/>
      <c r="Q24" s="613"/>
      <c r="R24" s="613"/>
      <c r="S24" s="613"/>
      <c r="T24" s="613"/>
      <c r="U24" s="613"/>
      <c r="V24" s="613"/>
      <c r="W24" s="613"/>
      <c r="X24" s="613"/>
      <c r="Y24" s="613"/>
      <c r="Z24" s="613"/>
      <c r="AA24" s="613"/>
      <c r="AB24" s="613"/>
    </row>
    <row r="25">
      <c r="B25" s="385"/>
      <c r="C25" s="385"/>
      <c r="D25" s="608" t="s">
        <v>367</v>
      </c>
      <c r="E25" s="609"/>
      <c r="F25" s="619"/>
      <c r="G25" s="620" t="s">
        <v>166</v>
      </c>
      <c r="H25" s="612">
        <v>0.04</v>
      </c>
      <c r="I25" s="612">
        <v>0.98</v>
      </c>
      <c r="J25" s="612"/>
      <c r="K25" s="612">
        <v>0.04</v>
      </c>
      <c r="L25" s="612">
        <v>0.98</v>
      </c>
      <c r="M25" s="612"/>
      <c r="N25" s="611"/>
      <c r="O25" s="611"/>
      <c r="P25" s="611"/>
      <c r="Q25" s="611"/>
      <c r="R25" s="611"/>
      <c r="S25" s="611"/>
      <c r="T25" s="613"/>
      <c r="U25" s="613"/>
      <c r="V25" s="613"/>
      <c r="W25" s="613"/>
      <c r="X25" s="613"/>
      <c r="Y25" s="613"/>
      <c r="Z25" s="613"/>
      <c r="AA25" s="613"/>
      <c r="AB25" s="613"/>
    </row>
    <row r="26">
      <c r="B26" s="385"/>
      <c r="C26" s="385"/>
      <c r="D26" s="608" t="s">
        <v>368</v>
      </c>
      <c r="E26" s="609"/>
      <c r="F26" s="609"/>
      <c r="G26" s="620" t="s">
        <v>166</v>
      </c>
      <c r="H26" s="612">
        <v>0.06</v>
      </c>
      <c r="I26" s="612">
        <v>0.99</v>
      </c>
      <c r="J26" s="612"/>
      <c r="K26" s="612">
        <v>0.06</v>
      </c>
      <c r="L26" s="612">
        <v>0.99</v>
      </c>
      <c r="M26" s="612"/>
      <c r="N26" s="612">
        <v>0.05</v>
      </c>
      <c r="O26" s="612">
        <v>0.99</v>
      </c>
      <c r="P26" s="612">
        <v>1.0</v>
      </c>
      <c r="Q26" s="612">
        <v>0.05</v>
      </c>
      <c r="R26" s="612">
        <v>0.99</v>
      </c>
      <c r="S26" s="612">
        <v>1.0</v>
      </c>
      <c r="T26" s="612">
        <v>0.05</v>
      </c>
      <c r="U26" s="612">
        <v>0.99</v>
      </c>
      <c r="V26" s="612">
        <v>1.0</v>
      </c>
      <c r="W26" s="613"/>
      <c r="X26" s="613"/>
      <c r="Y26" s="613"/>
      <c r="Z26" s="613"/>
      <c r="AA26" s="613"/>
      <c r="AB26" s="613"/>
    </row>
    <row r="27">
      <c r="B27" s="385"/>
      <c r="C27" s="385"/>
      <c r="D27" s="675" t="s">
        <v>369</v>
      </c>
      <c r="E27" s="676"/>
      <c r="F27" s="676"/>
      <c r="G27" s="677" t="s">
        <v>166</v>
      </c>
      <c r="H27" s="678">
        <v>0.06</v>
      </c>
      <c r="I27" s="678">
        <v>0.98</v>
      </c>
      <c r="J27" s="678"/>
      <c r="K27" s="678">
        <v>0.06</v>
      </c>
      <c r="L27" s="678">
        <v>0.98</v>
      </c>
      <c r="M27" s="678"/>
      <c r="N27" s="678">
        <v>0.05</v>
      </c>
      <c r="O27" s="678">
        <v>0.98</v>
      </c>
      <c r="P27" s="679">
        <v>0.9944</v>
      </c>
      <c r="Q27" s="678">
        <v>0.05</v>
      </c>
      <c r="R27" s="678">
        <v>0.98</v>
      </c>
      <c r="S27" s="679">
        <v>0.9947</v>
      </c>
      <c r="T27" s="678">
        <v>0.05</v>
      </c>
      <c r="U27" s="678">
        <v>0.98</v>
      </c>
      <c r="V27" s="679">
        <v>0.9926</v>
      </c>
      <c r="W27" s="613"/>
      <c r="X27" s="613"/>
      <c r="Y27" s="613"/>
      <c r="Z27" s="613"/>
      <c r="AA27" s="613"/>
      <c r="AB27" s="613"/>
    </row>
    <row r="28">
      <c r="B28" s="388"/>
      <c r="C28" s="388"/>
      <c r="D28" s="608" t="s">
        <v>372</v>
      </c>
      <c r="E28" s="619"/>
      <c r="F28" s="619"/>
      <c r="G28" s="620" t="s">
        <v>166</v>
      </c>
      <c r="H28" s="612">
        <v>0.02</v>
      </c>
      <c r="I28" s="612">
        <v>0.03</v>
      </c>
      <c r="J28" s="612"/>
      <c r="K28" s="612">
        <v>0.02</v>
      </c>
      <c r="L28" s="612">
        <v>0.03</v>
      </c>
      <c r="M28" s="612"/>
      <c r="N28" s="611"/>
      <c r="O28" s="611"/>
      <c r="P28" s="611"/>
      <c r="Q28" s="611"/>
      <c r="R28" s="611"/>
      <c r="S28" s="611"/>
      <c r="T28" s="611"/>
      <c r="U28" s="611"/>
      <c r="V28" s="611"/>
      <c r="W28" s="613"/>
      <c r="X28" s="613"/>
      <c r="Y28" s="613"/>
      <c r="Z28" s="613"/>
      <c r="AA28" s="613"/>
      <c r="AB28" s="613"/>
    </row>
    <row r="29">
      <c r="B29" s="601">
        <v>2.0</v>
      </c>
      <c r="C29" s="602" t="s">
        <v>227</v>
      </c>
      <c r="D29" s="631" t="s">
        <v>228</v>
      </c>
      <c r="E29" s="632"/>
      <c r="F29" s="633"/>
      <c r="G29" s="596"/>
      <c r="H29" s="597">
        <v>0.05</v>
      </c>
      <c r="I29" s="596"/>
      <c r="J29" s="596"/>
      <c r="K29" s="597">
        <v>0.1</v>
      </c>
      <c r="L29" s="596"/>
      <c r="M29" s="596"/>
      <c r="N29" s="597">
        <v>0.05</v>
      </c>
      <c r="O29" s="599"/>
      <c r="P29" s="599"/>
      <c r="Q29" s="598">
        <v>0.05</v>
      </c>
      <c r="R29" s="599"/>
      <c r="S29" s="599"/>
      <c r="T29" s="598">
        <v>0.05</v>
      </c>
      <c r="U29" s="599"/>
      <c r="V29" s="599"/>
      <c r="W29" s="598">
        <v>0.05</v>
      </c>
      <c r="X29" s="599"/>
      <c r="Y29" s="599"/>
      <c r="Z29" s="600"/>
      <c r="AA29" s="600"/>
      <c r="AB29" s="600"/>
    </row>
    <row r="30">
      <c r="B30" s="385"/>
      <c r="C30" s="385"/>
      <c r="D30" s="631" t="s">
        <v>229</v>
      </c>
      <c r="E30" s="632"/>
      <c r="F30" s="633"/>
      <c r="G30" s="596"/>
      <c r="H30" s="597">
        <v>0.05</v>
      </c>
      <c r="I30" s="596"/>
      <c r="J30" s="596"/>
      <c r="K30" s="597">
        <v>0.1</v>
      </c>
      <c r="L30" s="599"/>
      <c r="M30" s="599"/>
      <c r="N30" s="597">
        <v>0.05</v>
      </c>
      <c r="O30" s="599"/>
      <c r="P30" s="599"/>
      <c r="Q30" s="598">
        <v>0.05</v>
      </c>
      <c r="R30" s="599"/>
      <c r="S30" s="599"/>
      <c r="T30" s="598">
        <v>0.05</v>
      </c>
      <c r="U30" s="599"/>
      <c r="V30" s="599"/>
      <c r="W30" s="598">
        <v>0.05</v>
      </c>
      <c r="X30" s="689"/>
      <c r="Y30" s="689"/>
      <c r="Z30" s="690"/>
      <c r="AA30" s="690"/>
      <c r="AB30" s="690"/>
    </row>
    <row r="31">
      <c r="B31" s="385"/>
      <c r="C31" s="385"/>
      <c r="D31" s="691" t="s">
        <v>373</v>
      </c>
      <c r="E31" s="609"/>
      <c r="F31" s="610"/>
      <c r="G31" s="611"/>
      <c r="H31" s="611"/>
      <c r="I31" s="611"/>
      <c r="J31" s="611"/>
      <c r="K31" s="693">
        <v>0.03</v>
      </c>
      <c r="L31" s="620">
        <v>33.723</v>
      </c>
      <c r="M31" s="620"/>
      <c r="N31" s="613"/>
      <c r="O31" s="613"/>
      <c r="P31" s="613"/>
      <c r="Q31" s="613"/>
      <c r="R31" s="613"/>
      <c r="S31" s="613"/>
      <c r="T31" s="613"/>
      <c r="U31" s="613"/>
      <c r="V31" s="613"/>
      <c r="W31" s="613"/>
      <c r="X31" s="613"/>
      <c r="Y31" s="613"/>
      <c r="Z31" s="613"/>
      <c r="AA31" s="613"/>
      <c r="AB31" s="613"/>
    </row>
    <row r="32">
      <c r="B32" s="385"/>
      <c r="C32" s="385"/>
      <c r="D32" s="691" t="s">
        <v>374</v>
      </c>
      <c r="E32" s="609"/>
      <c r="F32" s="610"/>
      <c r="G32" s="611"/>
      <c r="H32" s="611"/>
      <c r="I32" s="611"/>
      <c r="J32" s="611"/>
      <c r="K32" s="693">
        <v>0.02</v>
      </c>
      <c r="L32" s="620">
        <v>10.965</v>
      </c>
      <c r="M32" s="620"/>
      <c r="N32" s="613"/>
      <c r="O32" s="613"/>
      <c r="P32" s="613"/>
      <c r="Q32" s="613"/>
      <c r="R32" s="613"/>
      <c r="S32" s="613"/>
      <c r="T32" s="613"/>
      <c r="U32" s="613"/>
      <c r="V32" s="613"/>
      <c r="W32" s="613"/>
      <c r="X32" s="613"/>
      <c r="Y32" s="613"/>
      <c r="Z32" s="613"/>
      <c r="AA32" s="613"/>
      <c r="AB32" s="613"/>
    </row>
    <row r="33">
      <c r="B33" s="388"/>
      <c r="C33" s="388"/>
      <c r="D33" s="604" t="s">
        <v>230</v>
      </c>
      <c r="E33" s="603" t="s">
        <v>231</v>
      </c>
      <c r="F33" s="702" t="str">
        <f>+/-0.5 điểm/3% vượt/không đạt KH</f>
        <v>#ERROR!</v>
      </c>
      <c r="G33" s="703" t="s">
        <v>167</v>
      </c>
      <c r="H33" s="606">
        <v>0.05</v>
      </c>
      <c r="I33" s="605">
        <v>2.165</v>
      </c>
      <c r="J33" s="605"/>
      <c r="K33" s="606">
        <v>0.05</v>
      </c>
      <c r="L33" s="605">
        <v>1.366</v>
      </c>
      <c r="M33" s="605"/>
      <c r="N33" s="606">
        <v>0.05</v>
      </c>
      <c r="O33" s="605">
        <v>2.165</v>
      </c>
      <c r="P33" s="636">
        <v>1.8896</v>
      </c>
      <c r="Q33" s="606">
        <v>0.05</v>
      </c>
      <c r="R33" s="607">
        <v>2299.0</v>
      </c>
      <c r="S33" s="636">
        <v>1.328</v>
      </c>
      <c r="T33" s="606">
        <v>0.05</v>
      </c>
      <c r="U33" s="607">
        <v>2280.0</v>
      </c>
      <c r="V33" s="636">
        <v>1.2583</v>
      </c>
      <c r="W33" s="606">
        <v>0.05</v>
      </c>
      <c r="X33" s="607">
        <v>2280.0</v>
      </c>
      <c r="Y33" s="636">
        <v>0.9333</v>
      </c>
      <c r="Z33" s="606">
        <v>0.05</v>
      </c>
      <c r="AA33" s="607">
        <v>2280.0</v>
      </c>
      <c r="AB33" s="636">
        <v>0.7202</v>
      </c>
    </row>
    <row r="34">
      <c r="B34" s="594" t="s">
        <v>234</v>
      </c>
      <c r="C34" s="595" t="s">
        <v>235</v>
      </c>
      <c r="D34" s="9"/>
      <c r="E34" s="632"/>
      <c r="F34" s="633"/>
      <c r="G34" s="596"/>
      <c r="H34" s="597">
        <v>0.36</v>
      </c>
      <c r="I34" s="596"/>
      <c r="J34" s="596"/>
      <c r="K34" s="597">
        <v>0.36</v>
      </c>
      <c r="L34" s="596"/>
      <c r="M34" s="596"/>
      <c r="N34" s="598">
        <v>0.45</v>
      </c>
      <c r="O34" s="599"/>
      <c r="P34" s="599"/>
      <c r="Q34" s="598">
        <v>0.45</v>
      </c>
      <c r="R34" s="599"/>
      <c r="S34" s="599"/>
      <c r="T34" s="598">
        <v>0.45</v>
      </c>
      <c r="U34" s="599"/>
      <c r="V34" s="599"/>
      <c r="W34" s="599"/>
      <c r="X34" s="599"/>
      <c r="Y34" s="599"/>
      <c r="Z34" s="600"/>
      <c r="AA34" s="600"/>
      <c r="AB34" s="600"/>
    </row>
    <row r="35">
      <c r="B35" s="601">
        <v>1.0</v>
      </c>
      <c r="C35" s="602" t="s">
        <v>236</v>
      </c>
      <c r="D35" s="631" t="s">
        <v>381</v>
      </c>
      <c r="E35" s="632"/>
      <c r="F35" s="633"/>
      <c r="G35" s="596"/>
      <c r="H35" s="597">
        <v>0.21</v>
      </c>
      <c r="I35" s="596"/>
      <c r="J35" s="596"/>
      <c r="K35" s="597">
        <v>0.21</v>
      </c>
      <c r="L35" s="596"/>
      <c r="M35" s="596"/>
      <c r="N35" s="598">
        <v>0.25</v>
      </c>
      <c r="O35" s="599"/>
      <c r="P35" s="599"/>
      <c r="Q35" s="598">
        <v>0.25</v>
      </c>
      <c r="R35" s="599"/>
      <c r="S35" s="599"/>
      <c r="T35" s="598">
        <v>0.25</v>
      </c>
      <c r="U35" s="599"/>
      <c r="V35" s="599"/>
      <c r="W35" s="599"/>
      <c r="X35" s="599"/>
      <c r="Y35" s="599"/>
      <c r="Z35" s="600"/>
      <c r="AA35" s="600"/>
      <c r="AB35" s="600"/>
    </row>
    <row r="36">
      <c r="B36" s="385"/>
      <c r="C36" s="385"/>
      <c r="D36" s="603" t="s">
        <v>382</v>
      </c>
      <c r="E36" s="603" t="s">
        <v>156</v>
      </c>
      <c r="F36" s="603" t="s">
        <v>238</v>
      </c>
      <c r="G36" s="605" t="s">
        <v>166</v>
      </c>
      <c r="H36" s="606">
        <v>0.07</v>
      </c>
      <c r="I36" s="605" t="s">
        <v>383</v>
      </c>
      <c r="J36" s="605"/>
      <c r="K36" s="606">
        <v>0.07</v>
      </c>
      <c r="L36" s="605" t="s">
        <v>237</v>
      </c>
      <c r="M36" s="605"/>
      <c r="N36" s="606">
        <v>0.05</v>
      </c>
      <c r="O36" s="605" t="s">
        <v>237</v>
      </c>
      <c r="P36" s="636">
        <v>0.0082</v>
      </c>
      <c r="Q36" s="606">
        <v>0.05</v>
      </c>
      <c r="R36" s="636">
        <v>0.005</v>
      </c>
      <c r="S36" s="636">
        <v>0.0045</v>
      </c>
      <c r="T36" s="606">
        <v>0.05</v>
      </c>
      <c r="U36" s="636">
        <v>0.005</v>
      </c>
      <c r="V36" s="636">
        <v>0.0128</v>
      </c>
      <c r="W36" s="606">
        <v>0.05</v>
      </c>
      <c r="X36" s="636">
        <v>0.005</v>
      </c>
      <c r="Y36" s="636">
        <v>0.0224</v>
      </c>
      <c r="Z36" s="606">
        <v>0.05</v>
      </c>
      <c r="AA36" s="636">
        <v>0.005</v>
      </c>
      <c r="AB36" s="636">
        <v>0.0178</v>
      </c>
    </row>
    <row r="37">
      <c r="B37" s="385"/>
      <c r="C37" s="385"/>
      <c r="D37" s="608" t="s">
        <v>384</v>
      </c>
      <c r="E37" s="609"/>
      <c r="F37" s="619"/>
      <c r="G37" s="620" t="s">
        <v>166</v>
      </c>
      <c r="H37" s="612">
        <v>0.07</v>
      </c>
      <c r="I37" s="620" t="s">
        <v>385</v>
      </c>
      <c r="J37" s="620"/>
      <c r="K37" s="612">
        <v>0.07</v>
      </c>
      <c r="L37" s="620" t="s">
        <v>385</v>
      </c>
      <c r="M37" s="620"/>
      <c r="N37" s="612">
        <v>0.05</v>
      </c>
      <c r="O37" s="620" t="s">
        <v>283</v>
      </c>
      <c r="P37" s="612">
        <v>0.91</v>
      </c>
      <c r="Q37" s="612">
        <v>0.05</v>
      </c>
      <c r="R37" s="620" t="s">
        <v>283</v>
      </c>
      <c r="S37" s="612">
        <v>0.94</v>
      </c>
      <c r="T37" s="612">
        <v>0.05</v>
      </c>
      <c r="U37" s="714">
        <v>0.98</v>
      </c>
      <c r="V37" s="714">
        <v>0.9265</v>
      </c>
      <c r="W37" s="613"/>
      <c r="X37" s="613"/>
      <c r="Y37" s="613"/>
      <c r="Z37" s="613"/>
      <c r="AA37" s="613"/>
      <c r="AB37" s="613"/>
    </row>
    <row r="38">
      <c r="B38" s="385"/>
      <c r="C38" s="385"/>
      <c r="D38" s="603" t="s">
        <v>133</v>
      </c>
      <c r="E38" s="702"/>
      <c r="F38" s="702" t="str">
        <f>+/-3 điểm/0.1% vượt/không đạt so với KH</f>
        <v>#ERROR!</v>
      </c>
      <c r="G38" s="624"/>
      <c r="H38" s="624"/>
      <c r="I38" s="624"/>
      <c r="J38" s="624"/>
      <c r="K38" s="624"/>
      <c r="L38" s="624"/>
      <c r="M38" s="624"/>
      <c r="N38" s="606">
        <v>0.1</v>
      </c>
      <c r="O38" s="606">
        <v>0.99</v>
      </c>
      <c r="P38" s="636">
        <v>0.9886</v>
      </c>
      <c r="Q38" s="606">
        <v>0.1</v>
      </c>
      <c r="R38" s="606">
        <v>0.99</v>
      </c>
      <c r="S38" s="636">
        <v>0.9884</v>
      </c>
      <c r="T38" s="606">
        <v>0.1</v>
      </c>
      <c r="U38" s="606">
        <v>0.99</v>
      </c>
      <c r="V38" s="636">
        <v>0.9882</v>
      </c>
      <c r="W38" s="606">
        <v>0.1</v>
      </c>
      <c r="X38" s="606">
        <v>0.99</v>
      </c>
      <c r="Y38" s="636">
        <v>0.9868</v>
      </c>
      <c r="Z38" s="606">
        <v>0.1</v>
      </c>
      <c r="AA38" s="606">
        <v>0.99</v>
      </c>
      <c r="AB38" s="606">
        <v>0.9873</v>
      </c>
    </row>
    <row r="39">
      <c r="B39" s="385"/>
      <c r="C39" s="385"/>
      <c r="D39" s="603" t="s">
        <v>135</v>
      </c>
      <c r="E39" s="603" t="s">
        <v>159</v>
      </c>
      <c r="F39" s="702" t="str">
        <f>+/- 0,5 điểm/0,1 phút giảm/tăng so KH</f>
        <v>#ERROR!</v>
      </c>
      <c r="G39" s="605" t="s">
        <v>168</v>
      </c>
      <c r="H39" s="606">
        <v>0.07</v>
      </c>
      <c r="I39" s="605">
        <v>3.0</v>
      </c>
      <c r="J39" s="605"/>
      <c r="K39" s="606">
        <v>0.07</v>
      </c>
      <c r="L39" s="605">
        <v>3.0</v>
      </c>
      <c r="M39" s="605"/>
      <c r="N39" s="606">
        <v>0.05</v>
      </c>
      <c r="O39" s="605">
        <v>3.0</v>
      </c>
      <c r="P39" s="605">
        <v>5.34</v>
      </c>
      <c r="Q39" s="606">
        <v>0.05</v>
      </c>
      <c r="R39" s="605">
        <v>3.0</v>
      </c>
      <c r="S39" s="605">
        <v>7.03</v>
      </c>
      <c r="T39" s="606">
        <v>0.05</v>
      </c>
      <c r="U39" s="605">
        <v>3.0</v>
      </c>
      <c r="V39" s="605">
        <v>9.67</v>
      </c>
      <c r="W39" s="606">
        <v>0.1</v>
      </c>
      <c r="X39" s="605">
        <v>3.0</v>
      </c>
      <c r="Y39" s="605">
        <v>4.64</v>
      </c>
      <c r="Z39" s="606">
        <v>0.1</v>
      </c>
      <c r="AA39" s="605">
        <v>3.0</v>
      </c>
      <c r="AB39" s="605">
        <v>5.97</v>
      </c>
    </row>
    <row r="40">
      <c r="B40" s="385"/>
      <c r="C40" s="385"/>
      <c r="D40" s="603" t="s">
        <v>239</v>
      </c>
      <c r="E40" s="603" t="s">
        <v>240</v>
      </c>
      <c r="F40" s="702" t="str">
        <f>+/-3 điểm/1% vượt/không đạt so với KH
 Điểm trừ tối đa 3 điểm(đã nhân với trọng số KPI)</f>
        <v>#ERROR!</v>
      </c>
      <c r="G40" s="624"/>
      <c r="H40" s="624"/>
      <c r="I40" s="624"/>
      <c r="J40" s="624"/>
      <c r="K40" s="624"/>
      <c r="L40" s="624"/>
      <c r="M40" s="624"/>
      <c r="N40" s="624"/>
      <c r="O40" s="624"/>
      <c r="P40" s="624"/>
      <c r="Q40" s="624"/>
      <c r="R40" s="624"/>
      <c r="S40" s="624"/>
      <c r="T40" s="624"/>
      <c r="U40" s="624"/>
      <c r="V40" s="624"/>
      <c r="W40" s="606">
        <v>0.05</v>
      </c>
      <c r="X40" s="606">
        <v>0.9</v>
      </c>
      <c r="Y40" s="636">
        <v>0.8501</v>
      </c>
      <c r="Z40" s="606">
        <v>0.05</v>
      </c>
      <c r="AA40" s="606">
        <v>0.9</v>
      </c>
      <c r="AB40" s="636">
        <v>0.9586</v>
      </c>
    </row>
    <row r="41">
      <c r="B41" s="385"/>
      <c r="C41" s="385"/>
      <c r="D41" s="608" t="s">
        <v>386</v>
      </c>
      <c r="E41" s="609"/>
      <c r="F41" s="609"/>
      <c r="G41" s="620" t="s">
        <v>166</v>
      </c>
      <c r="H41" s="612">
        <v>0.02</v>
      </c>
      <c r="I41" s="620" t="s">
        <v>387</v>
      </c>
      <c r="J41" s="620"/>
      <c r="K41" s="612">
        <v>0.02</v>
      </c>
      <c r="L41" s="620" t="s">
        <v>387</v>
      </c>
      <c r="M41" s="620"/>
      <c r="N41" s="613"/>
      <c r="O41" s="613"/>
      <c r="P41" s="613"/>
      <c r="Q41" s="613"/>
      <c r="R41" s="613"/>
      <c r="S41" s="613"/>
      <c r="T41" s="613"/>
      <c r="U41" s="613"/>
      <c r="V41" s="613"/>
      <c r="W41" s="613"/>
      <c r="X41" s="613"/>
      <c r="Y41" s="613"/>
      <c r="Z41" s="613"/>
      <c r="AA41" s="613"/>
      <c r="AB41" s="613"/>
    </row>
    <row r="42">
      <c r="B42" s="388"/>
      <c r="C42" s="388"/>
      <c r="D42" s="608" t="s">
        <v>388</v>
      </c>
      <c r="E42" s="609"/>
      <c r="F42" s="609"/>
      <c r="G42" s="620" t="s">
        <v>166</v>
      </c>
      <c r="H42" s="612">
        <v>0.05</v>
      </c>
      <c r="I42" s="620" t="s">
        <v>385</v>
      </c>
      <c r="J42" s="620"/>
      <c r="K42" s="612">
        <v>0.05</v>
      </c>
      <c r="L42" s="620" t="s">
        <v>385</v>
      </c>
      <c r="M42" s="620"/>
      <c r="N42" s="613"/>
      <c r="O42" s="613"/>
      <c r="P42" s="613"/>
      <c r="Q42" s="613"/>
      <c r="R42" s="613"/>
      <c r="S42" s="613"/>
      <c r="T42" s="613"/>
      <c r="U42" s="613"/>
      <c r="V42" s="613"/>
      <c r="W42" s="613"/>
      <c r="X42" s="613"/>
      <c r="Y42" s="613"/>
      <c r="Z42" s="613"/>
      <c r="AA42" s="613"/>
      <c r="AB42" s="613"/>
    </row>
    <row r="43">
      <c r="B43" s="622">
        <v>2.0</v>
      </c>
      <c r="C43" s="623" t="s">
        <v>242</v>
      </c>
      <c r="D43" s="603" t="s">
        <v>243</v>
      </c>
      <c r="E43" s="634"/>
      <c r="F43" s="634"/>
      <c r="G43" s="605" t="s">
        <v>166</v>
      </c>
      <c r="H43" s="606">
        <v>0.05</v>
      </c>
      <c r="I43" s="606">
        <v>1.0</v>
      </c>
      <c r="J43" s="606"/>
      <c r="K43" s="606">
        <v>0.05</v>
      </c>
      <c r="L43" s="606">
        <v>1.0</v>
      </c>
      <c r="M43" s="606"/>
      <c r="N43" s="606">
        <v>0.2</v>
      </c>
      <c r="O43" s="606">
        <v>1.0</v>
      </c>
      <c r="P43" s="606">
        <v>1.0</v>
      </c>
      <c r="Q43" s="606">
        <v>0.2</v>
      </c>
      <c r="R43" s="606">
        <v>1.0</v>
      </c>
      <c r="S43" s="606">
        <v>1.0</v>
      </c>
      <c r="T43" s="606">
        <v>0.2</v>
      </c>
      <c r="U43" s="606">
        <v>1.0</v>
      </c>
      <c r="V43" s="606">
        <v>1.0</v>
      </c>
      <c r="W43" s="606">
        <v>0.1</v>
      </c>
      <c r="X43" s="606">
        <v>1.0</v>
      </c>
      <c r="Y43" s="606">
        <v>1.0</v>
      </c>
      <c r="Z43" s="606">
        <v>0.05</v>
      </c>
      <c r="AA43" s="606">
        <v>1.0</v>
      </c>
      <c r="AB43" s="606">
        <v>1.0</v>
      </c>
    </row>
    <row r="44">
      <c r="B44" s="622">
        <v>3.0</v>
      </c>
      <c r="C44" s="623" t="s">
        <v>376</v>
      </c>
      <c r="D44" s="603" t="s">
        <v>377</v>
      </c>
      <c r="E44" s="634"/>
      <c r="F44" s="634"/>
      <c r="G44" s="624"/>
      <c r="H44" s="624"/>
      <c r="I44" s="624"/>
      <c r="J44" s="624"/>
      <c r="K44" s="624"/>
      <c r="L44" s="624"/>
      <c r="M44" s="624"/>
      <c r="N44" s="624"/>
      <c r="O44" s="624"/>
      <c r="P44" s="624"/>
      <c r="Q44" s="624"/>
      <c r="R44" s="624"/>
      <c r="S44" s="624"/>
      <c r="T44" s="624"/>
      <c r="U44" s="624"/>
      <c r="V44" s="624"/>
      <c r="W44" s="624"/>
      <c r="X44" s="624"/>
      <c r="Y44" s="624"/>
      <c r="Z44" s="606">
        <v>0.05</v>
      </c>
      <c r="AA44" s="606">
        <v>1.0</v>
      </c>
      <c r="AB44" s="606">
        <v>1.0</v>
      </c>
    </row>
    <row r="45">
      <c r="B45" s="622">
        <v>4.0</v>
      </c>
      <c r="C45" s="623" t="s">
        <v>249</v>
      </c>
      <c r="D45" s="715" t="s">
        <v>251</v>
      </c>
      <c r="E45" s="716"/>
      <c r="F45" s="716"/>
      <c r="G45" s="623" t="s">
        <v>166</v>
      </c>
      <c r="H45" s="717">
        <v>0.1</v>
      </c>
      <c r="I45" s="717">
        <v>1.0</v>
      </c>
      <c r="J45" s="717"/>
      <c r="K45" s="717">
        <v>0.1</v>
      </c>
      <c r="L45" s="717">
        <v>1.0</v>
      </c>
      <c r="M45" s="717"/>
      <c r="N45" s="717">
        <v>0.0</v>
      </c>
      <c r="O45" s="720"/>
      <c r="P45" s="720"/>
      <c r="Q45" s="717">
        <v>0.0</v>
      </c>
      <c r="R45" s="720"/>
      <c r="S45" s="720"/>
      <c r="T45" s="717">
        <v>0.0</v>
      </c>
      <c r="U45" s="720"/>
      <c r="V45" s="720"/>
      <c r="W45" s="717">
        <v>0.0</v>
      </c>
      <c r="X45" s="720"/>
      <c r="Y45" s="720"/>
      <c r="Z45" s="724">
        <v>0.0</v>
      </c>
      <c r="AA45" s="690"/>
      <c r="AB45" s="690"/>
    </row>
  </sheetData>
  <mergeCells count="26">
    <mergeCell ref="K6:M6"/>
    <mergeCell ref="N6:P6"/>
    <mergeCell ref="Q6:S6"/>
    <mergeCell ref="T6:V6"/>
    <mergeCell ref="W6:Y6"/>
    <mergeCell ref="Z6:AB6"/>
    <mergeCell ref="C6:C7"/>
    <mergeCell ref="D6:D7"/>
    <mergeCell ref="E6:E7"/>
    <mergeCell ref="F6:F7"/>
    <mergeCell ref="G6:G7"/>
    <mergeCell ref="H6:J6"/>
    <mergeCell ref="C8:D8"/>
    <mergeCell ref="B18:B28"/>
    <mergeCell ref="B29:B33"/>
    <mergeCell ref="B35:B42"/>
    <mergeCell ref="C29:C33"/>
    <mergeCell ref="C34:D34"/>
    <mergeCell ref="C35:C42"/>
    <mergeCell ref="B6:B7"/>
    <mergeCell ref="B9:B12"/>
    <mergeCell ref="C9:C12"/>
    <mergeCell ref="B14:B16"/>
    <mergeCell ref="C14:C16"/>
    <mergeCell ref="C17:D17"/>
    <mergeCell ref="C18:C2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6.75"/>
    <col customWidth="1" min="2" max="2" width="17.0"/>
    <col customWidth="1" min="5" max="5" width="18.38"/>
  </cols>
  <sheetData>
    <row r="1">
      <c r="G1" s="205" t="s">
        <v>340</v>
      </c>
    </row>
    <row r="2">
      <c r="G2" s="205" t="s">
        <v>342</v>
      </c>
    </row>
    <row r="3">
      <c r="G3" s="205" t="s">
        <v>343</v>
      </c>
      <c r="H3" s="618" t="s">
        <v>344</v>
      </c>
    </row>
    <row r="4">
      <c r="H4" s="621" t="s">
        <v>346</v>
      </c>
    </row>
    <row r="10">
      <c r="A10" s="626"/>
      <c r="B10" s="627" t="s">
        <v>347</v>
      </c>
      <c r="C10" s="628" t="s">
        <v>330</v>
      </c>
      <c r="D10" s="629"/>
      <c r="E10" s="630"/>
      <c r="F10" s="628" t="s">
        <v>331</v>
      </c>
      <c r="G10" s="629"/>
      <c r="H10" s="630"/>
      <c r="I10" s="628" t="s">
        <v>332</v>
      </c>
      <c r="J10" s="629"/>
      <c r="K10" s="630"/>
      <c r="L10" s="628" t="s">
        <v>333</v>
      </c>
      <c r="M10" s="629"/>
      <c r="N10" s="630"/>
      <c r="O10" s="628" t="s">
        <v>334</v>
      </c>
      <c r="P10" s="629"/>
      <c r="Q10" s="630"/>
      <c r="R10" s="628" t="s">
        <v>335</v>
      </c>
      <c r="S10" s="629"/>
      <c r="T10" s="630"/>
      <c r="U10" s="628" t="s">
        <v>336</v>
      </c>
      <c r="V10" s="629"/>
      <c r="W10" s="630"/>
      <c r="X10" s="628" t="s">
        <v>348</v>
      </c>
      <c r="Y10" s="629"/>
      <c r="Z10" s="630"/>
      <c r="AA10" s="628" t="s">
        <v>349</v>
      </c>
      <c r="AB10" s="629"/>
      <c r="AC10" s="630"/>
      <c r="AD10" s="628" t="s">
        <v>350</v>
      </c>
      <c r="AE10" s="629"/>
      <c r="AF10" s="630"/>
      <c r="AG10" s="628" t="s">
        <v>351</v>
      </c>
      <c r="AH10" s="629"/>
      <c r="AI10" s="630"/>
      <c r="AJ10" s="628" t="s">
        <v>352</v>
      </c>
      <c r="AK10" s="629"/>
      <c r="AL10" s="630"/>
      <c r="AM10" s="635"/>
      <c r="AN10" s="635"/>
      <c r="AO10" s="635"/>
      <c r="AP10" s="635"/>
      <c r="AQ10" s="635"/>
      <c r="AR10" s="635"/>
      <c r="AS10" s="635"/>
      <c r="AT10" s="635"/>
      <c r="AU10" s="635"/>
      <c r="AV10" s="635"/>
      <c r="AW10" s="635"/>
      <c r="AX10" s="635"/>
      <c r="AY10" s="635"/>
      <c r="AZ10" s="635"/>
      <c r="BA10" s="635"/>
      <c r="BB10" s="635"/>
      <c r="BC10" s="635"/>
      <c r="BD10" s="635"/>
      <c r="BE10" s="635"/>
      <c r="BF10" s="635"/>
      <c r="BG10" s="635"/>
      <c r="BH10" s="635"/>
      <c r="BI10" s="635"/>
      <c r="BJ10" s="635"/>
      <c r="BK10" s="635"/>
      <c r="BL10" s="635"/>
      <c r="BM10" s="635"/>
      <c r="BN10" s="635"/>
      <c r="BO10" s="635"/>
      <c r="BP10" s="635"/>
      <c r="BQ10" s="635"/>
      <c r="BR10" s="635"/>
      <c r="BS10" s="635"/>
      <c r="BT10" s="635"/>
      <c r="BU10" s="635"/>
      <c r="BV10" s="635"/>
      <c r="BW10" s="635"/>
      <c r="BX10" s="635"/>
      <c r="BY10" s="635"/>
      <c r="BZ10" s="635"/>
      <c r="CA10" s="635"/>
      <c r="CB10" s="635"/>
      <c r="CC10" s="635"/>
      <c r="CD10" s="635"/>
      <c r="CE10" s="635"/>
      <c r="CF10" s="635"/>
      <c r="CG10" s="635"/>
      <c r="CH10" s="635"/>
      <c r="CI10" s="635"/>
      <c r="CJ10" s="635"/>
      <c r="CK10" s="635"/>
      <c r="CL10" s="635"/>
      <c r="CM10" s="635"/>
      <c r="CN10" s="635"/>
      <c r="CO10" s="635"/>
      <c r="CP10" s="635"/>
      <c r="CQ10" s="635"/>
      <c r="CR10" s="635"/>
      <c r="CS10" s="635"/>
      <c r="CT10" s="635"/>
      <c r="CU10" s="635"/>
      <c r="CV10" s="635"/>
      <c r="CW10" s="635"/>
      <c r="CX10" s="635"/>
      <c r="CY10" s="635"/>
      <c r="CZ10" s="635"/>
      <c r="DA10" s="635"/>
      <c r="DB10" s="635"/>
      <c r="DC10" s="635"/>
      <c r="DD10" s="635"/>
      <c r="DE10" s="635"/>
      <c r="DF10" s="635"/>
      <c r="DG10" s="635"/>
      <c r="DH10" s="635"/>
      <c r="DI10" s="635"/>
      <c r="DJ10" s="635"/>
      <c r="DK10" s="635"/>
      <c r="DL10" s="635"/>
      <c r="DM10" s="635"/>
      <c r="DN10" s="635"/>
      <c r="DO10" s="635"/>
      <c r="DP10" s="635"/>
      <c r="DQ10" s="635"/>
      <c r="DR10" s="635"/>
      <c r="DS10" s="635"/>
      <c r="DT10" s="635"/>
      <c r="DU10" s="635"/>
      <c r="DV10" s="635"/>
      <c r="DW10" s="635"/>
      <c r="DX10" s="635"/>
      <c r="DY10" s="635"/>
      <c r="DZ10" s="635"/>
      <c r="EA10" s="635"/>
      <c r="EB10" s="635"/>
      <c r="EC10" s="635"/>
      <c r="ED10" s="635"/>
      <c r="EE10" s="635"/>
      <c r="EF10" s="635"/>
      <c r="EG10" s="635"/>
      <c r="EH10" s="635"/>
      <c r="EI10" s="635"/>
      <c r="EJ10" s="635"/>
      <c r="EK10" s="635"/>
      <c r="EL10" s="635"/>
      <c r="EM10" s="635"/>
      <c r="EN10" s="635"/>
      <c r="EO10" s="635"/>
      <c r="EP10" s="635"/>
      <c r="EQ10" s="635"/>
      <c r="ER10" s="635"/>
      <c r="ES10" s="635"/>
      <c r="ET10" s="635"/>
      <c r="EU10" s="635"/>
      <c r="EV10" s="635"/>
      <c r="EW10" s="635"/>
      <c r="EX10" s="635"/>
      <c r="EY10" s="635"/>
      <c r="EZ10" s="635"/>
      <c r="FA10" s="635"/>
      <c r="FB10" s="635"/>
      <c r="FC10" s="635"/>
      <c r="FD10" s="635"/>
      <c r="FE10" s="635"/>
      <c r="FF10" s="635"/>
      <c r="FG10" s="635"/>
      <c r="FH10" s="635"/>
      <c r="FI10" s="635"/>
      <c r="FJ10" s="635"/>
      <c r="FK10" s="635"/>
      <c r="FL10" s="635"/>
      <c r="FM10" s="635"/>
      <c r="FN10" s="635"/>
      <c r="FO10" s="635"/>
      <c r="FP10" s="635"/>
      <c r="FQ10" s="635"/>
      <c r="FR10" s="635"/>
      <c r="FS10" s="635"/>
      <c r="FT10" s="635"/>
      <c r="FU10" s="635"/>
      <c r="FV10" s="635"/>
      <c r="FW10" s="635"/>
      <c r="FX10" s="635"/>
      <c r="FY10" s="635"/>
      <c r="FZ10" s="635"/>
      <c r="GA10" s="635"/>
      <c r="GB10" s="635"/>
      <c r="GC10" s="635"/>
      <c r="GD10" s="635"/>
      <c r="GE10" s="635"/>
      <c r="GF10" s="635"/>
      <c r="GG10" s="635"/>
      <c r="GH10" s="635"/>
      <c r="GI10" s="635"/>
      <c r="GJ10" s="635"/>
      <c r="GK10" s="635"/>
      <c r="GL10" s="635"/>
      <c r="GM10" s="635"/>
      <c r="GN10" s="635"/>
      <c r="GO10" s="635"/>
      <c r="GP10" s="635"/>
      <c r="GQ10" s="635"/>
      <c r="GR10" s="635"/>
      <c r="GS10" s="635"/>
      <c r="GT10" s="635"/>
      <c r="GU10" s="635"/>
      <c r="GV10" s="635"/>
      <c r="GW10" s="635"/>
      <c r="GX10" s="635"/>
      <c r="GY10" s="635"/>
      <c r="GZ10" s="635"/>
      <c r="HA10" s="635"/>
      <c r="HB10" s="635"/>
      <c r="HC10" s="635"/>
      <c r="HD10" s="635"/>
      <c r="HE10" s="635"/>
      <c r="HF10" s="635"/>
      <c r="HG10" s="635"/>
      <c r="HH10" s="635"/>
      <c r="HI10" s="635"/>
      <c r="HJ10" s="635"/>
      <c r="HK10" s="635"/>
      <c r="HL10" s="635"/>
      <c r="HM10" s="635"/>
      <c r="HN10" s="635"/>
      <c r="HO10" s="635"/>
      <c r="HP10" s="635"/>
      <c r="HQ10" s="635"/>
      <c r="HR10" s="635"/>
      <c r="HS10" s="635"/>
      <c r="HT10" s="635"/>
      <c r="HU10" s="635"/>
      <c r="HV10" s="635"/>
      <c r="HW10" s="635"/>
      <c r="HX10" s="635"/>
      <c r="HY10" s="635"/>
      <c r="HZ10" s="635"/>
      <c r="IA10" s="635"/>
      <c r="IB10" s="635"/>
      <c r="IC10" s="635"/>
      <c r="ID10" s="635"/>
      <c r="IE10" s="635"/>
      <c r="IF10" s="635"/>
      <c r="IG10" s="635"/>
      <c r="IH10" s="635"/>
      <c r="II10" s="635"/>
      <c r="IJ10" s="635"/>
      <c r="IK10" s="635"/>
      <c r="IL10" s="635"/>
      <c r="IM10" s="635"/>
      <c r="IN10" s="635"/>
      <c r="IO10" s="635"/>
      <c r="IP10" s="635"/>
      <c r="IQ10" s="635"/>
      <c r="IR10" s="635"/>
      <c r="IS10" s="635"/>
      <c r="IT10" s="635"/>
      <c r="IU10" s="635"/>
      <c r="IV10" s="635"/>
      <c r="IW10" s="635"/>
      <c r="IX10" s="635"/>
      <c r="IY10" s="635"/>
      <c r="IZ10" s="635"/>
      <c r="JA10" s="635"/>
      <c r="JB10" s="635"/>
      <c r="JC10" s="635"/>
      <c r="JD10" s="635"/>
      <c r="JE10" s="635"/>
      <c r="JF10" s="635"/>
      <c r="JG10" s="635"/>
      <c r="JH10" s="635"/>
      <c r="JI10" s="635"/>
      <c r="JJ10" s="635"/>
      <c r="JK10" s="635"/>
      <c r="JL10" s="635"/>
      <c r="JM10" s="635"/>
      <c r="JN10" s="635"/>
      <c r="JO10" s="635"/>
      <c r="JP10" s="635"/>
      <c r="JQ10" s="635"/>
      <c r="JR10" s="635"/>
      <c r="JS10" s="635"/>
      <c r="JT10" s="635"/>
      <c r="JU10" s="635"/>
      <c r="JV10" s="635"/>
      <c r="JW10" s="635"/>
      <c r="JX10" s="635"/>
      <c r="JY10" s="635"/>
      <c r="JZ10" s="635"/>
      <c r="KA10" s="635"/>
      <c r="KB10" s="635"/>
      <c r="KC10" s="635"/>
      <c r="KD10" s="635"/>
      <c r="KE10" s="635"/>
      <c r="KF10" s="635"/>
      <c r="KG10" s="635"/>
      <c r="KH10" s="635"/>
      <c r="KI10" s="635"/>
      <c r="KJ10" s="635"/>
      <c r="KK10" s="635"/>
      <c r="KL10" s="635"/>
      <c r="KM10" s="635"/>
      <c r="KN10" s="635"/>
      <c r="KO10" s="635"/>
      <c r="KP10" s="635"/>
      <c r="KQ10" s="635"/>
      <c r="KR10" s="635"/>
      <c r="KS10" s="635"/>
      <c r="KT10" s="635"/>
      <c r="KU10" s="635"/>
      <c r="KV10" s="635"/>
      <c r="KW10" s="635"/>
      <c r="KX10" s="635"/>
      <c r="KY10" s="635"/>
      <c r="KZ10" s="635"/>
      <c r="LA10" s="635"/>
      <c r="LB10" s="635"/>
      <c r="LC10" s="635"/>
      <c r="LD10" s="635"/>
      <c r="LE10" s="635"/>
      <c r="LF10" s="635"/>
      <c r="LG10" s="635"/>
      <c r="LH10" s="635"/>
      <c r="LI10" s="635"/>
      <c r="LJ10" s="635"/>
      <c r="LK10" s="635"/>
      <c r="LL10" s="635"/>
      <c r="LM10" s="635"/>
      <c r="LN10" s="635"/>
      <c r="LO10" s="635"/>
      <c r="LP10" s="635"/>
      <c r="LQ10" s="635"/>
      <c r="LR10" s="635"/>
      <c r="LS10" s="635"/>
      <c r="LT10" s="635"/>
      <c r="LU10" s="635"/>
      <c r="LV10" s="635"/>
      <c r="LW10" s="635"/>
      <c r="LX10" s="635"/>
      <c r="LY10" s="635"/>
      <c r="LZ10" s="635"/>
      <c r="MA10" s="635"/>
      <c r="MB10" s="635"/>
      <c r="MC10" s="635"/>
      <c r="MD10" s="635"/>
      <c r="ME10" s="635"/>
      <c r="MF10" s="635"/>
      <c r="MG10" s="635"/>
      <c r="MH10" s="635"/>
      <c r="MI10" s="635"/>
      <c r="MJ10" s="635"/>
      <c r="MK10" s="635"/>
      <c r="ML10" s="635"/>
      <c r="MM10" s="635"/>
      <c r="MN10" s="635"/>
      <c r="MO10" s="635"/>
      <c r="MP10" s="635"/>
      <c r="MQ10" s="635"/>
      <c r="MR10" s="635"/>
      <c r="MS10" s="635"/>
      <c r="MT10" s="635"/>
      <c r="MU10" s="635"/>
      <c r="MV10" s="635"/>
      <c r="MW10" s="635"/>
      <c r="MX10" s="635"/>
      <c r="MY10" s="635"/>
      <c r="MZ10" s="635"/>
      <c r="NA10" s="635"/>
      <c r="NB10" s="635"/>
      <c r="NC10" s="635"/>
      <c r="ND10" s="635"/>
      <c r="NE10" s="635"/>
      <c r="NF10" s="635"/>
      <c r="NG10" s="635"/>
      <c r="NH10" s="635"/>
      <c r="NI10" s="635"/>
      <c r="NJ10" s="635"/>
      <c r="NK10" s="635"/>
      <c r="NL10" s="635"/>
      <c r="NM10" s="635"/>
      <c r="NN10" s="635"/>
      <c r="NO10" s="635"/>
      <c r="NP10" s="635"/>
      <c r="NQ10" s="635"/>
      <c r="NR10" s="635"/>
      <c r="NS10" s="635"/>
      <c r="NT10" s="635"/>
      <c r="NU10" s="635"/>
      <c r="NV10" s="635"/>
      <c r="NW10" s="635"/>
      <c r="NX10" s="635"/>
      <c r="NY10" s="635"/>
      <c r="NZ10" s="635"/>
      <c r="OA10" s="635"/>
      <c r="OB10" s="635"/>
      <c r="OC10" s="635"/>
      <c r="OD10" s="635"/>
      <c r="OE10" s="635"/>
      <c r="OF10" s="635"/>
      <c r="OG10" s="635"/>
      <c r="OH10" s="635"/>
      <c r="OI10" s="635"/>
      <c r="OJ10" s="635"/>
      <c r="OK10" s="635"/>
      <c r="OL10" s="635"/>
      <c r="OM10" s="635"/>
      <c r="ON10" s="635"/>
      <c r="OO10" s="635"/>
      <c r="OP10" s="635"/>
      <c r="OQ10" s="635"/>
      <c r="OR10" s="635"/>
      <c r="OS10" s="635"/>
      <c r="OT10" s="635"/>
      <c r="OU10" s="635"/>
    </row>
    <row r="11">
      <c r="A11" s="642" t="s">
        <v>28</v>
      </c>
      <c r="B11" s="643" t="s">
        <v>358</v>
      </c>
      <c r="C11" s="644" t="s">
        <v>359</v>
      </c>
      <c r="D11" s="645" t="s">
        <v>360</v>
      </c>
      <c r="E11" s="646" t="s">
        <v>361</v>
      </c>
      <c r="F11" s="644" t="s">
        <v>359</v>
      </c>
      <c r="G11" s="645" t="s">
        <v>360</v>
      </c>
      <c r="H11" s="646" t="s">
        <v>361</v>
      </c>
      <c r="I11" s="644" t="s">
        <v>359</v>
      </c>
      <c r="J11" s="645" t="s">
        <v>360</v>
      </c>
      <c r="K11" s="646" t="s">
        <v>361</v>
      </c>
      <c r="L11" s="644" t="s">
        <v>359</v>
      </c>
      <c r="M11" s="645" t="s">
        <v>360</v>
      </c>
      <c r="N11" s="646" t="s">
        <v>361</v>
      </c>
      <c r="O11" s="644" t="s">
        <v>359</v>
      </c>
      <c r="P11" s="645" t="s">
        <v>360</v>
      </c>
      <c r="Q11" s="646" t="s">
        <v>361</v>
      </c>
      <c r="R11" s="644" t="s">
        <v>359</v>
      </c>
      <c r="S11" s="645" t="s">
        <v>360</v>
      </c>
      <c r="T11" s="646" t="s">
        <v>361</v>
      </c>
      <c r="U11" s="644" t="s">
        <v>359</v>
      </c>
      <c r="V11" s="645" t="s">
        <v>360</v>
      </c>
      <c r="W11" s="646" t="s">
        <v>361</v>
      </c>
      <c r="X11" s="644" t="s">
        <v>359</v>
      </c>
      <c r="Y11" s="645" t="s">
        <v>360</v>
      </c>
      <c r="Z11" s="646" t="s">
        <v>361</v>
      </c>
      <c r="AA11" s="644" t="s">
        <v>359</v>
      </c>
      <c r="AB11" s="645" t="s">
        <v>360</v>
      </c>
      <c r="AC11" s="646" t="s">
        <v>361</v>
      </c>
      <c r="AD11" s="644" t="s">
        <v>359</v>
      </c>
      <c r="AE11" s="645" t="s">
        <v>360</v>
      </c>
      <c r="AF11" s="646" t="s">
        <v>361</v>
      </c>
      <c r="AG11" s="644" t="s">
        <v>359</v>
      </c>
      <c r="AH11" s="645" t="s">
        <v>360</v>
      </c>
      <c r="AI11" s="646" t="s">
        <v>361</v>
      </c>
      <c r="AJ11" s="644" t="s">
        <v>359</v>
      </c>
      <c r="AK11" s="645" t="s">
        <v>360</v>
      </c>
      <c r="AL11" s="646" t="s">
        <v>361</v>
      </c>
      <c r="AM11" s="356"/>
      <c r="AN11" s="356"/>
      <c r="AO11" s="356"/>
      <c r="AP11" s="356"/>
      <c r="AQ11" s="356"/>
      <c r="AR11" s="356"/>
      <c r="AS11" s="356"/>
      <c r="AT11" s="356"/>
      <c r="AU11" s="356"/>
      <c r="AV11" s="356"/>
      <c r="AW11" s="356"/>
      <c r="AX11" s="356"/>
      <c r="AY11" s="356"/>
      <c r="AZ11" s="356"/>
      <c r="BA11" s="356"/>
      <c r="BB11" s="356"/>
      <c r="BC11" s="356"/>
      <c r="BD11" s="356"/>
      <c r="BE11" s="356"/>
      <c r="BF11" s="356"/>
      <c r="BG11" s="356"/>
      <c r="BH11" s="356"/>
      <c r="BI11" s="356"/>
      <c r="BJ11" s="356"/>
      <c r="BK11" s="356"/>
      <c r="BL11" s="356"/>
      <c r="BM11" s="356"/>
      <c r="BN11" s="356"/>
      <c r="BO11" s="356"/>
      <c r="BP11" s="356"/>
      <c r="BQ11" s="356"/>
      <c r="BR11" s="356"/>
      <c r="BS11" s="356"/>
      <c r="BT11" s="356"/>
      <c r="BU11" s="356"/>
      <c r="BV11" s="356"/>
      <c r="BW11" s="356"/>
      <c r="BX11" s="356"/>
      <c r="BY11" s="356"/>
      <c r="BZ11" s="356"/>
      <c r="CA11" s="356"/>
      <c r="CB11" s="356"/>
      <c r="CC11" s="356"/>
      <c r="CD11" s="356"/>
      <c r="CE11" s="356"/>
      <c r="CF11" s="356"/>
      <c r="CG11" s="356"/>
      <c r="CH11" s="356"/>
      <c r="CI11" s="356"/>
      <c r="CJ11" s="356"/>
      <c r="CK11" s="356"/>
      <c r="CL11" s="356"/>
      <c r="CM11" s="356"/>
      <c r="CN11" s="356"/>
      <c r="CO11" s="356"/>
      <c r="CP11" s="356"/>
      <c r="CQ11" s="356"/>
      <c r="CR11" s="356"/>
      <c r="CS11" s="356"/>
      <c r="CT11" s="356"/>
      <c r="CU11" s="356"/>
      <c r="CV11" s="356"/>
      <c r="CW11" s="356"/>
      <c r="CX11" s="356"/>
      <c r="CY11" s="356"/>
      <c r="CZ11" s="356"/>
      <c r="DA11" s="356"/>
      <c r="DB11" s="356"/>
      <c r="DC11" s="356"/>
      <c r="DD11" s="356"/>
      <c r="DE11" s="356"/>
      <c r="DF11" s="356"/>
      <c r="DG11" s="356"/>
      <c r="DH11" s="356"/>
      <c r="DI11" s="356"/>
      <c r="DJ11" s="356"/>
      <c r="DK11" s="356"/>
      <c r="DL11" s="356"/>
      <c r="DM11" s="356"/>
      <c r="DN11" s="356"/>
      <c r="DO11" s="356"/>
      <c r="DP11" s="356"/>
      <c r="DQ11" s="356"/>
      <c r="DR11" s="356"/>
      <c r="DS11" s="356"/>
      <c r="DT11" s="356"/>
      <c r="DU11" s="356"/>
      <c r="DV11" s="356"/>
      <c r="DW11" s="356"/>
      <c r="DX11" s="356"/>
      <c r="DY11" s="356"/>
      <c r="DZ11" s="356"/>
      <c r="EA11" s="356"/>
      <c r="EB11" s="356"/>
      <c r="EC11" s="356"/>
      <c r="ED11" s="356"/>
      <c r="EE11" s="356"/>
      <c r="EF11" s="356"/>
      <c r="EG11" s="356"/>
      <c r="EH11" s="356"/>
      <c r="EI11" s="356"/>
      <c r="EJ11" s="356"/>
      <c r="EK11" s="356"/>
      <c r="EL11" s="356"/>
      <c r="EM11" s="356"/>
      <c r="EN11" s="356"/>
      <c r="EO11" s="356"/>
      <c r="EP11" s="356"/>
      <c r="EQ11" s="356"/>
      <c r="ER11" s="356"/>
      <c r="ES11" s="356"/>
      <c r="ET11" s="356"/>
      <c r="EU11" s="356"/>
      <c r="EV11" s="356"/>
      <c r="EW11" s="356"/>
      <c r="EX11" s="356"/>
      <c r="EY11" s="356"/>
      <c r="EZ11" s="356"/>
      <c r="FA11" s="356"/>
      <c r="FB11" s="356"/>
      <c r="FC11" s="356"/>
      <c r="FD11" s="356"/>
      <c r="FE11" s="356"/>
      <c r="FF11" s="356"/>
      <c r="FG11" s="356"/>
      <c r="FH11" s="356"/>
      <c r="FI11" s="356"/>
      <c r="FJ11" s="356"/>
      <c r="FK11" s="356"/>
      <c r="FL11" s="356"/>
      <c r="FM11" s="356"/>
      <c r="FN11" s="356"/>
      <c r="FO11" s="356"/>
      <c r="FP11" s="356"/>
      <c r="FQ11" s="356"/>
      <c r="FR11" s="356"/>
      <c r="FS11" s="356"/>
      <c r="FT11" s="356"/>
      <c r="FU11" s="356"/>
      <c r="FV11" s="356"/>
      <c r="FW11" s="356"/>
      <c r="FX11" s="356"/>
      <c r="FY11" s="356"/>
      <c r="FZ11" s="356"/>
      <c r="GA11" s="356"/>
      <c r="GB11" s="356"/>
      <c r="GC11" s="356"/>
      <c r="GD11" s="356"/>
      <c r="GE11" s="356"/>
      <c r="GF11" s="356"/>
      <c r="GG11" s="356"/>
      <c r="GH11" s="356"/>
      <c r="GI11" s="356"/>
      <c r="GJ11" s="356"/>
      <c r="GK11" s="356"/>
      <c r="GL11" s="356"/>
      <c r="GM11" s="356"/>
      <c r="GN11" s="356"/>
      <c r="GO11" s="356"/>
      <c r="GP11" s="356"/>
      <c r="GQ11" s="356"/>
      <c r="GR11" s="356"/>
      <c r="GS11" s="356"/>
      <c r="GT11" s="356"/>
      <c r="GU11" s="356"/>
      <c r="GV11" s="356"/>
      <c r="GW11" s="356"/>
      <c r="GX11" s="356"/>
      <c r="GY11" s="356"/>
      <c r="GZ11" s="356"/>
      <c r="HA11" s="356"/>
      <c r="HB11" s="356"/>
      <c r="HC11" s="356"/>
      <c r="HD11" s="356"/>
      <c r="HE11" s="356"/>
      <c r="HF11" s="356"/>
      <c r="HG11" s="356"/>
      <c r="HH11" s="356"/>
      <c r="HI11" s="356"/>
      <c r="HJ11" s="356"/>
      <c r="HK11" s="356"/>
      <c r="HL11" s="356"/>
      <c r="HM11" s="356"/>
      <c r="HN11" s="356"/>
      <c r="HO11" s="356"/>
      <c r="HP11" s="356"/>
      <c r="HQ11" s="356"/>
      <c r="HR11" s="356"/>
      <c r="HS11" s="356"/>
      <c r="HT11" s="356"/>
      <c r="HU11" s="356"/>
      <c r="HV11" s="356"/>
      <c r="HW11" s="356"/>
      <c r="HX11" s="356"/>
      <c r="HY11" s="356"/>
      <c r="HZ11" s="356"/>
      <c r="IA11" s="356"/>
      <c r="IB11" s="356"/>
      <c r="IC11" s="356"/>
      <c r="ID11" s="356"/>
      <c r="IE11" s="356"/>
      <c r="IF11" s="356"/>
      <c r="IG11" s="356"/>
      <c r="IH11" s="356"/>
      <c r="II11" s="356"/>
      <c r="IJ11" s="356"/>
      <c r="IK11" s="356"/>
      <c r="IL11" s="356"/>
      <c r="IM11" s="356"/>
      <c r="IN11" s="356"/>
      <c r="IO11" s="356"/>
      <c r="IP11" s="356"/>
      <c r="IQ11" s="356"/>
      <c r="IR11" s="356"/>
      <c r="IS11" s="356"/>
      <c r="IT11" s="356"/>
      <c r="IU11" s="356"/>
      <c r="IV11" s="356"/>
      <c r="IW11" s="356"/>
      <c r="IX11" s="356"/>
      <c r="IY11" s="356"/>
      <c r="IZ11" s="356"/>
      <c r="JA11" s="356"/>
      <c r="JB11" s="356"/>
      <c r="JC11" s="356"/>
      <c r="JD11" s="356"/>
      <c r="JE11" s="356"/>
      <c r="JF11" s="356"/>
      <c r="JG11" s="356"/>
      <c r="JH11" s="356"/>
      <c r="JI11" s="356"/>
      <c r="JJ11" s="356"/>
      <c r="JK11" s="356"/>
      <c r="JL11" s="356"/>
      <c r="JM11" s="356"/>
      <c r="JN11" s="356"/>
      <c r="JO11" s="356"/>
      <c r="JP11" s="356"/>
      <c r="JQ11" s="356"/>
      <c r="JR11" s="356"/>
      <c r="JS11" s="356"/>
      <c r="JT11" s="356"/>
      <c r="JU11" s="356"/>
      <c r="JV11" s="356"/>
      <c r="JW11" s="356"/>
      <c r="JX11" s="356"/>
      <c r="JY11" s="356"/>
      <c r="JZ11" s="356"/>
      <c r="KA11" s="356"/>
      <c r="KB11" s="356"/>
      <c r="KC11" s="356"/>
      <c r="KD11" s="356"/>
      <c r="KE11" s="356"/>
      <c r="KF11" s="356"/>
      <c r="KG11" s="356"/>
      <c r="KH11" s="356"/>
      <c r="KI11" s="356"/>
      <c r="KJ11" s="356"/>
      <c r="KK11" s="356"/>
      <c r="KL11" s="356"/>
      <c r="KM11" s="356"/>
      <c r="KN11" s="356"/>
      <c r="KO11" s="356"/>
      <c r="KP11" s="356"/>
      <c r="KQ11" s="356"/>
      <c r="KR11" s="356"/>
      <c r="KS11" s="356"/>
      <c r="KT11" s="356"/>
      <c r="KU11" s="356"/>
      <c r="KV11" s="356"/>
      <c r="KW11" s="356"/>
      <c r="KX11" s="356"/>
      <c r="KY11" s="356"/>
      <c r="KZ11" s="356"/>
      <c r="LA11" s="356"/>
      <c r="LB11" s="356"/>
      <c r="LC11" s="356"/>
      <c r="LD11" s="356"/>
      <c r="LE11" s="356"/>
      <c r="LF11" s="356"/>
      <c r="LG11" s="356"/>
      <c r="LH11" s="356"/>
      <c r="LI11" s="356"/>
      <c r="LJ11" s="356"/>
      <c r="LK11" s="356"/>
      <c r="LL11" s="356"/>
      <c r="LM11" s="356"/>
      <c r="LN11" s="356"/>
      <c r="LO11" s="356"/>
      <c r="LP11" s="356"/>
      <c r="LQ11" s="356"/>
      <c r="LR11" s="356"/>
      <c r="LS11" s="356"/>
      <c r="LT11" s="356"/>
      <c r="LU11" s="356"/>
      <c r="LV11" s="356"/>
      <c r="LW11" s="356"/>
      <c r="LX11" s="356"/>
      <c r="LY11" s="356"/>
      <c r="LZ11" s="356"/>
      <c r="MA11" s="356"/>
      <c r="MB11" s="356"/>
      <c r="MC11" s="356"/>
      <c r="MD11" s="356"/>
      <c r="ME11" s="356"/>
      <c r="MF11" s="356"/>
      <c r="MG11" s="356"/>
      <c r="MH11" s="356"/>
      <c r="MI11" s="356"/>
      <c r="MJ11" s="356"/>
      <c r="MK11" s="356"/>
      <c r="ML11" s="356"/>
      <c r="MM11" s="356"/>
      <c r="MN11" s="356"/>
      <c r="MO11" s="356"/>
      <c r="MP11" s="356"/>
      <c r="MQ11" s="356"/>
      <c r="MR11" s="356"/>
      <c r="MS11" s="356"/>
      <c r="MT11" s="356"/>
      <c r="MU11" s="356"/>
      <c r="MV11" s="356"/>
      <c r="MW11" s="356"/>
      <c r="MX11" s="356"/>
      <c r="MY11" s="356"/>
      <c r="MZ11" s="356"/>
      <c r="NA11" s="356"/>
      <c r="NB11" s="356"/>
      <c r="NC11" s="356"/>
      <c r="ND11" s="356"/>
      <c r="NE11" s="356"/>
      <c r="NF11" s="356"/>
      <c r="NG11" s="356"/>
      <c r="NH11" s="356"/>
      <c r="NI11" s="356"/>
      <c r="NJ11" s="356"/>
      <c r="NK11" s="356"/>
      <c r="NL11" s="356"/>
      <c r="NM11" s="356"/>
      <c r="NN11" s="356"/>
      <c r="NO11" s="356"/>
      <c r="NP11" s="356"/>
      <c r="NQ11" s="356"/>
      <c r="NR11" s="356"/>
      <c r="NS11" s="356"/>
      <c r="NT11" s="356"/>
      <c r="NU11" s="356"/>
      <c r="NV11" s="356"/>
      <c r="NW11" s="356"/>
      <c r="NX11" s="356"/>
      <c r="NY11" s="356"/>
      <c r="NZ11" s="356"/>
      <c r="OA11" s="356"/>
      <c r="OB11" s="356"/>
      <c r="OC11" s="356"/>
      <c r="OD11" s="356"/>
      <c r="OE11" s="356"/>
      <c r="OF11" s="356"/>
      <c r="OG11" s="356"/>
      <c r="OH11" s="356"/>
      <c r="OI11" s="356"/>
      <c r="OJ11" s="356"/>
      <c r="OK11" s="356"/>
      <c r="OL11" s="356"/>
      <c r="OM11" s="356"/>
      <c r="ON11" s="356"/>
      <c r="OO11" s="356"/>
      <c r="OP11" s="356"/>
      <c r="OQ11" s="356"/>
      <c r="OR11" s="356"/>
      <c r="OS11" s="356"/>
      <c r="OT11" s="356"/>
      <c r="OU11" s="356"/>
    </row>
    <row r="12">
      <c r="A12" s="686">
        <v>1.0</v>
      </c>
      <c r="B12" s="156" t="s">
        <v>42</v>
      </c>
      <c r="C12" s="687"/>
      <c r="D12" s="688"/>
      <c r="E12" s="692" t="str">
        <f t="shared" ref="E12:E19" si="1">C12/D12</f>
        <v>#DIV/0!</v>
      </c>
      <c r="F12" s="687"/>
      <c r="G12" s="688"/>
      <c r="H12" s="692" t="str">
        <f t="shared" ref="H12:H19" si="2">F12/G12</f>
        <v>#DIV/0!</v>
      </c>
      <c r="I12" s="687"/>
      <c r="J12" s="688"/>
      <c r="K12" s="692" t="str">
        <f t="shared" ref="K12:K19" si="3">I12/J12</f>
        <v>#DIV/0!</v>
      </c>
      <c r="L12" s="687"/>
      <c r="M12" s="688"/>
      <c r="N12" s="692" t="str">
        <f t="shared" ref="N12:N19" si="4">L12/M12</f>
        <v>#DIV/0!</v>
      </c>
      <c r="O12" s="695"/>
      <c r="P12" s="686"/>
      <c r="Q12" s="696" t="str">
        <f t="shared" ref="Q12:Q19" si="5">O12/P12</f>
        <v>#DIV/0!</v>
      </c>
      <c r="R12" s="697">
        <v>5.0</v>
      </c>
      <c r="S12" s="697">
        <v>688.0</v>
      </c>
      <c r="T12" s="698">
        <f t="shared" ref="T12:T19" si="6">R12/S12</f>
        <v>0.00726744186</v>
      </c>
      <c r="U12" s="699">
        <v>8.0</v>
      </c>
      <c r="V12" s="700">
        <v>611.0</v>
      </c>
      <c r="W12" s="696">
        <f t="shared" ref="W12:W19" si="7">U12/V12</f>
        <v>0.01309328969</v>
      </c>
      <c r="X12" s="687"/>
      <c r="Y12" s="688"/>
      <c r="Z12" s="692" t="str">
        <f t="shared" ref="Z12:Z19" si="8">X12/Y12</f>
        <v>#DIV/0!</v>
      </c>
      <c r="AA12" s="687"/>
      <c r="AB12" s="688"/>
      <c r="AC12" s="692"/>
      <c r="AD12" s="687"/>
      <c r="AE12" s="688"/>
      <c r="AF12" s="692"/>
      <c r="AG12" s="687"/>
      <c r="AH12" s="688"/>
      <c r="AI12" s="692"/>
      <c r="AJ12" s="687"/>
      <c r="AK12" s="688"/>
      <c r="AL12" s="692"/>
    </row>
    <row r="13">
      <c r="A13" s="686">
        <v>2.0</v>
      </c>
      <c r="B13" s="156" t="s">
        <v>43</v>
      </c>
      <c r="C13" s="687"/>
      <c r="D13" s="688"/>
      <c r="E13" s="692" t="str">
        <f t="shared" si="1"/>
        <v>#DIV/0!</v>
      </c>
      <c r="F13" s="687"/>
      <c r="G13" s="688"/>
      <c r="H13" s="692" t="str">
        <f t="shared" si="2"/>
        <v>#DIV/0!</v>
      </c>
      <c r="I13" s="687"/>
      <c r="J13" s="688"/>
      <c r="K13" s="692" t="str">
        <f t="shared" si="3"/>
        <v>#DIV/0!</v>
      </c>
      <c r="L13" s="687"/>
      <c r="M13" s="688"/>
      <c r="N13" s="692" t="str">
        <f t="shared" si="4"/>
        <v>#DIV/0!</v>
      </c>
      <c r="O13" s="695"/>
      <c r="P13" s="686"/>
      <c r="Q13" s="696" t="str">
        <f t="shared" si="5"/>
        <v>#DIV/0!</v>
      </c>
      <c r="R13" s="697">
        <v>22.0</v>
      </c>
      <c r="S13" s="697">
        <v>473.0</v>
      </c>
      <c r="T13" s="698">
        <f t="shared" si="6"/>
        <v>0.04651162791</v>
      </c>
      <c r="U13" s="699">
        <v>0.0</v>
      </c>
      <c r="V13" s="713">
        <v>365.0</v>
      </c>
      <c r="W13" s="696">
        <f t="shared" si="7"/>
        <v>0</v>
      </c>
      <c r="X13" s="687"/>
      <c r="Y13" s="688"/>
      <c r="Z13" s="692" t="str">
        <f t="shared" si="8"/>
        <v>#DIV/0!</v>
      </c>
      <c r="AA13" s="687"/>
      <c r="AB13" s="688"/>
      <c r="AC13" s="692"/>
      <c r="AD13" s="687"/>
      <c r="AE13" s="688"/>
      <c r="AF13" s="692"/>
      <c r="AG13" s="687"/>
      <c r="AH13" s="688"/>
      <c r="AI13" s="692"/>
      <c r="AJ13" s="687"/>
      <c r="AK13" s="688"/>
      <c r="AL13" s="692"/>
    </row>
    <row r="14">
      <c r="A14" s="686">
        <v>3.0</v>
      </c>
      <c r="B14" s="156" t="s">
        <v>44</v>
      </c>
      <c r="C14" s="687"/>
      <c r="D14" s="688"/>
      <c r="E14" s="692" t="str">
        <f t="shared" si="1"/>
        <v>#DIV/0!</v>
      </c>
      <c r="F14" s="687"/>
      <c r="G14" s="688"/>
      <c r="H14" s="692" t="str">
        <f t="shared" si="2"/>
        <v>#DIV/0!</v>
      </c>
      <c r="I14" s="687"/>
      <c r="J14" s="688"/>
      <c r="K14" s="692" t="str">
        <f t="shared" si="3"/>
        <v>#DIV/0!</v>
      </c>
      <c r="L14" s="687"/>
      <c r="M14" s="688"/>
      <c r="N14" s="692" t="str">
        <f t="shared" si="4"/>
        <v>#DIV/0!</v>
      </c>
      <c r="O14" s="695"/>
      <c r="P14" s="686"/>
      <c r="Q14" s="696" t="str">
        <f t="shared" si="5"/>
        <v>#DIV/0!</v>
      </c>
      <c r="R14" s="697">
        <v>4.0</v>
      </c>
      <c r="S14" s="697">
        <v>304.0</v>
      </c>
      <c r="T14" s="698">
        <f t="shared" si="6"/>
        <v>0.01315789474</v>
      </c>
      <c r="U14" s="699">
        <v>0.0</v>
      </c>
      <c r="V14" s="713">
        <v>266.0</v>
      </c>
      <c r="W14" s="696">
        <f t="shared" si="7"/>
        <v>0</v>
      </c>
      <c r="X14" s="687"/>
      <c r="Y14" s="688"/>
      <c r="Z14" s="692" t="str">
        <f t="shared" si="8"/>
        <v>#DIV/0!</v>
      </c>
      <c r="AA14" s="687"/>
      <c r="AB14" s="688"/>
      <c r="AC14" s="692"/>
      <c r="AD14" s="687"/>
      <c r="AE14" s="688"/>
      <c r="AF14" s="692"/>
      <c r="AG14" s="687"/>
      <c r="AH14" s="688"/>
      <c r="AI14" s="692"/>
      <c r="AJ14" s="687"/>
      <c r="AK14" s="688"/>
      <c r="AL14" s="692"/>
    </row>
    <row r="15">
      <c r="A15" s="686">
        <v>4.0</v>
      </c>
      <c r="B15" s="156" t="s">
        <v>45</v>
      </c>
      <c r="C15" s="687"/>
      <c r="D15" s="688"/>
      <c r="E15" s="692" t="str">
        <f t="shared" si="1"/>
        <v>#DIV/0!</v>
      </c>
      <c r="F15" s="687"/>
      <c r="G15" s="688"/>
      <c r="H15" s="692" t="str">
        <f t="shared" si="2"/>
        <v>#DIV/0!</v>
      </c>
      <c r="I15" s="687"/>
      <c r="J15" s="688"/>
      <c r="K15" s="692" t="str">
        <f t="shared" si="3"/>
        <v>#DIV/0!</v>
      </c>
      <c r="L15" s="687"/>
      <c r="M15" s="688"/>
      <c r="N15" s="692" t="str">
        <f t="shared" si="4"/>
        <v>#DIV/0!</v>
      </c>
      <c r="O15" s="695"/>
      <c r="P15" s="686"/>
      <c r="Q15" s="696" t="str">
        <f t="shared" si="5"/>
        <v>#DIV/0!</v>
      </c>
      <c r="R15" s="697">
        <v>17.0</v>
      </c>
      <c r="S15" s="697">
        <v>189.0</v>
      </c>
      <c r="T15" s="698">
        <f t="shared" si="6"/>
        <v>0.08994708995</v>
      </c>
      <c r="U15" s="699">
        <v>13.0</v>
      </c>
      <c r="V15" s="713">
        <v>320.0</v>
      </c>
      <c r="W15" s="696">
        <f t="shared" si="7"/>
        <v>0.040625</v>
      </c>
      <c r="X15" s="687"/>
      <c r="Y15" s="688"/>
      <c r="Z15" s="692" t="str">
        <f t="shared" si="8"/>
        <v>#DIV/0!</v>
      </c>
      <c r="AA15" s="687"/>
      <c r="AB15" s="688"/>
      <c r="AC15" s="692"/>
      <c r="AD15" s="687"/>
      <c r="AE15" s="688"/>
      <c r="AF15" s="692"/>
      <c r="AG15" s="687"/>
      <c r="AH15" s="688"/>
      <c r="AI15" s="692"/>
      <c r="AJ15" s="687"/>
      <c r="AK15" s="688"/>
      <c r="AL15" s="692"/>
    </row>
    <row r="16">
      <c r="A16" s="686">
        <v>5.0</v>
      </c>
      <c r="B16" s="156" t="s">
        <v>47</v>
      </c>
      <c r="C16" s="687"/>
      <c r="D16" s="688"/>
      <c r="E16" s="692" t="str">
        <f t="shared" si="1"/>
        <v>#DIV/0!</v>
      </c>
      <c r="F16" s="687"/>
      <c r="G16" s="688"/>
      <c r="H16" s="692" t="str">
        <f t="shared" si="2"/>
        <v>#DIV/0!</v>
      </c>
      <c r="I16" s="687"/>
      <c r="J16" s="688"/>
      <c r="K16" s="692" t="str">
        <f t="shared" si="3"/>
        <v>#DIV/0!</v>
      </c>
      <c r="L16" s="687"/>
      <c r="M16" s="688"/>
      <c r="N16" s="692" t="str">
        <f t="shared" si="4"/>
        <v>#DIV/0!</v>
      </c>
      <c r="O16" s="695"/>
      <c r="P16" s="686"/>
      <c r="Q16" s="696" t="str">
        <f t="shared" si="5"/>
        <v>#DIV/0!</v>
      </c>
      <c r="R16" s="697">
        <v>19.0</v>
      </c>
      <c r="S16" s="697">
        <v>373.0</v>
      </c>
      <c r="T16" s="698">
        <f t="shared" si="6"/>
        <v>0.0509383378</v>
      </c>
      <c r="U16" s="699">
        <v>14.0</v>
      </c>
      <c r="V16" s="713">
        <v>404.0</v>
      </c>
      <c r="W16" s="696">
        <f t="shared" si="7"/>
        <v>0.03465346535</v>
      </c>
      <c r="X16" s="687"/>
      <c r="Y16" s="688"/>
      <c r="Z16" s="692" t="str">
        <f t="shared" si="8"/>
        <v>#DIV/0!</v>
      </c>
      <c r="AA16" s="687"/>
      <c r="AB16" s="688"/>
      <c r="AC16" s="692"/>
      <c r="AD16" s="687"/>
      <c r="AE16" s="688"/>
      <c r="AF16" s="692"/>
      <c r="AG16" s="687"/>
      <c r="AH16" s="688"/>
      <c r="AI16" s="692"/>
      <c r="AJ16" s="687"/>
      <c r="AK16" s="688"/>
      <c r="AL16" s="692"/>
    </row>
    <row r="17">
      <c r="A17" s="686">
        <v>6.0</v>
      </c>
      <c r="B17" s="156" t="s">
        <v>48</v>
      </c>
      <c r="C17" s="687"/>
      <c r="D17" s="688"/>
      <c r="E17" s="692" t="str">
        <f t="shared" si="1"/>
        <v>#DIV/0!</v>
      </c>
      <c r="F17" s="687"/>
      <c r="G17" s="688"/>
      <c r="H17" s="692" t="str">
        <f t="shared" si="2"/>
        <v>#DIV/0!</v>
      </c>
      <c r="I17" s="687"/>
      <c r="J17" s="688"/>
      <c r="K17" s="692" t="str">
        <f t="shared" si="3"/>
        <v>#DIV/0!</v>
      </c>
      <c r="L17" s="687"/>
      <c r="M17" s="688"/>
      <c r="N17" s="692" t="str">
        <f t="shared" si="4"/>
        <v>#DIV/0!</v>
      </c>
      <c r="O17" s="695"/>
      <c r="P17" s="686"/>
      <c r="Q17" s="696" t="str">
        <f t="shared" si="5"/>
        <v>#DIV/0!</v>
      </c>
      <c r="R17" s="697">
        <v>5.0</v>
      </c>
      <c r="S17" s="697">
        <v>343.0</v>
      </c>
      <c r="T17" s="698">
        <f t="shared" si="6"/>
        <v>0.01457725948</v>
      </c>
      <c r="U17" s="699">
        <v>3.0</v>
      </c>
      <c r="V17" s="713">
        <v>268.0</v>
      </c>
      <c r="W17" s="696">
        <f t="shared" si="7"/>
        <v>0.01119402985</v>
      </c>
      <c r="X17" s="687"/>
      <c r="Y17" s="688"/>
      <c r="Z17" s="692" t="str">
        <f t="shared" si="8"/>
        <v>#DIV/0!</v>
      </c>
      <c r="AA17" s="687"/>
      <c r="AB17" s="688"/>
      <c r="AC17" s="692"/>
      <c r="AD17" s="687"/>
      <c r="AE17" s="688"/>
      <c r="AF17" s="692"/>
      <c r="AG17" s="687"/>
      <c r="AH17" s="688"/>
      <c r="AI17" s="692"/>
      <c r="AJ17" s="687"/>
      <c r="AK17" s="688"/>
      <c r="AL17" s="692"/>
    </row>
    <row r="18">
      <c r="A18" s="686">
        <v>7.0</v>
      </c>
      <c r="B18" s="156" t="s">
        <v>49</v>
      </c>
      <c r="C18" s="687"/>
      <c r="D18" s="688"/>
      <c r="E18" s="692" t="str">
        <f t="shared" si="1"/>
        <v>#DIV/0!</v>
      </c>
      <c r="F18" s="687"/>
      <c r="G18" s="688"/>
      <c r="H18" s="692" t="str">
        <f t="shared" si="2"/>
        <v>#DIV/0!</v>
      </c>
      <c r="I18" s="687"/>
      <c r="J18" s="688"/>
      <c r="K18" s="692" t="str">
        <f t="shared" si="3"/>
        <v>#DIV/0!</v>
      </c>
      <c r="L18" s="687"/>
      <c r="M18" s="688"/>
      <c r="N18" s="692" t="str">
        <f t="shared" si="4"/>
        <v>#DIV/0!</v>
      </c>
      <c r="O18" s="695"/>
      <c r="P18" s="686"/>
      <c r="Q18" s="696" t="str">
        <f t="shared" si="5"/>
        <v>#DIV/0!</v>
      </c>
      <c r="R18" s="697">
        <v>4.0</v>
      </c>
      <c r="S18" s="697">
        <v>647.0</v>
      </c>
      <c r="T18" s="698">
        <f t="shared" si="6"/>
        <v>0.006182380216</v>
      </c>
      <c r="U18" s="699">
        <v>3.0</v>
      </c>
      <c r="V18" s="713">
        <v>394.0</v>
      </c>
      <c r="W18" s="696">
        <f t="shared" si="7"/>
        <v>0.007614213198</v>
      </c>
      <c r="X18" s="687"/>
      <c r="Y18" s="688"/>
      <c r="Z18" s="692" t="str">
        <f t="shared" si="8"/>
        <v>#DIV/0!</v>
      </c>
      <c r="AA18" s="687"/>
      <c r="AB18" s="688"/>
      <c r="AC18" s="692"/>
      <c r="AD18" s="687"/>
      <c r="AE18" s="688"/>
      <c r="AF18" s="692"/>
      <c r="AG18" s="687"/>
      <c r="AH18" s="688"/>
      <c r="AI18" s="692"/>
      <c r="AJ18" s="687"/>
      <c r="AK18" s="688"/>
      <c r="AL18" s="692"/>
    </row>
    <row r="19">
      <c r="A19" s="688"/>
      <c r="B19" s="90" t="s">
        <v>50</v>
      </c>
      <c r="C19" s="718"/>
      <c r="D19" s="719"/>
      <c r="E19" s="721" t="str">
        <f t="shared" si="1"/>
        <v>#DIV/0!</v>
      </c>
      <c r="F19" s="718"/>
      <c r="G19" s="719"/>
      <c r="H19" s="721" t="str">
        <f t="shared" si="2"/>
        <v>#DIV/0!</v>
      </c>
      <c r="I19" s="718"/>
      <c r="J19" s="719"/>
      <c r="K19" s="721" t="str">
        <f t="shared" si="3"/>
        <v>#DIV/0!</v>
      </c>
      <c r="L19" s="718"/>
      <c r="M19" s="719"/>
      <c r="N19" s="721" t="str">
        <f t="shared" si="4"/>
        <v>#DIV/0!</v>
      </c>
      <c r="O19" s="722"/>
      <c r="P19" s="723"/>
      <c r="Q19" s="725" t="str">
        <f t="shared" si="5"/>
        <v>#DIV/0!</v>
      </c>
      <c r="R19" s="726">
        <v>76.0</v>
      </c>
      <c r="S19" s="726">
        <v>3017.0</v>
      </c>
      <c r="T19" s="727">
        <f t="shared" si="6"/>
        <v>0.02519058668</v>
      </c>
      <c r="U19" s="728">
        <v>41.0</v>
      </c>
      <c r="V19" s="729">
        <v>2628.0</v>
      </c>
      <c r="W19" s="725">
        <f t="shared" si="7"/>
        <v>0.01560121766</v>
      </c>
      <c r="X19" s="718"/>
      <c r="Y19" s="719"/>
      <c r="Z19" s="721" t="str">
        <f t="shared" si="8"/>
        <v>#DIV/0!</v>
      </c>
      <c r="AA19" s="718"/>
      <c r="AB19" s="719"/>
      <c r="AC19" s="721"/>
      <c r="AD19" s="718"/>
      <c r="AE19" s="719"/>
      <c r="AF19" s="721"/>
      <c r="AG19" s="718"/>
      <c r="AH19" s="719"/>
      <c r="AI19" s="721"/>
      <c r="AJ19" s="718"/>
      <c r="AK19" s="719"/>
      <c r="AL19" s="721"/>
    </row>
    <row r="22">
      <c r="C22" s="730" t="s">
        <v>389</v>
      </c>
      <c r="D22" s="7"/>
      <c r="E22" s="9"/>
      <c r="F22" s="730" t="s">
        <v>390</v>
      </c>
      <c r="G22" s="7"/>
      <c r="H22" s="9"/>
      <c r="I22" s="730" t="s">
        <v>391</v>
      </c>
      <c r="J22" s="7"/>
      <c r="K22" s="9"/>
      <c r="L22" s="730" t="s">
        <v>392</v>
      </c>
      <c r="M22" s="7"/>
      <c r="N22" s="9"/>
      <c r="O22" s="730" t="s">
        <v>393</v>
      </c>
      <c r="P22" s="7"/>
      <c r="Q22" s="9"/>
      <c r="R22" s="730" t="s">
        <v>394</v>
      </c>
      <c r="S22" s="7"/>
      <c r="T22" s="9"/>
      <c r="U22" s="730" t="s">
        <v>395</v>
      </c>
      <c r="V22" s="7"/>
      <c r="W22" s="9"/>
      <c r="X22" s="730" t="s">
        <v>396</v>
      </c>
      <c r="Y22" s="7"/>
      <c r="Z22" s="9"/>
    </row>
    <row r="23">
      <c r="A23" s="731" t="s">
        <v>28</v>
      </c>
      <c r="B23" s="731" t="s">
        <v>397</v>
      </c>
      <c r="C23" s="732" t="s">
        <v>398</v>
      </c>
      <c r="D23" s="732" t="s">
        <v>399</v>
      </c>
      <c r="E23" s="733" t="s">
        <v>400</v>
      </c>
      <c r="F23" s="732" t="s">
        <v>398</v>
      </c>
      <c r="G23" s="732" t="s">
        <v>399</v>
      </c>
      <c r="H23" s="733" t="s">
        <v>400</v>
      </c>
      <c r="I23" s="732" t="s">
        <v>398</v>
      </c>
      <c r="J23" s="732" t="s">
        <v>399</v>
      </c>
      <c r="K23" s="733" t="s">
        <v>400</v>
      </c>
      <c r="L23" s="732" t="s">
        <v>398</v>
      </c>
      <c r="M23" s="732" t="s">
        <v>399</v>
      </c>
      <c r="N23" s="733" t="s">
        <v>400</v>
      </c>
      <c r="O23" s="732" t="s">
        <v>398</v>
      </c>
      <c r="P23" s="732" t="s">
        <v>399</v>
      </c>
      <c r="Q23" s="733" t="s">
        <v>400</v>
      </c>
      <c r="R23" s="732" t="s">
        <v>398</v>
      </c>
      <c r="S23" s="732" t="s">
        <v>399</v>
      </c>
      <c r="T23" s="733" t="s">
        <v>400</v>
      </c>
      <c r="U23" s="732" t="s">
        <v>398</v>
      </c>
      <c r="V23" s="732" t="s">
        <v>399</v>
      </c>
      <c r="W23" s="733" t="s">
        <v>400</v>
      </c>
      <c r="X23" s="732" t="s">
        <v>398</v>
      </c>
      <c r="Y23" s="732" t="s">
        <v>399</v>
      </c>
      <c r="Z23" s="733" t="s">
        <v>400</v>
      </c>
    </row>
    <row r="24">
      <c r="A24" s="734"/>
      <c r="B24" s="734" t="s">
        <v>18</v>
      </c>
      <c r="C24" s="734">
        <v>72.0</v>
      </c>
      <c r="D24" s="734">
        <v>2713.0</v>
      </c>
      <c r="E24" s="735">
        <f t="shared" ref="E24:E31" si="9">C24/D24*100</f>
        <v>2.653888684</v>
      </c>
      <c r="F24" s="734"/>
      <c r="G24" s="734"/>
      <c r="H24" s="735" t="str">
        <f t="shared" ref="H24:H31" si="10">F24/G24*100</f>
        <v>#DIV/0!</v>
      </c>
      <c r="I24" s="734"/>
      <c r="J24" s="734"/>
      <c r="K24" s="735" t="str">
        <f t="shared" ref="K24:K31" si="11">I24/J24*100</f>
        <v>#DIV/0!</v>
      </c>
      <c r="L24" s="734"/>
      <c r="M24" s="734"/>
      <c r="N24" s="735" t="str">
        <f t="shared" ref="N24:N31" si="12">L24/M24*100</f>
        <v>#DIV/0!</v>
      </c>
      <c r="O24" s="734"/>
      <c r="P24" s="734"/>
      <c r="Q24" s="735" t="str">
        <f t="shared" ref="Q24:Q31" si="13">O24/P24*100</f>
        <v>#DIV/0!</v>
      </c>
      <c r="R24" s="734"/>
      <c r="S24" s="734"/>
      <c r="T24" s="735" t="str">
        <f t="shared" ref="T24:T31" si="14">R24/S24*100</f>
        <v>#DIV/0!</v>
      </c>
      <c r="U24" s="734"/>
      <c r="V24" s="734"/>
      <c r="W24" s="735" t="str">
        <f t="shared" ref="W24:W31" si="15">U24/V24*100</f>
        <v>#DIV/0!</v>
      </c>
      <c r="X24" s="734"/>
      <c r="Y24" s="734"/>
      <c r="Z24" s="735" t="str">
        <f t="shared" ref="Z24:Z31" si="16">X24/Y24*100</f>
        <v>#DIV/0!</v>
      </c>
    </row>
    <row r="25">
      <c r="A25" s="736">
        <v>1.0</v>
      </c>
      <c r="B25" s="736" t="s">
        <v>44</v>
      </c>
      <c r="C25" s="736">
        <v>12.0</v>
      </c>
      <c r="D25" s="736">
        <v>308.0</v>
      </c>
      <c r="E25" s="737">
        <f t="shared" si="9"/>
        <v>3.896103896</v>
      </c>
      <c r="F25" s="736"/>
      <c r="G25" s="736"/>
      <c r="H25" s="737" t="str">
        <f t="shared" si="10"/>
        <v>#DIV/0!</v>
      </c>
      <c r="I25" s="736"/>
      <c r="J25" s="736"/>
      <c r="K25" s="737" t="str">
        <f t="shared" si="11"/>
        <v>#DIV/0!</v>
      </c>
      <c r="L25" s="736"/>
      <c r="M25" s="736"/>
      <c r="N25" s="737" t="str">
        <f t="shared" si="12"/>
        <v>#DIV/0!</v>
      </c>
      <c r="O25" s="736"/>
      <c r="P25" s="736"/>
      <c r="Q25" s="737" t="str">
        <f t="shared" si="13"/>
        <v>#DIV/0!</v>
      </c>
      <c r="R25" s="736"/>
      <c r="S25" s="736"/>
      <c r="T25" s="737" t="str">
        <f t="shared" si="14"/>
        <v>#DIV/0!</v>
      </c>
      <c r="U25" s="736"/>
      <c r="V25" s="736"/>
      <c r="W25" s="737" t="str">
        <f t="shared" si="15"/>
        <v>#DIV/0!</v>
      </c>
      <c r="X25" s="736"/>
      <c r="Y25" s="736"/>
      <c r="Z25" s="737" t="str">
        <f t="shared" si="16"/>
        <v>#DIV/0!</v>
      </c>
    </row>
    <row r="26">
      <c r="A26" s="736">
        <v>2.0</v>
      </c>
      <c r="B26" s="736" t="s">
        <v>48</v>
      </c>
      <c r="C26" s="736">
        <v>11.0</v>
      </c>
      <c r="D26" s="736">
        <v>299.0</v>
      </c>
      <c r="E26" s="737">
        <f t="shared" si="9"/>
        <v>3.678929766</v>
      </c>
      <c r="F26" s="736"/>
      <c r="G26" s="736"/>
      <c r="H26" s="737" t="str">
        <f t="shared" si="10"/>
        <v>#DIV/0!</v>
      </c>
      <c r="I26" s="736"/>
      <c r="J26" s="736"/>
      <c r="K26" s="737" t="str">
        <f t="shared" si="11"/>
        <v>#DIV/0!</v>
      </c>
      <c r="L26" s="736"/>
      <c r="M26" s="736"/>
      <c r="N26" s="737" t="str">
        <f t="shared" si="12"/>
        <v>#DIV/0!</v>
      </c>
      <c r="O26" s="736"/>
      <c r="P26" s="736"/>
      <c r="Q26" s="737" t="str">
        <f t="shared" si="13"/>
        <v>#DIV/0!</v>
      </c>
      <c r="R26" s="736"/>
      <c r="S26" s="736"/>
      <c r="T26" s="737" t="str">
        <f t="shared" si="14"/>
        <v>#DIV/0!</v>
      </c>
      <c r="U26" s="736"/>
      <c r="V26" s="736"/>
      <c r="W26" s="737" t="str">
        <f t="shared" si="15"/>
        <v>#DIV/0!</v>
      </c>
      <c r="X26" s="736"/>
      <c r="Y26" s="736"/>
      <c r="Z26" s="737" t="str">
        <f t="shared" si="16"/>
        <v>#DIV/0!</v>
      </c>
    </row>
    <row r="27">
      <c r="A27" s="736">
        <v>3.0</v>
      </c>
      <c r="B27" s="736" t="s">
        <v>49</v>
      </c>
      <c r="C27" s="736">
        <v>6.0</v>
      </c>
      <c r="D27" s="736">
        <v>430.0</v>
      </c>
      <c r="E27" s="737">
        <f t="shared" si="9"/>
        <v>1.395348837</v>
      </c>
      <c r="F27" s="736"/>
      <c r="G27" s="736"/>
      <c r="H27" s="737" t="str">
        <f t="shared" si="10"/>
        <v>#DIV/0!</v>
      </c>
      <c r="I27" s="736"/>
      <c r="J27" s="736"/>
      <c r="K27" s="737" t="str">
        <f t="shared" si="11"/>
        <v>#DIV/0!</v>
      </c>
      <c r="L27" s="736"/>
      <c r="M27" s="736"/>
      <c r="N27" s="737" t="str">
        <f t="shared" si="12"/>
        <v>#DIV/0!</v>
      </c>
      <c r="O27" s="736"/>
      <c r="P27" s="736"/>
      <c r="Q27" s="737" t="str">
        <f t="shared" si="13"/>
        <v>#DIV/0!</v>
      </c>
      <c r="R27" s="736"/>
      <c r="S27" s="736"/>
      <c r="T27" s="737" t="str">
        <f t="shared" si="14"/>
        <v>#DIV/0!</v>
      </c>
      <c r="U27" s="736"/>
      <c r="V27" s="736"/>
      <c r="W27" s="737" t="str">
        <f t="shared" si="15"/>
        <v>#DIV/0!</v>
      </c>
      <c r="X27" s="736"/>
      <c r="Y27" s="736"/>
      <c r="Z27" s="737" t="str">
        <f t="shared" si="16"/>
        <v>#DIV/0!</v>
      </c>
    </row>
    <row r="28">
      <c r="A28" s="736">
        <v>4.0</v>
      </c>
      <c r="B28" s="736" t="s">
        <v>42</v>
      </c>
      <c r="C28" s="736">
        <v>12.0</v>
      </c>
      <c r="D28" s="736">
        <v>602.0</v>
      </c>
      <c r="E28" s="737">
        <f t="shared" si="9"/>
        <v>1.993355482</v>
      </c>
      <c r="F28" s="736"/>
      <c r="G28" s="736"/>
      <c r="H28" s="737" t="str">
        <f t="shared" si="10"/>
        <v>#DIV/0!</v>
      </c>
      <c r="I28" s="736"/>
      <c r="J28" s="736"/>
      <c r="K28" s="737" t="str">
        <f t="shared" si="11"/>
        <v>#DIV/0!</v>
      </c>
      <c r="L28" s="736"/>
      <c r="M28" s="736"/>
      <c r="N28" s="737" t="str">
        <f t="shared" si="12"/>
        <v>#DIV/0!</v>
      </c>
      <c r="O28" s="736"/>
      <c r="P28" s="736"/>
      <c r="Q28" s="737" t="str">
        <f t="shared" si="13"/>
        <v>#DIV/0!</v>
      </c>
      <c r="R28" s="736"/>
      <c r="S28" s="736"/>
      <c r="T28" s="737" t="str">
        <f t="shared" si="14"/>
        <v>#DIV/0!</v>
      </c>
      <c r="U28" s="736"/>
      <c r="V28" s="736"/>
      <c r="W28" s="737" t="str">
        <f t="shared" si="15"/>
        <v>#DIV/0!</v>
      </c>
      <c r="X28" s="736"/>
      <c r="Y28" s="736"/>
      <c r="Z28" s="737" t="str">
        <f t="shared" si="16"/>
        <v>#DIV/0!</v>
      </c>
    </row>
    <row r="29">
      <c r="A29" s="736">
        <v>5.0</v>
      </c>
      <c r="B29" s="736" t="s">
        <v>43</v>
      </c>
      <c r="C29" s="736">
        <v>12.0</v>
      </c>
      <c r="D29" s="736">
        <v>431.0</v>
      </c>
      <c r="E29" s="737">
        <f t="shared" si="9"/>
        <v>2.784222738</v>
      </c>
      <c r="F29" s="736"/>
      <c r="G29" s="736"/>
      <c r="H29" s="737" t="str">
        <f t="shared" si="10"/>
        <v>#DIV/0!</v>
      </c>
      <c r="I29" s="736"/>
      <c r="J29" s="736"/>
      <c r="K29" s="737" t="str">
        <f t="shared" si="11"/>
        <v>#DIV/0!</v>
      </c>
      <c r="L29" s="736"/>
      <c r="M29" s="736"/>
      <c r="N29" s="737" t="str">
        <f t="shared" si="12"/>
        <v>#DIV/0!</v>
      </c>
      <c r="O29" s="736"/>
      <c r="P29" s="736"/>
      <c r="Q29" s="737" t="str">
        <f t="shared" si="13"/>
        <v>#DIV/0!</v>
      </c>
      <c r="R29" s="736"/>
      <c r="S29" s="736"/>
      <c r="T29" s="737" t="str">
        <f t="shared" si="14"/>
        <v>#DIV/0!</v>
      </c>
      <c r="U29" s="736"/>
      <c r="V29" s="736"/>
      <c r="W29" s="737" t="str">
        <f t="shared" si="15"/>
        <v>#DIV/0!</v>
      </c>
      <c r="X29" s="736"/>
      <c r="Y29" s="736"/>
      <c r="Z29" s="737" t="str">
        <f t="shared" si="16"/>
        <v>#DIV/0!</v>
      </c>
    </row>
    <row r="30">
      <c r="A30" s="736">
        <v>6.0</v>
      </c>
      <c r="B30" s="736" t="s">
        <v>45</v>
      </c>
      <c r="C30" s="736">
        <v>13.0</v>
      </c>
      <c r="D30" s="736">
        <v>243.0</v>
      </c>
      <c r="E30" s="737">
        <f t="shared" si="9"/>
        <v>5.349794239</v>
      </c>
      <c r="F30" s="736"/>
      <c r="G30" s="736"/>
      <c r="H30" s="737" t="str">
        <f t="shared" si="10"/>
        <v>#DIV/0!</v>
      </c>
      <c r="I30" s="736"/>
      <c r="J30" s="736"/>
      <c r="K30" s="737" t="str">
        <f t="shared" si="11"/>
        <v>#DIV/0!</v>
      </c>
      <c r="L30" s="736"/>
      <c r="M30" s="736"/>
      <c r="N30" s="737" t="str">
        <f t="shared" si="12"/>
        <v>#DIV/0!</v>
      </c>
      <c r="O30" s="736"/>
      <c r="P30" s="736"/>
      <c r="Q30" s="737" t="str">
        <f t="shared" si="13"/>
        <v>#DIV/0!</v>
      </c>
      <c r="R30" s="736"/>
      <c r="S30" s="736"/>
      <c r="T30" s="737" t="str">
        <f t="shared" si="14"/>
        <v>#DIV/0!</v>
      </c>
      <c r="U30" s="736"/>
      <c r="V30" s="736"/>
      <c r="W30" s="737" t="str">
        <f t="shared" si="15"/>
        <v>#DIV/0!</v>
      </c>
      <c r="X30" s="736"/>
      <c r="Y30" s="736"/>
      <c r="Z30" s="737" t="str">
        <f t="shared" si="16"/>
        <v>#DIV/0!</v>
      </c>
    </row>
    <row r="31">
      <c r="A31" s="736">
        <v>7.0</v>
      </c>
      <c r="B31" s="736" t="s">
        <v>47</v>
      </c>
      <c r="C31" s="736">
        <v>6.0</v>
      </c>
      <c r="D31" s="736">
        <v>400.0</v>
      </c>
      <c r="E31" s="737">
        <f t="shared" si="9"/>
        <v>1.5</v>
      </c>
      <c r="F31" s="736"/>
      <c r="G31" s="736"/>
      <c r="H31" s="737" t="str">
        <f t="shared" si="10"/>
        <v>#DIV/0!</v>
      </c>
      <c r="I31" s="736"/>
      <c r="J31" s="736"/>
      <c r="K31" s="737" t="str">
        <f t="shared" si="11"/>
        <v>#DIV/0!</v>
      </c>
      <c r="L31" s="736"/>
      <c r="M31" s="736"/>
      <c r="N31" s="737" t="str">
        <f t="shared" si="12"/>
        <v>#DIV/0!</v>
      </c>
      <c r="O31" s="736"/>
      <c r="P31" s="736"/>
      <c r="Q31" s="737" t="str">
        <f t="shared" si="13"/>
        <v>#DIV/0!</v>
      </c>
      <c r="R31" s="736"/>
      <c r="S31" s="736"/>
      <c r="T31" s="737" t="str">
        <f t="shared" si="14"/>
        <v>#DIV/0!</v>
      </c>
      <c r="U31" s="736"/>
      <c r="V31" s="736"/>
      <c r="W31" s="737" t="str">
        <f t="shared" si="15"/>
        <v>#DIV/0!</v>
      </c>
      <c r="X31" s="736"/>
      <c r="Y31" s="736"/>
      <c r="Z31" s="737" t="str">
        <f t="shared" si="16"/>
        <v>#DIV/0!</v>
      </c>
    </row>
  </sheetData>
  <mergeCells count="20">
    <mergeCell ref="X10:Z10"/>
    <mergeCell ref="AA10:AC10"/>
    <mergeCell ref="AD10:AF10"/>
    <mergeCell ref="AG10:AI10"/>
    <mergeCell ref="AJ10:AL10"/>
    <mergeCell ref="C22:E22"/>
    <mergeCell ref="F22:H22"/>
    <mergeCell ref="I22:K22"/>
    <mergeCell ref="L22:N22"/>
    <mergeCell ref="O22:Q22"/>
    <mergeCell ref="R22:T22"/>
    <mergeCell ref="U22:W22"/>
    <mergeCell ref="X22:Z22"/>
    <mergeCell ref="C10:E10"/>
    <mergeCell ref="F10:H10"/>
    <mergeCell ref="I10:K10"/>
    <mergeCell ref="L10:N10"/>
    <mergeCell ref="O10:Q10"/>
    <mergeCell ref="R10:T10"/>
    <mergeCell ref="U10:W10"/>
  </mergeCells>
  <hyperlinks>
    <hyperlink r:id="rId1" ref="H3"/>
    <hyperlink r:id="rId2" location="/report/bi?path=TINH%2FLONGAN%2FVTLA%2FPTTB%2FRPT_TLDV_BANGIAO_TH&amp;name=2.%20KT.B%C3%A0n%20giao%20d%E1%BB%8Bch%20v%E1%BB%A5%20-%20T%E1%BB%95ng%20h%E1%BB%A3p" ref="H4"/>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5"/>
  </cols>
  <sheetData>
    <row r="1">
      <c r="A1" s="738"/>
      <c r="B1" s="738"/>
      <c r="C1" s="738"/>
      <c r="D1" s="738"/>
      <c r="E1" s="738"/>
      <c r="F1" s="738"/>
      <c r="G1" s="739" t="s">
        <v>138</v>
      </c>
      <c r="H1" s="738"/>
      <c r="I1" s="738"/>
      <c r="J1" s="738"/>
      <c r="K1" s="738"/>
      <c r="L1" s="738"/>
      <c r="M1" s="738"/>
      <c r="N1" s="738"/>
      <c r="O1" s="738"/>
      <c r="P1" s="738"/>
      <c r="Q1" s="738"/>
      <c r="R1" s="738"/>
      <c r="S1" s="738"/>
      <c r="T1" s="738"/>
      <c r="U1" s="738"/>
      <c r="V1" s="738"/>
      <c r="W1" s="738"/>
      <c r="X1" s="738"/>
      <c r="Y1" s="738"/>
      <c r="Z1" s="738"/>
    </row>
    <row r="2">
      <c r="A2" s="738"/>
      <c r="B2" s="738"/>
      <c r="C2" s="738"/>
      <c r="D2" s="738"/>
      <c r="E2" s="738"/>
      <c r="F2" s="738"/>
      <c r="G2" s="739" t="s">
        <v>401</v>
      </c>
      <c r="H2" s="738"/>
      <c r="I2" s="738"/>
      <c r="J2" s="738"/>
      <c r="K2" s="738"/>
      <c r="L2" s="738"/>
      <c r="M2" s="738"/>
      <c r="N2" s="738"/>
      <c r="O2" s="738"/>
      <c r="P2" s="738"/>
      <c r="Q2" s="738"/>
      <c r="R2" s="738"/>
      <c r="S2" s="738"/>
      <c r="T2" s="738"/>
      <c r="U2" s="738"/>
      <c r="V2" s="738"/>
      <c r="W2" s="738"/>
      <c r="X2" s="738"/>
      <c r="Y2" s="738"/>
      <c r="Z2" s="738"/>
    </row>
    <row r="3">
      <c r="A3" s="738"/>
      <c r="B3" s="738"/>
      <c r="C3" s="738"/>
      <c r="D3" s="738"/>
      <c r="G3" s="739" t="s">
        <v>343</v>
      </c>
      <c r="H3" s="740" t="s">
        <v>402</v>
      </c>
      <c r="I3" s="738"/>
      <c r="J3" s="738"/>
      <c r="K3" s="738"/>
      <c r="L3" s="738"/>
      <c r="M3" s="738"/>
      <c r="N3" s="738"/>
      <c r="O3" s="738"/>
      <c r="P3" s="738"/>
      <c r="Q3" s="738"/>
      <c r="R3" s="738"/>
      <c r="S3" s="738"/>
      <c r="T3" s="738"/>
      <c r="U3" s="738"/>
      <c r="V3" s="738"/>
      <c r="W3" s="738"/>
      <c r="X3" s="738"/>
      <c r="Y3" s="738"/>
      <c r="Z3" s="738"/>
    </row>
    <row r="4">
      <c r="A4" s="738"/>
      <c r="B4" s="738"/>
      <c r="C4" s="738"/>
      <c r="D4" s="738"/>
      <c r="E4" s="738"/>
      <c r="F4" s="738"/>
      <c r="G4" s="738"/>
      <c r="H4" s="738"/>
      <c r="I4" s="738"/>
      <c r="J4" s="738"/>
      <c r="K4" s="738"/>
      <c r="L4" s="738"/>
      <c r="M4" s="738"/>
      <c r="N4" s="738"/>
      <c r="O4" s="738"/>
      <c r="P4" s="738"/>
      <c r="Q4" s="738"/>
      <c r="R4" s="738"/>
      <c r="S4" s="738"/>
      <c r="T4" s="738"/>
      <c r="U4" s="738"/>
      <c r="V4" s="738"/>
      <c r="W4" s="738"/>
      <c r="X4" s="738"/>
      <c r="Y4" s="738"/>
      <c r="Z4" s="738"/>
    </row>
    <row r="5">
      <c r="A5" s="738"/>
      <c r="B5" s="738"/>
      <c r="C5" s="738"/>
      <c r="D5" s="738"/>
      <c r="E5" s="738"/>
      <c r="F5" s="738"/>
      <c r="G5" s="738"/>
      <c r="H5" s="738"/>
      <c r="I5" s="738"/>
      <c r="J5" s="738"/>
      <c r="K5" s="738"/>
      <c r="L5" s="738"/>
      <c r="M5" s="738"/>
      <c r="N5" s="738"/>
      <c r="O5" s="738"/>
      <c r="P5" s="738"/>
      <c r="Q5" s="738"/>
      <c r="R5" s="738"/>
      <c r="S5" s="738"/>
      <c r="T5" s="738"/>
      <c r="U5" s="738"/>
      <c r="V5" s="738"/>
      <c r="W5" s="738"/>
      <c r="X5" s="738"/>
      <c r="Y5" s="738"/>
      <c r="Z5" s="738"/>
    </row>
    <row r="6">
      <c r="A6" s="738"/>
      <c r="B6" s="738"/>
      <c r="C6" s="738"/>
      <c r="D6" s="738"/>
      <c r="E6" s="738"/>
      <c r="F6" s="738"/>
      <c r="G6" s="738"/>
      <c r="H6" s="738"/>
      <c r="I6" s="738"/>
      <c r="J6" s="738"/>
      <c r="K6" s="738"/>
      <c r="L6" s="738"/>
      <c r="M6" s="738"/>
      <c r="N6" s="738"/>
      <c r="O6" s="738"/>
      <c r="P6" s="738"/>
      <c r="Q6" s="738"/>
      <c r="R6" s="738"/>
      <c r="S6" s="738"/>
      <c r="T6" s="738"/>
      <c r="U6" s="738"/>
      <c r="V6" s="738"/>
      <c r="W6" s="738"/>
      <c r="X6" s="738"/>
      <c r="Y6" s="738"/>
      <c r="Z6" s="738"/>
    </row>
    <row r="7">
      <c r="A7" s="738"/>
      <c r="B7" s="738"/>
      <c r="C7" s="738"/>
      <c r="D7" s="738"/>
      <c r="E7" s="738"/>
      <c r="F7" s="738"/>
      <c r="G7" s="738"/>
      <c r="H7" s="738"/>
      <c r="I7" s="738"/>
      <c r="J7" s="738"/>
      <c r="K7" s="738"/>
      <c r="L7" s="738"/>
      <c r="M7" s="738"/>
      <c r="N7" s="738"/>
      <c r="O7" s="738"/>
      <c r="P7" s="738"/>
      <c r="Q7" s="738"/>
      <c r="R7" s="738"/>
      <c r="S7" s="738"/>
      <c r="T7" s="738"/>
      <c r="U7" s="738"/>
      <c r="V7" s="738"/>
      <c r="W7" s="738"/>
      <c r="X7" s="738"/>
      <c r="Y7" s="738"/>
      <c r="Z7" s="738"/>
    </row>
    <row r="8">
      <c r="A8" s="738"/>
      <c r="B8" s="738"/>
      <c r="C8" s="738"/>
      <c r="D8" s="738"/>
      <c r="E8" s="738"/>
      <c r="F8" s="738"/>
      <c r="G8" s="738"/>
      <c r="H8" s="738"/>
      <c r="I8" s="738"/>
      <c r="J8" s="738"/>
      <c r="K8" s="738"/>
      <c r="L8" s="738"/>
      <c r="M8" s="738"/>
      <c r="N8" s="738"/>
      <c r="O8" s="738"/>
      <c r="P8" s="738"/>
      <c r="Q8" s="738"/>
      <c r="R8" s="738"/>
      <c r="S8" s="738"/>
      <c r="T8" s="738"/>
      <c r="U8" s="738"/>
      <c r="V8" s="738"/>
      <c r="W8" s="738"/>
      <c r="X8" s="738"/>
      <c r="Y8" s="738"/>
      <c r="Z8" s="738"/>
    </row>
    <row r="9">
      <c r="A9" s="738"/>
      <c r="B9" s="738"/>
      <c r="C9" s="738"/>
      <c r="D9" s="738"/>
      <c r="E9" s="738"/>
      <c r="F9" s="738"/>
      <c r="G9" s="738"/>
      <c r="H9" s="738"/>
      <c r="I9" s="738"/>
      <c r="J9" s="738"/>
      <c r="K9" s="738"/>
      <c r="L9" s="738"/>
      <c r="M9" s="738"/>
      <c r="N9" s="738"/>
      <c r="O9" s="738"/>
      <c r="P9" s="738"/>
      <c r="Q9" s="738"/>
      <c r="R9" s="738"/>
      <c r="S9" s="738"/>
      <c r="T9" s="738"/>
      <c r="U9" s="738"/>
      <c r="V9" s="738"/>
      <c r="W9" s="738"/>
      <c r="X9" s="738"/>
      <c r="Y9" s="738"/>
      <c r="Z9" s="738"/>
    </row>
    <row r="10">
      <c r="A10" s="741" t="s">
        <v>28</v>
      </c>
      <c r="B10" s="742" t="s">
        <v>403</v>
      </c>
      <c r="C10" s="743" t="s">
        <v>390</v>
      </c>
      <c r="D10" s="629"/>
      <c r="E10" s="630"/>
      <c r="F10" s="743" t="s">
        <v>391</v>
      </c>
      <c r="G10" s="629"/>
      <c r="H10" s="630"/>
      <c r="I10" s="744" t="s">
        <v>392</v>
      </c>
      <c r="J10" s="7"/>
      <c r="K10" s="9"/>
      <c r="L10" s="745" t="s">
        <v>393</v>
      </c>
      <c r="M10" s="7"/>
      <c r="N10" s="9"/>
      <c r="O10" s="745" t="s">
        <v>394</v>
      </c>
      <c r="P10" s="7"/>
      <c r="Q10" s="9"/>
      <c r="R10" s="745" t="s">
        <v>395</v>
      </c>
      <c r="S10" s="7"/>
      <c r="T10" s="9"/>
      <c r="U10" s="745" t="s">
        <v>396</v>
      </c>
      <c r="V10" s="7"/>
      <c r="W10" s="9"/>
      <c r="X10" s="738"/>
      <c r="Y10" s="738"/>
      <c r="Z10" s="738"/>
    </row>
    <row r="11">
      <c r="A11" s="388"/>
      <c r="B11" s="746"/>
      <c r="C11" s="747" t="s">
        <v>404</v>
      </c>
      <c r="D11" s="748" t="s">
        <v>405</v>
      </c>
      <c r="E11" s="749" t="s">
        <v>138</v>
      </c>
      <c r="F11" s="750" t="s">
        <v>404</v>
      </c>
      <c r="G11" s="751" t="s">
        <v>405</v>
      </c>
      <c r="H11" s="752" t="s">
        <v>138</v>
      </c>
      <c r="I11" s="753" t="s">
        <v>404</v>
      </c>
      <c r="J11" s="754" t="s">
        <v>405</v>
      </c>
      <c r="K11" s="754" t="s">
        <v>138</v>
      </c>
      <c r="L11" s="754" t="s">
        <v>404</v>
      </c>
      <c r="M11" s="754" t="s">
        <v>405</v>
      </c>
      <c r="N11" s="754" t="s">
        <v>138</v>
      </c>
      <c r="O11" s="754" t="s">
        <v>404</v>
      </c>
      <c r="P11" s="754" t="s">
        <v>405</v>
      </c>
      <c r="Q11" s="754" t="s">
        <v>138</v>
      </c>
      <c r="R11" s="754" t="s">
        <v>404</v>
      </c>
      <c r="S11" s="754" t="s">
        <v>405</v>
      </c>
      <c r="T11" s="754" t="s">
        <v>138</v>
      </c>
      <c r="U11" s="754" t="s">
        <v>404</v>
      </c>
      <c r="V11" s="754" t="s">
        <v>405</v>
      </c>
      <c r="W11" s="754" t="s">
        <v>138</v>
      </c>
      <c r="X11" s="755"/>
      <c r="Y11" s="755"/>
      <c r="Z11" s="755"/>
    </row>
    <row r="12">
      <c r="A12" s="756" t="s">
        <v>406</v>
      </c>
      <c r="B12" s="757" t="s">
        <v>407</v>
      </c>
      <c r="C12" s="758">
        <v>2491.0</v>
      </c>
      <c r="D12" s="759">
        <v>2865.0</v>
      </c>
      <c r="E12" s="760">
        <v>0.8695</v>
      </c>
      <c r="F12" s="761">
        <v>2225.0</v>
      </c>
      <c r="G12" s="762">
        <v>2321.0</v>
      </c>
      <c r="H12" s="763">
        <v>0.9586</v>
      </c>
      <c r="I12" s="764"/>
      <c r="J12" s="765"/>
      <c r="K12" s="765"/>
      <c r="L12" s="765"/>
      <c r="M12" s="765"/>
      <c r="N12" s="765"/>
      <c r="O12" s="765"/>
      <c r="P12" s="765"/>
      <c r="Q12" s="765"/>
      <c r="R12" s="765"/>
      <c r="S12" s="765"/>
      <c r="T12" s="765"/>
      <c r="U12" s="765"/>
      <c r="V12" s="765"/>
      <c r="W12" s="765"/>
      <c r="X12" s="738"/>
      <c r="Y12" s="738"/>
      <c r="Z12" s="738"/>
    </row>
    <row r="13">
      <c r="A13" s="766">
        <v>1.0</v>
      </c>
      <c r="B13" s="767" t="s">
        <v>42</v>
      </c>
      <c r="C13" s="768">
        <v>621.0</v>
      </c>
      <c r="D13" s="769">
        <v>670.0</v>
      </c>
      <c r="E13" s="770">
        <v>0.9269</v>
      </c>
      <c r="F13" s="771">
        <v>394.0</v>
      </c>
      <c r="G13" s="765">
        <v>417.0</v>
      </c>
      <c r="H13" s="772">
        <v>0.9448</v>
      </c>
      <c r="I13" s="773"/>
      <c r="J13" s="765"/>
      <c r="K13" s="765"/>
      <c r="L13" s="774"/>
      <c r="M13" s="765"/>
      <c r="N13" s="765"/>
      <c r="O13" s="774"/>
      <c r="P13" s="765"/>
      <c r="Q13" s="765"/>
      <c r="R13" s="774"/>
      <c r="S13" s="765"/>
      <c r="T13" s="765"/>
      <c r="U13" s="774"/>
      <c r="V13" s="765"/>
      <c r="W13" s="765"/>
      <c r="X13" s="738"/>
      <c r="Y13" s="738"/>
      <c r="Z13" s="738"/>
    </row>
    <row r="14">
      <c r="A14" s="766">
        <v>2.0</v>
      </c>
      <c r="B14" s="767" t="s">
        <v>43</v>
      </c>
      <c r="C14" s="768">
        <v>396.0</v>
      </c>
      <c r="D14" s="769">
        <v>462.0</v>
      </c>
      <c r="E14" s="770">
        <v>0.8571</v>
      </c>
      <c r="F14" s="771">
        <v>370.0</v>
      </c>
      <c r="G14" s="765">
        <v>384.0</v>
      </c>
      <c r="H14" s="772">
        <v>0.9635</v>
      </c>
      <c r="I14" s="773"/>
      <c r="J14" s="765"/>
      <c r="K14" s="765"/>
      <c r="L14" s="774"/>
      <c r="M14" s="765"/>
      <c r="N14" s="765"/>
      <c r="O14" s="774"/>
      <c r="P14" s="765"/>
      <c r="Q14" s="765"/>
      <c r="R14" s="774"/>
      <c r="S14" s="765"/>
      <c r="T14" s="765"/>
      <c r="U14" s="774"/>
      <c r="V14" s="765"/>
      <c r="W14" s="765"/>
      <c r="X14" s="738"/>
      <c r="Y14" s="738"/>
      <c r="Z14" s="738"/>
    </row>
    <row r="15">
      <c r="A15" s="766">
        <v>3.0</v>
      </c>
      <c r="B15" s="767" t="s">
        <v>44</v>
      </c>
      <c r="C15" s="768">
        <v>244.0</v>
      </c>
      <c r="D15" s="769">
        <v>289.0</v>
      </c>
      <c r="E15" s="770">
        <v>0.8443</v>
      </c>
      <c r="F15" s="771">
        <v>218.0</v>
      </c>
      <c r="G15" s="765">
        <v>232.0</v>
      </c>
      <c r="H15" s="772">
        <v>0.9397</v>
      </c>
      <c r="I15" s="773"/>
      <c r="J15" s="765"/>
      <c r="K15" s="765"/>
      <c r="L15" s="774"/>
      <c r="M15" s="765"/>
      <c r="N15" s="765"/>
      <c r="O15" s="774"/>
      <c r="P15" s="765"/>
      <c r="Q15" s="765"/>
      <c r="R15" s="774"/>
      <c r="S15" s="765"/>
      <c r="T15" s="765"/>
      <c r="U15" s="774"/>
      <c r="V15" s="765"/>
      <c r="W15" s="765"/>
      <c r="X15" s="738"/>
      <c r="Y15" s="738"/>
      <c r="Z15" s="738"/>
    </row>
    <row r="16">
      <c r="A16" s="766">
        <v>4.0</v>
      </c>
      <c r="B16" s="767" t="s">
        <v>45</v>
      </c>
      <c r="C16" s="768">
        <v>250.0</v>
      </c>
      <c r="D16" s="769">
        <v>286.0</v>
      </c>
      <c r="E16" s="770">
        <v>0.8741</v>
      </c>
      <c r="F16" s="771">
        <v>411.0</v>
      </c>
      <c r="G16" s="765">
        <v>423.0</v>
      </c>
      <c r="H16" s="772">
        <v>0.9716</v>
      </c>
      <c r="I16" s="773"/>
      <c r="J16" s="765"/>
      <c r="K16" s="765"/>
      <c r="L16" s="774"/>
      <c r="M16" s="765"/>
      <c r="N16" s="765"/>
      <c r="O16" s="774"/>
      <c r="P16" s="765"/>
      <c r="Q16" s="765"/>
      <c r="R16" s="774"/>
      <c r="S16" s="765"/>
      <c r="T16" s="765"/>
      <c r="U16" s="774"/>
      <c r="V16" s="765"/>
      <c r="W16" s="765"/>
      <c r="X16" s="738"/>
      <c r="Y16" s="738"/>
      <c r="Z16" s="738"/>
    </row>
    <row r="17">
      <c r="A17" s="766">
        <v>5.0</v>
      </c>
      <c r="B17" s="767" t="s">
        <v>47</v>
      </c>
      <c r="C17" s="768">
        <v>364.0</v>
      </c>
      <c r="D17" s="769">
        <v>413.0</v>
      </c>
      <c r="E17" s="770">
        <v>0.8814</v>
      </c>
      <c r="F17" s="771">
        <v>290.0</v>
      </c>
      <c r="G17" s="765">
        <v>294.0</v>
      </c>
      <c r="H17" s="772">
        <v>0.9864</v>
      </c>
      <c r="I17" s="773"/>
      <c r="J17" s="765"/>
      <c r="K17" s="765"/>
      <c r="L17" s="774"/>
      <c r="M17" s="765"/>
      <c r="N17" s="765"/>
      <c r="O17" s="774"/>
      <c r="P17" s="765"/>
      <c r="Q17" s="765"/>
      <c r="R17" s="774"/>
      <c r="S17" s="765"/>
      <c r="T17" s="765"/>
      <c r="U17" s="774"/>
      <c r="V17" s="765"/>
      <c r="W17" s="765"/>
      <c r="X17" s="738"/>
      <c r="Y17" s="738"/>
      <c r="Z17" s="738"/>
    </row>
    <row r="18">
      <c r="A18" s="766">
        <v>6.0</v>
      </c>
      <c r="B18" s="767" t="s">
        <v>48</v>
      </c>
      <c r="C18" s="768">
        <v>253.0</v>
      </c>
      <c r="D18" s="769">
        <v>318.0</v>
      </c>
      <c r="E18" s="770">
        <v>0.7956</v>
      </c>
      <c r="F18" s="771">
        <v>297.0</v>
      </c>
      <c r="G18" s="765">
        <v>316.0</v>
      </c>
      <c r="H18" s="772">
        <v>0.9399</v>
      </c>
      <c r="I18" s="773"/>
      <c r="J18" s="765"/>
      <c r="K18" s="765"/>
      <c r="L18" s="774"/>
      <c r="M18" s="765"/>
      <c r="N18" s="765"/>
      <c r="O18" s="774"/>
      <c r="P18" s="765"/>
      <c r="Q18" s="765"/>
      <c r="R18" s="774"/>
      <c r="S18" s="765"/>
      <c r="T18" s="765"/>
      <c r="U18" s="774"/>
      <c r="V18" s="765"/>
      <c r="W18" s="765"/>
      <c r="X18" s="738"/>
      <c r="Y18" s="738"/>
      <c r="Z18" s="738"/>
    </row>
    <row r="19">
      <c r="A19" s="766">
        <v>7.0</v>
      </c>
      <c r="B19" s="767" t="s">
        <v>49</v>
      </c>
      <c r="C19" s="779">
        <v>363.0</v>
      </c>
      <c r="D19" s="781">
        <v>427.0</v>
      </c>
      <c r="E19" s="782">
        <v>0.8501</v>
      </c>
      <c r="F19" s="783">
        <v>245.0</v>
      </c>
      <c r="G19" s="784">
        <v>255.0</v>
      </c>
      <c r="H19" s="785">
        <v>0.9608</v>
      </c>
      <c r="I19" s="773"/>
      <c r="J19" s="765"/>
      <c r="K19" s="765"/>
      <c r="L19" s="774"/>
      <c r="M19" s="765"/>
      <c r="N19" s="765"/>
      <c r="O19" s="774"/>
      <c r="P19" s="765"/>
      <c r="Q19" s="765"/>
      <c r="R19" s="774"/>
      <c r="S19" s="765"/>
      <c r="T19" s="765"/>
      <c r="U19" s="774"/>
      <c r="V19" s="765"/>
      <c r="W19" s="765"/>
      <c r="X19" s="738"/>
      <c r="Y19" s="738"/>
      <c r="Z19" s="738"/>
    </row>
    <row r="20">
      <c r="A20" s="738"/>
      <c r="B20" s="738"/>
      <c r="C20" s="738"/>
      <c r="D20" s="738"/>
      <c r="E20" s="738"/>
      <c r="F20" s="738"/>
      <c r="G20" s="738"/>
      <c r="H20" s="738"/>
      <c r="I20" s="738"/>
      <c r="J20" s="738"/>
      <c r="K20" s="738"/>
      <c r="L20" s="738"/>
      <c r="M20" s="738"/>
      <c r="N20" s="738"/>
      <c r="O20" s="738"/>
      <c r="P20" s="738"/>
      <c r="Q20" s="738"/>
      <c r="R20" s="738"/>
      <c r="S20" s="738"/>
      <c r="T20" s="738"/>
      <c r="U20" s="738"/>
      <c r="V20" s="738"/>
      <c r="W20" s="738"/>
      <c r="X20" s="738"/>
      <c r="Y20" s="738"/>
      <c r="Z20" s="738"/>
    </row>
    <row r="21">
      <c r="A21" s="738"/>
      <c r="B21" s="738"/>
      <c r="C21" s="738"/>
      <c r="D21" s="738"/>
      <c r="E21" s="738"/>
      <c r="F21" s="738"/>
      <c r="G21" s="738"/>
      <c r="H21" s="738"/>
      <c r="I21" s="738"/>
      <c r="J21" s="738"/>
      <c r="K21" s="738"/>
      <c r="L21" s="738"/>
      <c r="M21" s="738"/>
      <c r="N21" s="738"/>
      <c r="O21" s="738"/>
      <c r="P21" s="738"/>
      <c r="Q21" s="738"/>
      <c r="R21" s="738"/>
      <c r="S21" s="738"/>
      <c r="T21" s="738"/>
      <c r="U21" s="738"/>
      <c r="V21" s="738"/>
      <c r="W21" s="738"/>
      <c r="X21" s="738"/>
      <c r="Y21" s="738"/>
      <c r="Z21" s="738"/>
    </row>
    <row r="22">
      <c r="A22" s="738"/>
      <c r="B22" s="738"/>
      <c r="C22" s="738"/>
      <c r="D22" s="738"/>
      <c r="E22" s="738"/>
      <c r="F22" s="738"/>
      <c r="G22" s="738"/>
      <c r="H22" s="738"/>
      <c r="I22" s="738"/>
      <c r="J22" s="738"/>
      <c r="K22" s="738"/>
      <c r="L22" s="738"/>
      <c r="M22" s="738"/>
      <c r="N22" s="738"/>
      <c r="O22" s="738"/>
      <c r="P22" s="738"/>
      <c r="Q22" s="738"/>
      <c r="R22" s="738"/>
      <c r="S22" s="738"/>
      <c r="T22" s="738"/>
      <c r="U22" s="738"/>
      <c r="V22" s="738"/>
      <c r="W22" s="738"/>
      <c r="X22" s="738"/>
      <c r="Y22" s="738"/>
      <c r="Z22" s="738"/>
    </row>
    <row r="23">
      <c r="A23" s="738"/>
      <c r="B23" s="738"/>
      <c r="C23" s="738"/>
      <c r="D23" s="738"/>
      <c r="E23" s="738"/>
      <c r="F23" s="738"/>
      <c r="G23" s="738"/>
      <c r="H23" s="738"/>
      <c r="I23" s="738"/>
      <c r="J23" s="738"/>
      <c r="K23" s="738"/>
      <c r="L23" s="738"/>
      <c r="M23" s="738"/>
      <c r="N23" s="738"/>
      <c r="O23" s="738"/>
      <c r="P23" s="738"/>
      <c r="Q23" s="738"/>
      <c r="R23" s="738"/>
      <c r="S23" s="738"/>
      <c r="T23" s="738"/>
      <c r="U23" s="738"/>
      <c r="V23" s="738"/>
      <c r="W23" s="738"/>
      <c r="X23" s="738"/>
      <c r="Y23" s="738"/>
      <c r="Z23" s="738"/>
    </row>
    <row r="24">
      <c r="A24" s="738"/>
      <c r="B24" s="738"/>
      <c r="C24" s="738"/>
      <c r="D24" s="738"/>
      <c r="E24" s="738"/>
      <c r="F24" s="738"/>
      <c r="G24" s="738"/>
      <c r="H24" s="738"/>
      <c r="I24" s="738"/>
      <c r="J24" s="738"/>
      <c r="K24" s="738"/>
      <c r="L24" s="738"/>
      <c r="M24" s="738"/>
      <c r="N24" s="738"/>
      <c r="O24" s="738"/>
      <c r="P24" s="738"/>
      <c r="Q24" s="738"/>
      <c r="R24" s="738"/>
      <c r="S24" s="738"/>
      <c r="T24" s="738"/>
      <c r="U24" s="738"/>
      <c r="V24" s="738"/>
      <c r="W24" s="738"/>
      <c r="X24" s="738"/>
      <c r="Y24" s="738"/>
      <c r="Z24" s="738"/>
    </row>
    <row r="25">
      <c r="A25" s="738"/>
      <c r="B25" s="738"/>
      <c r="C25" s="738"/>
      <c r="D25" s="738"/>
      <c r="E25" s="738"/>
      <c r="F25" s="738"/>
      <c r="G25" s="738"/>
      <c r="H25" s="738"/>
      <c r="I25" s="738"/>
      <c r="J25" s="738"/>
      <c r="K25" s="738"/>
      <c r="L25" s="738"/>
      <c r="M25" s="738"/>
      <c r="N25" s="738"/>
      <c r="O25" s="738"/>
      <c r="P25" s="738"/>
      <c r="Q25" s="738"/>
      <c r="R25" s="738"/>
      <c r="S25" s="738"/>
      <c r="T25" s="738"/>
      <c r="U25" s="738"/>
      <c r="V25" s="738"/>
      <c r="W25" s="738"/>
      <c r="X25" s="738"/>
      <c r="Y25" s="738"/>
      <c r="Z25" s="738"/>
    </row>
    <row r="26">
      <c r="A26" s="738"/>
      <c r="B26" s="738"/>
      <c r="C26" s="738"/>
      <c r="D26" s="738"/>
      <c r="E26" s="738"/>
      <c r="F26" s="738"/>
      <c r="G26" s="738"/>
      <c r="H26" s="738"/>
      <c r="I26" s="738"/>
      <c r="J26" s="738"/>
      <c r="K26" s="738"/>
      <c r="L26" s="738"/>
      <c r="M26" s="738"/>
      <c r="N26" s="738"/>
      <c r="O26" s="738"/>
      <c r="P26" s="738"/>
      <c r="Q26" s="738"/>
      <c r="R26" s="738"/>
      <c r="S26" s="738"/>
      <c r="T26" s="738"/>
      <c r="U26" s="738"/>
      <c r="V26" s="738"/>
      <c r="W26" s="738"/>
      <c r="X26" s="738"/>
      <c r="Y26" s="738"/>
      <c r="Z26" s="738"/>
    </row>
    <row r="27">
      <c r="A27" s="738"/>
      <c r="B27" s="738"/>
      <c r="C27" s="738"/>
      <c r="D27" s="738"/>
      <c r="E27" s="738"/>
      <c r="F27" s="738"/>
      <c r="G27" s="738"/>
      <c r="H27" s="738"/>
      <c r="I27" s="738"/>
      <c r="J27" s="738"/>
      <c r="K27" s="738"/>
      <c r="L27" s="738"/>
      <c r="M27" s="738"/>
      <c r="N27" s="738"/>
      <c r="O27" s="738"/>
      <c r="P27" s="738"/>
      <c r="Q27" s="738"/>
      <c r="R27" s="738"/>
      <c r="S27" s="738"/>
      <c r="T27" s="738"/>
      <c r="U27" s="738"/>
      <c r="V27" s="738"/>
      <c r="W27" s="738"/>
      <c r="X27" s="738"/>
      <c r="Y27" s="738"/>
      <c r="Z27" s="738"/>
    </row>
    <row r="28">
      <c r="A28" s="738"/>
      <c r="B28" s="738"/>
      <c r="C28" s="738"/>
      <c r="D28" s="738"/>
      <c r="E28" s="738"/>
      <c r="F28" s="738"/>
      <c r="G28" s="738"/>
      <c r="H28" s="738"/>
      <c r="I28" s="738"/>
      <c r="J28" s="738"/>
      <c r="K28" s="738"/>
      <c r="L28" s="738"/>
      <c r="M28" s="738"/>
      <c r="N28" s="738"/>
      <c r="O28" s="738"/>
      <c r="P28" s="738"/>
      <c r="Q28" s="738"/>
      <c r="R28" s="738"/>
      <c r="S28" s="738"/>
      <c r="T28" s="738"/>
      <c r="U28" s="738"/>
      <c r="V28" s="738"/>
      <c r="W28" s="738"/>
      <c r="X28" s="738"/>
      <c r="Y28" s="738"/>
      <c r="Z28" s="738"/>
    </row>
    <row r="29">
      <c r="A29" s="738"/>
      <c r="B29" s="738"/>
      <c r="C29" s="738"/>
      <c r="D29" s="738"/>
      <c r="E29" s="738"/>
      <c r="F29" s="738"/>
      <c r="G29" s="738"/>
      <c r="H29" s="738"/>
      <c r="I29" s="738"/>
      <c r="J29" s="738"/>
      <c r="K29" s="738"/>
      <c r="L29" s="738"/>
      <c r="M29" s="738"/>
      <c r="N29" s="738"/>
      <c r="O29" s="738"/>
      <c r="P29" s="738"/>
      <c r="Q29" s="738"/>
      <c r="R29" s="738"/>
      <c r="S29" s="738"/>
      <c r="T29" s="738"/>
      <c r="U29" s="738"/>
      <c r="V29" s="738"/>
      <c r="W29" s="738"/>
      <c r="X29" s="738"/>
      <c r="Y29" s="738"/>
      <c r="Z29" s="738"/>
    </row>
    <row r="30">
      <c r="A30" s="738"/>
      <c r="B30" s="738"/>
      <c r="C30" s="738"/>
      <c r="D30" s="738"/>
      <c r="E30" s="738"/>
      <c r="F30" s="738"/>
      <c r="G30" s="738"/>
      <c r="H30" s="738"/>
      <c r="I30" s="738"/>
      <c r="J30" s="738"/>
      <c r="K30" s="738"/>
      <c r="L30" s="738"/>
      <c r="M30" s="738"/>
      <c r="N30" s="738"/>
      <c r="O30" s="738"/>
      <c r="P30" s="738"/>
      <c r="Q30" s="738"/>
      <c r="R30" s="738"/>
      <c r="S30" s="738"/>
      <c r="T30" s="738"/>
      <c r="U30" s="738"/>
      <c r="V30" s="738"/>
      <c r="W30" s="738"/>
      <c r="X30" s="738"/>
      <c r="Y30" s="738"/>
      <c r="Z30" s="738"/>
    </row>
    <row r="31">
      <c r="A31" s="738"/>
      <c r="B31" s="738"/>
      <c r="C31" s="738"/>
      <c r="D31" s="738"/>
      <c r="E31" s="738"/>
      <c r="F31" s="738"/>
      <c r="G31" s="738"/>
      <c r="H31" s="738"/>
      <c r="I31" s="738"/>
      <c r="J31" s="738"/>
      <c r="K31" s="738"/>
      <c r="L31" s="738"/>
      <c r="M31" s="738"/>
      <c r="N31" s="738"/>
      <c r="O31" s="738"/>
      <c r="P31" s="738"/>
      <c r="Q31" s="738"/>
      <c r="R31" s="738"/>
      <c r="S31" s="738"/>
      <c r="T31" s="738"/>
      <c r="U31" s="738"/>
      <c r="V31" s="738"/>
      <c r="W31" s="738"/>
      <c r="X31" s="738"/>
      <c r="Y31" s="738"/>
      <c r="Z31" s="738"/>
    </row>
    <row r="32">
      <c r="A32" s="738"/>
      <c r="B32" s="738"/>
      <c r="C32" s="738"/>
      <c r="D32" s="738"/>
      <c r="E32" s="738"/>
      <c r="F32" s="738"/>
      <c r="G32" s="738"/>
      <c r="H32" s="738"/>
      <c r="I32" s="738"/>
      <c r="J32" s="738"/>
      <c r="K32" s="738"/>
      <c r="L32" s="738"/>
      <c r="M32" s="738"/>
      <c r="N32" s="738"/>
      <c r="O32" s="738"/>
      <c r="P32" s="738"/>
      <c r="Q32" s="738"/>
      <c r="R32" s="738"/>
      <c r="S32" s="738"/>
      <c r="T32" s="738"/>
      <c r="U32" s="738"/>
      <c r="V32" s="738"/>
      <c r="W32" s="738"/>
      <c r="X32" s="738"/>
      <c r="Y32" s="738"/>
      <c r="Z32" s="738"/>
    </row>
    <row r="33">
      <c r="A33" s="738"/>
      <c r="B33" s="738"/>
      <c r="C33" s="738"/>
      <c r="D33" s="738"/>
      <c r="E33" s="738"/>
      <c r="F33" s="738"/>
      <c r="G33" s="738"/>
      <c r="H33" s="738"/>
      <c r="I33" s="738"/>
      <c r="J33" s="738"/>
      <c r="K33" s="738"/>
      <c r="L33" s="738"/>
      <c r="M33" s="738"/>
      <c r="N33" s="738"/>
      <c r="O33" s="738"/>
      <c r="P33" s="738"/>
      <c r="Q33" s="738"/>
      <c r="R33" s="738"/>
      <c r="S33" s="738"/>
      <c r="T33" s="738"/>
      <c r="U33" s="738"/>
      <c r="V33" s="738"/>
      <c r="W33" s="738"/>
      <c r="X33" s="738"/>
      <c r="Y33" s="738"/>
      <c r="Z33" s="738"/>
    </row>
    <row r="34">
      <c r="A34" s="738"/>
      <c r="B34" s="738"/>
      <c r="C34" s="738"/>
      <c r="D34" s="738"/>
      <c r="E34" s="738"/>
      <c r="F34" s="738"/>
      <c r="G34" s="738"/>
      <c r="H34" s="738"/>
      <c r="I34" s="738"/>
      <c r="J34" s="738"/>
      <c r="K34" s="738"/>
      <c r="L34" s="738"/>
      <c r="M34" s="738"/>
      <c r="N34" s="738"/>
      <c r="O34" s="738"/>
      <c r="P34" s="738"/>
      <c r="Q34" s="738"/>
      <c r="R34" s="738"/>
      <c r="S34" s="738"/>
      <c r="T34" s="738"/>
      <c r="U34" s="738"/>
      <c r="V34" s="738"/>
      <c r="W34" s="738"/>
      <c r="X34" s="738"/>
      <c r="Y34" s="738"/>
      <c r="Z34" s="738"/>
    </row>
    <row r="35">
      <c r="A35" s="738"/>
      <c r="B35" s="738"/>
      <c r="C35" s="738"/>
      <c r="D35" s="738"/>
      <c r="E35" s="738"/>
      <c r="F35" s="738"/>
      <c r="G35" s="738"/>
      <c r="H35" s="738"/>
      <c r="I35" s="738"/>
      <c r="J35" s="738"/>
      <c r="K35" s="738"/>
      <c r="L35" s="738"/>
      <c r="M35" s="738"/>
      <c r="N35" s="738"/>
      <c r="O35" s="738"/>
      <c r="P35" s="738"/>
      <c r="Q35" s="738"/>
      <c r="R35" s="738"/>
      <c r="S35" s="738"/>
      <c r="T35" s="738"/>
      <c r="U35" s="738"/>
      <c r="V35" s="738"/>
      <c r="W35" s="738"/>
      <c r="X35" s="738"/>
      <c r="Y35" s="738"/>
      <c r="Z35" s="738"/>
    </row>
    <row r="36">
      <c r="A36" s="738"/>
      <c r="B36" s="738"/>
      <c r="C36" s="738"/>
      <c r="D36" s="738"/>
      <c r="E36" s="738"/>
      <c r="F36" s="738"/>
      <c r="G36" s="738"/>
      <c r="H36" s="738"/>
      <c r="I36" s="738"/>
      <c r="J36" s="738"/>
      <c r="K36" s="738"/>
      <c r="L36" s="738"/>
      <c r="M36" s="738"/>
      <c r="N36" s="738"/>
      <c r="O36" s="738"/>
      <c r="P36" s="738"/>
      <c r="Q36" s="738"/>
      <c r="R36" s="738"/>
      <c r="S36" s="738"/>
      <c r="T36" s="738"/>
      <c r="U36" s="738"/>
      <c r="V36" s="738"/>
      <c r="W36" s="738"/>
      <c r="X36" s="738"/>
      <c r="Y36" s="738"/>
      <c r="Z36" s="738"/>
    </row>
    <row r="37">
      <c r="A37" s="738"/>
      <c r="B37" s="738"/>
      <c r="C37" s="738"/>
      <c r="D37" s="738"/>
      <c r="E37" s="738"/>
      <c r="F37" s="738"/>
      <c r="G37" s="738"/>
      <c r="H37" s="738"/>
      <c r="I37" s="738"/>
      <c r="J37" s="738"/>
      <c r="K37" s="738"/>
      <c r="L37" s="738"/>
      <c r="M37" s="738"/>
      <c r="N37" s="738"/>
      <c r="O37" s="738"/>
      <c r="P37" s="738"/>
      <c r="Q37" s="738"/>
      <c r="R37" s="738"/>
      <c r="S37" s="738"/>
      <c r="T37" s="738"/>
      <c r="U37" s="738"/>
      <c r="V37" s="738"/>
      <c r="W37" s="738"/>
      <c r="X37" s="738"/>
      <c r="Y37" s="738"/>
      <c r="Z37" s="738"/>
    </row>
    <row r="38">
      <c r="A38" s="738"/>
      <c r="B38" s="738"/>
      <c r="C38" s="738"/>
      <c r="D38" s="738"/>
      <c r="E38" s="738"/>
      <c r="F38" s="738"/>
      <c r="G38" s="738"/>
      <c r="H38" s="738"/>
      <c r="I38" s="738"/>
      <c r="J38" s="738"/>
      <c r="K38" s="738"/>
      <c r="L38" s="738"/>
      <c r="M38" s="738"/>
      <c r="N38" s="738"/>
      <c r="O38" s="738"/>
      <c r="P38" s="738"/>
      <c r="Q38" s="738"/>
      <c r="R38" s="738"/>
      <c r="S38" s="738"/>
      <c r="T38" s="738"/>
      <c r="U38" s="738"/>
      <c r="V38" s="738"/>
      <c r="W38" s="738"/>
      <c r="X38" s="738"/>
      <c r="Y38" s="738"/>
      <c r="Z38" s="738"/>
    </row>
    <row r="39">
      <c r="A39" s="738"/>
      <c r="B39" s="738"/>
      <c r="C39" s="738"/>
      <c r="D39" s="738"/>
      <c r="E39" s="738"/>
      <c r="F39" s="738"/>
      <c r="G39" s="738"/>
      <c r="H39" s="738"/>
      <c r="I39" s="738"/>
      <c r="J39" s="738"/>
      <c r="K39" s="738"/>
      <c r="L39" s="738"/>
      <c r="M39" s="738"/>
      <c r="N39" s="738"/>
      <c r="O39" s="738"/>
      <c r="P39" s="738"/>
      <c r="Q39" s="738"/>
      <c r="R39" s="738"/>
      <c r="S39" s="738"/>
      <c r="T39" s="738"/>
      <c r="U39" s="738"/>
      <c r="V39" s="738"/>
      <c r="W39" s="738"/>
      <c r="X39" s="738"/>
      <c r="Y39" s="738"/>
      <c r="Z39" s="738"/>
    </row>
    <row r="40">
      <c r="A40" s="738"/>
      <c r="B40" s="738"/>
      <c r="C40" s="738"/>
      <c r="D40" s="738"/>
      <c r="E40" s="738"/>
      <c r="F40" s="738"/>
      <c r="G40" s="738"/>
      <c r="H40" s="738"/>
      <c r="I40" s="738"/>
      <c r="J40" s="738"/>
      <c r="K40" s="738"/>
      <c r="L40" s="738"/>
      <c r="M40" s="738"/>
      <c r="N40" s="738"/>
      <c r="O40" s="738"/>
      <c r="P40" s="738"/>
      <c r="Q40" s="738"/>
      <c r="R40" s="738"/>
      <c r="S40" s="738"/>
      <c r="T40" s="738"/>
      <c r="U40" s="738"/>
      <c r="V40" s="738"/>
      <c r="W40" s="738"/>
      <c r="X40" s="738"/>
      <c r="Y40" s="738"/>
      <c r="Z40" s="738"/>
    </row>
    <row r="41">
      <c r="A41" s="738"/>
      <c r="B41" s="738"/>
      <c r="C41" s="738"/>
      <c r="D41" s="738"/>
      <c r="E41" s="738"/>
      <c r="F41" s="738"/>
      <c r="G41" s="738"/>
      <c r="H41" s="738"/>
      <c r="I41" s="738"/>
      <c r="J41" s="738"/>
      <c r="K41" s="738"/>
      <c r="L41" s="738"/>
      <c r="M41" s="738"/>
      <c r="N41" s="738"/>
      <c r="O41" s="738"/>
      <c r="P41" s="738"/>
      <c r="Q41" s="738"/>
      <c r="R41" s="738"/>
      <c r="S41" s="738"/>
      <c r="T41" s="738"/>
      <c r="U41" s="738"/>
      <c r="V41" s="738"/>
      <c r="W41" s="738"/>
      <c r="X41" s="738"/>
      <c r="Y41" s="738"/>
      <c r="Z41" s="738"/>
    </row>
    <row r="42">
      <c r="A42" s="738"/>
      <c r="B42" s="738"/>
      <c r="C42" s="738"/>
      <c r="D42" s="738"/>
      <c r="E42" s="738"/>
      <c r="F42" s="738"/>
      <c r="G42" s="738"/>
      <c r="H42" s="738"/>
      <c r="I42" s="738"/>
      <c r="J42" s="738"/>
      <c r="K42" s="738"/>
      <c r="L42" s="738"/>
      <c r="M42" s="738"/>
      <c r="N42" s="738"/>
      <c r="O42" s="738"/>
      <c r="P42" s="738"/>
      <c r="Q42" s="738"/>
      <c r="R42" s="738"/>
      <c r="S42" s="738"/>
      <c r="T42" s="738"/>
      <c r="U42" s="738"/>
      <c r="V42" s="738"/>
      <c r="W42" s="738"/>
      <c r="X42" s="738"/>
      <c r="Y42" s="738"/>
      <c r="Z42" s="738"/>
    </row>
    <row r="43">
      <c r="A43" s="738"/>
      <c r="B43" s="738"/>
      <c r="C43" s="738"/>
      <c r="D43" s="738"/>
      <c r="E43" s="738"/>
      <c r="F43" s="738"/>
      <c r="G43" s="738"/>
      <c r="H43" s="738"/>
      <c r="I43" s="738"/>
      <c r="J43" s="738"/>
      <c r="K43" s="738"/>
      <c r="L43" s="738"/>
      <c r="M43" s="738"/>
      <c r="N43" s="738"/>
      <c r="O43" s="738"/>
      <c r="P43" s="738"/>
      <c r="Q43" s="738"/>
      <c r="R43" s="738"/>
      <c r="S43" s="738"/>
      <c r="T43" s="738"/>
      <c r="U43" s="738"/>
      <c r="V43" s="738"/>
      <c r="W43" s="738"/>
      <c r="X43" s="738"/>
      <c r="Y43" s="738"/>
      <c r="Z43" s="738"/>
    </row>
    <row r="44">
      <c r="A44" s="738"/>
      <c r="B44" s="738"/>
      <c r="C44" s="738"/>
      <c r="D44" s="738"/>
      <c r="E44" s="738"/>
      <c r="F44" s="738"/>
      <c r="G44" s="738"/>
      <c r="H44" s="738"/>
      <c r="I44" s="738"/>
      <c r="J44" s="738"/>
      <c r="K44" s="738"/>
      <c r="L44" s="738"/>
      <c r="M44" s="738"/>
      <c r="N44" s="738"/>
      <c r="O44" s="738"/>
      <c r="P44" s="738"/>
      <c r="Q44" s="738"/>
      <c r="R44" s="738"/>
      <c r="S44" s="738"/>
      <c r="T44" s="738"/>
      <c r="U44" s="738"/>
      <c r="V44" s="738"/>
      <c r="W44" s="738"/>
      <c r="X44" s="738"/>
      <c r="Y44" s="738"/>
      <c r="Z44" s="738"/>
    </row>
    <row r="45">
      <c r="A45" s="738"/>
      <c r="B45" s="738"/>
      <c r="C45" s="738"/>
      <c r="D45" s="738"/>
      <c r="E45" s="738"/>
      <c r="F45" s="738"/>
      <c r="G45" s="738"/>
      <c r="H45" s="738"/>
      <c r="I45" s="738"/>
      <c r="J45" s="738"/>
      <c r="K45" s="738"/>
      <c r="L45" s="738"/>
      <c r="M45" s="738"/>
      <c r="N45" s="738"/>
      <c r="O45" s="738"/>
      <c r="P45" s="738"/>
      <c r="Q45" s="738"/>
      <c r="R45" s="738"/>
      <c r="S45" s="738"/>
      <c r="T45" s="738"/>
      <c r="U45" s="738"/>
      <c r="V45" s="738"/>
      <c r="W45" s="738"/>
      <c r="X45" s="738"/>
      <c r="Y45" s="738"/>
      <c r="Z45" s="738"/>
    </row>
    <row r="46">
      <c r="A46" s="738"/>
      <c r="B46" s="738"/>
      <c r="C46" s="738"/>
      <c r="D46" s="738"/>
      <c r="E46" s="738"/>
      <c r="F46" s="738"/>
      <c r="G46" s="738"/>
      <c r="H46" s="738"/>
      <c r="I46" s="738"/>
      <c r="J46" s="738"/>
      <c r="K46" s="738"/>
      <c r="L46" s="738"/>
      <c r="M46" s="738"/>
      <c r="N46" s="738"/>
      <c r="O46" s="738"/>
      <c r="P46" s="738"/>
      <c r="Q46" s="738"/>
      <c r="R46" s="738"/>
      <c r="S46" s="738"/>
      <c r="T46" s="738"/>
      <c r="U46" s="738"/>
      <c r="V46" s="738"/>
      <c r="W46" s="738"/>
      <c r="X46" s="738"/>
      <c r="Y46" s="738"/>
      <c r="Z46" s="738"/>
    </row>
    <row r="47">
      <c r="A47" s="738"/>
      <c r="B47" s="738"/>
      <c r="C47" s="738"/>
      <c r="D47" s="738"/>
      <c r="E47" s="738"/>
      <c r="F47" s="738"/>
      <c r="G47" s="738"/>
      <c r="H47" s="738"/>
      <c r="I47" s="738"/>
      <c r="J47" s="738"/>
      <c r="K47" s="738"/>
      <c r="L47" s="738"/>
      <c r="M47" s="738"/>
      <c r="N47" s="738"/>
      <c r="O47" s="738"/>
      <c r="P47" s="738"/>
      <c r="Q47" s="738"/>
      <c r="R47" s="738"/>
      <c r="S47" s="738"/>
      <c r="T47" s="738"/>
      <c r="U47" s="738"/>
      <c r="V47" s="738"/>
      <c r="W47" s="738"/>
      <c r="X47" s="738"/>
      <c r="Y47" s="738"/>
      <c r="Z47" s="738"/>
    </row>
    <row r="48">
      <c r="A48" s="738"/>
      <c r="B48" s="738"/>
      <c r="C48" s="738"/>
      <c r="D48" s="738"/>
      <c r="E48" s="738"/>
      <c r="F48" s="738"/>
      <c r="G48" s="738"/>
      <c r="H48" s="738"/>
      <c r="I48" s="738"/>
      <c r="J48" s="738"/>
      <c r="K48" s="738"/>
      <c r="L48" s="738"/>
      <c r="M48" s="738"/>
      <c r="N48" s="738"/>
      <c r="O48" s="738"/>
      <c r="P48" s="738"/>
      <c r="Q48" s="738"/>
      <c r="R48" s="738"/>
      <c r="S48" s="738"/>
      <c r="T48" s="738"/>
      <c r="U48" s="738"/>
      <c r="V48" s="738"/>
      <c r="W48" s="738"/>
      <c r="X48" s="738"/>
      <c r="Y48" s="738"/>
      <c r="Z48" s="738"/>
    </row>
    <row r="49">
      <c r="A49" s="738"/>
      <c r="B49" s="738"/>
      <c r="C49" s="738"/>
      <c r="D49" s="738"/>
      <c r="E49" s="738"/>
      <c r="F49" s="738"/>
      <c r="G49" s="738"/>
      <c r="H49" s="738"/>
      <c r="I49" s="738"/>
      <c r="J49" s="738"/>
      <c r="K49" s="738"/>
      <c r="L49" s="738"/>
      <c r="M49" s="738"/>
      <c r="N49" s="738"/>
      <c r="O49" s="738"/>
      <c r="P49" s="738"/>
      <c r="Q49" s="738"/>
      <c r="R49" s="738"/>
      <c r="S49" s="738"/>
      <c r="T49" s="738"/>
      <c r="U49" s="738"/>
      <c r="V49" s="738"/>
      <c r="W49" s="738"/>
      <c r="X49" s="738"/>
      <c r="Y49" s="738"/>
      <c r="Z49" s="738"/>
    </row>
    <row r="50">
      <c r="A50" s="738"/>
      <c r="B50" s="738"/>
      <c r="C50" s="738"/>
      <c r="D50" s="738"/>
      <c r="E50" s="738"/>
      <c r="F50" s="738"/>
      <c r="G50" s="738"/>
      <c r="H50" s="738"/>
      <c r="I50" s="738"/>
      <c r="J50" s="738"/>
      <c r="K50" s="738"/>
      <c r="L50" s="738"/>
      <c r="M50" s="738"/>
      <c r="N50" s="738"/>
      <c r="O50" s="738"/>
      <c r="P50" s="738"/>
      <c r="Q50" s="738"/>
      <c r="R50" s="738"/>
      <c r="S50" s="738"/>
      <c r="T50" s="738"/>
      <c r="U50" s="738"/>
      <c r="V50" s="738"/>
      <c r="W50" s="738"/>
      <c r="X50" s="738"/>
      <c r="Y50" s="738"/>
      <c r="Z50" s="738"/>
    </row>
    <row r="51">
      <c r="A51" s="738"/>
      <c r="B51" s="738"/>
      <c r="C51" s="738"/>
      <c r="D51" s="738"/>
      <c r="E51" s="738"/>
      <c r="F51" s="738"/>
      <c r="G51" s="738"/>
      <c r="H51" s="738"/>
      <c r="I51" s="738"/>
      <c r="J51" s="738"/>
      <c r="K51" s="738"/>
      <c r="L51" s="738"/>
      <c r="M51" s="738"/>
      <c r="N51" s="738"/>
      <c r="O51" s="738"/>
      <c r="P51" s="738"/>
      <c r="Q51" s="738"/>
      <c r="R51" s="738"/>
      <c r="S51" s="738"/>
      <c r="T51" s="738"/>
      <c r="U51" s="738"/>
      <c r="V51" s="738"/>
      <c r="W51" s="738"/>
      <c r="X51" s="738"/>
      <c r="Y51" s="738"/>
      <c r="Z51" s="738"/>
    </row>
    <row r="52">
      <c r="A52" s="738"/>
      <c r="B52" s="738"/>
      <c r="C52" s="738"/>
      <c r="D52" s="738"/>
      <c r="E52" s="738"/>
      <c r="F52" s="738"/>
      <c r="G52" s="738"/>
      <c r="H52" s="738"/>
      <c r="I52" s="738"/>
      <c r="J52" s="738"/>
      <c r="K52" s="738"/>
      <c r="L52" s="738"/>
      <c r="M52" s="738"/>
      <c r="N52" s="738"/>
      <c r="O52" s="738"/>
      <c r="P52" s="738"/>
      <c r="Q52" s="738"/>
      <c r="R52" s="738"/>
      <c r="S52" s="738"/>
      <c r="T52" s="738"/>
      <c r="U52" s="738"/>
      <c r="V52" s="738"/>
      <c r="W52" s="738"/>
      <c r="X52" s="738"/>
      <c r="Y52" s="738"/>
      <c r="Z52" s="738"/>
    </row>
    <row r="53">
      <c r="A53" s="738"/>
      <c r="B53" s="738"/>
      <c r="C53" s="738"/>
      <c r="D53" s="738"/>
      <c r="E53" s="738"/>
      <c r="F53" s="738"/>
      <c r="G53" s="738"/>
      <c r="H53" s="738"/>
      <c r="I53" s="738"/>
      <c r="J53" s="738"/>
      <c r="K53" s="738"/>
      <c r="L53" s="738"/>
      <c r="M53" s="738"/>
      <c r="N53" s="738"/>
      <c r="O53" s="738"/>
      <c r="P53" s="738"/>
      <c r="Q53" s="738"/>
      <c r="R53" s="738"/>
      <c r="S53" s="738"/>
      <c r="T53" s="738"/>
      <c r="U53" s="738"/>
      <c r="V53" s="738"/>
      <c r="W53" s="738"/>
      <c r="X53" s="738"/>
      <c r="Y53" s="738"/>
      <c r="Z53" s="738"/>
    </row>
    <row r="54">
      <c r="A54" s="738"/>
      <c r="B54" s="738"/>
      <c r="C54" s="738"/>
      <c r="D54" s="738"/>
      <c r="E54" s="738"/>
      <c r="F54" s="738"/>
      <c r="G54" s="738"/>
      <c r="H54" s="738"/>
      <c r="I54" s="738"/>
      <c r="J54" s="738"/>
      <c r="K54" s="738"/>
      <c r="L54" s="738"/>
      <c r="M54" s="738"/>
      <c r="N54" s="738"/>
      <c r="O54" s="738"/>
      <c r="P54" s="738"/>
      <c r="Q54" s="738"/>
      <c r="R54" s="738"/>
      <c r="S54" s="738"/>
      <c r="T54" s="738"/>
      <c r="U54" s="738"/>
      <c r="V54" s="738"/>
      <c r="W54" s="738"/>
      <c r="X54" s="738"/>
      <c r="Y54" s="738"/>
      <c r="Z54" s="738"/>
    </row>
    <row r="55">
      <c r="A55" s="738"/>
      <c r="B55" s="738"/>
      <c r="C55" s="738"/>
      <c r="D55" s="738"/>
      <c r="E55" s="738"/>
      <c r="F55" s="738"/>
      <c r="G55" s="738"/>
      <c r="H55" s="738"/>
      <c r="I55" s="738"/>
      <c r="J55" s="738"/>
      <c r="K55" s="738"/>
      <c r="L55" s="738"/>
      <c r="M55" s="738"/>
      <c r="N55" s="738"/>
      <c r="O55" s="738"/>
      <c r="P55" s="738"/>
      <c r="Q55" s="738"/>
      <c r="R55" s="738"/>
      <c r="S55" s="738"/>
      <c r="T55" s="738"/>
      <c r="U55" s="738"/>
      <c r="V55" s="738"/>
      <c r="W55" s="738"/>
      <c r="X55" s="738"/>
      <c r="Y55" s="738"/>
      <c r="Z55" s="738"/>
    </row>
    <row r="56">
      <c r="A56" s="738"/>
      <c r="B56" s="738"/>
      <c r="C56" s="738"/>
      <c r="D56" s="738"/>
      <c r="E56" s="738"/>
      <c r="F56" s="738"/>
      <c r="G56" s="738"/>
      <c r="H56" s="738"/>
      <c r="I56" s="738"/>
      <c r="J56" s="738"/>
      <c r="K56" s="738"/>
      <c r="L56" s="738"/>
      <c r="M56" s="738"/>
      <c r="N56" s="738"/>
      <c r="O56" s="738"/>
      <c r="P56" s="738"/>
      <c r="Q56" s="738"/>
      <c r="R56" s="738"/>
      <c r="S56" s="738"/>
      <c r="T56" s="738"/>
      <c r="U56" s="738"/>
      <c r="V56" s="738"/>
      <c r="W56" s="738"/>
      <c r="X56" s="738"/>
      <c r="Y56" s="738"/>
      <c r="Z56" s="738"/>
    </row>
    <row r="57">
      <c r="A57" s="738"/>
      <c r="B57" s="738"/>
      <c r="C57" s="738"/>
      <c r="D57" s="738"/>
      <c r="E57" s="738"/>
      <c r="F57" s="738"/>
      <c r="G57" s="738"/>
      <c r="H57" s="738"/>
      <c r="I57" s="738"/>
      <c r="J57" s="738"/>
      <c r="K57" s="738"/>
      <c r="L57" s="738"/>
      <c r="M57" s="738"/>
      <c r="N57" s="738"/>
      <c r="O57" s="738"/>
      <c r="P57" s="738"/>
      <c r="Q57" s="738"/>
      <c r="R57" s="738"/>
      <c r="S57" s="738"/>
      <c r="T57" s="738"/>
      <c r="U57" s="738"/>
      <c r="V57" s="738"/>
      <c r="W57" s="738"/>
      <c r="X57" s="738"/>
      <c r="Y57" s="738"/>
      <c r="Z57" s="738"/>
    </row>
    <row r="58">
      <c r="A58" s="738"/>
      <c r="B58" s="738"/>
      <c r="C58" s="738"/>
      <c r="D58" s="738"/>
      <c r="E58" s="738"/>
      <c r="F58" s="738"/>
      <c r="G58" s="738"/>
      <c r="H58" s="738"/>
      <c r="I58" s="738"/>
      <c r="J58" s="738"/>
      <c r="K58" s="738"/>
      <c r="L58" s="738"/>
      <c r="M58" s="738"/>
      <c r="N58" s="738"/>
      <c r="O58" s="738"/>
      <c r="P58" s="738"/>
      <c r="Q58" s="738"/>
      <c r="R58" s="738"/>
      <c r="S58" s="738"/>
      <c r="T58" s="738"/>
      <c r="U58" s="738"/>
      <c r="V58" s="738"/>
      <c r="W58" s="738"/>
      <c r="X58" s="738"/>
      <c r="Y58" s="738"/>
      <c r="Z58" s="738"/>
    </row>
    <row r="59">
      <c r="A59" s="738"/>
      <c r="B59" s="738"/>
      <c r="C59" s="738"/>
      <c r="D59" s="738"/>
      <c r="E59" s="738"/>
      <c r="F59" s="738"/>
      <c r="G59" s="738"/>
      <c r="H59" s="738"/>
      <c r="I59" s="738"/>
      <c r="J59" s="738"/>
      <c r="K59" s="738"/>
      <c r="L59" s="738"/>
      <c r="M59" s="738"/>
      <c r="N59" s="738"/>
      <c r="O59" s="738"/>
      <c r="P59" s="738"/>
      <c r="Q59" s="738"/>
      <c r="R59" s="738"/>
      <c r="S59" s="738"/>
      <c r="T59" s="738"/>
      <c r="U59" s="738"/>
      <c r="V59" s="738"/>
      <c r="W59" s="738"/>
      <c r="X59" s="738"/>
      <c r="Y59" s="738"/>
      <c r="Z59" s="738"/>
    </row>
    <row r="60">
      <c r="A60" s="738"/>
      <c r="B60" s="738"/>
      <c r="C60" s="738"/>
      <c r="D60" s="738"/>
      <c r="E60" s="738"/>
      <c r="F60" s="738"/>
      <c r="G60" s="738"/>
      <c r="H60" s="738"/>
      <c r="I60" s="738"/>
      <c r="J60" s="738"/>
      <c r="K60" s="738"/>
      <c r="L60" s="738"/>
      <c r="M60" s="738"/>
      <c r="N60" s="738"/>
      <c r="O60" s="738"/>
      <c r="P60" s="738"/>
      <c r="Q60" s="738"/>
      <c r="R60" s="738"/>
      <c r="S60" s="738"/>
      <c r="T60" s="738"/>
      <c r="U60" s="738"/>
      <c r="V60" s="738"/>
      <c r="W60" s="738"/>
      <c r="X60" s="738"/>
      <c r="Y60" s="738"/>
      <c r="Z60" s="738"/>
    </row>
    <row r="61">
      <c r="A61" s="738"/>
      <c r="B61" s="738"/>
      <c r="C61" s="738"/>
      <c r="D61" s="738"/>
      <c r="E61" s="738"/>
      <c r="F61" s="738"/>
      <c r="G61" s="738"/>
      <c r="H61" s="738"/>
      <c r="I61" s="738"/>
      <c r="J61" s="738"/>
      <c r="K61" s="738"/>
      <c r="L61" s="738"/>
      <c r="M61" s="738"/>
      <c r="N61" s="738"/>
      <c r="O61" s="738"/>
      <c r="P61" s="738"/>
      <c r="Q61" s="738"/>
      <c r="R61" s="738"/>
      <c r="S61" s="738"/>
      <c r="T61" s="738"/>
      <c r="U61" s="738"/>
      <c r="V61" s="738"/>
      <c r="W61" s="738"/>
      <c r="X61" s="738"/>
      <c r="Y61" s="738"/>
      <c r="Z61" s="738"/>
    </row>
    <row r="62">
      <c r="A62" s="738"/>
      <c r="B62" s="738"/>
      <c r="C62" s="738"/>
      <c r="D62" s="738"/>
      <c r="E62" s="738"/>
      <c r="F62" s="738"/>
      <c r="G62" s="738"/>
      <c r="H62" s="738"/>
      <c r="I62" s="738"/>
      <c r="J62" s="738"/>
      <c r="K62" s="738"/>
      <c r="L62" s="738"/>
      <c r="M62" s="738"/>
      <c r="N62" s="738"/>
      <c r="O62" s="738"/>
      <c r="P62" s="738"/>
      <c r="Q62" s="738"/>
      <c r="R62" s="738"/>
      <c r="S62" s="738"/>
      <c r="T62" s="738"/>
      <c r="U62" s="738"/>
      <c r="V62" s="738"/>
      <c r="W62" s="738"/>
      <c r="X62" s="738"/>
      <c r="Y62" s="738"/>
      <c r="Z62" s="738"/>
    </row>
    <row r="63">
      <c r="A63" s="738"/>
      <c r="B63" s="738"/>
      <c r="C63" s="738"/>
      <c r="D63" s="738"/>
      <c r="E63" s="738"/>
      <c r="F63" s="738"/>
      <c r="G63" s="738"/>
      <c r="H63" s="738"/>
      <c r="I63" s="738"/>
      <c r="J63" s="738"/>
      <c r="K63" s="738"/>
      <c r="L63" s="738"/>
      <c r="M63" s="738"/>
      <c r="N63" s="738"/>
      <c r="O63" s="738"/>
      <c r="P63" s="738"/>
      <c r="Q63" s="738"/>
      <c r="R63" s="738"/>
      <c r="S63" s="738"/>
      <c r="T63" s="738"/>
      <c r="U63" s="738"/>
      <c r="V63" s="738"/>
      <c r="W63" s="738"/>
      <c r="X63" s="738"/>
      <c r="Y63" s="738"/>
      <c r="Z63" s="738"/>
    </row>
    <row r="64">
      <c r="A64" s="738"/>
      <c r="B64" s="738"/>
      <c r="C64" s="738"/>
      <c r="D64" s="738"/>
      <c r="E64" s="738"/>
      <c r="F64" s="738"/>
      <c r="G64" s="738"/>
      <c r="H64" s="738"/>
      <c r="I64" s="738"/>
      <c r="J64" s="738"/>
      <c r="K64" s="738"/>
      <c r="L64" s="738"/>
      <c r="M64" s="738"/>
      <c r="N64" s="738"/>
      <c r="O64" s="738"/>
      <c r="P64" s="738"/>
      <c r="Q64" s="738"/>
      <c r="R64" s="738"/>
      <c r="S64" s="738"/>
      <c r="T64" s="738"/>
      <c r="U64" s="738"/>
      <c r="V64" s="738"/>
      <c r="W64" s="738"/>
      <c r="X64" s="738"/>
      <c r="Y64" s="738"/>
      <c r="Z64" s="738"/>
    </row>
    <row r="65">
      <c r="A65" s="738"/>
      <c r="B65" s="738"/>
      <c r="C65" s="738"/>
      <c r="D65" s="738"/>
      <c r="E65" s="738"/>
      <c r="F65" s="738"/>
      <c r="G65" s="738"/>
      <c r="H65" s="738"/>
      <c r="I65" s="738"/>
      <c r="J65" s="738"/>
      <c r="K65" s="738"/>
      <c r="L65" s="738"/>
      <c r="M65" s="738"/>
      <c r="N65" s="738"/>
      <c r="O65" s="738"/>
      <c r="P65" s="738"/>
      <c r="Q65" s="738"/>
      <c r="R65" s="738"/>
      <c r="S65" s="738"/>
      <c r="T65" s="738"/>
      <c r="U65" s="738"/>
      <c r="V65" s="738"/>
      <c r="W65" s="738"/>
      <c r="X65" s="738"/>
      <c r="Y65" s="738"/>
      <c r="Z65" s="738"/>
    </row>
    <row r="66">
      <c r="A66" s="738"/>
      <c r="B66" s="738"/>
      <c r="C66" s="738"/>
      <c r="D66" s="738"/>
      <c r="E66" s="738"/>
      <c r="F66" s="738"/>
      <c r="G66" s="738"/>
      <c r="H66" s="738"/>
      <c r="I66" s="738"/>
      <c r="J66" s="738"/>
      <c r="K66" s="738"/>
      <c r="L66" s="738"/>
      <c r="M66" s="738"/>
      <c r="N66" s="738"/>
      <c r="O66" s="738"/>
      <c r="P66" s="738"/>
      <c r="Q66" s="738"/>
      <c r="R66" s="738"/>
      <c r="S66" s="738"/>
      <c r="T66" s="738"/>
      <c r="U66" s="738"/>
      <c r="V66" s="738"/>
      <c r="W66" s="738"/>
      <c r="X66" s="738"/>
      <c r="Y66" s="738"/>
      <c r="Z66" s="738"/>
    </row>
    <row r="67">
      <c r="A67" s="738"/>
      <c r="B67" s="738"/>
      <c r="C67" s="738"/>
      <c r="D67" s="738"/>
      <c r="E67" s="738"/>
      <c r="F67" s="738"/>
      <c r="G67" s="738"/>
      <c r="H67" s="738"/>
      <c r="I67" s="738"/>
      <c r="J67" s="738"/>
      <c r="K67" s="738"/>
      <c r="L67" s="738"/>
      <c r="M67" s="738"/>
      <c r="N67" s="738"/>
      <c r="O67" s="738"/>
      <c r="P67" s="738"/>
      <c r="Q67" s="738"/>
      <c r="R67" s="738"/>
      <c r="S67" s="738"/>
      <c r="T67" s="738"/>
      <c r="U67" s="738"/>
      <c r="V67" s="738"/>
      <c r="W67" s="738"/>
      <c r="X67" s="738"/>
      <c r="Y67" s="738"/>
      <c r="Z67" s="738"/>
    </row>
    <row r="68">
      <c r="A68" s="738"/>
      <c r="B68" s="738"/>
      <c r="C68" s="738"/>
      <c r="D68" s="738"/>
      <c r="E68" s="738"/>
      <c r="F68" s="738"/>
      <c r="G68" s="738"/>
      <c r="H68" s="738"/>
      <c r="I68" s="738"/>
      <c r="J68" s="738"/>
      <c r="K68" s="738"/>
      <c r="L68" s="738"/>
      <c r="M68" s="738"/>
      <c r="N68" s="738"/>
      <c r="O68" s="738"/>
      <c r="P68" s="738"/>
      <c r="Q68" s="738"/>
      <c r="R68" s="738"/>
      <c r="S68" s="738"/>
      <c r="T68" s="738"/>
      <c r="U68" s="738"/>
      <c r="V68" s="738"/>
      <c r="W68" s="738"/>
      <c r="X68" s="738"/>
      <c r="Y68" s="738"/>
      <c r="Z68" s="738"/>
    </row>
    <row r="69">
      <c r="A69" s="738"/>
      <c r="B69" s="738"/>
      <c r="C69" s="738"/>
      <c r="D69" s="738"/>
      <c r="E69" s="738"/>
      <c r="F69" s="738"/>
      <c r="G69" s="738"/>
      <c r="H69" s="738"/>
      <c r="I69" s="738"/>
      <c r="J69" s="738"/>
      <c r="K69" s="738"/>
      <c r="L69" s="738"/>
      <c r="M69" s="738"/>
      <c r="N69" s="738"/>
      <c r="O69" s="738"/>
      <c r="P69" s="738"/>
      <c r="Q69" s="738"/>
      <c r="R69" s="738"/>
      <c r="S69" s="738"/>
      <c r="T69" s="738"/>
      <c r="U69" s="738"/>
      <c r="V69" s="738"/>
      <c r="W69" s="738"/>
      <c r="X69" s="738"/>
      <c r="Y69" s="738"/>
      <c r="Z69" s="738"/>
    </row>
    <row r="70">
      <c r="A70" s="738"/>
      <c r="B70" s="738"/>
      <c r="C70" s="738"/>
      <c r="D70" s="738"/>
      <c r="E70" s="738"/>
      <c r="F70" s="738"/>
      <c r="G70" s="738"/>
      <c r="H70" s="738"/>
      <c r="I70" s="738"/>
      <c r="J70" s="738"/>
      <c r="K70" s="738"/>
      <c r="L70" s="738"/>
      <c r="M70" s="738"/>
      <c r="N70" s="738"/>
      <c r="O70" s="738"/>
      <c r="P70" s="738"/>
      <c r="Q70" s="738"/>
      <c r="R70" s="738"/>
      <c r="S70" s="738"/>
      <c r="T70" s="738"/>
      <c r="U70" s="738"/>
      <c r="V70" s="738"/>
      <c r="W70" s="738"/>
      <c r="X70" s="738"/>
      <c r="Y70" s="738"/>
      <c r="Z70" s="738"/>
    </row>
    <row r="71">
      <c r="A71" s="738"/>
      <c r="B71" s="738"/>
      <c r="C71" s="738"/>
      <c r="D71" s="738"/>
      <c r="E71" s="738"/>
      <c r="F71" s="738"/>
      <c r="G71" s="738"/>
      <c r="H71" s="738"/>
      <c r="I71" s="738"/>
      <c r="J71" s="738"/>
      <c r="K71" s="738"/>
      <c r="L71" s="738"/>
      <c r="M71" s="738"/>
      <c r="N71" s="738"/>
      <c r="O71" s="738"/>
      <c r="P71" s="738"/>
      <c r="Q71" s="738"/>
      <c r="R71" s="738"/>
      <c r="S71" s="738"/>
      <c r="T71" s="738"/>
      <c r="U71" s="738"/>
      <c r="V71" s="738"/>
      <c r="W71" s="738"/>
      <c r="X71" s="738"/>
      <c r="Y71" s="738"/>
      <c r="Z71" s="738"/>
    </row>
    <row r="72">
      <c r="A72" s="738"/>
      <c r="B72" s="738"/>
      <c r="C72" s="738"/>
      <c r="D72" s="738"/>
      <c r="E72" s="738"/>
      <c r="F72" s="738"/>
      <c r="G72" s="738"/>
      <c r="H72" s="738"/>
      <c r="I72" s="738"/>
      <c r="J72" s="738"/>
      <c r="K72" s="738"/>
      <c r="L72" s="738"/>
      <c r="M72" s="738"/>
      <c r="N72" s="738"/>
      <c r="O72" s="738"/>
      <c r="P72" s="738"/>
      <c r="Q72" s="738"/>
      <c r="R72" s="738"/>
      <c r="S72" s="738"/>
      <c r="T72" s="738"/>
      <c r="U72" s="738"/>
      <c r="V72" s="738"/>
      <c r="W72" s="738"/>
      <c r="X72" s="738"/>
      <c r="Y72" s="738"/>
      <c r="Z72" s="738"/>
    </row>
    <row r="73">
      <c r="A73" s="738"/>
      <c r="B73" s="738"/>
      <c r="C73" s="738"/>
      <c r="D73" s="738"/>
      <c r="E73" s="738"/>
      <c r="F73" s="738"/>
      <c r="G73" s="738"/>
      <c r="H73" s="738"/>
      <c r="I73" s="738"/>
      <c r="J73" s="738"/>
      <c r="K73" s="738"/>
      <c r="L73" s="738"/>
      <c r="M73" s="738"/>
      <c r="N73" s="738"/>
      <c r="O73" s="738"/>
      <c r="P73" s="738"/>
      <c r="Q73" s="738"/>
      <c r="R73" s="738"/>
      <c r="S73" s="738"/>
      <c r="T73" s="738"/>
      <c r="U73" s="738"/>
      <c r="V73" s="738"/>
      <c r="W73" s="738"/>
      <c r="X73" s="738"/>
      <c r="Y73" s="738"/>
      <c r="Z73" s="738"/>
    </row>
    <row r="74">
      <c r="A74" s="738"/>
      <c r="B74" s="738"/>
      <c r="C74" s="738"/>
      <c r="D74" s="738"/>
      <c r="E74" s="738"/>
      <c r="F74" s="738"/>
      <c r="G74" s="738"/>
      <c r="H74" s="738"/>
      <c r="I74" s="738"/>
      <c r="J74" s="738"/>
      <c r="K74" s="738"/>
      <c r="L74" s="738"/>
      <c r="M74" s="738"/>
      <c r="N74" s="738"/>
      <c r="O74" s="738"/>
      <c r="P74" s="738"/>
      <c r="Q74" s="738"/>
      <c r="R74" s="738"/>
      <c r="S74" s="738"/>
      <c r="T74" s="738"/>
      <c r="U74" s="738"/>
      <c r="V74" s="738"/>
      <c r="W74" s="738"/>
      <c r="X74" s="738"/>
      <c r="Y74" s="738"/>
      <c r="Z74" s="738"/>
    </row>
    <row r="75">
      <c r="A75" s="738"/>
      <c r="B75" s="738"/>
      <c r="C75" s="738"/>
      <c r="D75" s="738"/>
      <c r="E75" s="738"/>
      <c r="F75" s="738"/>
      <c r="G75" s="738"/>
      <c r="H75" s="738"/>
      <c r="I75" s="738"/>
      <c r="J75" s="738"/>
      <c r="K75" s="738"/>
      <c r="L75" s="738"/>
      <c r="M75" s="738"/>
      <c r="N75" s="738"/>
      <c r="O75" s="738"/>
      <c r="P75" s="738"/>
      <c r="Q75" s="738"/>
      <c r="R75" s="738"/>
      <c r="S75" s="738"/>
      <c r="T75" s="738"/>
      <c r="U75" s="738"/>
      <c r="V75" s="738"/>
      <c r="W75" s="738"/>
      <c r="X75" s="738"/>
      <c r="Y75" s="738"/>
      <c r="Z75" s="738"/>
    </row>
    <row r="76">
      <c r="A76" s="738"/>
      <c r="B76" s="738"/>
      <c r="C76" s="738"/>
      <c r="D76" s="738"/>
      <c r="E76" s="738"/>
      <c r="F76" s="738"/>
      <c r="G76" s="738"/>
      <c r="H76" s="738"/>
      <c r="I76" s="738"/>
      <c r="J76" s="738"/>
      <c r="K76" s="738"/>
      <c r="L76" s="738"/>
      <c r="M76" s="738"/>
      <c r="N76" s="738"/>
      <c r="O76" s="738"/>
      <c r="P76" s="738"/>
      <c r="Q76" s="738"/>
      <c r="R76" s="738"/>
      <c r="S76" s="738"/>
      <c r="T76" s="738"/>
      <c r="U76" s="738"/>
      <c r="V76" s="738"/>
      <c r="W76" s="738"/>
      <c r="X76" s="738"/>
      <c r="Y76" s="738"/>
      <c r="Z76" s="738"/>
    </row>
    <row r="77">
      <c r="A77" s="738"/>
      <c r="B77" s="738"/>
      <c r="C77" s="738"/>
      <c r="D77" s="738"/>
      <c r="E77" s="738"/>
      <c r="F77" s="738"/>
      <c r="G77" s="738"/>
      <c r="H77" s="738"/>
      <c r="I77" s="738"/>
      <c r="J77" s="738"/>
      <c r="K77" s="738"/>
      <c r="L77" s="738"/>
      <c r="M77" s="738"/>
      <c r="N77" s="738"/>
      <c r="O77" s="738"/>
      <c r="P77" s="738"/>
      <c r="Q77" s="738"/>
      <c r="R77" s="738"/>
      <c r="S77" s="738"/>
      <c r="T77" s="738"/>
      <c r="U77" s="738"/>
      <c r="V77" s="738"/>
      <c r="W77" s="738"/>
      <c r="X77" s="738"/>
      <c r="Y77" s="738"/>
      <c r="Z77" s="738"/>
    </row>
    <row r="78">
      <c r="A78" s="738"/>
      <c r="B78" s="738"/>
      <c r="C78" s="738"/>
      <c r="D78" s="738"/>
      <c r="E78" s="738"/>
      <c r="F78" s="738"/>
      <c r="G78" s="738"/>
      <c r="H78" s="738"/>
      <c r="I78" s="738"/>
      <c r="J78" s="738"/>
      <c r="K78" s="738"/>
      <c r="L78" s="738"/>
      <c r="M78" s="738"/>
      <c r="N78" s="738"/>
      <c r="O78" s="738"/>
      <c r="P78" s="738"/>
      <c r="Q78" s="738"/>
      <c r="R78" s="738"/>
      <c r="S78" s="738"/>
      <c r="T78" s="738"/>
      <c r="U78" s="738"/>
      <c r="V78" s="738"/>
      <c r="W78" s="738"/>
      <c r="X78" s="738"/>
      <c r="Y78" s="738"/>
      <c r="Z78" s="738"/>
    </row>
    <row r="79">
      <c r="A79" s="738"/>
      <c r="B79" s="738"/>
      <c r="C79" s="738"/>
      <c r="D79" s="738"/>
      <c r="E79" s="738"/>
      <c r="F79" s="738"/>
      <c r="G79" s="738"/>
      <c r="H79" s="738"/>
      <c r="I79" s="738"/>
      <c r="J79" s="738"/>
      <c r="K79" s="738"/>
      <c r="L79" s="738"/>
      <c r="M79" s="738"/>
      <c r="N79" s="738"/>
      <c r="O79" s="738"/>
      <c r="P79" s="738"/>
      <c r="Q79" s="738"/>
      <c r="R79" s="738"/>
      <c r="S79" s="738"/>
      <c r="T79" s="738"/>
      <c r="U79" s="738"/>
      <c r="V79" s="738"/>
      <c r="W79" s="738"/>
      <c r="X79" s="738"/>
      <c r="Y79" s="738"/>
      <c r="Z79" s="738"/>
    </row>
    <row r="80">
      <c r="A80" s="738"/>
      <c r="B80" s="738"/>
      <c r="C80" s="738"/>
      <c r="D80" s="738"/>
      <c r="E80" s="738"/>
      <c r="F80" s="738"/>
      <c r="G80" s="738"/>
      <c r="H80" s="738"/>
      <c r="I80" s="738"/>
      <c r="J80" s="738"/>
      <c r="K80" s="738"/>
      <c r="L80" s="738"/>
      <c r="M80" s="738"/>
      <c r="N80" s="738"/>
      <c r="O80" s="738"/>
      <c r="P80" s="738"/>
      <c r="Q80" s="738"/>
      <c r="R80" s="738"/>
      <c r="S80" s="738"/>
      <c r="T80" s="738"/>
      <c r="U80" s="738"/>
      <c r="V80" s="738"/>
      <c r="W80" s="738"/>
      <c r="X80" s="738"/>
      <c r="Y80" s="738"/>
      <c r="Z80" s="738"/>
    </row>
    <row r="81">
      <c r="A81" s="738"/>
      <c r="B81" s="738"/>
      <c r="C81" s="738"/>
      <c r="D81" s="738"/>
      <c r="E81" s="738"/>
      <c r="F81" s="738"/>
      <c r="G81" s="738"/>
      <c r="H81" s="738"/>
      <c r="I81" s="738"/>
      <c r="J81" s="738"/>
      <c r="K81" s="738"/>
      <c r="L81" s="738"/>
      <c r="M81" s="738"/>
      <c r="N81" s="738"/>
      <c r="O81" s="738"/>
      <c r="P81" s="738"/>
      <c r="Q81" s="738"/>
      <c r="R81" s="738"/>
      <c r="S81" s="738"/>
      <c r="T81" s="738"/>
      <c r="U81" s="738"/>
      <c r="V81" s="738"/>
      <c r="W81" s="738"/>
      <c r="X81" s="738"/>
      <c r="Y81" s="738"/>
      <c r="Z81" s="738"/>
    </row>
    <row r="82">
      <c r="A82" s="738"/>
      <c r="B82" s="738"/>
      <c r="C82" s="738"/>
      <c r="D82" s="738"/>
      <c r="E82" s="738"/>
      <c r="F82" s="738"/>
      <c r="G82" s="738"/>
      <c r="H82" s="738"/>
      <c r="I82" s="738"/>
      <c r="J82" s="738"/>
      <c r="K82" s="738"/>
      <c r="L82" s="738"/>
      <c r="M82" s="738"/>
      <c r="N82" s="738"/>
      <c r="O82" s="738"/>
      <c r="P82" s="738"/>
      <c r="Q82" s="738"/>
      <c r="R82" s="738"/>
      <c r="S82" s="738"/>
      <c r="T82" s="738"/>
      <c r="U82" s="738"/>
      <c r="V82" s="738"/>
      <c r="W82" s="738"/>
      <c r="X82" s="738"/>
      <c r="Y82" s="738"/>
      <c r="Z82" s="738"/>
    </row>
    <row r="83">
      <c r="A83" s="738"/>
      <c r="B83" s="738"/>
      <c r="C83" s="738"/>
      <c r="D83" s="738"/>
      <c r="E83" s="738"/>
      <c r="F83" s="738"/>
      <c r="G83" s="738"/>
      <c r="H83" s="738"/>
      <c r="I83" s="738"/>
      <c r="J83" s="738"/>
      <c r="K83" s="738"/>
      <c r="L83" s="738"/>
      <c r="M83" s="738"/>
      <c r="N83" s="738"/>
      <c r="O83" s="738"/>
      <c r="P83" s="738"/>
      <c r="Q83" s="738"/>
      <c r="R83" s="738"/>
      <c r="S83" s="738"/>
      <c r="T83" s="738"/>
      <c r="U83" s="738"/>
      <c r="V83" s="738"/>
      <c r="W83" s="738"/>
      <c r="X83" s="738"/>
      <c r="Y83" s="738"/>
      <c r="Z83" s="738"/>
    </row>
    <row r="84">
      <c r="A84" s="738"/>
      <c r="B84" s="738"/>
      <c r="C84" s="738"/>
      <c r="D84" s="738"/>
      <c r="E84" s="738"/>
      <c r="F84" s="738"/>
      <c r="G84" s="738"/>
      <c r="H84" s="738"/>
      <c r="I84" s="738"/>
      <c r="J84" s="738"/>
      <c r="K84" s="738"/>
      <c r="L84" s="738"/>
      <c r="M84" s="738"/>
      <c r="N84" s="738"/>
      <c r="O84" s="738"/>
      <c r="P84" s="738"/>
      <c r="Q84" s="738"/>
      <c r="R84" s="738"/>
      <c r="S84" s="738"/>
      <c r="T84" s="738"/>
      <c r="U84" s="738"/>
      <c r="V84" s="738"/>
      <c r="W84" s="738"/>
      <c r="X84" s="738"/>
      <c r="Y84" s="738"/>
      <c r="Z84" s="738"/>
    </row>
    <row r="85">
      <c r="A85" s="738"/>
      <c r="B85" s="738"/>
      <c r="C85" s="738"/>
      <c r="D85" s="738"/>
      <c r="E85" s="738"/>
      <c r="F85" s="738"/>
      <c r="G85" s="738"/>
      <c r="H85" s="738"/>
      <c r="I85" s="738"/>
      <c r="J85" s="738"/>
      <c r="K85" s="738"/>
      <c r="L85" s="738"/>
      <c r="M85" s="738"/>
      <c r="N85" s="738"/>
      <c r="O85" s="738"/>
      <c r="P85" s="738"/>
      <c r="Q85" s="738"/>
      <c r="R85" s="738"/>
      <c r="S85" s="738"/>
      <c r="T85" s="738"/>
      <c r="U85" s="738"/>
      <c r="V85" s="738"/>
      <c r="W85" s="738"/>
      <c r="X85" s="738"/>
      <c r="Y85" s="738"/>
      <c r="Z85" s="738"/>
    </row>
    <row r="86">
      <c r="A86" s="738"/>
      <c r="B86" s="738"/>
      <c r="C86" s="738"/>
      <c r="D86" s="738"/>
      <c r="E86" s="738"/>
      <c r="F86" s="738"/>
      <c r="G86" s="738"/>
      <c r="H86" s="738"/>
      <c r="I86" s="738"/>
      <c r="J86" s="738"/>
      <c r="K86" s="738"/>
      <c r="L86" s="738"/>
      <c r="M86" s="738"/>
      <c r="N86" s="738"/>
      <c r="O86" s="738"/>
      <c r="P86" s="738"/>
      <c r="Q86" s="738"/>
      <c r="R86" s="738"/>
      <c r="S86" s="738"/>
      <c r="T86" s="738"/>
      <c r="U86" s="738"/>
      <c r="V86" s="738"/>
      <c r="W86" s="738"/>
      <c r="X86" s="738"/>
      <c r="Y86" s="738"/>
      <c r="Z86" s="738"/>
    </row>
    <row r="87">
      <c r="A87" s="738"/>
      <c r="B87" s="738"/>
      <c r="C87" s="738"/>
      <c r="D87" s="738"/>
      <c r="E87" s="738"/>
      <c r="F87" s="738"/>
      <c r="G87" s="738"/>
      <c r="H87" s="738"/>
      <c r="I87" s="738"/>
      <c r="J87" s="738"/>
      <c r="K87" s="738"/>
      <c r="L87" s="738"/>
      <c r="M87" s="738"/>
      <c r="N87" s="738"/>
      <c r="O87" s="738"/>
      <c r="P87" s="738"/>
      <c r="Q87" s="738"/>
      <c r="R87" s="738"/>
      <c r="S87" s="738"/>
      <c r="T87" s="738"/>
      <c r="U87" s="738"/>
      <c r="V87" s="738"/>
      <c r="W87" s="738"/>
      <c r="X87" s="738"/>
      <c r="Y87" s="738"/>
      <c r="Z87" s="738"/>
    </row>
    <row r="88">
      <c r="A88" s="738"/>
      <c r="B88" s="738"/>
      <c r="C88" s="738"/>
      <c r="D88" s="738"/>
      <c r="E88" s="738"/>
      <c r="F88" s="738"/>
      <c r="G88" s="738"/>
      <c r="H88" s="738"/>
      <c r="I88" s="738"/>
      <c r="J88" s="738"/>
      <c r="K88" s="738"/>
      <c r="L88" s="738"/>
      <c r="M88" s="738"/>
      <c r="N88" s="738"/>
      <c r="O88" s="738"/>
      <c r="P88" s="738"/>
      <c r="Q88" s="738"/>
      <c r="R88" s="738"/>
      <c r="S88" s="738"/>
      <c r="T88" s="738"/>
      <c r="U88" s="738"/>
      <c r="V88" s="738"/>
      <c r="W88" s="738"/>
      <c r="X88" s="738"/>
      <c r="Y88" s="738"/>
      <c r="Z88" s="738"/>
    </row>
    <row r="89">
      <c r="A89" s="738"/>
      <c r="B89" s="738"/>
      <c r="C89" s="738"/>
      <c r="D89" s="738"/>
      <c r="E89" s="738"/>
      <c r="F89" s="738"/>
      <c r="G89" s="738"/>
      <c r="H89" s="738"/>
      <c r="I89" s="738"/>
      <c r="J89" s="738"/>
      <c r="K89" s="738"/>
      <c r="L89" s="738"/>
      <c r="M89" s="738"/>
      <c r="N89" s="738"/>
      <c r="O89" s="738"/>
      <c r="P89" s="738"/>
      <c r="Q89" s="738"/>
      <c r="R89" s="738"/>
      <c r="S89" s="738"/>
      <c r="T89" s="738"/>
      <c r="U89" s="738"/>
      <c r="V89" s="738"/>
      <c r="W89" s="738"/>
      <c r="X89" s="738"/>
      <c r="Y89" s="738"/>
      <c r="Z89" s="738"/>
    </row>
    <row r="90">
      <c r="A90" s="738"/>
      <c r="B90" s="738"/>
      <c r="C90" s="738"/>
      <c r="D90" s="738"/>
      <c r="E90" s="738"/>
      <c r="F90" s="738"/>
      <c r="G90" s="738"/>
      <c r="H90" s="738"/>
      <c r="I90" s="738"/>
      <c r="J90" s="738"/>
      <c r="K90" s="738"/>
      <c r="L90" s="738"/>
      <c r="M90" s="738"/>
      <c r="N90" s="738"/>
      <c r="O90" s="738"/>
      <c r="P90" s="738"/>
      <c r="Q90" s="738"/>
      <c r="R90" s="738"/>
      <c r="S90" s="738"/>
      <c r="T90" s="738"/>
      <c r="U90" s="738"/>
      <c r="V90" s="738"/>
      <c r="W90" s="738"/>
      <c r="X90" s="738"/>
      <c r="Y90" s="738"/>
      <c r="Z90" s="738"/>
    </row>
    <row r="91">
      <c r="A91" s="738"/>
      <c r="B91" s="738"/>
      <c r="C91" s="738"/>
      <c r="D91" s="738"/>
      <c r="E91" s="738"/>
      <c r="F91" s="738"/>
      <c r="G91" s="738"/>
      <c r="H91" s="738"/>
      <c r="I91" s="738"/>
      <c r="J91" s="738"/>
      <c r="K91" s="738"/>
      <c r="L91" s="738"/>
      <c r="M91" s="738"/>
      <c r="N91" s="738"/>
      <c r="O91" s="738"/>
      <c r="P91" s="738"/>
      <c r="Q91" s="738"/>
      <c r="R91" s="738"/>
      <c r="S91" s="738"/>
      <c r="T91" s="738"/>
      <c r="U91" s="738"/>
      <c r="V91" s="738"/>
      <c r="W91" s="738"/>
      <c r="X91" s="738"/>
      <c r="Y91" s="738"/>
      <c r="Z91" s="738"/>
    </row>
    <row r="92">
      <c r="A92" s="738"/>
      <c r="B92" s="738"/>
      <c r="C92" s="738"/>
      <c r="D92" s="738"/>
      <c r="E92" s="738"/>
      <c r="F92" s="738"/>
      <c r="G92" s="738"/>
      <c r="H92" s="738"/>
      <c r="I92" s="738"/>
      <c r="J92" s="738"/>
      <c r="K92" s="738"/>
      <c r="L92" s="738"/>
      <c r="M92" s="738"/>
      <c r="N92" s="738"/>
      <c r="O92" s="738"/>
      <c r="P92" s="738"/>
      <c r="Q92" s="738"/>
      <c r="R92" s="738"/>
      <c r="S92" s="738"/>
      <c r="T92" s="738"/>
      <c r="U92" s="738"/>
      <c r="V92" s="738"/>
      <c r="W92" s="738"/>
      <c r="X92" s="738"/>
      <c r="Y92" s="738"/>
      <c r="Z92" s="738"/>
    </row>
    <row r="93">
      <c r="A93" s="738"/>
      <c r="B93" s="738"/>
      <c r="C93" s="738"/>
      <c r="D93" s="738"/>
      <c r="E93" s="738"/>
      <c r="F93" s="738"/>
      <c r="G93" s="738"/>
      <c r="H93" s="738"/>
      <c r="I93" s="738"/>
      <c r="J93" s="738"/>
      <c r="K93" s="738"/>
      <c r="L93" s="738"/>
      <c r="M93" s="738"/>
      <c r="N93" s="738"/>
      <c r="O93" s="738"/>
      <c r="P93" s="738"/>
      <c r="Q93" s="738"/>
      <c r="R93" s="738"/>
      <c r="S93" s="738"/>
      <c r="T93" s="738"/>
      <c r="U93" s="738"/>
      <c r="V93" s="738"/>
      <c r="W93" s="738"/>
      <c r="X93" s="738"/>
      <c r="Y93" s="738"/>
      <c r="Z93" s="738"/>
    </row>
    <row r="94">
      <c r="A94" s="738"/>
      <c r="B94" s="738"/>
      <c r="C94" s="738"/>
      <c r="D94" s="738"/>
      <c r="E94" s="738"/>
      <c r="F94" s="738"/>
      <c r="G94" s="738"/>
      <c r="H94" s="738"/>
      <c r="I94" s="738"/>
      <c r="J94" s="738"/>
      <c r="K94" s="738"/>
      <c r="L94" s="738"/>
      <c r="M94" s="738"/>
      <c r="N94" s="738"/>
      <c r="O94" s="738"/>
      <c r="P94" s="738"/>
      <c r="Q94" s="738"/>
      <c r="R94" s="738"/>
      <c r="S94" s="738"/>
      <c r="T94" s="738"/>
      <c r="U94" s="738"/>
      <c r="V94" s="738"/>
      <c r="W94" s="738"/>
      <c r="X94" s="738"/>
      <c r="Y94" s="738"/>
      <c r="Z94" s="738"/>
    </row>
    <row r="95">
      <c r="A95" s="738"/>
      <c r="B95" s="738"/>
      <c r="C95" s="738"/>
      <c r="D95" s="738"/>
      <c r="E95" s="738"/>
      <c r="F95" s="738"/>
      <c r="G95" s="738"/>
      <c r="H95" s="738"/>
      <c r="I95" s="738"/>
      <c r="J95" s="738"/>
      <c r="K95" s="738"/>
      <c r="L95" s="738"/>
      <c r="M95" s="738"/>
      <c r="N95" s="738"/>
      <c r="O95" s="738"/>
      <c r="P95" s="738"/>
      <c r="Q95" s="738"/>
      <c r="R95" s="738"/>
      <c r="S95" s="738"/>
      <c r="T95" s="738"/>
      <c r="U95" s="738"/>
      <c r="V95" s="738"/>
      <c r="W95" s="738"/>
      <c r="X95" s="738"/>
      <c r="Y95" s="738"/>
      <c r="Z95" s="738"/>
    </row>
    <row r="96">
      <c r="A96" s="738"/>
      <c r="B96" s="738"/>
      <c r="C96" s="738"/>
      <c r="D96" s="738"/>
      <c r="E96" s="738"/>
      <c r="F96" s="738"/>
      <c r="G96" s="738"/>
      <c r="H96" s="738"/>
      <c r="I96" s="738"/>
      <c r="J96" s="738"/>
      <c r="K96" s="738"/>
      <c r="L96" s="738"/>
      <c r="M96" s="738"/>
      <c r="N96" s="738"/>
      <c r="O96" s="738"/>
      <c r="P96" s="738"/>
      <c r="Q96" s="738"/>
      <c r="R96" s="738"/>
      <c r="S96" s="738"/>
      <c r="T96" s="738"/>
      <c r="U96" s="738"/>
      <c r="V96" s="738"/>
      <c r="W96" s="738"/>
      <c r="X96" s="738"/>
      <c r="Y96" s="738"/>
      <c r="Z96" s="738"/>
    </row>
    <row r="97">
      <c r="A97" s="738"/>
      <c r="B97" s="738"/>
      <c r="C97" s="738"/>
      <c r="D97" s="738"/>
      <c r="E97" s="738"/>
      <c r="F97" s="738"/>
      <c r="G97" s="738"/>
      <c r="H97" s="738"/>
      <c r="I97" s="738"/>
      <c r="J97" s="738"/>
      <c r="K97" s="738"/>
      <c r="L97" s="738"/>
      <c r="M97" s="738"/>
      <c r="N97" s="738"/>
      <c r="O97" s="738"/>
      <c r="P97" s="738"/>
      <c r="Q97" s="738"/>
      <c r="R97" s="738"/>
      <c r="S97" s="738"/>
      <c r="T97" s="738"/>
      <c r="U97" s="738"/>
      <c r="V97" s="738"/>
      <c r="W97" s="738"/>
      <c r="X97" s="738"/>
      <c r="Y97" s="738"/>
      <c r="Z97" s="738"/>
    </row>
    <row r="98">
      <c r="A98" s="738"/>
      <c r="B98" s="738"/>
      <c r="C98" s="738"/>
      <c r="D98" s="738"/>
      <c r="E98" s="738"/>
      <c r="F98" s="738"/>
      <c r="G98" s="738"/>
      <c r="H98" s="738"/>
      <c r="I98" s="738"/>
      <c r="J98" s="738"/>
      <c r="K98" s="738"/>
      <c r="L98" s="738"/>
      <c r="M98" s="738"/>
      <c r="N98" s="738"/>
      <c r="O98" s="738"/>
      <c r="P98" s="738"/>
      <c r="Q98" s="738"/>
      <c r="R98" s="738"/>
      <c r="S98" s="738"/>
      <c r="T98" s="738"/>
      <c r="U98" s="738"/>
      <c r="V98" s="738"/>
      <c r="W98" s="738"/>
      <c r="X98" s="738"/>
      <c r="Y98" s="738"/>
      <c r="Z98" s="738"/>
    </row>
    <row r="99">
      <c r="A99" s="738"/>
      <c r="B99" s="738"/>
      <c r="C99" s="738"/>
      <c r="D99" s="738"/>
      <c r="E99" s="738"/>
      <c r="F99" s="738"/>
      <c r="G99" s="738"/>
      <c r="H99" s="738"/>
      <c r="I99" s="738"/>
      <c r="J99" s="738"/>
      <c r="K99" s="738"/>
      <c r="L99" s="738"/>
      <c r="M99" s="738"/>
      <c r="N99" s="738"/>
      <c r="O99" s="738"/>
      <c r="P99" s="738"/>
      <c r="Q99" s="738"/>
      <c r="R99" s="738"/>
      <c r="S99" s="738"/>
      <c r="T99" s="738"/>
      <c r="U99" s="738"/>
      <c r="V99" s="738"/>
      <c r="W99" s="738"/>
      <c r="X99" s="738"/>
      <c r="Y99" s="738"/>
      <c r="Z99" s="738"/>
    </row>
    <row r="100">
      <c r="A100" s="738"/>
      <c r="B100" s="738"/>
      <c r="C100" s="738"/>
      <c r="D100" s="738"/>
      <c r="E100" s="738"/>
      <c r="F100" s="738"/>
      <c r="G100" s="738"/>
      <c r="H100" s="738"/>
      <c r="I100" s="738"/>
      <c r="J100" s="738"/>
      <c r="K100" s="738"/>
      <c r="L100" s="738"/>
      <c r="M100" s="738"/>
      <c r="N100" s="738"/>
      <c r="O100" s="738"/>
      <c r="P100" s="738"/>
      <c r="Q100" s="738"/>
      <c r="R100" s="738"/>
      <c r="S100" s="738"/>
      <c r="T100" s="738"/>
      <c r="U100" s="738"/>
      <c r="V100" s="738"/>
      <c r="W100" s="738"/>
      <c r="X100" s="738"/>
      <c r="Y100" s="738"/>
      <c r="Z100" s="738"/>
    </row>
    <row r="101">
      <c r="A101" s="738"/>
      <c r="B101" s="738"/>
      <c r="C101" s="738"/>
      <c r="D101" s="738"/>
      <c r="E101" s="738"/>
      <c r="F101" s="738"/>
      <c r="G101" s="738"/>
      <c r="H101" s="738"/>
      <c r="I101" s="738"/>
      <c r="J101" s="738"/>
      <c r="K101" s="738"/>
      <c r="L101" s="738"/>
      <c r="M101" s="738"/>
      <c r="N101" s="738"/>
      <c r="O101" s="738"/>
      <c r="P101" s="738"/>
      <c r="Q101" s="738"/>
      <c r="R101" s="738"/>
      <c r="S101" s="738"/>
      <c r="T101" s="738"/>
      <c r="U101" s="738"/>
      <c r="V101" s="738"/>
      <c r="W101" s="738"/>
      <c r="X101" s="738"/>
      <c r="Y101" s="738"/>
      <c r="Z101" s="738"/>
    </row>
    <row r="102">
      <c r="A102" s="738"/>
      <c r="B102" s="738"/>
      <c r="C102" s="738"/>
      <c r="D102" s="738"/>
      <c r="E102" s="738"/>
      <c r="F102" s="738"/>
      <c r="G102" s="738"/>
      <c r="H102" s="738"/>
      <c r="I102" s="738"/>
      <c r="J102" s="738"/>
      <c r="K102" s="738"/>
      <c r="L102" s="738"/>
      <c r="M102" s="738"/>
      <c r="N102" s="738"/>
      <c r="O102" s="738"/>
      <c r="P102" s="738"/>
      <c r="Q102" s="738"/>
      <c r="R102" s="738"/>
      <c r="S102" s="738"/>
      <c r="T102" s="738"/>
      <c r="U102" s="738"/>
      <c r="V102" s="738"/>
      <c r="W102" s="738"/>
      <c r="X102" s="738"/>
      <c r="Y102" s="738"/>
      <c r="Z102" s="738"/>
    </row>
    <row r="103">
      <c r="A103" s="738"/>
      <c r="B103" s="738"/>
      <c r="C103" s="738"/>
      <c r="D103" s="738"/>
      <c r="E103" s="738"/>
      <c r="F103" s="738"/>
      <c r="G103" s="738"/>
      <c r="H103" s="738"/>
      <c r="I103" s="738"/>
      <c r="J103" s="738"/>
      <c r="K103" s="738"/>
      <c r="L103" s="738"/>
      <c r="M103" s="738"/>
      <c r="N103" s="738"/>
      <c r="O103" s="738"/>
      <c r="P103" s="738"/>
      <c r="Q103" s="738"/>
      <c r="R103" s="738"/>
      <c r="S103" s="738"/>
      <c r="T103" s="738"/>
      <c r="U103" s="738"/>
      <c r="V103" s="738"/>
      <c r="W103" s="738"/>
      <c r="X103" s="738"/>
      <c r="Y103" s="738"/>
      <c r="Z103" s="738"/>
    </row>
    <row r="104">
      <c r="A104" s="738"/>
      <c r="B104" s="738"/>
      <c r="C104" s="738"/>
      <c r="D104" s="738"/>
      <c r="E104" s="738"/>
      <c r="F104" s="738"/>
      <c r="G104" s="738"/>
      <c r="H104" s="738"/>
      <c r="I104" s="738"/>
      <c r="J104" s="738"/>
      <c r="K104" s="738"/>
      <c r="L104" s="738"/>
      <c r="M104" s="738"/>
      <c r="N104" s="738"/>
      <c r="O104" s="738"/>
      <c r="P104" s="738"/>
      <c r="Q104" s="738"/>
      <c r="R104" s="738"/>
      <c r="S104" s="738"/>
      <c r="T104" s="738"/>
      <c r="U104" s="738"/>
      <c r="V104" s="738"/>
      <c r="W104" s="738"/>
      <c r="X104" s="738"/>
      <c r="Y104" s="738"/>
      <c r="Z104" s="738"/>
    </row>
    <row r="105">
      <c r="A105" s="738"/>
      <c r="B105" s="738"/>
      <c r="C105" s="738"/>
      <c r="D105" s="738"/>
      <c r="E105" s="738"/>
      <c r="F105" s="738"/>
      <c r="G105" s="738"/>
      <c r="H105" s="738"/>
      <c r="I105" s="738"/>
      <c r="J105" s="738"/>
      <c r="K105" s="738"/>
      <c r="L105" s="738"/>
      <c r="M105" s="738"/>
      <c r="N105" s="738"/>
      <c r="O105" s="738"/>
      <c r="P105" s="738"/>
      <c r="Q105" s="738"/>
      <c r="R105" s="738"/>
      <c r="S105" s="738"/>
      <c r="T105" s="738"/>
      <c r="U105" s="738"/>
      <c r="V105" s="738"/>
      <c r="W105" s="738"/>
      <c r="X105" s="738"/>
      <c r="Y105" s="738"/>
      <c r="Z105" s="738"/>
    </row>
    <row r="106">
      <c r="A106" s="738"/>
      <c r="B106" s="738"/>
      <c r="C106" s="738"/>
      <c r="D106" s="738"/>
      <c r="E106" s="738"/>
      <c r="F106" s="738"/>
      <c r="G106" s="738"/>
      <c r="H106" s="738"/>
      <c r="I106" s="738"/>
      <c r="J106" s="738"/>
      <c r="K106" s="738"/>
      <c r="L106" s="738"/>
      <c r="M106" s="738"/>
      <c r="N106" s="738"/>
      <c r="O106" s="738"/>
      <c r="P106" s="738"/>
      <c r="Q106" s="738"/>
      <c r="R106" s="738"/>
      <c r="S106" s="738"/>
      <c r="T106" s="738"/>
      <c r="U106" s="738"/>
      <c r="V106" s="738"/>
      <c r="W106" s="738"/>
      <c r="X106" s="738"/>
      <c r="Y106" s="738"/>
      <c r="Z106" s="738"/>
    </row>
    <row r="107">
      <c r="A107" s="738"/>
      <c r="B107" s="738"/>
      <c r="C107" s="738"/>
      <c r="D107" s="738"/>
      <c r="E107" s="738"/>
      <c r="F107" s="738"/>
      <c r="G107" s="738"/>
      <c r="H107" s="738"/>
      <c r="I107" s="738"/>
      <c r="J107" s="738"/>
      <c r="K107" s="738"/>
      <c r="L107" s="738"/>
      <c r="M107" s="738"/>
      <c r="N107" s="738"/>
      <c r="O107" s="738"/>
      <c r="P107" s="738"/>
      <c r="Q107" s="738"/>
      <c r="R107" s="738"/>
      <c r="S107" s="738"/>
      <c r="T107" s="738"/>
      <c r="U107" s="738"/>
      <c r="V107" s="738"/>
      <c r="W107" s="738"/>
      <c r="X107" s="738"/>
      <c r="Y107" s="738"/>
      <c r="Z107" s="738"/>
    </row>
    <row r="108">
      <c r="A108" s="738"/>
      <c r="B108" s="738"/>
      <c r="C108" s="738"/>
      <c r="D108" s="738"/>
      <c r="E108" s="738"/>
      <c r="F108" s="738"/>
      <c r="G108" s="738"/>
      <c r="H108" s="738"/>
      <c r="I108" s="738"/>
      <c r="J108" s="738"/>
      <c r="K108" s="738"/>
      <c r="L108" s="738"/>
      <c r="M108" s="738"/>
      <c r="N108" s="738"/>
      <c r="O108" s="738"/>
      <c r="P108" s="738"/>
      <c r="Q108" s="738"/>
      <c r="R108" s="738"/>
      <c r="S108" s="738"/>
      <c r="T108" s="738"/>
      <c r="U108" s="738"/>
      <c r="V108" s="738"/>
      <c r="W108" s="738"/>
      <c r="X108" s="738"/>
      <c r="Y108" s="738"/>
      <c r="Z108" s="738"/>
    </row>
    <row r="109">
      <c r="A109" s="738"/>
      <c r="B109" s="738"/>
      <c r="C109" s="738"/>
      <c r="D109" s="738"/>
      <c r="E109" s="738"/>
      <c r="F109" s="738"/>
      <c r="G109" s="738"/>
      <c r="H109" s="738"/>
      <c r="I109" s="738"/>
      <c r="J109" s="738"/>
      <c r="K109" s="738"/>
      <c r="L109" s="738"/>
      <c r="M109" s="738"/>
      <c r="N109" s="738"/>
      <c r="O109" s="738"/>
      <c r="P109" s="738"/>
      <c r="Q109" s="738"/>
      <c r="R109" s="738"/>
      <c r="S109" s="738"/>
      <c r="T109" s="738"/>
      <c r="U109" s="738"/>
      <c r="V109" s="738"/>
      <c r="W109" s="738"/>
      <c r="X109" s="738"/>
      <c r="Y109" s="738"/>
      <c r="Z109" s="738"/>
    </row>
    <row r="110">
      <c r="A110" s="738"/>
      <c r="B110" s="738"/>
      <c r="C110" s="738"/>
      <c r="D110" s="738"/>
      <c r="E110" s="738"/>
      <c r="F110" s="738"/>
      <c r="G110" s="738"/>
      <c r="H110" s="738"/>
      <c r="I110" s="738"/>
      <c r="J110" s="738"/>
      <c r="K110" s="738"/>
      <c r="L110" s="738"/>
      <c r="M110" s="738"/>
      <c r="N110" s="738"/>
      <c r="O110" s="738"/>
      <c r="P110" s="738"/>
      <c r="Q110" s="738"/>
      <c r="R110" s="738"/>
      <c r="S110" s="738"/>
      <c r="T110" s="738"/>
      <c r="U110" s="738"/>
      <c r="V110" s="738"/>
      <c r="W110" s="738"/>
      <c r="X110" s="738"/>
      <c r="Y110" s="738"/>
      <c r="Z110" s="738"/>
    </row>
    <row r="111">
      <c r="A111" s="738"/>
      <c r="B111" s="738"/>
      <c r="C111" s="738"/>
      <c r="D111" s="738"/>
      <c r="E111" s="738"/>
      <c r="F111" s="738"/>
      <c r="G111" s="738"/>
      <c r="H111" s="738"/>
      <c r="I111" s="738"/>
      <c r="J111" s="738"/>
      <c r="K111" s="738"/>
      <c r="L111" s="738"/>
      <c r="M111" s="738"/>
      <c r="N111" s="738"/>
      <c r="O111" s="738"/>
      <c r="P111" s="738"/>
      <c r="Q111" s="738"/>
      <c r="R111" s="738"/>
      <c r="S111" s="738"/>
      <c r="T111" s="738"/>
      <c r="U111" s="738"/>
      <c r="V111" s="738"/>
      <c r="W111" s="738"/>
      <c r="X111" s="738"/>
      <c r="Y111" s="738"/>
      <c r="Z111" s="738"/>
    </row>
    <row r="112">
      <c r="A112" s="738"/>
      <c r="B112" s="738"/>
      <c r="C112" s="738"/>
      <c r="D112" s="738"/>
      <c r="E112" s="738"/>
      <c r="F112" s="738"/>
      <c r="G112" s="738"/>
      <c r="H112" s="738"/>
      <c r="I112" s="738"/>
      <c r="J112" s="738"/>
      <c r="K112" s="738"/>
      <c r="L112" s="738"/>
      <c r="M112" s="738"/>
      <c r="N112" s="738"/>
      <c r="O112" s="738"/>
      <c r="P112" s="738"/>
      <c r="Q112" s="738"/>
      <c r="R112" s="738"/>
      <c r="S112" s="738"/>
      <c r="T112" s="738"/>
      <c r="U112" s="738"/>
      <c r="V112" s="738"/>
      <c r="W112" s="738"/>
      <c r="X112" s="738"/>
      <c r="Y112" s="738"/>
      <c r="Z112" s="738"/>
    </row>
    <row r="113">
      <c r="A113" s="738"/>
      <c r="B113" s="738"/>
      <c r="C113" s="738"/>
      <c r="D113" s="738"/>
      <c r="E113" s="738"/>
      <c r="F113" s="738"/>
      <c r="G113" s="738"/>
      <c r="H113" s="738"/>
      <c r="I113" s="738"/>
      <c r="J113" s="738"/>
      <c r="K113" s="738"/>
      <c r="L113" s="738"/>
      <c r="M113" s="738"/>
      <c r="N113" s="738"/>
      <c r="O113" s="738"/>
      <c r="P113" s="738"/>
      <c r="Q113" s="738"/>
      <c r="R113" s="738"/>
      <c r="S113" s="738"/>
      <c r="T113" s="738"/>
      <c r="U113" s="738"/>
      <c r="V113" s="738"/>
      <c r="W113" s="738"/>
      <c r="X113" s="738"/>
      <c r="Y113" s="738"/>
      <c r="Z113" s="738"/>
    </row>
    <row r="114">
      <c r="A114" s="738"/>
      <c r="B114" s="738"/>
      <c r="C114" s="738"/>
      <c r="D114" s="738"/>
      <c r="E114" s="738"/>
      <c r="F114" s="738"/>
      <c r="G114" s="738"/>
      <c r="H114" s="738"/>
      <c r="I114" s="738"/>
      <c r="J114" s="738"/>
      <c r="K114" s="738"/>
      <c r="L114" s="738"/>
      <c r="M114" s="738"/>
      <c r="N114" s="738"/>
      <c r="O114" s="738"/>
      <c r="P114" s="738"/>
      <c r="Q114" s="738"/>
      <c r="R114" s="738"/>
      <c r="S114" s="738"/>
      <c r="T114" s="738"/>
      <c r="U114" s="738"/>
      <c r="V114" s="738"/>
      <c r="W114" s="738"/>
      <c r="X114" s="738"/>
      <c r="Y114" s="738"/>
      <c r="Z114" s="738"/>
    </row>
    <row r="115">
      <c r="A115" s="738"/>
      <c r="B115" s="738"/>
      <c r="C115" s="738"/>
      <c r="D115" s="738"/>
      <c r="E115" s="738"/>
      <c r="F115" s="738"/>
      <c r="G115" s="738"/>
      <c r="H115" s="738"/>
      <c r="I115" s="738"/>
      <c r="J115" s="738"/>
      <c r="K115" s="738"/>
      <c r="L115" s="738"/>
      <c r="M115" s="738"/>
      <c r="N115" s="738"/>
      <c r="O115" s="738"/>
      <c r="P115" s="738"/>
      <c r="Q115" s="738"/>
      <c r="R115" s="738"/>
      <c r="S115" s="738"/>
      <c r="T115" s="738"/>
      <c r="U115" s="738"/>
      <c r="V115" s="738"/>
      <c r="W115" s="738"/>
      <c r="X115" s="738"/>
      <c r="Y115" s="738"/>
      <c r="Z115" s="738"/>
    </row>
    <row r="116">
      <c r="A116" s="738"/>
      <c r="B116" s="738"/>
      <c r="C116" s="738"/>
      <c r="D116" s="738"/>
      <c r="E116" s="738"/>
      <c r="F116" s="738"/>
      <c r="G116" s="738"/>
      <c r="H116" s="738"/>
      <c r="I116" s="738"/>
      <c r="J116" s="738"/>
      <c r="K116" s="738"/>
      <c r="L116" s="738"/>
      <c r="M116" s="738"/>
      <c r="N116" s="738"/>
      <c r="O116" s="738"/>
      <c r="P116" s="738"/>
      <c r="Q116" s="738"/>
      <c r="R116" s="738"/>
      <c r="S116" s="738"/>
      <c r="T116" s="738"/>
      <c r="U116" s="738"/>
      <c r="V116" s="738"/>
      <c r="W116" s="738"/>
      <c r="X116" s="738"/>
      <c r="Y116" s="738"/>
      <c r="Z116" s="738"/>
    </row>
    <row r="117">
      <c r="A117" s="738"/>
      <c r="B117" s="738"/>
      <c r="C117" s="738"/>
      <c r="D117" s="738"/>
      <c r="E117" s="738"/>
      <c r="F117" s="738"/>
      <c r="G117" s="738"/>
      <c r="H117" s="738"/>
      <c r="I117" s="738"/>
      <c r="J117" s="738"/>
      <c r="K117" s="738"/>
      <c r="L117" s="738"/>
      <c r="M117" s="738"/>
      <c r="N117" s="738"/>
      <c r="O117" s="738"/>
      <c r="P117" s="738"/>
      <c r="Q117" s="738"/>
      <c r="R117" s="738"/>
      <c r="S117" s="738"/>
      <c r="T117" s="738"/>
      <c r="U117" s="738"/>
      <c r="V117" s="738"/>
      <c r="W117" s="738"/>
      <c r="X117" s="738"/>
      <c r="Y117" s="738"/>
      <c r="Z117" s="738"/>
    </row>
    <row r="118">
      <c r="A118" s="738"/>
      <c r="B118" s="738"/>
      <c r="C118" s="738"/>
      <c r="D118" s="738"/>
      <c r="E118" s="738"/>
      <c r="F118" s="738"/>
      <c r="G118" s="738"/>
      <c r="H118" s="738"/>
      <c r="I118" s="738"/>
      <c r="J118" s="738"/>
      <c r="K118" s="738"/>
      <c r="L118" s="738"/>
      <c r="M118" s="738"/>
      <c r="N118" s="738"/>
      <c r="O118" s="738"/>
      <c r="P118" s="738"/>
      <c r="Q118" s="738"/>
      <c r="R118" s="738"/>
      <c r="S118" s="738"/>
      <c r="T118" s="738"/>
      <c r="U118" s="738"/>
      <c r="V118" s="738"/>
      <c r="W118" s="738"/>
      <c r="X118" s="738"/>
      <c r="Y118" s="738"/>
      <c r="Z118" s="738"/>
    </row>
    <row r="119">
      <c r="A119" s="738"/>
      <c r="B119" s="738"/>
      <c r="C119" s="738"/>
      <c r="D119" s="738"/>
      <c r="E119" s="738"/>
      <c r="F119" s="738"/>
      <c r="G119" s="738"/>
      <c r="H119" s="738"/>
      <c r="I119" s="738"/>
      <c r="J119" s="738"/>
      <c r="K119" s="738"/>
      <c r="L119" s="738"/>
      <c r="M119" s="738"/>
      <c r="N119" s="738"/>
      <c r="O119" s="738"/>
      <c r="P119" s="738"/>
      <c r="Q119" s="738"/>
      <c r="R119" s="738"/>
      <c r="S119" s="738"/>
      <c r="T119" s="738"/>
      <c r="U119" s="738"/>
      <c r="V119" s="738"/>
      <c r="W119" s="738"/>
      <c r="X119" s="738"/>
      <c r="Y119" s="738"/>
      <c r="Z119" s="738"/>
    </row>
    <row r="120">
      <c r="A120" s="738"/>
      <c r="B120" s="738"/>
      <c r="C120" s="738"/>
      <c r="D120" s="738"/>
      <c r="E120" s="738"/>
      <c r="F120" s="738"/>
      <c r="G120" s="738"/>
      <c r="H120" s="738"/>
      <c r="I120" s="738"/>
      <c r="J120" s="738"/>
      <c r="K120" s="738"/>
      <c r="L120" s="738"/>
      <c r="M120" s="738"/>
      <c r="N120" s="738"/>
      <c r="O120" s="738"/>
      <c r="P120" s="738"/>
      <c r="Q120" s="738"/>
      <c r="R120" s="738"/>
      <c r="S120" s="738"/>
      <c r="T120" s="738"/>
      <c r="U120" s="738"/>
      <c r="V120" s="738"/>
      <c r="W120" s="738"/>
      <c r="X120" s="738"/>
      <c r="Y120" s="738"/>
      <c r="Z120" s="738"/>
    </row>
    <row r="121">
      <c r="A121" s="738"/>
      <c r="B121" s="738"/>
      <c r="C121" s="738"/>
      <c r="D121" s="738"/>
      <c r="E121" s="738"/>
      <c r="F121" s="738"/>
      <c r="G121" s="738"/>
      <c r="H121" s="738"/>
      <c r="I121" s="738"/>
      <c r="J121" s="738"/>
      <c r="K121" s="738"/>
      <c r="L121" s="738"/>
      <c r="M121" s="738"/>
      <c r="N121" s="738"/>
      <c r="O121" s="738"/>
      <c r="P121" s="738"/>
      <c r="Q121" s="738"/>
      <c r="R121" s="738"/>
      <c r="S121" s="738"/>
      <c r="T121" s="738"/>
      <c r="U121" s="738"/>
      <c r="V121" s="738"/>
      <c r="W121" s="738"/>
      <c r="X121" s="738"/>
      <c r="Y121" s="738"/>
      <c r="Z121" s="738"/>
    </row>
    <row r="122">
      <c r="A122" s="738"/>
      <c r="B122" s="738"/>
      <c r="C122" s="738"/>
      <c r="D122" s="738"/>
      <c r="E122" s="738"/>
      <c r="F122" s="738"/>
      <c r="G122" s="738"/>
      <c r="H122" s="738"/>
      <c r="I122" s="738"/>
      <c r="J122" s="738"/>
      <c r="K122" s="738"/>
      <c r="L122" s="738"/>
      <c r="M122" s="738"/>
      <c r="N122" s="738"/>
      <c r="O122" s="738"/>
      <c r="P122" s="738"/>
      <c r="Q122" s="738"/>
      <c r="R122" s="738"/>
      <c r="S122" s="738"/>
      <c r="T122" s="738"/>
      <c r="U122" s="738"/>
      <c r="V122" s="738"/>
      <c r="W122" s="738"/>
      <c r="X122" s="738"/>
      <c r="Y122" s="738"/>
      <c r="Z122" s="738"/>
    </row>
    <row r="123">
      <c r="A123" s="738"/>
      <c r="B123" s="738"/>
      <c r="C123" s="738"/>
      <c r="D123" s="738"/>
      <c r="E123" s="738"/>
      <c r="F123" s="738"/>
      <c r="G123" s="738"/>
      <c r="H123" s="738"/>
      <c r="I123" s="738"/>
      <c r="J123" s="738"/>
      <c r="K123" s="738"/>
      <c r="L123" s="738"/>
      <c r="M123" s="738"/>
      <c r="N123" s="738"/>
      <c r="O123" s="738"/>
      <c r="P123" s="738"/>
      <c r="Q123" s="738"/>
      <c r="R123" s="738"/>
      <c r="S123" s="738"/>
      <c r="T123" s="738"/>
      <c r="U123" s="738"/>
      <c r="V123" s="738"/>
      <c r="W123" s="738"/>
      <c r="X123" s="738"/>
      <c r="Y123" s="738"/>
      <c r="Z123" s="738"/>
    </row>
    <row r="124">
      <c r="A124" s="738"/>
      <c r="B124" s="738"/>
      <c r="C124" s="738"/>
      <c r="D124" s="738"/>
      <c r="E124" s="738"/>
      <c r="F124" s="738"/>
      <c r="G124" s="738"/>
      <c r="H124" s="738"/>
      <c r="I124" s="738"/>
      <c r="J124" s="738"/>
      <c r="K124" s="738"/>
      <c r="L124" s="738"/>
      <c r="M124" s="738"/>
      <c r="N124" s="738"/>
      <c r="O124" s="738"/>
      <c r="P124" s="738"/>
      <c r="Q124" s="738"/>
      <c r="R124" s="738"/>
      <c r="S124" s="738"/>
      <c r="T124" s="738"/>
      <c r="U124" s="738"/>
      <c r="V124" s="738"/>
      <c r="W124" s="738"/>
      <c r="X124" s="738"/>
      <c r="Y124" s="738"/>
      <c r="Z124" s="738"/>
    </row>
    <row r="125">
      <c r="A125" s="738"/>
      <c r="B125" s="738"/>
      <c r="C125" s="738"/>
      <c r="D125" s="738"/>
      <c r="E125" s="738"/>
      <c r="F125" s="738"/>
      <c r="G125" s="738"/>
      <c r="H125" s="738"/>
      <c r="I125" s="738"/>
      <c r="J125" s="738"/>
      <c r="K125" s="738"/>
      <c r="L125" s="738"/>
      <c r="M125" s="738"/>
      <c r="N125" s="738"/>
      <c r="O125" s="738"/>
      <c r="P125" s="738"/>
      <c r="Q125" s="738"/>
      <c r="R125" s="738"/>
      <c r="S125" s="738"/>
      <c r="T125" s="738"/>
      <c r="U125" s="738"/>
      <c r="V125" s="738"/>
      <c r="W125" s="738"/>
      <c r="X125" s="738"/>
      <c r="Y125" s="738"/>
      <c r="Z125" s="738"/>
    </row>
    <row r="126">
      <c r="A126" s="738"/>
      <c r="B126" s="738"/>
      <c r="C126" s="738"/>
      <c r="D126" s="738"/>
      <c r="E126" s="738"/>
      <c r="F126" s="738"/>
      <c r="G126" s="738"/>
      <c r="H126" s="738"/>
      <c r="I126" s="738"/>
      <c r="J126" s="738"/>
      <c r="K126" s="738"/>
      <c r="L126" s="738"/>
      <c r="M126" s="738"/>
      <c r="N126" s="738"/>
      <c r="O126" s="738"/>
      <c r="P126" s="738"/>
      <c r="Q126" s="738"/>
      <c r="R126" s="738"/>
      <c r="S126" s="738"/>
      <c r="T126" s="738"/>
      <c r="U126" s="738"/>
      <c r="V126" s="738"/>
      <c r="W126" s="738"/>
      <c r="X126" s="738"/>
      <c r="Y126" s="738"/>
      <c r="Z126" s="738"/>
    </row>
    <row r="127">
      <c r="A127" s="738"/>
      <c r="B127" s="738"/>
      <c r="C127" s="738"/>
      <c r="D127" s="738"/>
      <c r="E127" s="738"/>
      <c r="F127" s="738"/>
      <c r="G127" s="738"/>
      <c r="H127" s="738"/>
      <c r="I127" s="738"/>
      <c r="J127" s="738"/>
      <c r="K127" s="738"/>
      <c r="L127" s="738"/>
      <c r="M127" s="738"/>
      <c r="N127" s="738"/>
      <c r="O127" s="738"/>
      <c r="P127" s="738"/>
      <c r="Q127" s="738"/>
      <c r="R127" s="738"/>
      <c r="S127" s="738"/>
      <c r="T127" s="738"/>
      <c r="U127" s="738"/>
      <c r="V127" s="738"/>
      <c r="W127" s="738"/>
      <c r="X127" s="738"/>
      <c r="Y127" s="738"/>
      <c r="Z127" s="738"/>
    </row>
    <row r="128">
      <c r="A128" s="738"/>
      <c r="B128" s="738"/>
      <c r="C128" s="738"/>
      <c r="D128" s="738"/>
      <c r="E128" s="738"/>
      <c r="F128" s="738"/>
      <c r="G128" s="738"/>
      <c r="H128" s="738"/>
      <c r="I128" s="738"/>
      <c r="J128" s="738"/>
      <c r="K128" s="738"/>
      <c r="L128" s="738"/>
      <c r="M128" s="738"/>
      <c r="N128" s="738"/>
      <c r="O128" s="738"/>
      <c r="P128" s="738"/>
      <c r="Q128" s="738"/>
      <c r="R128" s="738"/>
      <c r="S128" s="738"/>
      <c r="T128" s="738"/>
      <c r="U128" s="738"/>
      <c r="V128" s="738"/>
      <c r="W128" s="738"/>
      <c r="X128" s="738"/>
      <c r="Y128" s="738"/>
      <c r="Z128" s="738"/>
    </row>
    <row r="129">
      <c r="A129" s="738"/>
      <c r="B129" s="738"/>
      <c r="C129" s="738"/>
      <c r="D129" s="738"/>
      <c r="E129" s="738"/>
      <c r="F129" s="738"/>
      <c r="G129" s="738"/>
      <c r="H129" s="738"/>
      <c r="I129" s="738"/>
      <c r="J129" s="738"/>
      <c r="K129" s="738"/>
      <c r="L129" s="738"/>
      <c r="M129" s="738"/>
      <c r="N129" s="738"/>
      <c r="O129" s="738"/>
      <c r="P129" s="738"/>
      <c r="Q129" s="738"/>
      <c r="R129" s="738"/>
      <c r="S129" s="738"/>
      <c r="T129" s="738"/>
      <c r="U129" s="738"/>
      <c r="V129" s="738"/>
      <c r="W129" s="738"/>
      <c r="X129" s="738"/>
      <c r="Y129" s="738"/>
      <c r="Z129" s="738"/>
    </row>
    <row r="130">
      <c r="A130" s="738"/>
      <c r="B130" s="738"/>
      <c r="C130" s="738"/>
      <c r="D130" s="738"/>
      <c r="E130" s="738"/>
      <c r="F130" s="738"/>
      <c r="G130" s="738"/>
      <c r="H130" s="738"/>
      <c r="I130" s="738"/>
      <c r="J130" s="738"/>
      <c r="K130" s="738"/>
      <c r="L130" s="738"/>
      <c r="M130" s="738"/>
      <c r="N130" s="738"/>
      <c r="O130" s="738"/>
      <c r="P130" s="738"/>
      <c r="Q130" s="738"/>
      <c r="R130" s="738"/>
      <c r="S130" s="738"/>
      <c r="T130" s="738"/>
      <c r="U130" s="738"/>
      <c r="V130" s="738"/>
      <c r="W130" s="738"/>
      <c r="X130" s="738"/>
      <c r="Y130" s="738"/>
      <c r="Z130" s="738"/>
    </row>
    <row r="131">
      <c r="A131" s="738"/>
      <c r="B131" s="738"/>
      <c r="C131" s="738"/>
      <c r="D131" s="738"/>
      <c r="E131" s="738"/>
      <c r="F131" s="738"/>
      <c r="G131" s="738"/>
      <c r="H131" s="738"/>
      <c r="I131" s="738"/>
      <c r="J131" s="738"/>
      <c r="K131" s="738"/>
      <c r="L131" s="738"/>
      <c r="M131" s="738"/>
      <c r="N131" s="738"/>
      <c r="O131" s="738"/>
      <c r="P131" s="738"/>
      <c r="Q131" s="738"/>
      <c r="R131" s="738"/>
      <c r="S131" s="738"/>
      <c r="T131" s="738"/>
      <c r="U131" s="738"/>
      <c r="V131" s="738"/>
      <c r="W131" s="738"/>
      <c r="X131" s="738"/>
      <c r="Y131" s="738"/>
      <c r="Z131" s="738"/>
    </row>
    <row r="132">
      <c r="A132" s="738"/>
      <c r="B132" s="738"/>
      <c r="C132" s="738"/>
      <c r="D132" s="738"/>
      <c r="E132" s="738"/>
      <c r="F132" s="738"/>
      <c r="G132" s="738"/>
      <c r="H132" s="738"/>
      <c r="I132" s="738"/>
      <c r="J132" s="738"/>
      <c r="K132" s="738"/>
      <c r="L132" s="738"/>
      <c r="M132" s="738"/>
      <c r="N132" s="738"/>
      <c r="O132" s="738"/>
      <c r="P132" s="738"/>
      <c r="Q132" s="738"/>
      <c r="R132" s="738"/>
      <c r="S132" s="738"/>
      <c r="T132" s="738"/>
      <c r="U132" s="738"/>
      <c r="V132" s="738"/>
      <c r="W132" s="738"/>
      <c r="X132" s="738"/>
      <c r="Y132" s="738"/>
      <c r="Z132" s="738"/>
    </row>
    <row r="133">
      <c r="A133" s="738"/>
      <c r="B133" s="738"/>
      <c r="C133" s="738"/>
      <c r="D133" s="738"/>
      <c r="E133" s="738"/>
      <c r="F133" s="738"/>
      <c r="G133" s="738"/>
      <c r="H133" s="738"/>
      <c r="I133" s="738"/>
      <c r="J133" s="738"/>
      <c r="K133" s="738"/>
      <c r="L133" s="738"/>
      <c r="M133" s="738"/>
      <c r="N133" s="738"/>
      <c r="O133" s="738"/>
      <c r="P133" s="738"/>
      <c r="Q133" s="738"/>
      <c r="R133" s="738"/>
      <c r="S133" s="738"/>
      <c r="T133" s="738"/>
      <c r="U133" s="738"/>
      <c r="V133" s="738"/>
      <c r="W133" s="738"/>
      <c r="X133" s="738"/>
      <c r="Y133" s="738"/>
      <c r="Z133" s="738"/>
    </row>
    <row r="134">
      <c r="A134" s="738"/>
      <c r="B134" s="738"/>
      <c r="C134" s="738"/>
      <c r="D134" s="738"/>
      <c r="E134" s="738"/>
      <c r="F134" s="738"/>
      <c r="G134" s="738"/>
      <c r="H134" s="738"/>
      <c r="I134" s="738"/>
      <c r="J134" s="738"/>
      <c r="K134" s="738"/>
      <c r="L134" s="738"/>
      <c r="M134" s="738"/>
      <c r="N134" s="738"/>
      <c r="O134" s="738"/>
      <c r="P134" s="738"/>
      <c r="Q134" s="738"/>
      <c r="R134" s="738"/>
      <c r="S134" s="738"/>
      <c r="T134" s="738"/>
      <c r="U134" s="738"/>
      <c r="V134" s="738"/>
      <c r="W134" s="738"/>
      <c r="X134" s="738"/>
      <c r="Y134" s="738"/>
      <c r="Z134" s="738"/>
    </row>
    <row r="135">
      <c r="A135" s="738"/>
      <c r="B135" s="738"/>
      <c r="C135" s="738"/>
      <c r="D135" s="738"/>
      <c r="E135" s="738"/>
      <c r="F135" s="738"/>
      <c r="G135" s="738"/>
      <c r="H135" s="738"/>
      <c r="I135" s="738"/>
      <c r="J135" s="738"/>
      <c r="K135" s="738"/>
      <c r="L135" s="738"/>
      <c r="M135" s="738"/>
      <c r="N135" s="738"/>
      <c r="O135" s="738"/>
      <c r="P135" s="738"/>
      <c r="Q135" s="738"/>
      <c r="R135" s="738"/>
      <c r="S135" s="738"/>
      <c r="T135" s="738"/>
      <c r="U135" s="738"/>
      <c r="V135" s="738"/>
      <c r="W135" s="738"/>
      <c r="X135" s="738"/>
      <c r="Y135" s="738"/>
      <c r="Z135" s="738"/>
    </row>
    <row r="136">
      <c r="A136" s="738"/>
      <c r="B136" s="738"/>
      <c r="C136" s="738"/>
      <c r="D136" s="738"/>
      <c r="E136" s="738"/>
      <c r="F136" s="738"/>
      <c r="G136" s="738"/>
      <c r="H136" s="738"/>
      <c r="I136" s="738"/>
      <c r="J136" s="738"/>
      <c r="K136" s="738"/>
      <c r="L136" s="738"/>
      <c r="M136" s="738"/>
      <c r="N136" s="738"/>
      <c r="O136" s="738"/>
      <c r="P136" s="738"/>
      <c r="Q136" s="738"/>
      <c r="R136" s="738"/>
      <c r="S136" s="738"/>
      <c r="T136" s="738"/>
      <c r="U136" s="738"/>
      <c r="V136" s="738"/>
      <c r="W136" s="738"/>
      <c r="X136" s="738"/>
      <c r="Y136" s="738"/>
      <c r="Z136" s="738"/>
    </row>
    <row r="137">
      <c r="A137" s="738"/>
      <c r="B137" s="738"/>
      <c r="C137" s="738"/>
      <c r="D137" s="738"/>
      <c r="E137" s="738"/>
      <c r="F137" s="738"/>
      <c r="G137" s="738"/>
      <c r="H137" s="738"/>
      <c r="I137" s="738"/>
      <c r="J137" s="738"/>
      <c r="K137" s="738"/>
      <c r="L137" s="738"/>
      <c r="M137" s="738"/>
      <c r="N137" s="738"/>
      <c r="O137" s="738"/>
      <c r="P137" s="738"/>
      <c r="Q137" s="738"/>
      <c r="R137" s="738"/>
      <c r="S137" s="738"/>
      <c r="T137" s="738"/>
      <c r="U137" s="738"/>
      <c r="V137" s="738"/>
      <c r="W137" s="738"/>
      <c r="X137" s="738"/>
      <c r="Y137" s="738"/>
      <c r="Z137" s="738"/>
    </row>
    <row r="138">
      <c r="A138" s="738"/>
      <c r="B138" s="738"/>
      <c r="C138" s="738"/>
      <c r="D138" s="738"/>
      <c r="E138" s="738"/>
      <c r="F138" s="738"/>
      <c r="G138" s="738"/>
      <c r="H138" s="738"/>
      <c r="I138" s="738"/>
      <c r="J138" s="738"/>
      <c r="K138" s="738"/>
      <c r="L138" s="738"/>
      <c r="M138" s="738"/>
      <c r="N138" s="738"/>
      <c r="O138" s="738"/>
      <c r="P138" s="738"/>
      <c r="Q138" s="738"/>
      <c r="R138" s="738"/>
      <c r="S138" s="738"/>
      <c r="T138" s="738"/>
      <c r="U138" s="738"/>
      <c r="V138" s="738"/>
      <c r="W138" s="738"/>
      <c r="X138" s="738"/>
      <c r="Y138" s="738"/>
      <c r="Z138" s="738"/>
    </row>
    <row r="139">
      <c r="A139" s="738"/>
      <c r="B139" s="738"/>
      <c r="C139" s="738"/>
      <c r="D139" s="738"/>
      <c r="E139" s="738"/>
      <c r="F139" s="738"/>
      <c r="G139" s="738"/>
      <c r="H139" s="738"/>
      <c r="I139" s="738"/>
      <c r="J139" s="738"/>
      <c r="K139" s="738"/>
      <c r="L139" s="738"/>
      <c r="M139" s="738"/>
      <c r="N139" s="738"/>
      <c r="O139" s="738"/>
      <c r="P139" s="738"/>
      <c r="Q139" s="738"/>
      <c r="R139" s="738"/>
      <c r="S139" s="738"/>
      <c r="T139" s="738"/>
      <c r="U139" s="738"/>
      <c r="V139" s="738"/>
      <c r="W139" s="738"/>
      <c r="X139" s="738"/>
      <c r="Y139" s="738"/>
      <c r="Z139" s="738"/>
    </row>
    <row r="140">
      <c r="A140" s="738"/>
      <c r="B140" s="738"/>
      <c r="C140" s="738"/>
      <c r="D140" s="738"/>
      <c r="E140" s="738"/>
      <c r="F140" s="738"/>
      <c r="G140" s="738"/>
      <c r="H140" s="738"/>
      <c r="I140" s="738"/>
      <c r="J140" s="738"/>
      <c r="K140" s="738"/>
      <c r="L140" s="738"/>
      <c r="M140" s="738"/>
      <c r="N140" s="738"/>
      <c r="O140" s="738"/>
      <c r="P140" s="738"/>
      <c r="Q140" s="738"/>
      <c r="R140" s="738"/>
      <c r="S140" s="738"/>
      <c r="T140" s="738"/>
      <c r="U140" s="738"/>
      <c r="V140" s="738"/>
      <c r="W140" s="738"/>
      <c r="X140" s="738"/>
      <c r="Y140" s="738"/>
      <c r="Z140" s="738"/>
    </row>
    <row r="141">
      <c r="A141" s="738"/>
      <c r="B141" s="738"/>
      <c r="C141" s="738"/>
      <c r="D141" s="738"/>
      <c r="E141" s="738"/>
      <c r="F141" s="738"/>
      <c r="G141" s="738"/>
      <c r="H141" s="738"/>
      <c r="I141" s="738"/>
      <c r="J141" s="738"/>
      <c r="K141" s="738"/>
      <c r="L141" s="738"/>
      <c r="M141" s="738"/>
      <c r="N141" s="738"/>
      <c r="O141" s="738"/>
      <c r="P141" s="738"/>
      <c r="Q141" s="738"/>
      <c r="R141" s="738"/>
      <c r="S141" s="738"/>
      <c r="T141" s="738"/>
      <c r="U141" s="738"/>
      <c r="V141" s="738"/>
      <c r="W141" s="738"/>
      <c r="X141" s="738"/>
      <c r="Y141" s="738"/>
      <c r="Z141" s="738"/>
    </row>
    <row r="142">
      <c r="A142" s="738"/>
      <c r="B142" s="738"/>
      <c r="C142" s="738"/>
      <c r="D142" s="738"/>
      <c r="E142" s="738"/>
      <c r="F142" s="738"/>
      <c r="G142" s="738"/>
      <c r="H142" s="738"/>
      <c r="I142" s="738"/>
      <c r="J142" s="738"/>
      <c r="K142" s="738"/>
      <c r="L142" s="738"/>
      <c r="M142" s="738"/>
      <c r="N142" s="738"/>
      <c r="O142" s="738"/>
      <c r="P142" s="738"/>
      <c r="Q142" s="738"/>
      <c r="R142" s="738"/>
      <c r="S142" s="738"/>
      <c r="T142" s="738"/>
      <c r="U142" s="738"/>
      <c r="V142" s="738"/>
      <c r="W142" s="738"/>
      <c r="X142" s="738"/>
      <c r="Y142" s="738"/>
      <c r="Z142" s="738"/>
    </row>
    <row r="143">
      <c r="A143" s="738"/>
      <c r="B143" s="738"/>
      <c r="C143" s="738"/>
      <c r="D143" s="738"/>
      <c r="E143" s="738"/>
      <c r="F143" s="738"/>
      <c r="G143" s="738"/>
      <c r="H143" s="738"/>
      <c r="I143" s="738"/>
      <c r="J143" s="738"/>
      <c r="K143" s="738"/>
      <c r="L143" s="738"/>
      <c r="M143" s="738"/>
      <c r="N143" s="738"/>
      <c r="O143" s="738"/>
      <c r="P143" s="738"/>
      <c r="Q143" s="738"/>
      <c r="R143" s="738"/>
      <c r="S143" s="738"/>
      <c r="T143" s="738"/>
      <c r="U143" s="738"/>
      <c r="V143" s="738"/>
      <c r="W143" s="738"/>
      <c r="X143" s="738"/>
      <c r="Y143" s="738"/>
      <c r="Z143" s="738"/>
    </row>
    <row r="144">
      <c r="A144" s="738"/>
      <c r="B144" s="738"/>
      <c r="C144" s="738"/>
      <c r="D144" s="738"/>
      <c r="E144" s="738"/>
      <c r="F144" s="738"/>
      <c r="G144" s="738"/>
      <c r="H144" s="738"/>
      <c r="I144" s="738"/>
      <c r="J144" s="738"/>
      <c r="K144" s="738"/>
      <c r="L144" s="738"/>
      <c r="M144" s="738"/>
      <c r="N144" s="738"/>
      <c r="O144" s="738"/>
      <c r="P144" s="738"/>
      <c r="Q144" s="738"/>
      <c r="R144" s="738"/>
      <c r="S144" s="738"/>
      <c r="T144" s="738"/>
      <c r="U144" s="738"/>
      <c r="V144" s="738"/>
      <c r="W144" s="738"/>
      <c r="X144" s="738"/>
      <c r="Y144" s="738"/>
      <c r="Z144" s="738"/>
    </row>
    <row r="145">
      <c r="A145" s="738"/>
      <c r="B145" s="738"/>
      <c r="C145" s="738"/>
      <c r="D145" s="738"/>
      <c r="E145" s="738"/>
      <c r="F145" s="738"/>
      <c r="G145" s="738"/>
      <c r="H145" s="738"/>
      <c r="I145" s="738"/>
      <c r="J145" s="738"/>
      <c r="K145" s="738"/>
      <c r="L145" s="738"/>
      <c r="M145" s="738"/>
      <c r="N145" s="738"/>
      <c r="O145" s="738"/>
      <c r="P145" s="738"/>
      <c r="Q145" s="738"/>
      <c r="R145" s="738"/>
      <c r="S145" s="738"/>
      <c r="T145" s="738"/>
      <c r="U145" s="738"/>
      <c r="V145" s="738"/>
      <c r="W145" s="738"/>
      <c r="X145" s="738"/>
      <c r="Y145" s="738"/>
      <c r="Z145" s="738"/>
    </row>
    <row r="146">
      <c r="A146" s="738"/>
      <c r="B146" s="738"/>
      <c r="C146" s="738"/>
      <c r="D146" s="738"/>
      <c r="E146" s="738"/>
      <c r="F146" s="738"/>
      <c r="G146" s="738"/>
      <c r="H146" s="738"/>
      <c r="I146" s="738"/>
      <c r="J146" s="738"/>
      <c r="K146" s="738"/>
      <c r="L146" s="738"/>
      <c r="M146" s="738"/>
      <c r="N146" s="738"/>
      <c r="O146" s="738"/>
      <c r="P146" s="738"/>
      <c r="Q146" s="738"/>
      <c r="R146" s="738"/>
      <c r="S146" s="738"/>
      <c r="T146" s="738"/>
      <c r="U146" s="738"/>
      <c r="V146" s="738"/>
      <c r="W146" s="738"/>
      <c r="X146" s="738"/>
      <c r="Y146" s="738"/>
      <c r="Z146" s="738"/>
    </row>
    <row r="147">
      <c r="A147" s="738"/>
      <c r="B147" s="738"/>
      <c r="C147" s="738"/>
      <c r="D147" s="738"/>
      <c r="E147" s="738"/>
      <c r="F147" s="738"/>
      <c r="G147" s="738"/>
      <c r="H147" s="738"/>
      <c r="I147" s="738"/>
      <c r="J147" s="738"/>
      <c r="K147" s="738"/>
      <c r="L147" s="738"/>
      <c r="M147" s="738"/>
      <c r="N147" s="738"/>
      <c r="O147" s="738"/>
      <c r="P147" s="738"/>
      <c r="Q147" s="738"/>
      <c r="R147" s="738"/>
      <c r="S147" s="738"/>
      <c r="T147" s="738"/>
      <c r="U147" s="738"/>
      <c r="V147" s="738"/>
      <c r="W147" s="738"/>
      <c r="X147" s="738"/>
      <c r="Y147" s="738"/>
      <c r="Z147" s="738"/>
    </row>
    <row r="148">
      <c r="A148" s="738"/>
      <c r="B148" s="738"/>
      <c r="C148" s="738"/>
      <c r="D148" s="738"/>
      <c r="E148" s="738"/>
      <c r="F148" s="738"/>
      <c r="G148" s="738"/>
      <c r="H148" s="738"/>
      <c r="I148" s="738"/>
      <c r="J148" s="738"/>
      <c r="K148" s="738"/>
      <c r="L148" s="738"/>
      <c r="M148" s="738"/>
      <c r="N148" s="738"/>
      <c r="O148" s="738"/>
      <c r="P148" s="738"/>
      <c r="Q148" s="738"/>
      <c r="R148" s="738"/>
      <c r="S148" s="738"/>
      <c r="T148" s="738"/>
      <c r="U148" s="738"/>
      <c r="V148" s="738"/>
      <c r="W148" s="738"/>
      <c r="X148" s="738"/>
      <c r="Y148" s="738"/>
      <c r="Z148" s="738"/>
    </row>
    <row r="149">
      <c r="A149" s="738"/>
      <c r="B149" s="738"/>
      <c r="C149" s="738"/>
      <c r="D149" s="738"/>
      <c r="E149" s="738"/>
      <c r="F149" s="738"/>
      <c r="G149" s="738"/>
      <c r="H149" s="738"/>
      <c r="I149" s="738"/>
      <c r="J149" s="738"/>
      <c r="K149" s="738"/>
      <c r="L149" s="738"/>
      <c r="M149" s="738"/>
      <c r="N149" s="738"/>
      <c r="O149" s="738"/>
      <c r="P149" s="738"/>
      <c r="Q149" s="738"/>
      <c r="R149" s="738"/>
      <c r="S149" s="738"/>
      <c r="T149" s="738"/>
      <c r="U149" s="738"/>
      <c r="V149" s="738"/>
      <c r="W149" s="738"/>
      <c r="X149" s="738"/>
      <c r="Y149" s="738"/>
      <c r="Z149" s="738"/>
    </row>
    <row r="150">
      <c r="A150" s="738"/>
      <c r="B150" s="738"/>
      <c r="C150" s="738"/>
      <c r="D150" s="738"/>
      <c r="E150" s="738"/>
      <c r="F150" s="738"/>
      <c r="G150" s="738"/>
      <c r="H150" s="738"/>
      <c r="I150" s="738"/>
      <c r="J150" s="738"/>
      <c r="K150" s="738"/>
      <c r="L150" s="738"/>
      <c r="M150" s="738"/>
      <c r="N150" s="738"/>
      <c r="O150" s="738"/>
      <c r="P150" s="738"/>
      <c r="Q150" s="738"/>
      <c r="R150" s="738"/>
      <c r="S150" s="738"/>
      <c r="T150" s="738"/>
      <c r="U150" s="738"/>
      <c r="V150" s="738"/>
      <c r="W150" s="738"/>
      <c r="X150" s="738"/>
      <c r="Y150" s="738"/>
      <c r="Z150" s="738"/>
    </row>
    <row r="151">
      <c r="A151" s="738"/>
      <c r="B151" s="738"/>
      <c r="C151" s="738"/>
      <c r="D151" s="738"/>
      <c r="E151" s="738"/>
      <c r="F151" s="738"/>
      <c r="G151" s="738"/>
      <c r="H151" s="738"/>
      <c r="I151" s="738"/>
      <c r="J151" s="738"/>
      <c r="K151" s="738"/>
      <c r="L151" s="738"/>
      <c r="M151" s="738"/>
      <c r="N151" s="738"/>
      <c r="O151" s="738"/>
      <c r="P151" s="738"/>
      <c r="Q151" s="738"/>
      <c r="R151" s="738"/>
      <c r="S151" s="738"/>
      <c r="T151" s="738"/>
      <c r="U151" s="738"/>
      <c r="V151" s="738"/>
      <c r="W151" s="738"/>
      <c r="X151" s="738"/>
      <c r="Y151" s="738"/>
      <c r="Z151" s="738"/>
    </row>
    <row r="152">
      <c r="A152" s="738"/>
      <c r="B152" s="738"/>
      <c r="C152" s="738"/>
      <c r="D152" s="738"/>
      <c r="E152" s="738"/>
      <c r="F152" s="738"/>
      <c r="G152" s="738"/>
      <c r="H152" s="738"/>
      <c r="I152" s="738"/>
      <c r="J152" s="738"/>
      <c r="K152" s="738"/>
      <c r="L152" s="738"/>
      <c r="M152" s="738"/>
      <c r="N152" s="738"/>
      <c r="O152" s="738"/>
      <c r="P152" s="738"/>
      <c r="Q152" s="738"/>
      <c r="R152" s="738"/>
      <c r="S152" s="738"/>
      <c r="T152" s="738"/>
      <c r="U152" s="738"/>
      <c r="V152" s="738"/>
      <c r="W152" s="738"/>
      <c r="X152" s="738"/>
      <c r="Y152" s="738"/>
      <c r="Z152" s="738"/>
    </row>
    <row r="153">
      <c r="A153" s="738"/>
      <c r="B153" s="738"/>
      <c r="C153" s="738"/>
      <c r="D153" s="738"/>
      <c r="E153" s="738"/>
      <c r="F153" s="738"/>
      <c r="G153" s="738"/>
      <c r="H153" s="738"/>
      <c r="I153" s="738"/>
      <c r="J153" s="738"/>
      <c r="K153" s="738"/>
      <c r="L153" s="738"/>
      <c r="M153" s="738"/>
      <c r="N153" s="738"/>
      <c r="O153" s="738"/>
      <c r="P153" s="738"/>
      <c r="Q153" s="738"/>
      <c r="R153" s="738"/>
      <c r="S153" s="738"/>
      <c r="T153" s="738"/>
      <c r="U153" s="738"/>
      <c r="V153" s="738"/>
      <c r="W153" s="738"/>
      <c r="X153" s="738"/>
      <c r="Y153" s="738"/>
      <c r="Z153" s="738"/>
    </row>
    <row r="154">
      <c r="A154" s="738"/>
      <c r="B154" s="738"/>
      <c r="C154" s="738"/>
      <c r="D154" s="738"/>
      <c r="E154" s="738"/>
      <c r="F154" s="738"/>
      <c r="G154" s="738"/>
      <c r="H154" s="738"/>
      <c r="I154" s="738"/>
      <c r="J154" s="738"/>
      <c r="K154" s="738"/>
      <c r="L154" s="738"/>
      <c r="M154" s="738"/>
      <c r="N154" s="738"/>
      <c r="O154" s="738"/>
      <c r="P154" s="738"/>
      <c r="Q154" s="738"/>
      <c r="R154" s="738"/>
      <c r="S154" s="738"/>
      <c r="T154" s="738"/>
      <c r="U154" s="738"/>
      <c r="V154" s="738"/>
      <c r="W154" s="738"/>
      <c r="X154" s="738"/>
      <c r="Y154" s="738"/>
      <c r="Z154" s="738"/>
    </row>
    <row r="155">
      <c r="A155" s="738"/>
      <c r="B155" s="738"/>
      <c r="C155" s="738"/>
      <c r="D155" s="738"/>
      <c r="E155" s="738"/>
      <c r="F155" s="738"/>
      <c r="G155" s="738"/>
      <c r="H155" s="738"/>
      <c r="I155" s="738"/>
      <c r="J155" s="738"/>
      <c r="K155" s="738"/>
      <c r="L155" s="738"/>
      <c r="M155" s="738"/>
      <c r="N155" s="738"/>
      <c r="O155" s="738"/>
      <c r="P155" s="738"/>
      <c r="Q155" s="738"/>
      <c r="R155" s="738"/>
      <c r="S155" s="738"/>
      <c r="T155" s="738"/>
      <c r="U155" s="738"/>
      <c r="V155" s="738"/>
      <c r="W155" s="738"/>
      <c r="X155" s="738"/>
      <c r="Y155" s="738"/>
      <c r="Z155" s="738"/>
    </row>
    <row r="156">
      <c r="A156" s="738"/>
      <c r="B156" s="738"/>
      <c r="C156" s="738"/>
      <c r="D156" s="738"/>
      <c r="E156" s="738"/>
      <c r="F156" s="738"/>
      <c r="G156" s="738"/>
      <c r="H156" s="738"/>
      <c r="I156" s="738"/>
      <c r="J156" s="738"/>
      <c r="K156" s="738"/>
      <c r="L156" s="738"/>
      <c r="M156" s="738"/>
      <c r="N156" s="738"/>
      <c r="O156" s="738"/>
      <c r="P156" s="738"/>
      <c r="Q156" s="738"/>
      <c r="R156" s="738"/>
      <c r="S156" s="738"/>
      <c r="T156" s="738"/>
      <c r="U156" s="738"/>
      <c r="V156" s="738"/>
      <c r="W156" s="738"/>
      <c r="X156" s="738"/>
      <c r="Y156" s="738"/>
      <c r="Z156" s="738"/>
    </row>
    <row r="157">
      <c r="A157" s="738"/>
      <c r="B157" s="738"/>
      <c r="C157" s="738"/>
      <c r="D157" s="738"/>
      <c r="E157" s="738"/>
      <c r="F157" s="738"/>
      <c r="G157" s="738"/>
      <c r="H157" s="738"/>
      <c r="I157" s="738"/>
      <c r="J157" s="738"/>
      <c r="K157" s="738"/>
      <c r="L157" s="738"/>
      <c r="M157" s="738"/>
      <c r="N157" s="738"/>
      <c r="O157" s="738"/>
      <c r="P157" s="738"/>
      <c r="Q157" s="738"/>
      <c r="R157" s="738"/>
      <c r="S157" s="738"/>
      <c r="T157" s="738"/>
      <c r="U157" s="738"/>
      <c r="V157" s="738"/>
      <c r="W157" s="738"/>
      <c r="X157" s="738"/>
      <c r="Y157" s="738"/>
      <c r="Z157" s="738"/>
    </row>
    <row r="158">
      <c r="A158" s="738"/>
      <c r="B158" s="738"/>
      <c r="C158" s="738"/>
      <c r="D158" s="738"/>
      <c r="E158" s="738"/>
      <c r="F158" s="738"/>
      <c r="G158" s="738"/>
      <c r="H158" s="738"/>
      <c r="I158" s="738"/>
      <c r="J158" s="738"/>
      <c r="K158" s="738"/>
      <c r="L158" s="738"/>
      <c r="M158" s="738"/>
      <c r="N158" s="738"/>
      <c r="O158" s="738"/>
      <c r="P158" s="738"/>
      <c r="Q158" s="738"/>
      <c r="R158" s="738"/>
      <c r="S158" s="738"/>
      <c r="T158" s="738"/>
      <c r="U158" s="738"/>
      <c r="V158" s="738"/>
      <c r="W158" s="738"/>
      <c r="X158" s="738"/>
      <c r="Y158" s="738"/>
      <c r="Z158" s="738"/>
    </row>
    <row r="159">
      <c r="A159" s="738"/>
      <c r="B159" s="738"/>
      <c r="C159" s="738"/>
      <c r="D159" s="738"/>
      <c r="E159" s="738"/>
      <c r="F159" s="738"/>
      <c r="G159" s="738"/>
      <c r="H159" s="738"/>
      <c r="I159" s="738"/>
      <c r="J159" s="738"/>
      <c r="K159" s="738"/>
      <c r="L159" s="738"/>
      <c r="M159" s="738"/>
      <c r="N159" s="738"/>
      <c r="O159" s="738"/>
      <c r="P159" s="738"/>
      <c r="Q159" s="738"/>
      <c r="R159" s="738"/>
      <c r="S159" s="738"/>
      <c r="T159" s="738"/>
      <c r="U159" s="738"/>
      <c r="V159" s="738"/>
      <c r="W159" s="738"/>
      <c r="X159" s="738"/>
      <c r="Y159" s="738"/>
      <c r="Z159" s="738"/>
    </row>
    <row r="160">
      <c r="A160" s="738"/>
      <c r="B160" s="738"/>
      <c r="C160" s="738"/>
      <c r="D160" s="738"/>
      <c r="E160" s="738"/>
      <c r="F160" s="738"/>
      <c r="G160" s="738"/>
      <c r="H160" s="738"/>
      <c r="I160" s="738"/>
      <c r="J160" s="738"/>
      <c r="K160" s="738"/>
      <c r="L160" s="738"/>
      <c r="M160" s="738"/>
      <c r="N160" s="738"/>
      <c r="O160" s="738"/>
      <c r="P160" s="738"/>
      <c r="Q160" s="738"/>
      <c r="R160" s="738"/>
      <c r="S160" s="738"/>
      <c r="T160" s="738"/>
      <c r="U160" s="738"/>
      <c r="V160" s="738"/>
      <c r="W160" s="738"/>
      <c r="X160" s="738"/>
      <c r="Y160" s="738"/>
      <c r="Z160" s="738"/>
    </row>
    <row r="161">
      <c r="A161" s="738"/>
      <c r="B161" s="738"/>
      <c r="C161" s="738"/>
      <c r="D161" s="738"/>
      <c r="E161" s="738"/>
      <c r="F161" s="738"/>
      <c r="G161" s="738"/>
      <c r="H161" s="738"/>
      <c r="I161" s="738"/>
      <c r="J161" s="738"/>
      <c r="K161" s="738"/>
      <c r="L161" s="738"/>
      <c r="M161" s="738"/>
      <c r="N161" s="738"/>
      <c r="O161" s="738"/>
      <c r="P161" s="738"/>
      <c r="Q161" s="738"/>
      <c r="R161" s="738"/>
      <c r="S161" s="738"/>
      <c r="T161" s="738"/>
      <c r="U161" s="738"/>
      <c r="V161" s="738"/>
      <c r="W161" s="738"/>
      <c r="X161" s="738"/>
      <c r="Y161" s="738"/>
      <c r="Z161" s="738"/>
    </row>
    <row r="162">
      <c r="A162" s="738"/>
      <c r="B162" s="738"/>
      <c r="C162" s="738"/>
      <c r="D162" s="738"/>
      <c r="E162" s="738"/>
      <c r="F162" s="738"/>
      <c r="G162" s="738"/>
      <c r="H162" s="738"/>
      <c r="I162" s="738"/>
      <c r="J162" s="738"/>
      <c r="K162" s="738"/>
      <c r="L162" s="738"/>
      <c r="M162" s="738"/>
      <c r="N162" s="738"/>
      <c r="O162" s="738"/>
      <c r="P162" s="738"/>
      <c r="Q162" s="738"/>
      <c r="R162" s="738"/>
      <c r="S162" s="738"/>
      <c r="T162" s="738"/>
      <c r="U162" s="738"/>
      <c r="V162" s="738"/>
      <c r="W162" s="738"/>
      <c r="X162" s="738"/>
      <c r="Y162" s="738"/>
      <c r="Z162" s="738"/>
    </row>
    <row r="163">
      <c r="A163" s="738"/>
      <c r="B163" s="738"/>
      <c r="C163" s="738"/>
      <c r="D163" s="738"/>
      <c r="E163" s="738"/>
      <c r="F163" s="738"/>
      <c r="G163" s="738"/>
      <c r="H163" s="738"/>
      <c r="I163" s="738"/>
      <c r="J163" s="738"/>
      <c r="K163" s="738"/>
      <c r="L163" s="738"/>
      <c r="M163" s="738"/>
      <c r="N163" s="738"/>
      <c r="O163" s="738"/>
      <c r="P163" s="738"/>
      <c r="Q163" s="738"/>
      <c r="R163" s="738"/>
      <c r="S163" s="738"/>
      <c r="T163" s="738"/>
      <c r="U163" s="738"/>
      <c r="V163" s="738"/>
      <c r="W163" s="738"/>
      <c r="X163" s="738"/>
      <c r="Y163" s="738"/>
      <c r="Z163" s="738"/>
    </row>
    <row r="164">
      <c r="A164" s="738"/>
      <c r="B164" s="738"/>
      <c r="C164" s="738"/>
      <c r="D164" s="738"/>
      <c r="E164" s="738"/>
      <c r="F164" s="738"/>
      <c r="G164" s="738"/>
      <c r="H164" s="738"/>
      <c r="I164" s="738"/>
      <c r="J164" s="738"/>
      <c r="K164" s="738"/>
      <c r="L164" s="738"/>
      <c r="M164" s="738"/>
      <c r="N164" s="738"/>
      <c r="O164" s="738"/>
      <c r="P164" s="738"/>
      <c r="Q164" s="738"/>
      <c r="R164" s="738"/>
      <c r="S164" s="738"/>
      <c r="T164" s="738"/>
      <c r="U164" s="738"/>
      <c r="V164" s="738"/>
      <c r="W164" s="738"/>
      <c r="X164" s="738"/>
      <c r="Y164" s="738"/>
      <c r="Z164" s="738"/>
    </row>
    <row r="165">
      <c r="A165" s="738"/>
      <c r="B165" s="738"/>
      <c r="C165" s="738"/>
      <c r="D165" s="738"/>
      <c r="E165" s="738"/>
      <c r="F165" s="738"/>
      <c r="G165" s="738"/>
      <c r="H165" s="738"/>
      <c r="I165" s="738"/>
      <c r="J165" s="738"/>
      <c r="K165" s="738"/>
      <c r="L165" s="738"/>
      <c r="M165" s="738"/>
      <c r="N165" s="738"/>
      <c r="O165" s="738"/>
      <c r="P165" s="738"/>
      <c r="Q165" s="738"/>
      <c r="R165" s="738"/>
      <c r="S165" s="738"/>
      <c r="T165" s="738"/>
      <c r="U165" s="738"/>
      <c r="V165" s="738"/>
      <c r="W165" s="738"/>
      <c r="X165" s="738"/>
      <c r="Y165" s="738"/>
      <c r="Z165" s="738"/>
    </row>
    <row r="166">
      <c r="A166" s="738"/>
      <c r="B166" s="738"/>
      <c r="C166" s="738"/>
      <c r="D166" s="738"/>
      <c r="E166" s="738"/>
      <c r="F166" s="738"/>
      <c r="G166" s="738"/>
      <c r="H166" s="738"/>
      <c r="I166" s="738"/>
      <c r="J166" s="738"/>
      <c r="K166" s="738"/>
      <c r="L166" s="738"/>
      <c r="M166" s="738"/>
      <c r="N166" s="738"/>
      <c r="O166" s="738"/>
      <c r="P166" s="738"/>
      <c r="Q166" s="738"/>
      <c r="R166" s="738"/>
      <c r="S166" s="738"/>
      <c r="T166" s="738"/>
      <c r="U166" s="738"/>
      <c r="V166" s="738"/>
      <c r="W166" s="738"/>
      <c r="X166" s="738"/>
      <c r="Y166" s="738"/>
      <c r="Z166" s="738"/>
    </row>
    <row r="167">
      <c r="A167" s="738"/>
      <c r="B167" s="738"/>
      <c r="C167" s="738"/>
      <c r="D167" s="738"/>
      <c r="E167" s="738"/>
      <c r="F167" s="738"/>
      <c r="G167" s="738"/>
      <c r="H167" s="738"/>
      <c r="I167" s="738"/>
      <c r="J167" s="738"/>
      <c r="K167" s="738"/>
      <c r="L167" s="738"/>
      <c r="M167" s="738"/>
      <c r="N167" s="738"/>
      <c r="O167" s="738"/>
      <c r="P167" s="738"/>
      <c r="Q167" s="738"/>
      <c r="R167" s="738"/>
      <c r="S167" s="738"/>
      <c r="T167" s="738"/>
      <c r="U167" s="738"/>
      <c r="V167" s="738"/>
      <c r="W167" s="738"/>
      <c r="X167" s="738"/>
      <c r="Y167" s="738"/>
      <c r="Z167" s="738"/>
    </row>
    <row r="168">
      <c r="A168" s="738"/>
      <c r="B168" s="738"/>
      <c r="C168" s="738"/>
      <c r="D168" s="738"/>
      <c r="E168" s="738"/>
      <c r="F168" s="738"/>
      <c r="G168" s="738"/>
      <c r="H168" s="738"/>
      <c r="I168" s="738"/>
      <c r="J168" s="738"/>
      <c r="K168" s="738"/>
      <c r="L168" s="738"/>
      <c r="M168" s="738"/>
      <c r="N168" s="738"/>
      <c r="O168" s="738"/>
      <c r="P168" s="738"/>
      <c r="Q168" s="738"/>
      <c r="R168" s="738"/>
      <c r="S168" s="738"/>
      <c r="T168" s="738"/>
      <c r="U168" s="738"/>
      <c r="V168" s="738"/>
      <c r="W168" s="738"/>
      <c r="X168" s="738"/>
      <c r="Y168" s="738"/>
      <c r="Z168" s="738"/>
    </row>
    <row r="169">
      <c r="A169" s="738"/>
      <c r="B169" s="738"/>
      <c r="C169" s="738"/>
      <c r="D169" s="738"/>
      <c r="E169" s="738"/>
      <c r="F169" s="738"/>
      <c r="G169" s="738"/>
      <c r="H169" s="738"/>
      <c r="I169" s="738"/>
      <c r="J169" s="738"/>
      <c r="K169" s="738"/>
      <c r="L169" s="738"/>
      <c r="M169" s="738"/>
      <c r="N169" s="738"/>
      <c r="O169" s="738"/>
      <c r="P169" s="738"/>
      <c r="Q169" s="738"/>
      <c r="R169" s="738"/>
      <c r="S169" s="738"/>
      <c r="T169" s="738"/>
      <c r="U169" s="738"/>
      <c r="V169" s="738"/>
      <c r="W169" s="738"/>
      <c r="X169" s="738"/>
      <c r="Y169" s="738"/>
      <c r="Z169" s="738"/>
    </row>
    <row r="170">
      <c r="A170" s="738"/>
      <c r="B170" s="738"/>
      <c r="C170" s="738"/>
      <c r="D170" s="738"/>
      <c r="E170" s="738"/>
      <c r="F170" s="738"/>
      <c r="G170" s="738"/>
      <c r="H170" s="738"/>
      <c r="I170" s="738"/>
      <c r="J170" s="738"/>
      <c r="K170" s="738"/>
      <c r="L170" s="738"/>
      <c r="M170" s="738"/>
      <c r="N170" s="738"/>
      <c r="O170" s="738"/>
      <c r="P170" s="738"/>
      <c r="Q170" s="738"/>
      <c r="R170" s="738"/>
      <c r="S170" s="738"/>
      <c r="T170" s="738"/>
      <c r="U170" s="738"/>
      <c r="V170" s="738"/>
      <c r="W170" s="738"/>
      <c r="X170" s="738"/>
      <c r="Y170" s="738"/>
      <c r="Z170" s="738"/>
    </row>
    <row r="171">
      <c r="A171" s="738"/>
      <c r="B171" s="738"/>
      <c r="C171" s="738"/>
      <c r="D171" s="738"/>
      <c r="E171" s="738"/>
      <c r="F171" s="738"/>
      <c r="G171" s="738"/>
      <c r="H171" s="738"/>
      <c r="I171" s="738"/>
      <c r="J171" s="738"/>
      <c r="K171" s="738"/>
      <c r="L171" s="738"/>
      <c r="M171" s="738"/>
      <c r="N171" s="738"/>
      <c r="O171" s="738"/>
      <c r="P171" s="738"/>
      <c r="Q171" s="738"/>
      <c r="R171" s="738"/>
      <c r="S171" s="738"/>
      <c r="T171" s="738"/>
      <c r="U171" s="738"/>
      <c r="V171" s="738"/>
      <c r="W171" s="738"/>
      <c r="X171" s="738"/>
      <c r="Y171" s="738"/>
      <c r="Z171" s="738"/>
    </row>
    <row r="172">
      <c r="A172" s="738"/>
      <c r="B172" s="738"/>
      <c r="C172" s="738"/>
      <c r="D172" s="738"/>
      <c r="E172" s="738"/>
      <c r="F172" s="738"/>
      <c r="G172" s="738"/>
      <c r="H172" s="738"/>
      <c r="I172" s="738"/>
      <c r="J172" s="738"/>
      <c r="K172" s="738"/>
      <c r="L172" s="738"/>
      <c r="M172" s="738"/>
      <c r="N172" s="738"/>
      <c r="O172" s="738"/>
      <c r="P172" s="738"/>
      <c r="Q172" s="738"/>
      <c r="R172" s="738"/>
      <c r="S172" s="738"/>
      <c r="T172" s="738"/>
      <c r="U172" s="738"/>
      <c r="V172" s="738"/>
      <c r="W172" s="738"/>
      <c r="X172" s="738"/>
      <c r="Y172" s="738"/>
      <c r="Z172" s="738"/>
    </row>
    <row r="173">
      <c r="A173" s="738"/>
      <c r="B173" s="738"/>
      <c r="C173" s="738"/>
      <c r="D173" s="738"/>
      <c r="E173" s="738"/>
      <c r="F173" s="738"/>
      <c r="G173" s="738"/>
      <c r="H173" s="738"/>
      <c r="I173" s="738"/>
      <c r="J173" s="738"/>
      <c r="K173" s="738"/>
      <c r="L173" s="738"/>
      <c r="M173" s="738"/>
      <c r="N173" s="738"/>
      <c r="O173" s="738"/>
      <c r="P173" s="738"/>
      <c r="Q173" s="738"/>
      <c r="R173" s="738"/>
      <c r="S173" s="738"/>
      <c r="T173" s="738"/>
      <c r="U173" s="738"/>
      <c r="V173" s="738"/>
      <c r="W173" s="738"/>
      <c r="X173" s="738"/>
      <c r="Y173" s="738"/>
      <c r="Z173" s="738"/>
    </row>
    <row r="174">
      <c r="A174" s="738"/>
      <c r="B174" s="738"/>
      <c r="C174" s="738"/>
      <c r="D174" s="738"/>
      <c r="E174" s="738"/>
      <c r="F174" s="738"/>
      <c r="G174" s="738"/>
      <c r="H174" s="738"/>
      <c r="I174" s="738"/>
      <c r="J174" s="738"/>
      <c r="K174" s="738"/>
      <c r="L174" s="738"/>
      <c r="M174" s="738"/>
      <c r="N174" s="738"/>
      <c r="O174" s="738"/>
      <c r="P174" s="738"/>
      <c r="Q174" s="738"/>
      <c r="R174" s="738"/>
      <c r="S174" s="738"/>
      <c r="T174" s="738"/>
      <c r="U174" s="738"/>
      <c r="V174" s="738"/>
      <c r="W174" s="738"/>
      <c r="X174" s="738"/>
      <c r="Y174" s="738"/>
      <c r="Z174" s="738"/>
    </row>
    <row r="175">
      <c r="A175" s="738"/>
      <c r="B175" s="738"/>
      <c r="C175" s="738"/>
      <c r="D175" s="738"/>
      <c r="E175" s="738"/>
      <c r="F175" s="738"/>
      <c r="G175" s="738"/>
      <c r="H175" s="738"/>
      <c r="I175" s="738"/>
      <c r="J175" s="738"/>
      <c r="K175" s="738"/>
      <c r="L175" s="738"/>
      <c r="M175" s="738"/>
      <c r="N175" s="738"/>
      <c r="O175" s="738"/>
      <c r="P175" s="738"/>
      <c r="Q175" s="738"/>
      <c r="R175" s="738"/>
      <c r="S175" s="738"/>
      <c r="T175" s="738"/>
      <c r="U175" s="738"/>
      <c r="V175" s="738"/>
      <c r="W175" s="738"/>
      <c r="X175" s="738"/>
      <c r="Y175" s="738"/>
      <c r="Z175" s="738"/>
    </row>
    <row r="176">
      <c r="A176" s="738"/>
      <c r="B176" s="738"/>
      <c r="C176" s="738"/>
      <c r="D176" s="738"/>
      <c r="E176" s="738"/>
      <c r="F176" s="738"/>
      <c r="G176" s="738"/>
      <c r="H176" s="738"/>
      <c r="I176" s="738"/>
      <c r="J176" s="738"/>
      <c r="K176" s="738"/>
      <c r="L176" s="738"/>
      <c r="M176" s="738"/>
      <c r="N176" s="738"/>
      <c r="O176" s="738"/>
      <c r="P176" s="738"/>
      <c r="Q176" s="738"/>
      <c r="R176" s="738"/>
      <c r="S176" s="738"/>
      <c r="T176" s="738"/>
      <c r="U176" s="738"/>
      <c r="V176" s="738"/>
      <c r="W176" s="738"/>
      <c r="X176" s="738"/>
      <c r="Y176" s="738"/>
      <c r="Z176" s="738"/>
    </row>
    <row r="177">
      <c r="A177" s="738"/>
      <c r="B177" s="738"/>
      <c r="C177" s="738"/>
      <c r="D177" s="738"/>
      <c r="E177" s="738"/>
      <c r="F177" s="738"/>
      <c r="G177" s="738"/>
      <c r="H177" s="738"/>
      <c r="I177" s="738"/>
      <c r="J177" s="738"/>
      <c r="K177" s="738"/>
      <c r="L177" s="738"/>
      <c r="M177" s="738"/>
      <c r="N177" s="738"/>
      <c r="O177" s="738"/>
      <c r="P177" s="738"/>
      <c r="Q177" s="738"/>
      <c r="R177" s="738"/>
      <c r="S177" s="738"/>
      <c r="T177" s="738"/>
      <c r="U177" s="738"/>
      <c r="V177" s="738"/>
      <c r="W177" s="738"/>
      <c r="X177" s="738"/>
      <c r="Y177" s="738"/>
      <c r="Z177" s="738"/>
    </row>
    <row r="178">
      <c r="A178" s="738"/>
      <c r="B178" s="738"/>
      <c r="C178" s="738"/>
      <c r="D178" s="738"/>
      <c r="E178" s="738"/>
      <c r="F178" s="738"/>
      <c r="G178" s="738"/>
      <c r="H178" s="738"/>
      <c r="I178" s="738"/>
      <c r="J178" s="738"/>
      <c r="K178" s="738"/>
      <c r="L178" s="738"/>
      <c r="M178" s="738"/>
      <c r="N178" s="738"/>
      <c r="O178" s="738"/>
      <c r="P178" s="738"/>
      <c r="Q178" s="738"/>
      <c r="R178" s="738"/>
      <c r="S178" s="738"/>
      <c r="T178" s="738"/>
      <c r="U178" s="738"/>
      <c r="V178" s="738"/>
      <c r="W178" s="738"/>
      <c r="X178" s="738"/>
      <c r="Y178" s="738"/>
      <c r="Z178" s="738"/>
    </row>
    <row r="179">
      <c r="A179" s="738"/>
      <c r="B179" s="738"/>
      <c r="C179" s="738"/>
      <c r="D179" s="738"/>
      <c r="E179" s="738"/>
      <c r="F179" s="738"/>
      <c r="G179" s="738"/>
      <c r="H179" s="738"/>
      <c r="I179" s="738"/>
      <c r="J179" s="738"/>
      <c r="K179" s="738"/>
      <c r="L179" s="738"/>
      <c r="M179" s="738"/>
      <c r="N179" s="738"/>
      <c r="O179" s="738"/>
      <c r="P179" s="738"/>
      <c r="Q179" s="738"/>
      <c r="R179" s="738"/>
      <c r="S179" s="738"/>
      <c r="T179" s="738"/>
      <c r="U179" s="738"/>
      <c r="V179" s="738"/>
      <c r="W179" s="738"/>
      <c r="X179" s="738"/>
      <c r="Y179" s="738"/>
      <c r="Z179" s="738"/>
    </row>
    <row r="180">
      <c r="A180" s="738"/>
      <c r="B180" s="738"/>
      <c r="C180" s="738"/>
      <c r="D180" s="738"/>
      <c r="E180" s="738"/>
      <c r="F180" s="738"/>
      <c r="G180" s="738"/>
      <c r="H180" s="738"/>
      <c r="I180" s="738"/>
      <c r="J180" s="738"/>
      <c r="K180" s="738"/>
      <c r="L180" s="738"/>
      <c r="M180" s="738"/>
      <c r="N180" s="738"/>
      <c r="O180" s="738"/>
      <c r="P180" s="738"/>
      <c r="Q180" s="738"/>
      <c r="R180" s="738"/>
      <c r="S180" s="738"/>
      <c r="T180" s="738"/>
      <c r="U180" s="738"/>
      <c r="V180" s="738"/>
      <c r="W180" s="738"/>
      <c r="X180" s="738"/>
      <c r="Y180" s="738"/>
      <c r="Z180" s="738"/>
    </row>
    <row r="181">
      <c r="A181" s="738"/>
      <c r="B181" s="738"/>
      <c r="C181" s="738"/>
      <c r="D181" s="738"/>
      <c r="E181" s="738"/>
      <c r="F181" s="738"/>
      <c r="G181" s="738"/>
      <c r="H181" s="738"/>
      <c r="I181" s="738"/>
      <c r="J181" s="738"/>
      <c r="K181" s="738"/>
      <c r="L181" s="738"/>
      <c r="M181" s="738"/>
      <c r="N181" s="738"/>
      <c r="O181" s="738"/>
      <c r="P181" s="738"/>
      <c r="Q181" s="738"/>
      <c r="R181" s="738"/>
      <c r="S181" s="738"/>
      <c r="T181" s="738"/>
      <c r="U181" s="738"/>
      <c r="V181" s="738"/>
      <c r="W181" s="738"/>
      <c r="X181" s="738"/>
      <c r="Y181" s="738"/>
      <c r="Z181" s="738"/>
    </row>
    <row r="182">
      <c r="A182" s="738"/>
      <c r="B182" s="738"/>
      <c r="C182" s="738"/>
      <c r="D182" s="738"/>
      <c r="E182" s="738"/>
      <c r="F182" s="738"/>
      <c r="G182" s="738"/>
      <c r="H182" s="738"/>
      <c r="I182" s="738"/>
      <c r="J182" s="738"/>
      <c r="K182" s="738"/>
      <c r="L182" s="738"/>
      <c r="M182" s="738"/>
      <c r="N182" s="738"/>
      <c r="O182" s="738"/>
      <c r="P182" s="738"/>
      <c r="Q182" s="738"/>
      <c r="R182" s="738"/>
      <c r="S182" s="738"/>
      <c r="T182" s="738"/>
      <c r="U182" s="738"/>
      <c r="V182" s="738"/>
      <c r="W182" s="738"/>
      <c r="X182" s="738"/>
      <c r="Y182" s="738"/>
      <c r="Z182" s="738"/>
    </row>
    <row r="183">
      <c r="A183" s="738"/>
      <c r="B183" s="738"/>
      <c r="C183" s="738"/>
      <c r="D183" s="738"/>
      <c r="E183" s="738"/>
      <c r="F183" s="738"/>
      <c r="G183" s="738"/>
      <c r="H183" s="738"/>
      <c r="I183" s="738"/>
      <c r="J183" s="738"/>
      <c r="K183" s="738"/>
      <c r="L183" s="738"/>
      <c r="M183" s="738"/>
      <c r="N183" s="738"/>
      <c r="O183" s="738"/>
      <c r="P183" s="738"/>
      <c r="Q183" s="738"/>
      <c r="R183" s="738"/>
      <c r="S183" s="738"/>
      <c r="T183" s="738"/>
      <c r="U183" s="738"/>
      <c r="V183" s="738"/>
      <c r="W183" s="738"/>
      <c r="X183" s="738"/>
      <c r="Y183" s="738"/>
      <c r="Z183" s="738"/>
    </row>
    <row r="184">
      <c r="A184" s="738"/>
      <c r="B184" s="738"/>
      <c r="C184" s="738"/>
      <c r="D184" s="738"/>
      <c r="E184" s="738"/>
      <c r="F184" s="738"/>
      <c r="G184" s="738"/>
      <c r="H184" s="738"/>
      <c r="I184" s="738"/>
      <c r="J184" s="738"/>
      <c r="K184" s="738"/>
      <c r="L184" s="738"/>
      <c r="M184" s="738"/>
      <c r="N184" s="738"/>
      <c r="O184" s="738"/>
      <c r="P184" s="738"/>
      <c r="Q184" s="738"/>
      <c r="R184" s="738"/>
      <c r="S184" s="738"/>
      <c r="T184" s="738"/>
      <c r="U184" s="738"/>
      <c r="V184" s="738"/>
      <c r="W184" s="738"/>
      <c r="X184" s="738"/>
      <c r="Y184" s="738"/>
      <c r="Z184" s="738"/>
    </row>
    <row r="185">
      <c r="A185" s="738"/>
      <c r="B185" s="738"/>
      <c r="C185" s="738"/>
      <c r="D185" s="738"/>
      <c r="E185" s="738"/>
      <c r="F185" s="738"/>
      <c r="G185" s="738"/>
      <c r="H185" s="738"/>
      <c r="I185" s="738"/>
      <c r="J185" s="738"/>
      <c r="K185" s="738"/>
      <c r="L185" s="738"/>
      <c r="M185" s="738"/>
      <c r="N185" s="738"/>
      <c r="O185" s="738"/>
      <c r="P185" s="738"/>
      <c r="Q185" s="738"/>
      <c r="R185" s="738"/>
      <c r="S185" s="738"/>
      <c r="T185" s="738"/>
      <c r="U185" s="738"/>
      <c r="V185" s="738"/>
      <c r="W185" s="738"/>
      <c r="X185" s="738"/>
      <c r="Y185" s="738"/>
      <c r="Z185" s="738"/>
    </row>
    <row r="186">
      <c r="A186" s="738"/>
      <c r="B186" s="738"/>
      <c r="C186" s="738"/>
      <c r="D186" s="738"/>
      <c r="E186" s="738"/>
      <c r="F186" s="738"/>
      <c r="G186" s="738"/>
      <c r="H186" s="738"/>
      <c r="I186" s="738"/>
      <c r="J186" s="738"/>
      <c r="K186" s="738"/>
      <c r="L186" s="738"/>
      <c r="M186" s="738"/>
      <c r="N186" s="738"/>
      <c r="O186" s="738"/>
      <c r="P186" s="738"/>
      <c r="Q186" s="738"/>
      <c r="R186" s="738"/>
      <c r="S186" s="738"/>
      <c r="T186" s="738"/>
      <c r="U186" s="738"/>
      <c r="V186" s="738"/>
      <c r="W186" s="738"/>
      <c r="X186" s="738"/>
      <c r="Y186" s="738"/>
      <c r="Z186" s="738"/>
    </row>
    <row r="187">
      <c r="A187" s="738"/>
      <c r="B187" s="738"/>
      <c r="C187" s="738"/>
      <c r="D187" s="738"/>
      <c r="E187" s="738"/>
      <c r="F187" s="738"/>
      <c r="G187" s="738"/>
      <c r="H187" s="738"/>
      <c r="I187" s="738"/>
      <c r="J187" s="738"/>
      <c r="K187" s="738"/>
      <c r="L187" s="738"/>
      <c r="M187" s="738"/>
      <c r="N187" s="738"/>
      <c r="O187" s="738"/>
      <c r="P187" s="738"/>
      <c r="Q187" s="738"/>
      <c r="R187" s="738"/>
      <c r="S187" s="738"/>
      <c r="T187" s="738"/>
      <c r="U187" s="738"/>
      <c r="V187" s="738"/>
      <c r="W187" s="738"/>
      <c r="X187" s="738"/>
      <c r="Y187" s="738"/>
      <c r="Z187" s="738"/>
    </row>
    <row r="188">
      <c r="A188" s="738"/>
      <c r="B188" s="738"/>
      <c r="C188" s="738"/>
      <c r="D188" s="738"/>
      <c r="E188" s="738"/>
      <c r="F188" s="738"/>
      <c r="G188" s="738"/>
      <c r="H188" s="738"/>
      <c r="I188" s="738"/>
      <c r="J188" s="738"/>
      <c r="K188" s="738"/>
      <c r="L188" s="738"/>
      <c r="M188" s="738"/>
      <c r="N188" s="738"/>
      <c r="O188" s="738"/>
      <c r="P188" s="738"/>
      <c r="Q188" s="738"/>
      <c r="R188" s="738"/>
      <c r="S188" s="738"/>
      <c r="T188" s="738"/>
      <c r="U188" s="738"/>
      <c r="V188" s="738"/>
      <c r="W188" s="738"/>
      <c r="X188" s="738"/>
      <c r="Y188" s="738"/>
      <c r="Z188" s="738"/>
    </row>
    <row r="189">
      <c r="A189" s="738"/>
      <c r="B189" s="738"/>
      <c r="C189" s="738"/>
      <c r="D189" s="738"/>
      <c r="E189" s="738"/>
      <c r="F189" s="738"/>
      <c r="G189" s="738"/>
      <c r="H189" s="738"/>
      <c r="I189" s="738"/>
      <c r="J189" s="738"/>
      <c r="K189" s="738"/>
      <c r="L189" s="738"/>
      <c r="M189" s="738"/>
      <c r="N189" s="738"/>
      <c r="O189" s="738"/>
      <c r="P189" s="738"/>
      <c r="Q189" s="738"/>
      <c r="R189" s="738"/>
      <c r="S189" s="738"/>
      <c r="T189" s="738"/>
      <c r="U189" s="738"/>
      <c r="V189" s="738"/>
      <c r="W189" s="738"/>
      <c r="X189" s="738"/>
      <c r="Y189" s="738"/>
      <c r="Z189" s="738"/>
    </row>
    <row r="190">
      <c r="A190" s="738"/>
      <c r="B190" s="738"/>
      <c r="C190" s="738"/>
      <c r="D190" s="738"/>
      <c r="E190" s="738"/>
      <c r="F190" s="738"/>
      <c r="G190" s="738"/>
      <c r="H190" s="738"/>
      <c r="I190" s="738"/>
      <c r="J190" s="738"/>
      <c r="K190" s="738"/>
      <c r="L190" s="738"/>
      <c r="M190" s="738"/>
      <c r="N190" s="738"/>
      <c r="O190" s="738"/>
      <c r="P190" s="738"/>
      <c r="Q190" s="738"/>
      <c r="R190" s="738"/>
      <c r="S190" s="738"/>
      <c r="T190" s="738"/>
      <c r="U190" s="738"/>
      <c r="V190" s="738"/>
      <c r="W190" s="738"/>
      <c r="X190" s="738"/>
      <c r="Y190" s="738"/>
      <c r="Z190" s="738"/>
    </row>
    <row r="191">
      <c r="A191" s="738"/>
      <c r="B191" s="738"/>
      <c r="C191" s="738"/>
      <c r="D191" s="738"/>
      <c r="E191" s="738"/>
      <c r="F191" s="738"/>
      <c r="G191" s="738"/>
      <c r="H191" s="738"/>
      <c r="I191" s="738"/>
      <c r="J191" s="738"/>
      <c r="K191" s="738"/>
      <c r="L191" s="738"/>
      <c r="M191" s="738"/>
      <c r="N191" s="738"/>
      <c r="O191" s="738"/>
      <c r="P191" s="738"/>
      <c r="Q191" s="738"/>
      <c r="R191" s="738"/>
      <c r="S191" s="738"/>
      <c r="T191" s="738"/>
      <c r="U191" s="738"/>
      <c r="V191" s="738"/>
      <c r="W191" s="738"/>
      <c r="X191" s="738"/>
      <c r="Y191" s="738"/>
      <c r="Z191" s="738"/>
    </row>
    <row r="192">
      <c r="A192" s="738"/>
      <c r="B192" s="738"/>
      <c r="C192" s="738"/>
      <c r="D192" s="738"/>
      <c r="E192" s="738"/>
      <c r="F192" s="738"/>
      <c r="G192" s="738"/>
      <c r="H192" s="738"/>
      <c r="I192" s="738"/>
      <c r="J192" s="738"/>
      <c r="K192" s="738"/>
      <c r="L192" s="738"/>
      <c r="M192" s="738"/>
      <c r="N192" s="738"/>
      <c r="O192" s="738"/>
      <c r="P192" s="738"/>
      <c r="Q192" s="738"/>
      <c r="R192" s="738"/>
      <c r="S192" s="738"/>
      <c r="T192" s="738"/>
      <c r="U192" s="738"/>
      <c r="V192" s="738"/>
      <c r="W192" s="738"/>
      <c r="X192" s="738"/>
      <c r="Y192" s="738"/>
      <c r="Z192" s="738"/>
    </row>
    <row r="193">
      <c r="A193" s="738"/>
      <c r="B193" s="738"/>
      <c r="C193" s="738"/>
      <c r="D193" s="738"/>
      <c r="E193" s="738"/>
      <c r="F193" s="738"/>
      <c r="G193" s="738"/>
      <c r="H193" s="738"/>
      <c r="I193" s="738"/>
      <c r="J193" s="738"/>
      <c r="K193" s="738"/>
      <c r="L193" s="738"/>
      <c r="M193" s="738"/>
      <c r="N193" s="738"/>
      <c r="O193" s="738"/>
      <c r="P193" s="738"/>
      <c r="Q193" s="738"/>
      <c r="R193" s="738"/>
      <c r="S193" s="738"/>
      <c r="T193" s="738"/>
      <c r="U193" s="738"/>
      <c r="V193" s="738"/>
      <c r="W193" s="738"/>
      <c r="X193" s="738"/>
      <c r="Y193" s="738"/>
      <c r="Z193" s="738"/>
    </row>
    <row r="194">
      <c r="A194" s="738"/>
      <c r="B194" s="738"/>
      <c r="C194" s="738"/>
      <c r="D194" s="738"/>
      <c r="E194" s="738"/>
      <c r="F194" s="738"/>
      <c r="G194" s="738"/>
      <c r="H194" s="738"/>
      <c r="I194" s="738"/>
      <c r="J194" s="738"/>
      <c r="K194" s="738"/>
      <c r="L194" s="738"/>
      <c r="M194" s="738"/>
      <c r="N194" s="738"/>
      <c r="O194" s="738"/>
      <c r="P194" s="738"/>
      <c r="Q194" s="738"/>
      <c r="R194" s="738"/>
      <c r="S194" s="738"/>
      <c r="T194" s="738"/>
      <c r="U194" s="738"/>
      <c r="V194" s="738"/>
      <c r="W194" s="738"/>
      <c r="X194" s="738"/>
      <c r="Y194" s="738"/>
      <c r="Z194" s="738"/>
    </row>
    <row r="195">
      <c r="A195" s="738"/>
      <c r="B195" s="738"/>
      <c r="C195" s="738"/>
      <c r="D195" s="738"/>
      <c r="E195" s="738"/>
      <c r="F195" s="738"/>
      <c r="G195" s="738"/>
      <c r="H195" s="738"/>
      <c r="I195" s="738"/>
      <c r="J195" s="738"/>
      <c r="K195" s="738"/>
      <c r="L195" s="738"/>
      <c r="M195" s="738"/>
      <c r="N195" s="738"/>
      <c r="O195" s="738"/>
      <c r="P195" s="738"/>
      <c r="Q195" s="738"/>
      <c r="R195" s="738"/>
      <c r="S195" s="738"/>
      <c r="T195" s="738"/>
      <c r="U195" s="738"/>
      <c r="V195" s="738"/>
      <c r="W195" s="738"/>
      <c r="X195" s="738"/>
      <c r="Y195" s="738"/>
      <c r="Z195" s="738"/>
    </row>
    <row r="196">
      <c r="A196" s="738"/>
      <c r="B196" s="738"/>
      <c r="C196" s="738"/>
      <c r="D196" s="738"/>
      <c r="E196" s="738"/>
      <c r="F196" s="738"/>
      <c r="G196" s="738"/>
      <c r="H196" s="738"/>
      <c r="I196" s="738"/>
      <c r="J196" s="738"/>
      <c r="K196" s="738"/>
      <c r="L196" s="738"/>
      <c r="M196" s="738"/>
      <c r="N196" s="738"/>
      <c r="O196" s="738"/>
      <c r="P196" s="738"/>
      <c r="Q196" s="738"/>
      <c r="R196" s="738"/>
      <c r="S196" s="738"/>
      <c r="T196" s="738"/>
      <c r="U196" s="738"/>
      <c r="V196" s="738"/>
      <c r="W196" s="738"/>
      <c r="X196" s="738"/>
      <c r="Y196" s="738"/>
      <c r="Z196" s="738"/>
    </row>
    <row r="197">
      <c r="A197" s="738"/>
      <c r="B197" s="738"/>
      <c r="C197" s="738"/>
      <c r="D197" s="738"/>
      <c r="E197" s="738"/>
      <c r="F197" s="738"/>
      <c r="G197" s="738"/>
      <c r="H197" s="738"/>
      <c r="I197" s="738"/>
      <c r="J197" s="738"/>
      <c r="K197" s="738"/>
      <c r="L197" s="738"/>
      <c r="M197" s="738"/>
      <c r="N197" s="738"/>
      <c r="O197" s="738"/>
      <c r="P197" s="738"/>
      <c r="Q197" s="738"/>
      <c r="R197" s="738"/>
      <c r="S197" s="738"/>
      <c r="T197" s="738"/>
      <c r="U197" s="738"/>
      <c r="V197" s="738"/>
      <c r="W197" s="738"/>
      <c r="X197" s="738"/>
      <c r="Y197" s="738"/>
      <c r="Z197" s="738"/>
    </row>
    <row r="198">
      <c r="A198" s="738"/>
      <c r="B198" s="738"/>
      <c r="C198" s="738"/>
      <c r="D198" s="738"/>
      <c r="E198" s="738"/>
      <c r="F198" s="738"/>
      <c r="G198" s="738"/>
      <c r="H198" s="738"/>
      <c r="I198" s="738"/>
      <c r="J198" s="738"/>
      <c r="K198" s="738"/>
      <c r="L198" s="738"/>
      <c r="M198" s="738"/>
      <c r="N198" s="738"/>
      <c r="O198" s="738"/>
      <c r="P198" s="738"/>
      <c r="Q198" s="738"/>
      <c r="R198" s="738"/>
      <c r="S198" s="738"/>
      <c r="T198" s="738"/>
      <c r="U198" s="738"/>
      <c r="V198" s="738"/>
      <c r="W198" s="738"/>
      <c r="X198" s="738"/>
      <c r="Y198" s="738"/>
      <c r="Z198" s="738"/>
    </row>
    <row r="199">
      <c r="A199" s="738"/>
      <c r="B199" s="738"/>
      <c r="C199" s="738"/>
      <c r="D199" s="738"/>
      <c r="E199" s="738"/>
      <c r="F199" s="738"/>
      <c r="G199" s="738"/>
      <c r="H199" s="738"/>
      <c r="I199" s="738"/>
      <c r="J199" s="738"/>
      <c r="K199" s="738"/>
      <c r="L199" s="738"/>
      <c r="M199" s="738"/>
      <c r="N199" s="738"/>
      <c r="O199" s="738"/>
      <c r="P199" s="738"/>
      <c r="Q199" s="738"/>
      <c r="R199" s="738"/>
      <c r="S199" s="738"/>
      <c r="T199" s="738"/>
      <c r="U199" s="738"/>
      <c r="V199" s="738"/>
      <c r="W199" s="738"/>
      <c r="X199" s="738"/>
      <c r="Y199" s="738"/>
      <c r="Z199" s="738"/>
    </row>
    <row r="200">
      <c r="A200" s="738"/>
      <c r="B200" s="738"/>
      <c r="C200" s="738"/>
      <c r="D200" s="738"/>
      <c r="E200" s="738"/>
      <c r="F200" s="738"/>
      <c r="G200" s="738"/>
      <c r="H200" s="738"/>
      <c r="I200" s="738"/>
      <c r="J200" s="738"/>
      <c r="K200" s="738"/>
      <c r="L200" s="738"/>
      <c r="M200" s="738"/>
      <c r="N200" s="738"/>
      <c r="O200" s="738"/>
      <c r="P200" s="738"/>
      <c r="Q200" s="738"/>
      <c r="R200" s="738"/>
      <c r="S200" s="738"/>
      <c r="T200" s="738"/>
      <c r="U200" s="738"/>
      <c r="V200" s="738"/>
      <c r="W200" s="738"/>
      <c r="X200" s="738"/>
      <c r="Y200" s="738"/>
      <c r="Z200" s="738"/>
    </row>
    <row r="201">
      <c r="A201" s="738"/>
      <c r="B201" s="738"/>
      <c r="C201" s="738"/>
      <c r="D201" s="738"/>
      <c r="E201" s="738"/>
      <c r="F201" s="738"/>
      <c r="G201" s="738"/>
      <c r="H201" s="738"/>
      <c r="I201" s="738"/>
      <c r="J201" s="738"/>
      <c r="K201" s="738"/>
      <c r="L201" s="738"/>
      <c r="M201" s="738"/>
      <c r="N201" s="738"/>
      <c r="O201" s="738"/>
      <c r="P201" s="738"/>
      <c r="Q201" s="738"/>
      <c r="R201" s="738"/>
      <c r="S201" s="738"/>
      <c r="T201" s="738"/>
      <c r="U201" s="738"/>
      <c r="V201" s="738"/>
      <c r="W201" s="738"/>
      <c r="X201" s="738"/>
      <c r="Y201" s="738"/>
      <c r="Z201" s="738"/>
    </row>
    <row r="202">
      <c r="A202" s="738"/>
      <c r="B202" s="738"/>
      <c r="C202" s="738"/>
      <c r="D202" s="738"/>
      <c r="E202" s="738"/>
      <c r="F202" s="738"/>
      <c r="G202" s="738"/>
      <c r="H202" s="738"/>
      <c r="I202" s="738"/>
      <c r="J202" s="738"/>
      <c r="K202" s="738"/>
      <c r="L202" s="738"/>
      <c r="M202" s="738"/>
      <c r="N202" s="738"/>
      <c r="O202" s="738"/>
      <c r="P202" s="738"/>
      <c r="Q202" s="738"/>
      <c r="R202" s="738"/>
      <c r="S202" s="738"/>
      <c r="T202" s="738"/>
      <c r="U202" s="738"/>
      <c r="V202" s="738"/>
      <c r="W202" s="738"/>
      <c r="X202" s="738"/>
      <c r="Y202" s="738"/>
      <c r="Z202" s="738"/>
    </row>
    <row r="203">
      <c r="A203" s="738"/>
      <c r="B203" s="738"/>
      <c r="C203" s="738"/>
      <c r="D203" s="738"/>
      <c r="E203" s="738"/>
      <c r="F203" s="738"/>
      <c r="G203" s="738"/>
      <c r="H203" s="738"/>
      <c r="I203" s="738"/>
      <c r="J203" s="738"/>
      <c r="K203" s="738"/>
      <c r="L203" s="738"/>
      <c r="M203" s="738"/>
      <c r="N203" s="738"/>
      <c r="O203" s="738"/>
      <c r="P203" s="738"/>
      <c r="Q203" s="738"/>
      <c r="R203" s="738"/>
      <c r="S203" s="738"/>
      <c r="T203" s="738"/>
      <c r="U203" s="738"/>
      <c r="V203" s="738"/>
      <c r="W203" s="738"/>
      <c r="X203" s="738"/>
      <c r="Y203" s="738"/>
      <c r="Z203" s="738"/>
    </row>
    <row r="204">
      <c r="A204" s="738"/>
      <c r="B204" s="738"/>
      <c r="C204" s="738"/>
      <c r="D204" s="738"/>
      <c r="E204" s="738"/>
      <c r="F204" s="738"/>
      <c r="G204" s="738"/>
      <c r="H204" s="738"/>
      <c r="I204" s="738"/>
      <c r="J204" s="738"/>
      <c r="K204" s="738"/>
      <c r="L204" s="738"/>
      <c r="M204" s="738"/>
      <c r="N204" s="738"/>
      <c r="O204" s="738"/>
      <c r="P204" s="738"/>
      <c r="Q204" s="738"/>
      <c r="R204" s="738"/>
      <c r="S204" s="738"/>
      <c r="T204" s="738"/>
      <c r="U204" s="738"/>
      <c r="V204" s="738"/>
      <c r="W204" s="738"/>
      <c r="X204" s="738"/>
      <c r="Y204" s="738"/>
      <c r="Z204" s="738"/>
    </row>
    <row r="205">
      <c r="A205" s="738"/>
      <c r="B205" s="738"/>
      <c r="C205" s="738"/>
      <c r="D205" s="738"/>
      <c r="E205" s="738"/>
      <c r="F205" s="738"/>
      <c r="G205" s="738"/>
      <c r="H205" s="738"/>
      <c r="I205" s="738"/>
      <c r="J205" s="738"/>
      <c r="K205" s="738"/>
      <c r="L205" s="738"/>
      <c r="M205" s="738"/>
      <c r="N205" s="738"/>
      <c r="O205" s="738"/>
      <c r="P205" s="738"/>
      <c r="Q205" s="738"/>
      <c r="R205" s="738"/>
      <c r="S205" s="738"/>
      <c r="T205" s="738"/>
      <c r="U205" s="738"/>
      <c r="V205" s="738"/>
      <c r="W205" s="738"/>
      <c r="X205" s="738"/>
      <c r="Y205" s="738"/>
      <c r="Z205" s="738"/>
    </row>
    <row r="206">
      <c r="A206" s="738"/>
      <c r="B206" s="738"/>
      <c r="C206" s="738"/>
      <c r="D206" s="738"/>
      <c r="E206" s="738"/>
      <c r="F206" s="738"/>
      <c r="G206" s="738"/>
      <c r="H206" s="738"/>
      <c r="I206" s="738"/>
      <c r="J206" s="738"/>
      <c r="K206" s="738"/>
      <c r="L206" s="738"/>
      <c r="M206" s="738"/>
      <c r="N206" s="738"/>
      <c r="O206" s="738"/>
      <c r="P206" s="738"/>
      <c r="Q206" s="738"/>
      <c r="R206" s="738"/>
      <c r="S206" s="738"/>
      <c r="T206" s="738"/>
      <c r="U206" s="738"/>
      <c r="V206" s="738"/>
      <c r="W206" s="738"/>
      <c r="X206" s="738"/>
      <c r="Y206" s="738"/>
      <c r="Z206" s="738"/>
    </row>
    <row r="207">
      <c r="A207" s="738"/>
      <c r="B207" s="738"/>
      <c r="C207" s="738"/>
      <c r="D207" s="738"/>
      <c r="E207" s="738"/>
      <c r="F207" s="738"/>
      <c r="G207" s="738"/>
      <c r="H207" s="738"/>
      <c r="I207" s="738"/>
      <c r="J207" s="738"/>
      <c r="K207" s="738"/>
      <c r="L207" s="738"/>
      <c r="M207" s="738"/>
      <c r="N207" s="738"/>
      <c r="O207" s="738"/>
      <c r="P207" s="738"/>
      <c r="Q207" s="738"/>
      <c r="R207" s="738"/>
      <c r="S207" s="738"/>
      <c r="T207" s="738"/>
      <c r="U207" s="738"/>
      <c r="V207" s="738"/>
      <c r="W207" s="738"/>
      <c r="X207" s="738"/>
      <c r="Y207" s="738"/>
      <c r="Z207" s="738"/>
    </row>
    <row r="208">
      <c r="A208" s="738"/>
      <c r="B208" s="738"/>
      <c r="C208" s="738"/>
      <c r="D208" s="738"/>
      <c r="E208" s="738"/>
      <c r="F208" s="738"/>
      <c r="G208" s="738"/>
      <c r="H208" s="738"/>
      <c r="I208" s="738"/>
      <c r="J208" s="738"/>
      <c r="K208" s="738"/>
      <c r="L208" s="738"/>
      <c r="M208" s="738"/>
      <c r="N208" s="738"/>
      <c r="O208" s="738"/>
      <c r="P208" s="738"/>
      <c r="Q208" s="738"/>
      <c r="R208" s="738"/>
      <c r="S208" s="738"/>
      <c r="T208" s="738"/>
      <c r="U208" s="738"/>
      <c r="V208" s="738"/>
      <c r="W208" s="738"/>
      <c r="X208" s="738"/>
      <c r="Y208" s="738"/>
      <c r="Z208" s="738"/>
    </row>
    <row r="209">
      <c r="A209" s="738"/>
      <c r="B209" s="738"/>
      <c r="C209" s="738"/>
      <c r="D209" s="738"/>
      <c r="E209" s="738"/>
      <c r="F209" s="738"/>
      <c r="G209" s="738"/>
      <c r="H209" s="738"/>
      <c r="I209" s="738"/>
      <c r="J209" s="738"/>
      <c r="K209" s="738"/>
      <c r="L209" s="738"/>
      <c r="M209" s="738"/>
      <c r="N209" s="738"/>
      <c r="O209" s="738"/>
      <c r="P209" s="738"/>
      <c r="Q209" s="738"/>
      <c r="R209" s="738"/>
      <c r="S209" s="738"/>
      <c r="T209" s="738"/>
      <c r="U209" s="738"/>
      <c r="V209" s="738"/>
      <c r="W209" s="738"/>
      <c r="X209" s="738"/>
      <c r="Y209" s="738"/>
      <c r="Z209" s="738"/>
    </row>
    <row r="210">
      <c r="A210" s="738"/>
      <c r="B210" s="738"/>
      <c r="C210" s="738"/>
      <c r="D210" s="738"/>
      <c r="E210" s="738"/>
      <c r="F210" s="738"/>
      <c r="G210" s="738"/>
      <c r="H210" s="738"/>
      <c r="I210" s="738"/>
      <c r="J210" s="738"/>
      <c r="K210" s="738"/>
      <c r="L210" s="738"/>
      <c r="M210" s="738"/>
      <c r="N210" s="738"/>
      <c r="O210" s="738"/>
      <c r="P210" s="738"/>
      <c r="Q210" s="738"/>
      <c r="R210" s="738"/>
      <c r="S210" s="738"/>
      <c r="T210" s="738"/>
      <c r="U210" s="738"/>
      <c r="V210" s="738"/>
      <c r="W210" s="738"/>
      <c r="X210" s="738"/>
      <c r="Y210" s="738"/>
      <c r="Z210" s="738"/>
    </row>
    <row r="211">
      <c r="A211" s="738"/>
      <c r="B211" s="738"/>
      <c r="C211" s="738"/>
      <c r="D211" s="738"/>
      <c r="E211" s="738"/>
      <c r="F211" s="738"/>
      <c r="G211" s="738"/>
      <c r="H211" s="738"/>
      <c r="I211" s="738"/>
      <c r="J211" s="738"/>
      <c r="K211" s="738"/>
      <c r="L211" s="738"/>
      <c r="M211" s="738"/>
      <c r="N211" s="738"/>
      <c r="O211" s="738"/>
      <c r="P211" s="738"/>
      <c r="Q211" s="738"/>
      <c r="R211" s="738"/>
      <c r="S211" s="738"/>
      <c r="T211" s="738"/>
      <c r="U211" s="738"/>
      <c r="V211" s="738"/>
      <c r="W211" s="738"/>
      <c r="X211" s="738"/>
      <c r="Y211" s="738"/>
      <c r="Z211" s="738"/>
    </row>
    <row r="212">
      <c r="A212" s="738"/>
      <c r="B212" s="738"/>
      <c r="C212" s="738"/>
      <c r="D212" s="738"/>
      <c r="E212" s="738"/>
      <c r="F212" s="738"/>
      <c r="G212" s="738"/>
      <c r="H212" s="738"/>
      <c r="I212" s="738"/>
      <c r="J212" s="738"/>
      <c r="K212" s="738"/>
      <c r="L212" s="738"/>
      <c r="M212" s="738"/>
      <c r="N212" s="738"/>
      <c r="O212" s="738"/>
      <c r="P212" s="738"/>
      <c r="Q212" s="738"/>
      <c r="R212" s="738"/>
      <c r="S212" s="738"/>
      <c r="T212" s="738"/>
      <c r="U212" s="738"/>
      <c r="V212" s="738"/>
      <c r="W212" s="738"/>
      <c r="X212" s="738"/>
      <c r="Y212" s="738"/>
      <c r="Z212" s="738"/>
    </row>
    <row r="213">
      <c r="A213" s="738"/>
      <c r="B213" s="738"/>
      <c r="C213" s="738"/>
      <c r="D213" s="738"/>
      <c r="E213" s="738"/>
      <c r="F213" s="738"/>
      <c r="G213" s="738"/>
      <c r="H213" s="738"/>
      <c r="I213" s="738"/>
      <c r="J213" s="738"/>
      <c r="K213" s="738"/>
      <c r="L213" s="738"/>
      <c r="M213" s="738"/>
      <c r="N213" s="738"/>
      <c r="O213" s="738"/>
      <c r="P213" s="738"/>
      <c r="Q213" s="738"/>
      <c r="R213" s="738"/>
      <c r="S213" s="738"/>
      <c r="T213" s="738"/>
      <c r="U213" s="738"/>
      <c r="V213" s="738"/>
      <c r="W213" s="738"/>
      <c r="X213" s="738"/>
      <c r="Y213" s="738"/>
      <c r="Z213" s="738"/>
    </row>
    <row r="214">
      <c r="A214" s="738"/>
      <c r="B214" s="738"/>
      <c r="C214" s="738"/>
      <c r="D214" s="738"/>
      <c r="E214" s="738"/>
      <c r="F214" s="738"/>
      <c r="G214" s="738"/>
      <c r="H214" s="738"/>
      <c r="I214" s="738"/>
      <c r="J214" s="738"/>
      <c r="K214" s="738"/>
      <c r="L214" s="738"/>
      <c r="M214" s="738"/>
      <c r="N214" s="738"/>
      <c r="O214" s="738"/>
      <c r="P214" s="738"/>
      <c r="Q214" s="738"/>
      <c r="R214" s="738"/>
      <c r="S214" s="738"/>
      <c r="T214" s="738"/>
      <c r="U214" s="738"/>
      <c r="V214" s="738"/>
      <c r="W214" s="738"/>
      <c r="X214" s="738"/>
      <c r="Y214" s="738"/>
      <c r="Z214" s="738"/>
    </row>
    <row r="215">
      <c r="A215" s="738"/>
      <c r="B215" s="738"/>
      <c r="C215" s="738"/>
      <c r="D215" s="738"/>
      <c r="E215" s="738"/>
      <c r="F215" s="738"/>
      <c r="G215" s="738"/>
      <c r="H215" s="738"/>
      <c r="I215" s="738"/>
      <c r="J215" s="738"/>
      <c r="K215" s="738"/>
      <c r="L215" s="738"/>
      <c r="M215" s="738"/>
      <c r="N215" s="738"/>
      <c r="O215" s="738"/>
      <c r="P215" s="738"/>
      <c r="Q215" s="738"/>
      <c r="R215" s="738"/>
      <c r="S215" s="738"/>
      <c r="T215" s="738"/>
      <c r="U215" s="738"/>
      <c r="V215" s="738"/>
      <c r="W215" s="738"/>
      <c r="X215" s="738"/>
      <c r="Y215" s="738"/>
      <c r="Z215" s="738"/>
    </row>
    <row r="216">
      <c r="A216" s="738"/>
      <c r="B216" s="738"/>
      <c r="C216" s="738"/>
      <c r="D216" s="738"/>
      <c r="E216" s="738"/>
      <c r="F216" s="738"/>
      <c r="G216" s="738"/>
      <c r="H216" s="738"/>
      <c r="I216" s="738"/>
      <c r="J216" s="738"/>
      <c r="K216" s="738"/>
      <c r="L216" s="738"/>
      <c r="M216" s="738"/>
      <c r="N216" s="738"/>
      <c r="O216" s="738"/>
      <c r="P216" s="738"/>
      <c r="Q216" s="738"/>
      <c r="R216" s="738"/>
      <c r="S216" s="738"/>
      <c r="T216" s="738"/>
      <c r="U216" s="738"/>
      <c r="V216" s="738"/>
      <c r="W216" s="738"/>
      <c r="X216" s="738"/>
      <c r="Y216" s="738"/>
      <c r="Z216" s="738"/>
    </row>
    <row r="217">
      <c r="A217" s="738"/>
      <c r="B217" s="738"/>
      <c r="C217" s="738"/>
      <c r="D217" s="738"/>
      <c r="E217" s="738"/>
      <c r="F217" s="738"/>
      <c r="G217" s="738"/>
      <c r="H217" s="738"/>
      <c r="I217" s="738"/>
      <c r="J217" s="738"/>
      <c r="K217" s="738"/>
      <c r="L217" s="738"/>
      <c r="M217" s="738"/>
      <c r="N217" s="738"/>
      <c r="O217" s="738"/>
      <c r="P217" s="738"/>
      <c r="Q217" s="738"/>
      <c r="R217" s="738"/>
      <c r="S217" s="738"/>
      <c r="T217" s="738"/>
      <c r="U217" s="738"/>
      <c r="V217" s="738"/>
      <c r="W217" s="738"/>
      <c r="X217" s="738"/>
      <c r="Y217" s="738"/>
      <c r="Z217" s="738"/>
    </row>
    <row r="218">
      <c r="A218" s="738"/>
      <c r="B218" s="738"/>
      <c r="C218" s="738"/>
      <c r="D218" s="738"/>
      <c r="E218" s="738"/>
      <c r="F218" s="738"/>
      <c r="G218" s="738"/>
      <c r="H218" s="738"/>
      <c r="I218" s="738"/>
      <c r="J218" s="738"/>
      <c r="K218" s="738"/>
      <c r="L218" s="738"/>
      <c r="M218" s="738"/>
      <c r="N218" s="738"/>
      <c r="O218" s="738"/>
      <c r="P218" s="738"/>
      <c r="Q218" s="738"/>
      <c r="R218" s="738"/>
      <c r="S218" s="738"/>
      <c r="T218" s="738"/>
      <c r="U218" s="738"/>
      <c r="V218" s="738"/>
      <c r="W218" s="738"/>
      <c r="X218" s="738"/>
      <c r="Y218" s="738"/>
      <c r="Z218" s="738"/>
    </row>
    <row r="219">
      <c r="A219" s="738"/>
      <c r="B219" s="738"/>
      <c r="C219" s="738"/>
      <c r="D219" s="738"/>
      <c r="E219" s="738"/>
      <c r="F219" s="738"/>
      <c r="G219" s="738"/>
      <c r="H219" s="738"/>
      <c r="I219" s="738"/>
      <c r="J219" s="738"/>
      <c r="K219" s="738"/>
      <c r="L219" s="738"/>
      <c r="M219" s="738"/>
      <c r="N219" s="738"/>
      <c r="O219" s="738"/>
      <c r="P219" s="738"/>
      <c r="Q219" s="738"/>
      <c r="R219" s="738"/>
      <c r="S219" s="738"/>
      <c r="T219" s="738"/>
      <c r="U219" s="738"/>
      <c r="V219" s="738"/>
      <c r="W219" s="738"/>
      <c r="X219" s="738"/>
      <c r="Y219" s="738"/>
      <c r="Z219" s="738"/>
    </row>
    <row r="220">
      <c r="A220" s="738"/>
      <c r="B220" s="738"/>
      <c r="C220" s="738"/>
      <c r="D220" s="738"/>
      <c r="E220" s="738"/>
      <c r="F220" s="738"/>
      <c r="G220" s="738"/>
      <c r="H220" s="738"/>
      <c r="I220" s="738"/>
      <c r="J220" s="738"/>
      <c r="K220" s="738"/>
      <c r="L220" s="738"/>
      <c r="M220" s="738"/>
      <c r="N220" s="738"/>
      <c r="O220" s="738"/>
      <c r="P220" s="738"/>
      <c r="Q220" s="738"/>
      <c r="R220" s="738"/>
      <c r="S220" s="738"/>
      <c r="T220" s="738"/>
      <c r="U220" s="738"/>
      <c r="V220" s="738"/>
      <c r="W220" s="738"/>
      <c r="X220" s="738"/>
      <c r="Y220" s="738"/>
      <c r="Z220" s="738"/>
    </row>
    <row r="221">
      <c r="A221" s="738"/>
      <c r="B221" s="738"/>
      <c r="C221" s="738"/>
      <c r="D221" s="738"/>
      <c r="E221" s="738"/>
      <c r="F221" s="738"/>
      <c r="G221" s="738"/>
      <c r="H221" s="738"/>
      <c r="I221" s="738"/>
      <c r="J221" s="738"/>
      <c r="K221" s="738"/>
      <c r="L221" s="738"/>
      <c r="M221" s="738"/>
      <c r="N221" s="738"/>
      <c r="O221" s="738"/>
      <c r="P221" s="738"/>
      <c r="Q221" s="738"/>
      <c r="R221" s="738"/>
      <c r="S221" s="738"/>
      <c r="T221" s="738"/>
      <c r="U221" s="738"/>
      <c r="V221" s="738"/>
      <c r="W221" s="738"/>
      <c r="X221" s="738"/>
      <c r="Y221" s="738"/>
      <c r="Z221" s="738"/>
    </row>
    <row r="222">
      <c r="A222" s="738"/>
      <c r="B222" s="738"/>
      <c r="C222" s="738"/>
      <c r="D222" s="738"/>
      <c r="E222" s="738"/>
      <c r="F222" s="738"/>
      <c r="G222" s="738"/>
      <c r="H222" s="738"/>
      <c r="I222" s="738"/>
      <c r="J222" s="738"/>
      <c r="K222" s="738"/>
      <c r="L222" s="738"/>
      <c r="M222" s="738"/>
      <c r="N222" s="738"/>
      <c r="O222" s="738"/>
      <c r="P222" s="738"/>
      <c r="Q222" s="738"/>
      <c r="R222" s="738"/>
      <c r="S222" s="738"/>
      <c r="T222" s="738"/>
      <c r="U222" s="738"/>
      <c r="V222" s="738"/>
      <c r="W222" s="738"/>
      <c r="X222" s="738"/>
      <c r="Y222" s="738"/>
      <c r="Z222" s="738"/>
    </row>
    <row r="223">
      <c r="A223" s="738"/>
      <c r="B223" s="738"/>
      <c r="C223" s="738"/>
      <c r="D223" s="738"/>
      <c r="E223" s="738"/>
      <c r="F223" s="738"/>
      <c r="G223" s="738"/>
      <c r="H223" s="738"/>
      <c r="I223" s="738"/>
      <c r="J223" s="738"/>
      <c r="K223" s="738"/>
      <c r="L223" s="738"/>
      <c r="M223" s="738"/>
      <c r="N223" s="738"/>
      <c r="O223" s="738"/>
      <c r="P223" s="738"/>
      <c r="Q223" s="738"/>
      <c r="R223" s="738"/>
      <c r="S223" s="738"/>
      <c r="T223" s="738"/>
      <c r="U223" s="738"/>
      <c r="V223" s="738"/>
      <c r="W223" s="738"/>
      <c r="X223" s="738"/>
      <c r="Y223" s="738"/>
      <c r="Z223" s="738"/>
    </row>
    <row r="224">
      <c r="A224" s="738"/>
      <c r="B224" s="738"/>
      <c r="C224" s="738"/>
      <c r="D224" s="738"/>
      <c r="E224" s="738"/>
      <c r="F224" s="738"/>
      <c r="G224" s="738"/>
      <c r="H224" s="738"/>
      <c r="I224" s="738"/>
      <c r="J224" s="738"/>
      <c r="K224" s="738"/>
      <c r="L224" s="738"/>
      <c r="M224" s="738"/>
      <c r="N224" s="738"/>
      <c r="O224" s="738"/>
      <c r="P224" s="738"/>
      <c r="Q224" s="738"/>
      <c r="R224" s="738"/>
      <c r="S224" s="738"/>
      <c r="T224" s="738"/>
      <c r="U224" s="738"/>
      <c r="V224" s="738"/>
      <c r="W224" s="738"/>
      <c r="X224" s="738"/>
      <c r="Y224" s="738"/>
      <c r="Z224" s="738"/>
    </row>
    <row r="225">
      <c r="A225" s="738"/>
      <c r="B225" s="738"/>
      <c r="C225" s="738"/>
      <c r="D225" s="738"/>
      <c r="E225" s="738"/>
      <c r="F225" s="738"/>
      <c r="G225" s="738"/>
      <c r="H225" s="738"/>
      <c r="I225" s="738"/>
      <c r="J225" s="738"/>
      <c r="K225" s="738"/>
      <c r="L225" s="738"/>
      <c r="M225" s="738"/>
      <c r="N225" s="738"/>
      <c r="O225" s="738"/>
      <c r="P225" s="738"/>
      <c r="Q225" s="738"/>
      <c r="R225" s="738"/>
      <c r="S225" s="738"/>
      <c r="T225" s="738"/>
      <c r="U225" s="738"/>
      <c r="V225" s="738"/>
      <c r="W225" s="738"/>
      <c r="X225" s="738"/>
      <c r="Y225" s="738"/>
      <c r="Z225" s="738"/>
    </row>
    <row r="226">
      <c r="A226" s="738"/>
      <c r="B226" s="738"/>
      <c r="C226" s="738"/>
      <c r="D226" s="738"/>
      <c r="E226" s="738"/>
      <c r="F226" s="738"/>
      <c r="G226" s="738"/>
      <c r="H226" s="738"/>
      <c r="I226" s="738"/>
      <c r="J226" s="738"/>
      <c r="K226" s="738"/>
      <c r="L226" s="738"/>
      <c r="M226" s="738"/>
      <c r="N226" s="738"/>
      <c r="O226" s="738"/>
      <c r="P226" s="738"/>
      <c r="Q226" s="738"/>
      <c r="R226" s="738"/>
      <c r="S226" s="738"/>
      <c r="T226" s="738"/>
      <c r="U226" s="738"/>
      <c r="V226" s="738"/>
      <c r="W226" s="738"/>
      <c r="X226" s="738"/>
      <c r="Y226" s="738"/>
      <c r="Z226" s="738"/>
    </row>
    <row r="227">
      <c r="A227" s="738"/>
      <c r="B227" s="738"/>
      <c r="C227" s="738"/>
      <c r="D227" s="738"/>
      <c r="E227" s="738"/>
      <c r="F227" s="738"/>
      <c r="G227" s="738"/>
      <c r="H227" s="738"/>
      <c r="I227" s="738"/>
      <c r="J227" s="738"/>
      <c r="K227" s="738"/>
      <c r="L227" s="738"/>
      <c r="M227" s="738"/>
      <c r="N227" s="738"/>
      <c r="O227" s="738"/>
      <c r="P227" s="738"/>
      <c r="Q227" s="738"/>
      <c r="R227" s="738"/>
      <c r="S227" s="738"/>
      <c r="T227" s="738"/>
      <c r="U227" s="738"/>
      <c r="V227" s="738"/>
      <c r="W227" s="738"/>
      <c r="X227" s="738"/>
      <c r="Y227" s="738"/>
      <c r="Z227" s="738"/>
    </row>
    <row r="228">
      <c r="A228" s="738"/>
      <c r="B228" s="738"/>
      <c r="C228" s="738"/>
      <c r="D228" s="738"/>
      <c r="E228" s="738"/>
      <c r="F228" s="738"/>
      <c r="G228" s="738"/>
      <c r="H228" s="738"/>
      <c r="I228" s="738"/>
      <c r="J228" s="738"/>
      <c r="K228" s="738"/>
      <c r="L228" s="738"/>
      <c r="M228" s="738"/>
      <c r="N228" s="738"/>
      <c r="O228" s="738"/>
      <c r="P228" s="738"/>
      <c r="Q228" s="738"/>
      <c r="R228" s="738"/>
      <c r="S228" s="738"/>
      <c r="T228" s="738"/>
      <c r="U228" s="738"/>
      <c r="V228" s="738"/>
      <c r="W228" s="738"/>
      <c r="X228" s="738"/>
      <c r="Y228" s="738"/>
      <c r="Z228" s="738"/>
    </row>
    <row r="229">
      <c r="A229" s="738"/>
      <c r="B229" s="738"/>
      <c r="C229" s="738"/>
      <c r="D229" s="738"/>
      <c r="E229" s="738"/>
      <c r="F229" s="738"/>
      <c r="G229" s="738"/>
      <c r="H229" s="738"/>
      <c r="I229" s="738"/>
      <c r="J229" s="738"/>
      <c r="K229" s="738"/>
      <c r="L229" s="738"/>
      <c r="M229" s="738"/>
      <c r="N229" s="738"/>
      <c r="O229" s="738"/>
      <c r="P229" s="738"/>
      <c r="Q229" s="738"/>
      <c r="R229" s="738"/>
      <c r="S229" s="738"/>
      <c r="T229" s="738"/>
      <c r="U229" s="738"/>
      <c r="V229" s="738"/>
      <c r="W229" s="738"/>
      <c r="X229" s="738"/>
      <c r="Y229" s="738"/>
      <c r="Z229" s="738"/>
    </row>
    <row r="230">
      <c r="A230" s="738"/>
      <c r="B230" s="738"/>
      <c r="C230" s="738"/>
      <c r="D230" s="738"/>
      <c r="E230" s="738"/>
      <c r="F230" s="738"/>
      <c r="G230" s="738"/>
      <c r="H230" s="738"/>
      <c r="I230" s="738"/>
      <c r="J230" s="738"/>
      <c r="K230" s="738"/>
      <c r="L230" s="738"/>
      <c r="M230" s="738"/>
      <c r="N230" s="738"/>
      <c r="O230" s="738"/>
      <c r="P230" s="738"/>
      <c r="Q230" s="738"/>
      <c r="R230" s="738"/>
      <c r="S230" s="738"/>
      <c r="T230" s="738"/>
      <c r="U230" s="738"/>
      <c r="V230" s="738"/>
      <c r="W230" s="738"/>
      <c r="X230" s="738"/>
      <c r="Y230" s="738"/>
      <c r="Z230" s="738"/>
    </row>
    <row r="231">
      <c r="A231" s="738"/>
      <c r="B231" s="738"/>
      <c r="C231" s="738"/>
      <c r="D231" s="738"/>
      <c r="E231" s="738"/>
      <c r="F231" s="738"/>
      <c r="G231" s="738"/>
      <c r="H231" s="738"/>
      <c r="I231" s="738"/>
      <c r="J231" s="738"/>
      <c r="K231" s="738"/>
      <c r="L231" s="738"/>
      <c r="M231" s="738"/>
      <c r="N231" s="738"/>
      <c r="O231" s="738"/>
      <c r="P231" s="738"/>
      <c r="Q231" s="738"/>
      <c r="R231" s="738"/>
      <c r="S231" s="738"/>
      <c r="T231" s="738"/>
      <c r="U231" s="738"/>
      <c r="V231" s="738"/>
      <c r="W231" s="738"/>
      <c r="X231" s="738"/>
      <c r="Y231" s="738"/>
      <c r="Z231" s="738"/>
    </row>
    <row r="232">
      <c r="A232" s="738"/>
      <c r="B232" s="738"/>
      <c r="C232" s="738"/>
      <c r="D232" s="738"/>
      <c r="E232" s="738"/>
      <c r="F232" s="738"/>
      <c r="G232" s="738"/>
      <c r="H232" s="738"/>
      <c r="I232" s="738"/>
      <c r="J232" s="738"/>
      <c r="K232" s="738"/>
      <c r="L232" s="738"/>
      <c r="M232" s="738"/>
      <c r="N232" s="738"/>
      <c r="O232" s="738"/>
      <c r="P232" s="738"/>
      <c r="Q232" s="738"/>
      <c r="R232" s="738"/>
      <c r="S232" s="738"/>
      <c r="T232" s="738"/>
      <c r="U232" s="738"/>
      <c r="V232" s="738"/>
      <c r="W232" s="738"/>
      <c r="X232" s="738"/>
      <c r="Y232" s="738"/>
      <c r="Z232" s="738"/>
    </row>
    <row r="233">
      <c r="A233" s="738"/>
      <c r="B233" s="738"/>
      <c r="C233" s="738"/>
      <c r="D233" s="738"/>
      <c r="E233" s="738"/>
      <c r="F233" s="738"/>
      <c r="G233" s="738"/>
      <c r="H233" s="738"/>
      <c r="I233" s="738"/>
      <c r="J233" s="738"/>
      <c r="K233" s="738"/>
      <c r="L233" s="738"/>
      <c r="M233" s="738"/>
      <c r="N233" s="738"/>
      <c r="O233" s="738"/>
      <c r="P233" s="738"/>
      <c r="Q233" s="738"/>
      <c r="R233" s="738"/>
      <c r="S233" s="738"/>
      <c r="T233" s="738"/>
      <c r="U233" s="738"/>
      <c r="V233" s="738"/>
      <c r="W233" s="738"/>
      <c r="X233" s="738"/>
      <c r="Y233" s="738"/>
      <c r="Z233" s="738"/>
    </row>
    <row r="234">
      <c r="A234" s="738"/>
      <c r="B234" s="738"/>
      <c r="C234" s="738"/>
      <c r="D234" s="738"/>
      <c r="E234" s="738"/>
      <c r="F234" s="738"/>
      <c r="G234" s="738"/>
      <c r="H234" s="738"/>
      <c r="I234" s="738"/>
      <c r="J234" s="738"/>
      <c r="K234" s="738"/>
      <c r="L234" s="738"/>
      <c r="M234" s="738"/>
      <c r="N234" s="738"/>
      <c r="O234" s="738"/>
      <c r="P234" s="738"/>
      <c r="Q234" s="738"/>
      <c r="R234" s="738"/>
      <c r="S234" s="738"/>
      <c r="T234" s="738"/>
      <c r="U234" s="738"/>
      <c r="V234" s="738"/>
      <c r="W234" s="738"/>
      <c r="X234" s="738"/>
      <c r="Y234" s="738"/>
      <c r="Z234" s="738"/>
    </row>
    <row r="235">
      <c r="A235" s="738"/>
      <c r="B235" s="738"/>
      <c r="C235" s="738"/>
      <c r="D235" s="738"/>
      <c r="E235" s="738"/>
      <c r="F235" s="738"/>
      <c r="G235" s="738"/>
      <c r="H235" s="738"/>
      <c r="I235" s="738"/>
      <c r="J235" s="738"/>
      <c r="K235" s="738"/>
      <c r="L235" s="738"/>
      <c r="M235" s="738"/>
      <c r="N235" s="738"/>
      <c r="O235" s="738"/>
      <c r="P235" s="738"/>
      <c r="Q235" s="738"/>
      <c r="R235" s="738"/>
      <c r="S235" s="738"/>
      <c r="T235" s="738"/>
      <c r="U235" s="738"/>
      <c r="V235" s="738"/>
      <c r="W235" s="738"/>
      <c r="X235" s="738"/>
      <c r="Y235" s="738"/>
      <c r="Z235" s="738"/>
    </row>
    <row r="236">
      <c r="A236" s="738"/>
      <c r="B236" s="738"/>
      <c r="C236" s="738"/>
      <c r="D236" s="738"/>
      <c r="E236" s="738"/>
      <c r="F236" s="738"/>
      <c r="G236" s="738"/>
      <c r="H236" s="738"/>
      <c r="I236" s="738"/>
      <c r="J236" s="738"/>
      <c r="K236" s="738"/>
      <c r="L236" s="738"/>
      <c r="M236" s="738"/>
      <c r="N236" s="738"/>
      <c r="O236" s="738"/>
      <c r="P236" s="738"/>
      <c r="Q236" s="738"/>
      <c r="R236" s="738"/>
      <c r="S236" s="738"/>
      <c r="T236" s="738"/>
      <c r="U236" s="738"/>
      <c r="V236" s="738"/>
      <c r="W236" s="738"/>
      <c r="X236" s="738"/>
      <c r="Y236" s="738"/>
      <c r="Z236" s="738"/>
    </row>
    <row r="237">
      <c r="A237" s="738"/>
      <c r="B237" s="738"/>
      <c r="C237" s="738"/>
      <c r="D237" s="738"/>
      <c r="E237" s="738"/>
      <c r="F237" s="738"/>
      <c r="G237" s="738"/>
      <c r="H237" s="738"/>
      <c r="I237" s="738"/>
      <c r="J237" s="738"/>
      <c r="K237" s="738"/>
      <c r="L237" s="738"/>
      <c r="M237" s="738"/>
      <c r="N237" s="738"/>
      <c r="O237" s="738"/>
      <c r="P237" s="738"/>
      <c r="Q237" s="738"/>
      <c r="R237" s="738"/>
      <c r="S237" s="738"/>
      <c r="T237" s="738"/>
      <c r="U237" s="738"/>
      <c r="V237" s="738"/>
      <c r="W237" s="738"/>
      <c r="X237" s="738"/>
      <c r="Y237" s="738"/>
      <c r="Z237" s="738"/>
    </row>
    <row r="238">
      <c r="A238" s="738"/>
      <c r="B238" s="738"/>
      <c r="C238" s="738"/>
      <c r="D238" s="738"/>
      <c r="E238" s="738"/>
      <c r="F238" s="738"/>
      <c r="G238" s="738"/>
      <c r="H238" s="738"/>
      <c r="I238" s="738"/>
      <c r="J238" s="738"/>
      <c r="K238" s="738"/>
      <c r="L238" s="738"/>
      <c r="M238" s="738"/>
      <c r="N238" s="738"/>
      <c r="O238" s="738"/>
      <c r="P238" s="738"/>
      <c r="Q238" s="738"/>
      <c r="R238" s="738"/>
      <c r="S238" s="738"/>
      <c r="T238" s="738"/>
      <c r="U238" s="738"/>
      <c r="V238" s="738"/>
      <c r="W238" s="738"/>
      <c r="X238" s="738"/>
      <c r="Y238" s="738"/>
      <c r="Z238" s="738"/>
    </row>
    <row r="239">
      <c r="A239" s="738"/>
      <c r="B239" s="738"/>
      <c r="C239" s="738"/>
      <c r="D239" s="738"/>
      <c r="E239" s="738"/>
      <c r="F239" s="738"/>
      <c r="G239" s="738"/>
      <c r="H239" s="738"/>
      <c r="I239" s="738"/>
      <c r="J239" s="738"/>
      <c r="K239" s="738"/>
      <c r="L239" s="738"/>
      <c r="M239" s="738"/>
      <c r="N239" s="738"/>
      <c r="O239" s="738"/>
      <c r="P239" s="738"/>
      <c r="Q239" s="738"/>
      <c r="R239" s="738"/>
      <c r="S239" s="738"/>
      <c r="T239" s="738"/>
      <c r="U239" s="738"/>
      <c r="V239" s="738"/>
      <c r="W239" s="738"/>
      <c r="X239" s="738"/>
      <c r="Y239" s="738"/>
      <c r="Z239" s="738"/>
    </row>
    <row r="240">
      <c r="A240" s="738"/>
      <c r="B240" s="738"/>
      <c r="C240" s="738"/>
      <c r="D240" s="738"/>
      <c r="E240" s="738"/>
      <c r="F240" s="738"/>
      <c r="G240" s="738"/>
      <c r="H240" s="738"/>
      <c r="I240" s="738"/>
      <c r="J240" s="738"/>
      <c r="K240" s="738"/>
      <c r="L240" s="738"/>
      <c r="M240" s="738"/>
      <c r="N240" s="738"/>
      <c r="O240" s="738"/>
      <c r="P240" s="738"/>
      <c r="Q240" s="738"/>
      <c r="R240" s="738"/>
      <c r="S240" s="738"/>
      <c r="T240" s="738"/>
      <c r="U240" s="738"/>
      <c r="V240" s="738"/>
      <c r="W240" s="738"/>
      <c r="X240" s="738"/>
      <c r="Y240" s="738"/>
      <c r="Z240" s="738"/>
    </row>
    <row r="241">
      <c r="A241" s="738"/>
      <c r="B241" s="738"/>
      <c r="C241" s="738"/>
      <c r="D241" s="738"/>
      <c r="E241" s="738"/>
      <c r="F241" s="738"/>
      <c r="G241" s="738"/>
      <c r="H241" s="738"/>
      <c r="I241" s="738"/>
      <c r="J241" s="738"/>
      <c r="K241" s="738"/>
      <c r="L241" s="738"/>
      <c r="M241" s="738"/>
      <c r="N241" s="738"/>
      <c r="O241" s="738"/>
      <c r="P241" s="738"/>
      <c r="Q241" s="738"/>
      <c r="R241" s="738"/>
      <c r="S241" s="738"/>
      <c r="T241" s="738"/>
      <c r="U241" s="738"/>
      <c r="V241" s="738"/>
      <c r="W241" s="738"/>
      <c r="X241" s="738"/>
      <c r="Y241" s="738"/>
      <c r="Z241" s="738"/>
    </row>
    <row r="242">
      <c r="A242" s="738"/>
      <c r="B242" s="738"/>
      <c r="C242" s="738"/>
      <c r="D242" s="738"/>
      <c r="E242" s="738"/>
      <c r="F242" s="738"/>
      <c r="G242" s="738"/>
      <c r="H242" s="738"/>
      <c r="I242" s="738"/>
      <c r="J242" s="738"/>
      <c r="K242" s="738"/>
      <c r="L242" s="738"/>
      <c r="M242" s="738"/>
      <c r="N242" s="738"/>
      <c r="O242" s="738"/>
      <c r="P242" s="738"/>
      <c r="Q242" s="738"/>
      <c r="R242" s="738"/>
      <c r="S242" s="738"/>
      <c r="T242" s="738"/>
      <c r="U242" s="738"/>
      <c r="V242" s="738"/>
      <c r="W242" s="738"/>
      <c r="X242" s="738"/>
      <c r="Y242" s="738"/>
      <c r="Z242" s="738"/>
    </row>
    <row r="243">
      <c r="A243" s="738"/>
      <c r="B243" s="738"/>
      <c r="C243" s="738"/>
      <c r="D243" s="738"/>
      <c r="E243" s="738"/>
      <c r="F243" s="738"/>
      <c r="G243" s="738"/>
      <c r="H243" s="738"/>
      <c r="I243" s="738"/>
      <c r="J243" s="738"/>
      <c r="K243" s="738"/>
      <c r="L243" s="738"/>
      <c r="M243" s="738"/>
      <c r="N243" s="738"/>
      <c r="O243" s="738"/>
      <c r="P243" s="738"/>
      <c r="Q243" s="738"/>
      <c r="R243" s="738"/>
      <c r="S243" s="738"/>
      <c r="T243" s="738"/>
      <c r="U243" s="738"/>
      <c r="V243" s="738"/>
      <c r="W243" s="738"/>
      <c r="X243" s="738"/>
      <c r="Y243" s="738"/>
      <c r="Z243" s="738"/>
    </row>
    <row r="244">
      <c r="A244" s="738"/>
      <c r="B244" s="738"/>
      <c r="C244" s="738"/>
      <c r="D244" s="738"/>
      <c r="E244" s="738"/>
      <c r="F244" s="738"/>
      <c r="G244" s="738"/>
      <c r="H244" s="738"/>
      <c r="I244" s="738"/>
      <c r="J244" s="738"/>
      <c r="K244" s="738"/>
      <c r="L244" s="738"/>
      <c r="M244" s="738"/>
      <c r="N244" s="738"/>
      <c r="O244" s="738"/>
      <c r="P244" s="738"/>
      <c r="Q244" s="738"/>
      <c r="R244" s="738"/>
      <c r="S244" s="738"/>
      <c r="T244" s="738"/>
      <c r="U244" s="738"/>
      <c r="V244" s="738"/>
      <c r="W244" s="738"/>
      <c r="X244" s="738"/>
      <c r="Y244" s="738"/>
      <c r="Z244" s="738"/>
    </row>
    <row r="245">
      <c r="A245" s="738"/>
      <c r="B245" s="738"/>
      <c r="C245" s="738"/>
      <c r="D245" s="738"/>
      <c r="E245" s="738"/>
      <c r="F245" s="738"/>
      <c r="G245" s="738"/>
      <c r="H245" s="738"/>
      <c r="I245" s="738"/>
      <c r="J245" s="738"/>
      <c r="K245" s="738"/>
      <c r="L245" s="738"/>
      <c r="M245" s="738"/>
      <c r="N245" s="738"/>
      <c r="O245" s="738"/>
      <c r="P245" s="738"/>
      <c r="Q245" s="738"/>
      <c r="R245" s="738"/>
      <c r="S245" s="738"/>
      <c r="T245" s="738"/>
      <c r="U245" s="738"/>
      <c r="V245" s="738"/>
      <c r="W245" s="738"/>
      <c r="X245" s="738"/>
      <c r="Y245" s="738"/>
      <c r="Z245" s="738"/>
    </row>
    <row r="246">
      <c r="A246" s="738"/>
      <c r="B246" s="738"/>
      <c r="C246" s="738"/>
      <c r="D246" s="738"/>
      <c r="E246" s="738"/>
      <c r="F246" s="738"/>
      <c r="G246" s="738"/>
      <c r="H246" s="738"/>
      <c r="I246" s="738"/>
      <c r="J246" s="738"/>
      <c r="K246" s="738"/>
      <c r="L246" s="738"/>
      <c r="M246" s="738"/>
      <c r="N246" s="738"/>
      <c r="O246" s="738"/>
      <c r="P246" s="738"/>
      <c r="Q246" s="738"/>
      <c r="R246" s="738"/>
      <c r="S246" s="738"/>
      <c r="T246" s="738"/>
      <c r="U246" s="738"/>
      <c r="V246" s="738"/>
      <c r="W246" s="738"/>
      <c r="X246" s="738"/>
      <c r="Y246" s="738"/>
      <c r="Z246" s="738"/>
    </row>
    <row r="247">
      <c r="A247" s="738"/>
      <c r="B247" s="738"/>
      <c r="C247" s="738"/>
      <c r="D247" s="738"/>
      <c r="E247" s="738"/>
      <c r="F247" s="738"/>
      <c r="G247" s="738"/>
      <c r="H247" s="738"/>
      <c r="I247" s="738"/>
      <c r="J247" s="738"/>
      <c r="K247" s="738"/>
      <c r="L247" s="738"/>
      <c r="M247" s="738"/>
      <c r="N247" s="738"/>
      <c r="O247" s="738"/>
      <c r="P247" s="738"/>
      <c r="Q247" s="738"/>
      <c r="R247" s="738"/>
      <c r="S247" s="738"/>
      <c r="T247" s="738"/>
      <c r="U247" s="738"/>
      <c r="V247" s="738"/>
      <c r="W247" s="738"/>
      <c r="X247" s="738"/>
      <c r="Y247" s="738"/>
      <c r="Z247" s="738"/>
    </row>
    <row r="248">
      <c r="A248" s="738"/>
      <c r="B248" s="738"/>
      <c r="C248" s="738"/>
      <c r="D248" s="738"/>
      <c r="E248" s="738"/>
      <c r="F248" s="738"/>
      <c r="G248" s="738"/>
      <c r="H248" s="738"/>
      <c r="I248" s="738"/>
      <c r="J248" s="738"/>
      <c r="K248" s="738"/>
      <c r="L248" s="738"/>
      <c r="M248" s="738"/>
      <c r="N248" s="738"/>
      <c r="O248" s="738"/>
      <c r="P248" s="738"/>
      <c r="Q248" s="738"/>
      <c r="R248" s="738"/>
      <c r="S248" s="738"/>
      <c r="T248" s="738"/>
      <c r="U248" s="738"/>
      <c r="V248" s="738"/>
      <c r="W248" s="738"/>
      <c r="X248" s="738"/>
      <c r="Y248" s="738"/>
      <c r="Z248" s="738"/>
    </row>
    <row r="249">
      <c r="A249" s="738"/>
      <c r="B249" s="738"/>
      <c r="C249" s="738"/>
      <c r="D249" s="738"/>
      <c r="E249" s="738"/>
      <c r="F249" s="738"/>
      <c r="G249" s="738"/>
      <c r="H249" s="738"/>
      <c r="I249" s="738"/>
      <c r="J249" s="738"/>
      <c r="K249" s="738"/>
      <c r="L249" s="738"/>
      <c r="M249" s="738"/>
      <c r="N249" s="738"/>
      <c r="O249" s="738"/>
      <c r="P249" s="738"/>
      <c r="Q249" s="738"/>
      <c r="R249" s="738"/>
      <c r="S249" s="738"/>
      <c r="T249" s="738"/>
      <c r="U249" s="738"/>
      <c r="V249" s="738"/>
      <c r="W249" s="738"/>
      <c r="X249" s="738"/>
      <c r="Y249" s="738"/>
      <c r="Z249" s="738"/>
    </row>
    <row r="250">
      <c r="A250" s="738"/>
      <c r="B250" s="738"/>
      <c r="C250" s="738"/>
      <c r="D250" s="738"/>
      <c r="E250" s="738"/>
      <c r="F250" s="738"/>
      <c r="G250" s="738"/>
      <c r="H250" s="738"/>
      <c r="I250" s="738"/>
      <c r="J250" s="738"/>
      <c r="K250" s="738"/>
      <c r="L250" s="738"/>
      <c r="M250" s="738"/>
      <c r="N250" s="738"/>
      <c r="O250" s="738"/>
      <c r="P250" s="738"/>
      <c r="Q250" s="738"/>
      <c r="R250" s="738"/>
      <c r="S250" s="738"/>
      <c r="T250" s="738"/>
      <c r="U250" s="738"/>
      <c r="V250" s="738"/>
      <c r="W250" s="738"/>
      <c r="X250" s="738"/>
      <c r="Y250" s="738"/>
      <c r="Z250" s="738"/>
    </row>
    <row r="251">
      <c r="A251" s="738"/>
      <c r="B251" s="738"/>
      <c r="C251" s="738"/>
      <c r="D251" s="738"/>
      <c r="E251" s="738"/>
      <c r="F251" s="738"/>
      <c r="G251" s="738"/>
      <c r="H251" s="738"/>
      <c r="I251" s="738"/>
      <c r="J251" s="738"/>
      <c r="K251" s="738"/>
      <c r="L251" s="738"/>
      <c r="M251" s="738"/>
      <c r="N251" s="738"/>
      <c r="O251" s="738"/>
      <c r="P251" s="738"/>
      <c r="Q251" s="738"/>
      <c r="R251" s="738"/>
      <c r="S251" s="738"/>
      <c r="T251" s="738"/>
      <c r="U251" s="738"/>
      <c r="V251" s="738"/>
      <c r="W251" s="738"/>
      <c r="X251" s="738"/>
      <c r="Y251" s="738"/>
      <c r="Z251" s="738"/>
    </row>
    <row r="252">
      <c r="A252" s="738"/>
      <c r="B252" s="738"/>
      <c r="C252" s="738"/>
      <c r="D252" s="738"/>
      <c r="E252" s="738"/>
      <c r="F252" s="738"/>
      <c r="G252" s="738"/>
      <c r="H252" s="738"/>
      <c r="I252" s="738"/>
      <c r="J252" s="738"/>
      <c r="K252" s="738"/>
      <c r="L252" s="738"/>
      <c r="M252" s="738"/>
      <c r="N252" s="738"/>
      <c r="O252" s="738"/>
      <c r="P252" s="738"/>
      <c r="Q252" s="738"/>
      <c r="R252" s="738"/>
      <c r="S252" s="738"/>
      <c r="T252" s="738"/>
      <c r="U252" s="738"/>
      <c r="V252" s="738"/>
      <c r="W252" s="738"/>
      <c r="X252" s="738"/>
      <c r="Y252" s="738"/>
      <c r="Z252" s="738"/>
    </row>
    <row r="253">
      <c r="A253" s="738"/>
      <c r="B253" s="738"/>
      <c r="C253" s="738"/>
      <c r="D253" s="738"/>
      <c r="E253" s="738"/>
      <c r="F253" s="738"/>
      <c r="G253" s="738"/>
      <c r="H253" s="738"/>
      <c r="I253" s="738"/>
      <c r="J253" s="738"/>
      <c r="K253" s="738"/>
      <c r="L253" s="738"/>
      <c r="M253" s="738"/>
      <c r="N253" s="738"/>
      <c r="O253" s="738"/>
      <c r="P253" s="738"/>
      <c r="Q253" s="738"/>
      <c r="R253" s="738"/>
      <c r="S253" s="738"/>
      <c r="T253" s="738"/>
      <c r="U253" s="738"/>
      <c r="V253" s="738"/>
      <c r="W253" s="738"/>
      <c r="X253" s="738"/>
      <c r="Y253" s="738"/>
      <c r="Z253" s="738"/>
    </row>
    <row r="254">
      <c r="A254" s="738"/>
      <c r="B254" s="738"/>
      <c r="C254" s="738"/>
      <c r="D254" s="738"/>
      <c r="E254" s="738"/>
      <c r="F254" s="738"/>
      <c r="G254" s="738"/>
      <c r="H254" s="738"/>
      <c r="I254" s="738"/>
      <c r="J254" s="738"/>
      <c r="K254" s="738"/>
      <c r="L254" s="738"/>
      <c r="M254" s="738"/>
      <c r="N254" s="738"/>
      <c r="O254" s="738"/>
      <c r="P254" s="738"/>
      <c r="Q254" s="738"/>
      <c r="R254" s="738"/>
      <c r="S254" s="738"/>
      <c r="T254" s="738"/>
      <c r="U254" s="738"/>
      <c r="V254" s="738"/>
      <c r="W254" s="738"/>
      <c r="X254" s="738"/>
      <c r="Y254" s="738"/>
      <c r="Z254" s="738"/>
    </row>
    <row r="255">
      <c r="A255" s="738"/>
      <c r="B255" s="738"/>
      <c r="C255" s="738"/>
      <c r="D255" s="738"/>
      <c r="E255" s="738"/>
      <c r="F255" s="738"/>
      <c r="G255" s="738"/>
      <c r="H255" s="738"/>
      <c r="I255" s="738"/>
      <c r="J255" s="738"/>
      <c r="K255" s="738"/>
      <c r="L255" s="738"/>
      <c r="M255" s="738"/>
      <c r="N255" s="738"/>
      <c r="O255" s="738"/>
      <c r="P255" s="738"/>
      <c r="Q255" s="738"/>
      <c r="R255" s="738"/>
      <c r="S255" s="738"/>
      <c r="T255" s="738"/>
      <c r="U255" s="738"/>
      <c r="V255" s="738"/>
      <c r="W255" s="738"/>
      <c r="X255" s="738"/>
      <c r="Y255" s="738"/>
      <c r="Z255" s="738"/>
    </row>
    <row r="256">
      <c r="A256" s="738"/>
      <c r="B256" s="738"/>
      <c r="C256" s="738"/>
      <c r="D256" s="738"/>
      <c r="E256" s="738"/>
      <c r="F256" s="738"/>
      <c r="G256" s="738"/>
      <c r="H256" s="738"/>
      <c r="I256" s="738"/>
      <c r="J256" s="738"/>
      <c r="K256" s="738"/>
      <c r="L256" s="738"/>
      <c r="M256" s="738"/>
      <c r="N256" s="738"/>
      <c r="O256" s="738"/>
      <c r="P256" s="738"/>
      <c r="Q256" s="738"/>
      <c r="R256" s="738"/>
      <c r="S256" s="738"/>
      <c r="T256" s="738"/>
      <c r="U256" s="738"/>
      <c r="V256" s="738"/>
      <c r="W256" s="738"/>
      <c r="X256" s="738"/>
      <c r="Y256" s="738"/>
      <c r="Z256" s="738"/>
    </row>
    <row r="257">
      <c r="A257" s="738"/>
      <c r="B257" s="738"/>
      <c r="C257" s="738"/>
      <c r="D257" s="738"/>
      <c r="E257" s="738"/>
      <c r="F257" s="738"/>
      <c r="G257" s="738"/>
      <c r="H257" s="738"/>
      <c r="I257" s="738"/>
      <c r="J257" s="738"/>
      <c r="K257" s="738"/>
      <c r="L257" s="738"/>
      <c r="M257" s="738"/>
      <c r="N257" s="738"/>
      <c r="O257" s="738"/>
      <c r="P257" s="738"/>
      <c r="Q257" s="738"/>
      <c r="R257" s="738"/>
      <c r="S257" s="738"/>
      <c r="T257" s="738"/>
      <c r="U257" s="738"/>
      <c r="V257" s="738"/>
      <c r="W257" s="738"/>
      <c r="X257" s="738"/>
      <c r="Y257" s="738"/>
      <c r="Z257" s="738"/>
    </row>
    <row r="258">
      <c r="A258" s="738"/>
      <c r="B258" s="738"/>
      <c r="C258" s="738"/>
      <c r="D258" s="738"/>
      <c r="E258" s="738"/>
      <c r="F258" s="738"/>
      <c r="G258" s="738"/>
      <c r="H258" s="738"/>
      <c r="I258" s="738"/>
      <c r="J258" s="738"/>
      <c r="K258" s="738"/>
      <c r="L258" s="738"/>
      <c r="M258" s="738"/>
      <c r="N258" s="738"/>
      <c r="O258" s="738"/>
      <c r="P258" s="738"/>
      <c r="Q258" s="738"/>
      <c r="R258" s="738"/>
      <c r="S258" s="738"/>
      <c r="T258" s="738"/>
      <c r="U258" s="738"/>
      <c r="V258" s="738"/>
      <c r="W258" s="738"/>
      <c r="X258" s="738"/>
      <c r="Y258" s="738"/>
      <c r="Z258" s="738"/>
    </row>
    <row r="259">
      <c r="A259" s="738"/>
      <c r="B259" s="738"/>
      <c r="C259" s="738"/>
      <c r="D259" s="738"/>
      <c r="E259" s="738"/>
      <c r="F259" s="738"/>
      <c r="G259" s="738"/>
      <c r="H259" s="738"/>
      <c r="I259" s="738"/>
      <c r="J259" s="738"/>
      <c r="K259" s="738"/>
      <c r="L259" s="738"/>
      <c r="M259" s="738"/>
      <c r="N259" s="738"/>
      <c r="O259" s="738"/>
      <c r="P259" s="738"/>
      <c r="Q259" s="738"/>
      <c r="R259" s="738"/>
      <c r="S259" s="738"/>
      <c r="T259" s="738"/>
      <c r="U259" s="738"/>
      <c r="V259" s="738"/>
      <c r="W259" s="738"/>
      <c r="X259" s="738"/>
      <c r="Y259" s="738"/>
      <c r="Z259" s="738"/>
    </row>
    <row r="260">
      <c r="A260" s="738"/>
      <c r="B260" s="738"/>
      <c r="C260" s="738"/>
      <c r="D260" s="738"/>
      <c r="E260" s="738"/>
      <c r="F260" s="738"/>
      <c r="G260" s="738"/>
      <c r="H260" s="738"/>
      <c r="I260" s="738"/>
      <c r="J260" s="738"/>
      <c r="K260" s="738"/>
      <c r="L260" s="738"/>
      <c r="M260" s="738"/>
      <c r="N260" s="738"/>
      <c r="O260" s="738"/>
      <c r="P260" s="738"/>
      <c r="Q260" s="738"/>
      <c r="R260" s="738"/>
      <c r="S260" s="738"/>
      <c r="T260" s="738"/>
      <c r="U260" s="738"/>
      <c r="V260" s="738"/>
      <c r="W260" s="738"/>
      <c r="X260" s="738"/>
      <c r="Y260" s="738"/>
      <c r="Z260" s="738"/>
    </row>
    <row r="261">
      <c r="A261" s="738"/>
      <c r="B261" s="738"/>
      <c r="C261" s="738"/>
      <c r="D261" s="738"/>
      <c r="E261" s="738"/>
      <c r="F261" s="738"/>
      <c r="G261" s="738"/>
      <c r="H261" s="738"/>
      <c r="I261" s="738"/>
      <c r="J261" s="738"/>
      <c r="K261" s="738"/>
      <c r="L261" s="738"/>
      <c r="M261" s="738"/>
      <c r="N261" s="738"/>
      <c r="O261" s="738"/>
      <c r="P261" s="738"/>
      <c r="Q261" s="738"/>
      <c r="R261" s="738"/>
      <c r="S261" s="738"/>
      <c r="T261" s="738"/>
      <c r="U261" s="738"/>
      <c r="V261" s="738"/>
      <c r="W261" s="738"/>
      <c r="X261" s="738"/>
      <c r="Y261" s="738"/>
      <c r="Z261" s="738"/>
    </row>
    <row r="262">
      <c r="A262" s="738"/>
      <c r="B262" s="738"/>
      <c r="C262" s="738"/>
      <c r="D262" s="738"/>
      <c r="E262" s="738"/>
      <c r="F262" s="738"/>
      <c r="G262" s="738"/>
      <c r="H262" s="738"/>
      <c r="I262" s="738"/>
      <c r="J262" s="738"/>
      <c r="K262" s="738"/>
      <c r="L262" s="738"/>
      <c r="M262" s="738"/>
      <c r="N262" s="738"/>
      <c r="O262" s="738"/>
      <c r="P262" s="738"/>
      <c r="Q262" s="738"/>
      <c r="R262" s="738"/>
      <c r="S262" s="738"/>
      <c r="T262" s="738"/>
      <c r="U262" s="738"/>
      <c r="V262" s="738"/>
      <c r="W262" s="738"/>
      <c r="X262" s="738"/>
      <c r="Y262" s="738"/>
      <c r="Z262" s="738"/>
    </row>
    <row r="263">
      <c r="A263" s="738"/>
      <c r="B263" s="738"/>
      <c r="C263" s="738"/>
      <c r="D263" s="738"/>
      <c r="E263" s="738"/>
      <c r="F263" s="738"/>
      <c r="G263" s="738"/>
      <c r="H263" s="738"/>
      <c r="I263" s="738"/>
      <c r="J263" s="738"/>
      <c r="K263" s="738"/>
      <c r="L263" s="738"/>
      <c r="M263" s="738"/>
      <c r="N263" s="738"/>
      <c r="O263" s="738"/>
      <c r="P263" s="738"/>
      <c r="Q263" s="738"/>
      <c r="R263" s="738"/>
      <c r="S263" s="738"/>
      <c r="T263" s="738"/>
      <c r="U263" s="738"/>
      <c r="V263" s="738"/>
      <c r="W263" s="738"/>
      <c r="X263" s="738"/>
      <c r="Y263" s="738"/>
      <c r="Z263" s="738"/>
    </row>
    <row r="264">
      <c r="A264" s="738"/>
      <c r="B264" s="738"/>
      <c r="C264" s="738"/>
      <c r="D264" s="738"/>
      <c r="E264" s="738"/>
      <c r="F264" s="738"/>
      <c r="G264" s="738"/>
      <c r="H264" s="738"/>
      <c r="I264" s="738"/>
      <c r="J264" s="738"/>
      <c r="K264" s="738"/>
      <c r="L264" s="738"/>
      <c r="M264" s="738"/>
      <c r="N264" s="738"/>
      <c r="O264" s="738"/>
      <c r="P264" s="738"/>
      <c r="Q264" s="738"/>
      <c r="R264" s="738"/>
      <c r="S264" s="738"/>
      <c r="T264" s="738"/>
      <c r="U264" s="738"/>
      <c r="V264" s="738"/>
      <c r="W264" s="738"/>
      <c r="X264" s="738"/>
      <c r="Y264" s="738"/>
      <c r="Z264" s="738"/>
    </row>
    <row r="265">
      <c r="A265" s="738"/>
      <c r="B265" s="738"/>
      <c r="C265" s="738"/>
      <c r="D265" s="738"/>
      <c r="E265" s="738"/>
      <c r="F265" s="738"/>
      <c r="G265" s="738"/>
      <c r="H265" s="738"/>
      <c r="I265" s="738"/>
      <c r="J265" s="738"/>
      <c r="K265" s="738"/>
      <c r="L265" s="738"/>
      <c r="M265" s="738"/>
      <c r="N265" s="738"/>
      <c r="O265" s="738"/>
      <c r="P265" s="738"/>
      <c r="Q265" s="738"/>
      <c r="R265" s="738"/>
      <c r="S265" s="738"/>
      <c r="T265" s="738"/>
      <c r="U265" s="738"/>
      <c r="V265" s="738"/>
      <c r="W265" s="738"/>
      <c r="X265" s="738"/>
      <c r="Y265" s="738"/>
      <c r="Z265" s="738"/>
    </row>
    <row r="266">
      <c r="A266" s="738"/>
      <c r="B266" s="738"/>
      <c r="C266" s="738"/>
      <c r="D266" s="738"/>
      <c r="E266" s="738"/>
      <c r="F266" s="738"/>
      <c r="G266" s="738"/>
      <c r="H266" s="738"/>
      <c r="I266" s="738"/>
      <c r="J266" s="738"/>
      <c r="K266" s="738"/>
      <c r="L266" s="738"/>
      <c r="M266" s="738"/>
      <c r="N266" s="738"/>
      <c r="O266" s="738"/>
      <c r="P266" s="738"/>
      <c r="Q266" s="738"/>
      <c r="R266" s="738"/>
      <c r="S266" s="738"/>
      <c r="T266" s="738"/>
      <c r="U266" s="738"/>
      <c r="V266" s="738"/>
      <c r="W266" s="738"/>
      <c r="X266" s="738"/>
      <c r="Y266" s="738"/>
      <c r="Z266" s="738"/>
    </row>
    <row r="267">
      <c r="A267" s="738"/>
      <c r="B267" s="738"/>
      <c r="C267" s="738"/>
      <c r="D267" s="738"/>
      <c r="E267" s="738"/>
      <c r="F267" s="738"/>
      <c r="G267" s="738"/>
      <c r="H267" s="738"/>
      <c r="I267" s="738"/>
      <c r="J267" s="738"/>
      <c r="K267" s="738"/>
      <c r="L267" s="738"/>
      <c r="M267" s="738"/>
      <c r="N267" s="738"/>
      <c r="O267" s="738"/>
      <c r="P267" s="738"/>
      <c r="Q267" s="738"/>
      <c r="R267" s="738"/>
      <c r="S267" s="738"/>
      <c r="T267" s="738"/>
      <c r="U267" s="738"/>
      <c r="V267" s="738"/>
      <c r="W267" s="738"/>
      <c r="X267" s="738"/>
      <c r="Y267" s="738"/>
      <c r="Z267" s="738"/>
    </row>
    <row r="268">
      <c r="A268" s="738"/>
      <c r="B268" s="738"/>
      <c r="C268" s="738"/>
      <c r="D268" s="738"/>
      <c r="E268" s="738"/>
      <c r="F268" s="738"/>
      <c r="G268" s="738"/>
      <c r="H268" s="738"/>
      <c r="I268" s="738"/>
      <c r="J268" s="738"/>
      <c r="K268" s="738"/>
      <c r="L268" s="738"/>
      <c r="M268" s="738"/>
      <c r="N268" s="738"/>
      <c r="O268" s="738"/>
      <c r="P268" s="738"/>
      <c r="Q268" s="738"/>
      <c r="R268" s="738"/>
      <c r="S268" s="738"/>
      <c r="T268" s="738"/>
      <c r="U268" s="738"/>
      <c r="V268" s="738"/>
      <c r="W268" s="738"/>
      <c r="X268" s="738"/>
      <c r="Y268" s="738"/>
      <c r="Z268" s="738"/>
    </row>
    <row r="269">
      <c r="A269" s="738"/>
      <c r="B269" s="738"/>
      <c r="C269" s="738"/>
      <c r="D269" s="738"/>
      <c r="E269" s="738"/>
      <c r="F269" s="738"/>
      <c r="G269" s="738"/>
      <c r="H269" s="738"/>
      <c r="I269" s="738"/>
      <c r="J269" s="738"/>
      <c r="K269" s="738"/>
      <c r="L269" s="738"/>
      <c r="M269" s="738"/>
      <c r="N269" s="738"/>
      <c r="O269" s="738"/>
      <c r="P269" s="738"/>
      <c r="Q269" s="738"/>
      <c r="R269" s="738"/>
      <c r="S269" s="738"/>
      <c r="T269" s="738"/>
      <c r="U269" s="738"/>
      <c r="V269" s="738"/>
      <c r="W269" s="738"/>
      <c r="X269" s="738"/>
      <c r="Y269" s="738"/>
      <c r="Z269" s="738"/>
    </row>
    <row r="270">
      <c r="A270" s="738"/>
      <c r="B270" s="738"/>
      <c r="C270" s="738"/>
      <c r="D270" s="738"/>
      <c r="E270" s="738"/>
      <c r="F270" s="738"/>
      <c r="G270" s="738"/>
      <c r="H270" s="738"/>
      <c r="I270" s="738"/>
      <c r="J270" s="738"/>
      <c r="K270" s="738"/>
      <c r="L270" s="738"/>
      <c r="M270" s="738"/>
      <c r="N270" s="738"/>
      <c r="O270" s="738"/>
      <c r="P270" s="738"/>
      <c r="Q270" s="738"/>
      <c r="R270" s="738"/>
      <c r="S270" s="738"/>
      <c r="T270" s="738"/>
      <c r="U270" s="738"/>
      <c r="V270" s="738"/>
      <c r="W270" s="738"/>
      <c r="X270" s="738"/>
      <c r="Y270" s="738"/>
      <c r="Z270" s="738"/>
    </row>
    <row r="271">
      <c r="A271" s="738"/>
      <c r="B271" s="738"/>
      <c r="C271" s="738"/>
      <c r="D271" s="738"/>
      <c r="E271" s="738"/>
      <c r="F271" s="738"/>
      <c r="G271" s="738"/>
      <c r="H271" s="738"/>
      <c r="I271" s="738"/>
      <c r="J271" s="738"/>
      <c r="K271" s="738"/>
      <c r="L271" s="738"/>
      <c r="M271" s="738"/>
      <c r="N271" s="738"/>
      <c r="O271" s="738"/>
      <c r="P271" s="738"/>
      <c r="Q271" s="738"/>
      <c r="R271" s="738"/>
      <c r="S271" s="738"/>
      <c r="T271" s="738"/>
      <c r="U271" s="738"/>
      <c r="V271" s="738"/>
      <c r="W271" s="738"/>
      <c r="X271" s="738"/>
      <c r="Y271" s="738"/>
      <c r="Z271" s="738"/>
    </row>
    <row r="272">
      <c r="A272" s="738"/>
      <c r="B272" s="738"/>
      <c r="C272" s="738"/>
      <c r="D272" s="738"/>
      <c r="E272" s="738"/>
      <c r="F272" s="738"/>
      <c r="G272" s="738"/>
      <c r="H272" s="738"/>
      <c r="I272" s="738"/>
      <c r="J272" s="738"/>
      <c r="K272" s="738"/>
      <c r="L272" s="738"/>
      <c r="M272" s="738"/>
      <c r="N272" s="738"/>
      <c r="O272" s="738"/>
      <c r="P272" s="738"/>
      <c r="Q272" s="738"/>
      <c r="R272" s="738"/>
      <c r="S272" s="738"/>
      <c r="T272" s="738"/>
      <c r="U272" s="738"/>
      <c r="V272" s="738"/>
      <c r="W272" s="738"/>
      <c r="X272" s="738"/>
      <c r="Y272" s="738"/>
      <c r="Z272" s="738"/>
    </row>
    <row r="273">
      <c r="A273" s="738"/>
      <c r="B273" s="738"/>
      <c r="C273" s="738"/>
      <c r="D273" s="738"/>
      <c r="E273" s="738"/>
      <c r="F273" s="738"/>
      <c r="G273" s="738"/>
      <c r="H273" s="738"/>
      <c r="I273" s="738"/>
      <c r="J273" s="738"/>
      <c r="K273" s="738"/>
      <c r="L273" s="738"/>
      <c r="M273" s="738"/>
      <c r="N273" s="738"/>
      <c r="O273" s="738"/>
      <c r="P273" s="738"/>
      <c r="Q273" s="738"/>
      <c r="R273" s="738"/>
      <c r="S273" s="738"/>
      <c r="T273" s="738"/>
      <c r="U273" s="738"/>
      <c r="V273" s="738"/>
      <c r="W273" s="738"/>
      <c r="X273" s="738"/>
      <c r="Y273" s="738"/>
      <c r="Z273" s="738"/>
    </row>
    <row r="274">
      <c r="A274" s="738"/>
      <c r="B274" s="738"/>
      <c r="C274" s="738"/>
      <c r="D274" s="738"/>
      <c r="E274" s="738"/>
      <c r="F274" s="738"/>
      <c r="G274" s="738"/>
      <c r="H274" s="738"/>
      <c r="I274" s="738"/>
      <c r="J274" s="738"/>
      <c r="K274" s="738"/>
      <c r="L274" s="738"/>
      <c r="M274" s="738"/>
      <c r="N274" s="738"/>
      <c r="O274" s="738"/>
      <c r="P274" s="738"/>
      <c r="Q274" s="738"/>
      <c r="R274" s="738"/>
      <c r="S274" s="738"/>
      <c r="T274" s="738"/>
      <c r="U274" s="738"/>
      <c r="V274" s="738"/>
      <c r="W274" s="738"/>
      <c r="X274" s="738"/>
      <c r="Y274" s="738"/>
      <c r="Z274" s="738"/>
    </row>
    <row r="275">
      <c r="A275" s="738"/>
      <c r="B275" s="738"/>
      <c r="C275" s="738"/>
      <c r="D275" s="738"/>
      <c r="E275" s="738"/>
      <c r="F275" s="738"/>
      <c r="G275" s="738"/>
      <c r="H275" s="738"/>
      <c r="I275" s="738"/>
      <c r="J275" s="738"/>
      <c r="K275" s="738"/>
      <c r="L275" s="738"/>
      <c r="M275" s="738"/>
      <c r="N275" s="738"/>
      <c r="O275" s="738"/>
      <c r="P275" s="738"/>
      <c r="Q275" s="738"/>
      <c r="R275" s="738"/>
      <c r="S275" s="738"/>
      <c r="T275" s="738"/>
      <c r="U275" s="738"/>
      <c r="V275" s="738"/>
      <c r="W275" s="738"/>
      <c r="X275" s="738"/>
      <c r="Y275" s="738"/>
      <c r="Z275" s="738"/>
    </row>
    <row r="276">
      <c r="A276" s="738"/>
      <c r="B276" s="738"/>
      <c r="C276" s="738"/>
      <c r="D276" s="738"/>
      <c r="E276" s="738"/>
      <c r="F276" s="738"/>
      <c r="G276" s="738"/>
      <c r="H276" s="738"/>
      <c r="I276" s="738"/>
      <c r="J276" s="738"/>
      <c r="K276" s="738"/>
      <c r="L276" s="738"/>
      <c r="M276" s="738"/>
      <c r="N276" s="738"/>
      <c r="O276" s="738"/>
      <c r="P276" s="738"/>
      <c r="Q276" s="738"/>
      <c r="R276" s="738"/>
      <c r="S276" s="738"/>
      <c r="T276" s="738"/>
      <c r="U276" s="738"/>
      <c r="V276" s="738"/>
      <c r="W276" s="738"/>
      <c r="X276" s="738"/>
      <c r="Y276" s="738"/>
      <c r="Z276" s="738"/>
    </row>
    <row r="277">
      <c r="A277" s="738"/>
      <c r="B277" s="738"/>
      <c r="C277" s="738"/>
      <c r="D277" s="738"/>
      <c r="E277" s="738"/>
      <c r="F277" s="738"/>
      <c r="G277" s="738"/>
      <c r="H277" s="738"/>
      <c r="I277" s="738"/>
      <c r="J277" s="738"/>
      <c r="K277" s="738"/>
      <c r="L277" s="738"/>
      <c r="M277" s="738"/>
      <c r="N277" s="738"/>
      <c r="O277" s="738"/>
      <c r="P277" s="738"/>
      <c r="Q277" s="738"/>
      <c r="R277" s="738"/>
      <c r="S277" s="738"/>
      <c r="T277" s="738"/>
      <c r="U277" s="738"/>
      <c r="V277" s="738"/>
      <c r="W277" s="738"/>
      <c r="X277" s="738"/>
      <c r="Y277" s="738"/>
      <c r="Z277" s="738"/>
    </row>
    <row r="278">
      <c r="A278" s="738"/>
      <c r="B278" s="738"/>
      <c r="C278" s="738"/>
      <c r="D278" s="738"/>
      <c r="E278" s="738"/>
      <c r="F278" s="738"/>
      <c r="G278" s="738"/>
      <c r="H278" s="738"/>
      <c r="I278" s="738"/>
      <c r="J278" s="738"/>
      <c r="K278" s="738"/>
      <c r="L278" s="738"/>
      <c r="M278" s="738"/>
      <c r="N278" s="738"/>
      <c r="O278" s="738"/>
      <c r="P278" s="738"/>
      <c r="Q278" s="738"/>
      <c r="R278" s="738"/>
      <c r="S278" s="738"/>
      <c r="T278" s="738"/>
      <c r="U278" s="738"/>
      <c r="V278" s="738"/>
      <c r="W278" s="738"/>
      <c r="X278" s="738"/>
      <c r="Y278" s="738"/>
      <c r="Z278" s="738"/>
    </row>
    <row r="279">
      <c r="A279" s="738"/>
      <c r="B279" s="738"/>
      <c r="C279" s="738"/>
      <c r="D279" s="738"/>
      <c r="E279" s="738"/>
      <c r="F279" s="738"/>
      <c r="G279" s="738"/>
      <c r="H279" s="738"/>
      <c r="I279" s="738"/>
      <c r="J279" s="738"/>
      <c r="K279" s="738"/>
      <c r="L279" s="738"/>
      <c r="M279" s="738"/>
      <c r="N279" s="738"/>
      <c r="O279" s="738"/>
      <c r="P279" s="738"/>
      <c r="Q279" s="738"/>
      <c r="R279" s="738"/>
      <c r="S279" s="738"/>
      <c r="T279" s="738"/>
      <c r="U279" s="738"/>
      <c r="V279" s="738"/>
      <c r="W279" s="738"/>
      <c r="X279" s="738"/>
      <c r="Y279" s="738"/>
      <c r="Z279" s="738"/>
    </row>
    <row r="280">
      <c r="A280" s="738"/>
      <c r="B280" s="738"/>
      <c r="C280" s="738"/>
      <c r="D280" s="738"/>
      <c r="E280" s="738"/>
      <c r="F280" s="738"/>
      <c r="G280" s="738"/>
      <c r="H280" s="738"/>
      <c r="I280" s="738"/>
      <c r="J280" s="738"/>
      <c r="K280" s="738"/>
      <c r="L280" s="738"/>
      <c r="M280" s="738"/>
      <c r="N280" s="738"/>
      <c r="O280" s="738"/>
      <c r="P280" s="738"/>
      <c r="Q280" s="738"/>
      <c r="R280" s="738"/>
      <c r="S280" s="738"/>
      <c r="T280" s="738"/>
      <c r="U280" s="738"/>
      <c r="V280" s="738"/>
      <c r="W280" s="738"/>
      <c r="X280" s="738"/>
      <c r="Y280" s="738"/>
      <c r="Z280" s="738"/>
    </row>
    <row r="281">
      <c r="A281" s="738"/>
      <c r="B281" s="738"/>
      <c r="C281" s="738"/>
      <c r="D281" s="738"/>
      <c r="E281" s="738"/>
      <c r="F281" s="738"/>
      <c r="G281" s="738"/>
      <c r="H281" s="738"/>
      <c r="I281" s="738"/>
      <c r="J281" s="738"/>
      <c r="K281" s="738"/>
      <c r="L281" s="738"/>
      <c r="M281" s="738"/>
      <c r="N281" s="738"/>
      <c r="O281" s="738"/>
      <c r="P281" s="738"/>
      <c r="Q281" s="738"/>
      <c r="R281" s="738"/>
      <c r="S281" s="738"/>
      <c r="T281" s="738"/>
      <c r="U281" s="738"/>
      <c r="V281" s="738"/>
      <c r="W281" s="738"/>
      <c r="X281" s="738"/>
      <c r="Y281" s="738"/>
      <c r="Z281" s="738"/>
    </row>
    <row r="282">
      <c r="A282" s="738"/>
      <c r="B282" s="738"/>
      <c r="C282" s="738"/>
      <c r="D282" s="738"/>
      <c r="E282" s="738"/>
      <c r="F282" s="738"/>
      <c r="G282" s="738"/>
      <c r="H282" s="738"/>
      <c r="I282" s="738"/>
      <c r="J282" s="738"/>
      <c r="K282" s="738"/>
      <c r="L282" s="738"/>
      <c r="M282" s="738"/>
      <c r="N282" s="738"/>
      <c r="O282" s="738"/>
      <c r="P282" s="738"/>
      <c r="Q282" s="738"/>
      <c r="R282" s="738"/>
      <c r="S282" s="738"/>
      <c r="T282" s="738"/>
      <c r="U282" s="738"/>
      <c r="V282" s="738"/>
      <c r="W282" s="738"/>
      <c r="X282" s="738"/>
      <c r="Y282" s="738"/>
      <c r="Z282" s="738"/>
    </row>
    <row r="283">
      <c r="A283" s="738"/>
      <c r="B283" s="738"/>
      <c r="C283" s="738"/>
      <c r="D283" s="738"/>
      <c r="E283" s="738"/>
      <c r="F283" s="738"/>
      <c r="G283" s="738"/>
      <c r="H283" s="738"/>
      <c r="I283" s="738"/>
      <c r="J283" s="738"/>
      <c r="K283" s="738"/>
      <c r="L283" s="738"/>
      <c r="M283" s="738"/>
      <c r="N283" s="738"/>
      <c r="O283" s="738"/>
      <c r="P283" s="738"/>
      <c r="Q283" s="738"/>
      <c r="R283" s="738"/>
      <c r="S283" s="738"/>
      <c r="T283" s="738"/>
      <c r="U283" s="738"/>
      <c r="V283" s="738"/>
      <c r="W283" s="738"/>
      <c r="X283" s="738"/>
      <c r="Y283" s="738"/>
      <c r="Z283" s="738"/>
    </row>
    <row r="284">
      <c r="A284" s="738"/>
      <c r="B284" s="738"/>
      <c r="C284" s="738"/>
      <c r="D284" s="738"/>
      <c r="E284" s="738"/>
      <c r="F284" s="738"/>
      <c r="G284" s="738"/>
      <c r="H284" s="738"/>
      <c r="I284" s="738"/>
      <c r="J284" s="738"/>
      <c r="K284" s="738"/>
      <c r="L284" s="738"/>
      <c r="M284" s="738"/>
      <c r="N284" s="738"/>
      <c r="O284" s="738"/>
      <c r="P284" s="738"/>
      <c r="Q284" s="738"/>
      <c r="R284" s="738"/>
      <c r="S284" s="738"/>
      <c r="T284" s="738"/>
      <c r="U284" s="738"/>
      <c r="V284" s="738"/>
      <c r="W284" s="738"/>
      <c r="X284" s="738"/>
      <c r="Y284" s="738"/>
      <c r="Z284" s="738"/>
    </row>
    <row r="285">
      <c r="A285" s="738"/>
      <c r="B285" s="738"/>
      <c r="C285" s="738"/>
      <c r="D285" s="738"/>
      <c r="E285" s="738"/>
      <c r="F285" s="738"/>
      <c r="G285" s="738"/>
      <c r="H285" s="738"/>
      <c r="I285" s="738"/>
      <c r="J285" s="738"/>
      <c r="K285" s="738"/>
      <c r="L285" s="738"/>
      <c r="M285" s="738"/>
      <c r="N285" s="738"/>
      <c r="O285" s="738"/>
      <c r="P285" s="738"/>
      <c r="Q285" s="738"/>
      <c r="R285" s="738"/>
      <c r="S285" s="738"/>
      <c r="T285" s="738"/>
      <c r="U285" s="738"/>
      <c r="V285" s="738"/>
      <c r="W285" s="738"/>
      <c r="X285" s="738"/>
      <c r="Y285" s="738"/>
      <c r="Z285" s="738"/>
    </row>
    <row r="286">
      <c r="A286" s="738"/>
      <c r="B286" s="738"/>
      <c r="C286" s="738"/>
      <c r="D286" s="738"/>
      <c r="E286" s="738"/>
      <c r="F286" s="738"/>
      <c r="G286" s="738"/>
      <c r="H286" s="738"/>
      <c r="I286" s="738"/>
      <c r="J286" s="738"/>
      <c r="K286" s="738"/>
      <c r="L286" s="738"/>
      <c r="M286" s="738"/>
      <c r="N286" s="738"/>
      <c r="O286" s="738"/>
      <c r="P286" s="738"/>
      <c r="Q286" s="738"/>
      <c r="R286" s="738"/>
      <c r="S286" s="738"/>
      <c r="T286" s="738"/>
      <c r="U286" s="738"/>
      <c r="V286" s="738"/>
      <c r="W286" s="738"/>
      <c r="X286" s="738"/>
      <c r="Y286" s="738"/>
      <c r="Z286" s="738"/>
    </row>
    <row r="287">
      <c r="A287" s="738"/>
      <c r="B287" s="738"/>
      <c r="C287" s="738"/>
      <c r="D287" s="738"/>
      <c r="E287" s="738"/>
      <c r="F287" s="738"/>
      <c r="G287" s="738"/>
      <c r="H287" s="738"/>
      <c r="I287" s="738"/>
      <c r="J287" s="738"/>
      <c r="K287" s="738"/>
      <c r="L287" s="738"/>
      <c r="M287" s="738"/>
      <c r="N287" s="738"/>
      <c r="O287" s="738"/>
      <c r="P287" s="738"/>
      <c r="Q287" s="738"/>
      <c r="R287" s="738"/>
      <c r="S287" s="738"/>
      <c r="T287" s="738"/>
      <c r="U287" s="738"/>
      <c r="V287" s="738"/>
      <c r="W287" s="738"/>
      <c r="X287" s="738"/>
      <c r="Y287" s="738"/>
      <c r="Z287" s="738"/>
    </row>
    <row r="288">
      <c r="A288" s="738"/>
      <c r="B288" s="738"/>
      <c r="C288" s="738"/>
      <c r="D288" s="738"/>
      <c r="E288" s="738"/>
      <c r="F288" s="738"/>
      <c r="G288" s="738"/>
      <c r="H288" s="738"/>
      <c r="I288" s="738"/>
      <c r="J288" s="738"/>
      <c r="K288" s="738"/>
      <c r="L288" s="738"/>
      <c r="M288" s="738"/>
      <c r="N288" s="738"/>
      <c r="O288" s="738"/>
      <c r="P288" s="738"/>
      <c r="Q288" s="738"/>
      <c r="R288" s="738"/>
      <c r="S288" s="738"/>
      <c r="T288" s="738"/>
      <c r="U288" s="738"/>
      <c r="V288" s="738"/>
      <c r="W288" s="738"/>
      <c r="X288" s="738"/>
      <c r="Y288" s="738"/>
      <c r="Z288" s="738"/>
    </row>
    <row r="289">
      <c r="A289" s="738"/>
      <c r="B289" s="738"/>
      <c r="C289" s="738"/>
      <c r="D289" s="738"/>
      <c r="E289" s="738"/>
      <c r="F289" s="738"/>
      <c r="G289" s="738"/>
      <c r="H289" s="738"/>
      <c r="I289" s="738"/>
      <c r="J289" s="738"/>
      <c r="K289" s="738"/>
      <c r="L289" s="738"/>
      <c r="M289" s="738"/>
      <c r="N289" s="738"/>
      <c r="O289" s="738"/>
      <c r="P289" s="738"/>
      <c r="Q289" s="738"/>
      <c r="R289" s="738"/>
      <c r="S289" s="738"/>
      <c r="T289" s="738"/>
      <c r="U289" s="738"/>
      <c r="V289" s="738"/>
      <c r="W289" s="738"/>
      <c r="X289" s="738"/>
      <c r="Y289" s="738"/>
      <c r="Z289" s="738"/>
    </row>
    <row r="290">
      <c r="A290" s="738"/>
      <c r="B290" s="738"/>
      <c r="C290" s="738"/>
      <c r="D290" s="738"/>
      <c r="E290" s="738"/>
      <c r="F290" s="738"/>
      <c r="G290" s="738"/>
      <c r="H290" s="738"/>
      <c r="I290" s="738"/>
      <c r="J290" s="738"/>
      <c r="K290" s="738"/>
      <c r="L290" s="738"/>
      <c r="M290" s="738"/>
      <c r="N290" s="738"/>
      <c r="O290" s="738"/>
      <c r="P290" s="738"/>
      <c r="Q290" s="738"/>
      <c r="R290" s="738"/>
      <c r="S290" s="738"/>
      <c r="T290" s="738"/>
      <c r="U290" s="738"/>
      <c r="V290" s="738"/>
      <c r="W290" s="738"/>
      <c r="X290" s="738"/>
      <c r="Y290" s="738"/>
      <c r="Z290" s="738"/>
    </row>
    <row r="291">
      <c r="A291" s="738"/>
      <c r="B291" s="738"/>
      <c r="C291" s="738"/>
      <c r="D291" s="738"/>
      <c r="E291" s="738"/>
      <c r="F291" s="738"/>
      <c r="G291" s="738"/>
      <c r="H291" s="738"/>
      <c r="I291" s="738"/>
      <c r="J291" s="738"/>
      <c r="K291" s="738"/>
      <c r="L291" s="738"/>
      <c r="M291" s="738"/>
      <c r="N291" s="738"/>
      <c r="O291" s="738"/>
      <c r="P291" s="738"/>
      <c r="Q291" s="738"/>
      <c r="R291" s="738"/>
      <c r="S291" s="738"/>
      <c r="T291" s="738"/>
      <c r="U291" s="738"/>
      <c r="V291" s="738"/>
      <c r="W291" s="738"/>
      <c r="X291" s="738"/>
      <c r="Y291" s="738"/>
      <c r="Z291" s="738"/>
    </row>
    <row r="292">
      <c r="A292" s="738"/>
      <c r="B292" s="738"/>
      <c r="C292" s="738"/>
      <c r="D292" s="738"/>
      <c r="E292" s="738"/>
      <c r="F292" s="738"/>
      <c r="G292" s="738"/>
      <c r="H292" s="738"/>
      <c r="I292" s="738"/>
      <c r="J292" s="738"/>
      <c r="K292" s="738"/>
      <c r="L292" s="738"/>
      <c r="M292" s="738"/>
      <c r="N292" s="738"/>
      <c r="O292" s="738"/>
      <c r="P292" s="738"/>
      <c r="Q292" s="738"/>
      <c r="R292" s="738"/>
      <c r="S292" s="738"/>
      <c r="T292" s="738"/>
      <c r="U292" s="738"/>
      <c r="V292" s="738"/>
      <c r="W292" s="738"/>
      <c r="X292" s="738"/>
      <c r="Y292" s="738"/>
      <c r="Z292" s="738"/>
    </row>
    <row r="293">
      <c r="A293" s="738"/>
      <c r="B293" s="738"/>
      <c r="C293" s="738"/>
      <c r="D293" s="738"/>
      <c r="E293" s="738"/>
      <c r="F293" s="738"/>
      <c r="G293" s="738"/>
      <c r="H293" s="738"/>
      <c r="I293" s="738"/>
      <c r="J293" s="738"/>
      <c r="K293" s="738"/>
      <c r="L293" s="738"/>
      <c r="M293" s="738"/>
      <c r="N293" s="738"/>
      <c r="O293" s="738"/>
      <c r="P293" s="738"/>
      <c r="Q293" s="738"/>
      <c r="R293" s="738"/>
      <c r="S293" s="738"/>
      <c r="T293" s="738"/>
      <c r="U293" s="738"/>
      <c r="V293" s="738"/>
      <c r="W293" s="738"/>
      <c r="X293" s="738"/>
      <c r="Y293" s="738"/>
      <c r="Z293" s="738"/>
    </row>
    <row r="294">
      <c r="A294" s="738"/>
      <c r="B294" s="738"/>
      <c r="C294" s="738"/>
      <c r="D294" s="738"/>
      <c r="E294" s="738"/>
      <c r="F294" s="738"/>
      <c r="G294" s="738"/>
      <c r="H294" s="738"/>
      <c r="I294" s="738"/>
      <c r="J294" s="738"/>
      <c r="K294" s="738"/>
      <c r="L294" s="738"/>
      <c r="M294" s="738"/>
      <c r="N294" s="738"/>
      <c r="O294" s="738"/>
      <c r="P294" s="738"/>
      <c r="Q294" s="738"/>
      <c r="R294" s="738"/>
      <c r="S294" s="738"/>
      <c r="T294" s="738"/>
      <c r="U294" s="738"/>
      <c r="V294" s="738"/>
      <c r="W294" s="738"/>
      <c r="X294" s="738"/>
      <c r="Y294" s="738"/>
      <c r="Z294" s="738"/>
    </row>
    <row r="295">
      <c r="A295" s="738"/>
      <c r="B295" s="738"/>
      <c r="C295" s="738"/>
      <c r="D295" s="738"/>
      <c r="E295" s="738"/>
      <c r="F295" s="738"/>
      <c r="G295" s="738"/>
      <c r="H295" s="738"/>
      <c r="I295" s="738"/>
      <c r="J295" s="738"/>
      <c r="K295" s="738"/>
      <c r="L295" s="738"/>
      <c r="M295" s="738"/>
      <c r="N295" s="738"/>
      <c r="O295" s="738"/>
      <c r="P295" s="738"/>
      <c r="Q295" s="738"/>
      <c r="R295" s="738"/>
      <c r="S295" s="738"/>
      <c r="T295" s="738"/>
      <c r="U295" s="738"/>
      <c r="V295" s="738"/>
      <c r="W295" s="738"/>
      <c r="X295" s="738"/>
      <c r="Y295" s="738"/>
      <c r="Z295" s="738"/>
    </row>
    <row r="296">
      <c r="A296" s="738"/>
      <c r="B296" s="738"/>
      <c r="C296" s="738"/>
      <c r="D296" s="738"/>
      <c r="E296" s="738"/>
      <c r="F296" s="738"/>
      <c r="G296" s="738"/>
      <c r="H296" s="738"/>
      <c r="I296" s="738"/>
      <c r="J296" s="738"/>
      <c r="K296" s="738"/>
      <c r="L296" s="738"/>
      <c r="M296" s="738"/>
      <c r="N296" s="738"/>
      <c r="O296" s="738"/>
      <c r="P296" s="738"/>
      <c r="Q296" s="738"/>
      <c r="R296" s="738"/>
      <c r="S296" s="738"/>
      <c r="T296" s="738"/>
      <c r="U296" s="738"/>
      <c r="V296" s="738"/>
      <c r="W296" s="738"/>
      <c r="X296" s="738"/>
      <c r="Y296" s="738"/>
      <c r="Z296" s="738"/>
    </row>
    <row r="297">
      <c r="A297" s="738"/>
      <c r="B297" s="738"/>
      <c r="C297" s="738"/>
      <c r="D297" s="738"/>
      <c r="E297" s="738"/>
      <c r="F297" s="738"/>
      <c r="G297" s="738"/>
      <c r="H297" s="738"/>
      <c r="I297" s="738"/>
      <c r="J297" s="738"/>
      <c r="K297" s="738"/>
      <c r="L297" s="738"/>
      <c r="M297" s="738"/>
      <c r="N297" s="738"/>
      <c r="O297" s="738"/>
      <c r="P297" s="738"/>
      <c r="Q297" s="738"/>
      <c r="R297" s="738"/>
      <c r="S297" s="738"/>
      <c r="T297" s="738"/>
      <c r="U297" s="738"/>
      <c r="V297" s="738"/>
      <c r="W297" s="738"/>
      <c r="X297" s="738"/>
      <c r="Y297" s="738"/>
      <c r="Z297" s="738"/>
    </row>
    <row r="298">
      <c r="A298" s="738"/>
      <c r="B298" s="738"/>
      <c r="C298" s="738"/>
      <c r="D298" s="738"/>
      <c r="E298" s="738"/>
      <c r="F298" s="738"/>
      <c r="G298" s="738"/>
      <c r="H298" s="738"/>
      <c r="I298" s="738"/>
      <c r="J298" s="738"/>
      <c r="K298" s="738"/>
      <c r="L298" s="738"/>
      <c r="M298" s="738"/>
      <c r="N298" s="738"/>
      <c r="O298" s="738"/>
      <c r="P298" s="738"/>
      <c r="Q298" s="738"/>
      <c r="R298" s="738"/>
      <c r="S298" s="738"/>
      <c r="T298" s="738"/>
      <c r="U298" s="738"/>
      <c r="V298" s="738"/>
      <c r="W298" s="738"/>
      <c r="X298" s="738"/>
      <c r="Y298" s="738"/>
      <c r="Z298" s="738"/>
    </row>
    <row r="299">
      <c r="A299" s="738"/>
      <c r="B299" s="738"/>
      <c r="C299" s="738"/>
      <c r="D299" s="738"/>
      <c r="E299" s="738"/>
      <c r="F299" s="738"/>
      <c r="G299" s="738"/>
      <c r="H299" s="738"/>
      <c r="I299" s="738"/>
      <c r="J299" s="738"/>
      <c r="K299" s="738"/>
      <c r="L299" s="738"/>
      <c r="M299" s="738"/>
      <c r="N299" s="738"/>
      <c r="O299" s="738"/>
      <c r="P299" s="738"/>
      <c r="Q299" s="738"/>
      <c r="R299" s="738"/>
      <c r="S299" s="738"/>
      <c r="T299" s="738"/>
      <c r="U299" s="738"/>
      <c r="V299" s="738"/>
      <c r="W299" s="738"/>
      <c r="X299" s="738"/>
      <c r="Y299" s="738"/>
      <c r="Z299" s="738"/>
    </row>
    <row r="300">
      <c r="A300" s="738"/>
      <c r="B300" s="738"/>
      <c r="C300" s="738"/>
      <c r="D300" s="738"/>
      <c r="E300" s="738"/>
      <c r="F300" s="738"/>
      <c r="G300" s="738"/>
      <c r="H300" s="738"/>
      <c r="I300" s="738"/>
      <c r="J300" s="738"/>
      <c r="K300" s="738"/>
      <c r="L300" s="738"/>
      <c r="M300" s="738"/>
      <c r="N300" s="738"/>
      <c r="O300" s="738"/>
      <c r="P300" s="738"/>
      <c r="Q300" s="738"/>
      <c r="R300" s="738"/>
      <c r="S300" s="738"/>
      <c r="T300" s="738"/>
      <c r="U300" s="738"/>
      <c r="V300" s="738"/>
      <c r="W300" s="738"/>
      <c r="X300" s="738"/>
      <c r="Y300" s="738"/>
      <c r="Z300" s="738"/>
    </row>
    <row r="301">
      <c r="A301" s="738"/>
      <c r="B301" s="738"/>
      <c r="C301" s="738"/>
      <c r="D301" s="738"/>
      <c r="E301" s="738"/>
      <c r="F301" s="738"/>
      <c r="G301" s="738"/>
      <c r="H301" s="738"/>
      <c r="I301" s="738"/>
      <c r="J301" s="738"/>
      <c r="K301" s="738"/>
      <c r="L301" s="738"/>
      <c r="M301" s="738"/>
      <c r="N301" s="738"/>
      <c r="O301" s="738"/>
      <c r="P301" s="738"/>
      <c r="Q301" s="738"/>
      <c r="R301" s="738"/>
      <c r="S301" s="738"/>
      <c r="T301" s="738"/>
      <c r="U301" s="738"/>
      <c r="V301" s="738"/>
      <c r="W301" s="738"/>
      <c r="X301" s="738"/>
      <c r="Y301" s="738"/>
      <c r="Z301" s="738"/>
    </row>
    <row r="302">
      <c r="A302" s="738"/>
      <c r="B302" s="738"/>
      <c r="C302" s="738"/>
      <c r="D302" s="738"/>
      <c r="E302" s="738"/>
      <c r="F302" s="738"/>
      <c r="G302" s="738"/>
      <c r="H302" s="738"/>
      <c r="I302" s="738"/>
      <c r="J302" s="738"/>
      <c r="K302" s="738"/>
      <c r="L302" s="738"/>
      <c r="M302" s="738"/>
      <c r="N302" s="738"/>
      <c r="O302" s="738"/>
      <c r="P302" s="738"/>
      <c r="Q302" s="738"/>
      <c r="R302" s="738"/>
      <c r="S302" s="738"/>
      <c r="T302" s="738"/>
      <c r="U302" s="738"/>
      <c r="V302" s="738"/>
      <c r="W302" s="738"/>
      <c r="X302" s="738"/>
      <c r="Y302" s="738"/>
      <c r="Z302" s="738"/>
    </row>
    <row r="303">
      <c r="A303" s="738"/>
      <c r="B303" s="738"/>
      <c r="C303" s="738"/>
      <c r="D303" s="738"/>
      <c r="E303" s="738"/>
      <c r="F303" s="738"/>
      <c r="G303" s="738"/>
      <c r="H303" s="738"/>
      <c r="I303" s="738"/>
      <c r="J303" s="738"/>
      <c r="K303" s="738"/>
      <c r="L303" s="738"/>
      <c r="M303" s="738"/>
      <c r="N303" s="738"/>
      <c r="O303" s="738"/>
      <c r="P303" s="738"/>
      <c r="Q303" s="738"/>
      <c r="R303" s="738"/>
      <c r="S303" s="738"/>
      <c r="T303" s="738"/>
      <c r="U303" s="738"/>
      <c r="V303" s="738"/>
      <c r="W303" s="738"/>
      <c r="X303" s="738"/>
      <c r="Y303" s="738"/>
      <c r="Z303" s="738"/>
    </row>
    <row r="304">
      <c r="A304" s="738"/>
      <c r="B304" s="738"/>
      <c r="C304" s="738"/>
      <c r="D304" s="738"/>
      <c r="E304" s="738"/>
      <c r="F304" s="738"/>
      <c r="G304" s="738"/>
      <c r="H304" s="738"/>
      <c r="I304" s="738"/>
      <c r="J304" s="738"/>
      <c r="K304" s="738"/>
      <c r="L304" s="738"/>
      <c r="M304" s="738"/>
      <c r="N304" s="738"/>
      <c r="O304" s="738"/>
      <c r="P304" s="738"/>
      <c r="Q304" s="738"/>
      <c r="R304" s="738"/>
      <c r="S304" s="738"/>
      <c r="T304" s="738"/>
      <c r="U304" s="738"/>
      <c r="V304" s="738"/>
      <c r="W304" s="738"/>
      <c r="X304" s="738"/>
      <c r="Y304" s="738"/>
      <c r="Z304" s="738"/>
    </row>
    <row r="305">
      <c r="A305" s="738"/>
      <c r="B305" s="738"/>
      <c r="C305" s="738"/>
      <c r="D305" s="738"/>
      <c r="E305" s="738"/>
      <c r="F305" s="738"/>
      <c r="G305" s="738"/>
      <c r="H305" s="738"/>
      <c r="I305" s="738"/>
      <c r="J305" s="738"/>
      <c r="K305" s="738"/>
      <c r="L305" s="738"/>
      <c r="M305" s="738"/>
      <c r="N305" s="738"/>
      <c r="O305" s="738"/>
      <c r="P305" s="738"/>
      <c r="Q305" s="738"/>
      <c r="R305" s="738"/>
      <c r="S305" s="738"/>
      <c r="T305" s="738"/>
      <c r="U305" s="738"/>
      <c r="V305" s="738"/>
      <c r="W305" s="738"/>
      <c r="X305" s="738"/>
      <c r="Y305" s="738"/>
      <c r="Z305" s="738"/>
    </row>
    <row r="306">
      <c r="A306" s="738"/>
      <c r="B306" s="738"/>
      <c r="C306" s="738"/>
      <c r="D306" s="738"/>
      <c r="E306" s="738"/>
      <c r="F306" s="738"/>
      <c r="G306" s="738"/>
      <c r="H306" s="738"/>
      <c r="I306" s="738"/>
      <c r="J306" s="738"/>
      <c r="K306" s="738"/>
      <c r="L306" s="738"/>
      <c r="M306" s="738"/>
      <c r="N306" s="738"/>
      <c r="O306" s="738"/>
      <c r="P306" s="738"/>
      <c r="Q306" s="738"/>
      <c r="R306" s="738"/>
      <c r="S306" s="738"/>
      <c r="T306" s="738"/>
      <c r="U306" s="738"/>
      <c r="V306" s="738"/>
      <c r="W306" s="738"/>
      <c r="X306" s="738"/>
      <c r="Y306" s="738"/>
      <c r="Z306" s="738"/>
    </row>
    <row r="307">
      <c r="A307" s="738"/>
      <c r="B307" s="738"/>
      <c r="C307" s="738"/>
      <c r="D307" s="738"/>
      <c r="E307" s="738"/>
      <c r="F307" s="738"/>
      <c r="G307" s="738"/>
      <c r="H307" s="738"/>
      <c r="I307" s="738"/>
      <c r="J307" s="738"/>
      <c r="K307" s="738"/>
      <c r="L307" s="738"/>
      <c r="M307" s="738"/>
      <c r="N307" s="738"/>
      <c r="O307" s="738"/>
      <c r="P307" s="738"/>
      <c r="Q307" s="738"/>
      <c r="R307" s="738"/>
      <c r="S307" s="738"/>
      <c r="T307" s="738"/>
      <c r="U307" s="738"/>
      <c r="V307" s="738"/>
      <c r="W307" s="738"/>
      <c r="X307" s="738"/>
      <c r="Y307" s="738"/>
      <c r="Z307" s="738"/>
    </row>
    <row r="308">
      <c r="A308" s="738"/>
      <c r="B308" s="738"/>
      <c r="C308" s="738"/>
      <c r="D308" s="738"/>
      <c r="E308" s="738"/>
      <c r="F308" s="738"/>
      <c r="G308" s="738"/>
      <c r="H308" s="738"/>
      <c r="I308" s="738"/>
      <c r="J308" s="738"/>
      <c r="K308" s="738"/>
      <c r="L308" s="738"/>
      <c r="M308" s="738"/>
      <c r="N308" s="738"/>
      <c r="O308" s="738"/>
      <c r="P308" s="738"/>
      <c r="Q308" s="738"/>
      <c r="R308" s="738"/>
      <c r="S308" s="738"/>
      <c r="T308" s="738"/>
      <c r="U308" s="738"/>
      <c r="V308" s="738"/>
      <c r="W308" s="738"/>
      <c r="X308" s="738"/>
      <c r="Y308" s="738"/>
      <c r="Z308" s="738"/>
    </row>
    <row r="309">
      <c r="A309" s="738"/>
      <c r="B309" s="738"/>
      <c r="C309" s="738"/>
      <c r="D309" s="738"/>
      <c r="E309" s="738"/>
      <c r="F309" s="738"/>
      <c r="G309" s="738"/>
      <c r="H309" s="738"/>
      <c r="I309" s="738"/>
      <c r="J309" s="738"/>
      <c r="K309" s="738"/>
      <c r="L309" s="738"/>
      <c r="M309" s="738"/>
      <c r="N309" s="738"/>
      <c r="O309" s="738"/>
      <c r="P309" s="738"/>
      <c r="Q309" s="738"/>
      <c r="R309" s="738"/>
      <c r="S309" s="738"/>
      <c r="T309" s="738"/>
      <c r="U309" s="738"/>
      <c r="V309" s="738"/>
      <c r="W309" s="738"/>
      <c r="X309" s="738"/>
      <c r="Y309" s="738"/>
      <c r="Z309" s="738"/>
    </row>
    <row r="310">
      <c r="A310" s="738"/>
      <c r="B310" s="738"/>
      <c r="C310" s="738"/>
      <c r="D310" s="738"/>
      <c r="E310" s="738"/>
      <c r="F310" s="738"/>
      <c r="G310" s="738"/>
      <c r="H310" s="738"/>
      <c r="I310" s="738"/>
      <c r="J310" s="738"/>
      <c r="K310" s="738"/>
      <c r="L310" s="738"/>
      <c r="M310" s="738"/>
      <c r="N310" s="738"/>
      <c r="O310" s="738"/>
      <c r="P310" s="738"/>
      <c r="Q310" s="738"/>
      <c r="R310" s="738"/>
      <c r="S310" s="738"/>
      <c r="T310" s="738"/>
      <c r="U310" s="738"/>
      <c r="V310" s="738"/>
      <c r="W310" s="738"/>
      <c r="X310" s="738"/>
      <c r="Y310" s="738"/>
      <c r="Z310" s="738"/>
    </row>
    <row r="311">
      <c r="A311" s="738"/>
      <c r="B311" s="738"/>
      <c r="C311" s="738"/>
      <c r="D311" s="738"/>
      <c r="E311" s="738"/>
      <c r="F311" s="738"/>
      <c r="G311" s="738"/>
      <c r="H311" s="738"/>
      <c r="I311" s="738"/>
      <c r="J311" s="738"/>
      <c r="K311" s="738"/>
      <c r="L311" s="738"/>
      <c r="M311" s="738"/>
      <c r="N311" s="738"/>
      <c r="O311" s="738"/>
      <c r="P311" s="738"/>
      <c r="Q311" s="738"/>
      <c r="R311" s="738"/>
      <c r="S311" s="738"/>
      <c r="T311" s="738"/>
      <c r="U311" s="738"/>
      <c r="V311" s="738"/>
      <c r="W311" s="738"/>
      <c r="X311" s="738"/>
      <c r="Y311" s="738"/>
      <c r="Z311" s="738"/>
    </row>
    <row r="312">
      <c r="A312" s="738"/>
      <c r="B312" s="738"/>
      <c r="C312" s="738"/>
      <c r="D312" s="738"/>
      <c r="E312" s="738"/>
      <c r="F312" s="738"/>
      <c r="G312" s="738"/>
      <c r="H312" s="738"/>
      <c r="I312" s="738"/>
      <c r="J312" s="738"/>
      <c r="K312" s="738"/>
      <c r="L312" s="738"/>
      <c r="M312" s="738"/>
      <c r="N312" s="738"/>
      <c r="O312" s="738"/>
      <c r="P312" s="738"/>
      <c r="Q312" s="738"/>
      <c r="R312" s="738"/>
      <c r="S312" s="738"/>
      <c r="T312" s="738"/>
      <c r="U312" s="738"/>
      <c r="V312" s="738"/>
      <c r="W312" s="738"/>
      <c r="X312" s="738"/>
      <c r="Y312" s="738"/>
      <c r="Z312" s="738"/>
    </row>
    <row r="313">
      <c r="A313" s="738"/>
      <c r="B313" s="738"/>
      <c r="C313" s="738"/>
      <c r="D313" s="738"/>
      <c r="E313" s="738"/>
      <c r="F313" s="738"/>
      <c r="G313" s="738"/>
      <c r="H313" s="738"/>
      <c r="I313" s="738"/>
      <c r="J313" s="738"/>
      <c r="K313" s="738"/>
      <c r="L313" s="738"/>
      <c r="M313" s="738"/>
      <c r="N313" s="738"/>
      <c r="O313" s="738"/>
      <c r="P313" s="738"/>
      <c r="Q313" s="738"/>
      <c r="R313" s="738"/>
      <c r="S313" s="738"/>
      <c r="T313" s="738"/>
      <c r="U313" s="738"/>
      <c r="V313" s="738"/>
      <c r="W313" s="738"/>
      <c r="X313" s="738"/>
      <c r="Y313" s="738"/>
      <c r="Z313" s="738"/>
    </row>
    <row r="314">
      <c r="A314" s="738"/>
      <c r="B314" s="738"/>
      <c r="C314" s="738"/>
      <c r="D314" s="738"/>
      <c r="E314" s="738"/>
      <c r="F314" s="738"/>
      <c r="G314" s="738"/>
      <c r="H314" s="738"/>
      <c r="I314" s="738"/>
      <c r="J314" s="738"/>
      <c r="K314" s="738"/>
      <c r="L314" s="738"/>
      <c r="M314" s="738"/>
      <c r="N314" s="738"/>
      <c r="O314" s="738"/>
      <c r="P314" s="738"/>
      <c r="Q314" s="738"/>
      <c r="R314" s="738"/>
      <c r="S314" s="738"/>
      <c r="T314" s="738"/>
      <c r="U314" s="738"/>
      <c r="V314" s="738"/>
      <c r="W314" s="738"/>
      <c r="X314" s="738"/>
      <c r="Y314" s="738"/>
      <c r="Z314" s="738"/>
    </row>
    <row r="315">
      <c r="A315" s="738"/>
      <c r="B315" s="738"/>
      <c r="C315" s="738"/>
      <c r="D315" s="738"/>
      <c r="E315" s="738"/>
      <c r="F315" s="738"/>
      <c r="G315" s="738"/>
      <c r="H315" s="738"/>
      <c r="I315" s="738"/>
      <c r="J315" s="738"/>
      <c r="K315" s="738"/>
      <c r="L315" s="738"/>
      <c r="M315" s="738"/>
      <c r="N315" s="738"/>
      <c r="O315" s="738"/>
      <c r="P315" s="738"/>
      <c r="Q315" s="738"/>
      <c r="R315" s="738"/>
      <c r="S315" s="738"/>
      <c r="T315" s="738"/>
      <c r="U315" s="738"/>
      <c r="V315" s="738"/>
      <c r="W315" s="738"/>
      <c r="X315" s="738"/>
      <c r="Y315" s="738"/>
      <c r="Z315" s="738"/>
    </row>
    <row r="316">
      <c r="A316" s="738"/>
      <c r="B316" s="738"/>
      <c r="C316" s="738"/>
      <c r="D316" s="738"/>
      <c r="E316" s="738"/>
      <c r="F316" s="738"/>
      <c r="G316" s="738"/>
      <c r="H316" s="738"/>
      <c r="I316" s="738"/>
      <c r="J316" s="738"/>
      <c r="K316" s="738"/>
      <c r="L316" s="738"/>
      <c r="M316" s="738"/>
      <c r="N316" s="738"/>
      <c r="O316" s="738"/>
      <c r="P316" s="738"/>
      <c r="Q316" s="738"/>
      <c r="R316" s="738"/>
      <c r="S316" s="738"/>
      <c r="T316" s="738"/>
      <c r="U316" s="738"/>
      <c r="V316" s="738"/>
      <c r="W316" s="738"/>
      <c r="X316" s="738"/>
      <c r="Y316" s="738"/>
      <c r="Z316" s="738"/>
    </row>
    <row r="317">
      <c r="A317" s="738"/>
      <c r="B317" s="738"/>
      <c r="C317" s="738"/>
      <c r="D317" s="738"/>
      <c r="E317" s="738"/>
      <c r="F317" s="738"/>
      <c r="G317" s="738"/>
      <c r="H317" s="738"/>
      <c r="I317" s="738"/>
      <c r="J317" s="738"/>
      <c r="K317" s="738"/>
      <c r="L317" s="738"/>
      <c r="M317" s="738"/>
      <c r="N317" s="738"/>
      <c r="O317" s="738"/>
      <c r="P317" s="738"/>
      <c r="Q317" s="738"/>
      <c r="R317" s="738"/>
      <c r="S317" s="738"/>
      <c r="T317" s="738"/>
      <c r="U317" s="738"/>
      <c r="V317" s="738"/>
      <c r="W317" s="738"/>
      <c r="X317" s="738"/>
      <c r="Y317" s="738"/>
      <c r="Z317" s="738"/>
    </row>
    <row r="318">
      <c r="A318" s="738"/>
      <c r="B318" s="738"/>
      <c r="C318" s="738"/>
      <c r="D318" s="738"/>
      <c r="E318" s="738"/>
      <c r="F318" s="738"/>
      <c r="G318" s="738"/>
      <c r="H318" s="738"/>
      <c r="I318" s="738"/>
      <c r="J318" s="738"/>
      <c r="K318" s="738"/>
      <c r="L318" s="738"/>
      <c r="M318" s="738"/>
      <c r="N318" s="738"/>
      <c r="O318" s="738"/>
      <c r="P318" s="738"/>
      <c r="Q318" s="738"/>
      <c r="R318" s="738"/>
      <c r="S318" s="738"/>
      <c r="T318" s="738"/>
      <c r="U318" s="738"/>
      <c r="V318" s="738"/>
      <c r="W318" s="738"/>
      <c r="X318" s="738"/>
      <c r="Y318" s="738"/>
      <c r="Z318" s="738"/>
    </row>
    <row r="319">
      <c r="A319" s="738"/>
      <c r="B319" s="738"/>
      <c r="C319" s="738"/>
      <c r="D319" s="738"/>
      <c r="E319" s="738"/>
      <c r="F319" s="738"/>
      <c r="G319" s="738"/>
      <c r="H319" s="738"/>
      <c r="I319" s="738"/>
      <c r="J319" s="738"/>
      <c r="K319" s="738"/>
      <c r="L319" s="738"/>
      <c r="M319" s="738"/>
      <c r="N319" s="738"/>
      <c r="O319" s="738"/>
      <c r="P319" s="738"/>
      <c r="Q319" s="738"/>
      <c r="R319" s="738"/>
      <c r="S319" s="738"/>
      <c r="T319" s="738"/>
      <c r="U319" s="738"/>
      <c r="V319" s="738"/>
      <c r="W319" s="738"/>
      <c r="X319" s="738"/>
      <c r="Y319" s="738"/>
      <c r="Z319" s="738"/>
    </row>
    <row r="320">
      <c r="A320" s="738"/>
      <c r="B320" s="738"/>
      <c r="C320" s="738"/>
      <c r="D320" s="738"/>
      <c r="E320" s="738"/>
      <c r="F320" s="738"/>
      <c r="G320" s="738"/>
      <c r="H320" s="738"/>
      <c r="I320" s="738"/>
      <c r="J320" s="738"/>
      <c r="K320" s="738"/>
      <c r="L320" s="738"/>
      <c r="M320" s="738"/>
      <c r="N320" s="738"/>
      <c r="O320" s="738"/>
      <c r="P320" s="738"/>
      <c r="Q320" s="738"/>
      <c r="R320" s="738"/>
      <c r="S320" s="738"/>
      <c r="T320" s="738"/>
      <c r="U320" s="738"/>
      <c r="V320" s="738"/>
      <c r="W320" s="738"/>
      <c r="X320" s="738"/>
      <c r="Y320" s="738"/>
      <c r="Z320" s="738"/>
    </row>
    <row r="321">
      <c r="A321" s="738"/>
      <c r="B321" s="738"/>
      <c r="C321" s="738"/>
      <c r="D321" s="738"/>
      <c r="E321" s="738"/>
      <c r="F321" s="738"/>
      <c r="G321" s="738"/>
      <c r="H321" s="738"/>
      <c r="I321" s="738"/>
      <c r="J321" s="738"/>
      <c r="K321" s="738"/>
      <c r="L321" s="738"/>
      <c r="M321" s="738"/>
      <c r="N321" s="738"/>
      <c r="O321" s="738"/>
      <c r="P321" s="738"/>
      <c r="Q321" s="738"/>
      <c r="R321" s="738"/>
      <c r="S321" s="738"/>
      <c r="T321" s="738"/>
      <c r="U321" s="738"/>
      <c r="V321" s="738"/>
      <c r="W321" s="738"/>
      <c r="X321" s="738"/>
      <c r="Y321" s="738"/>
      <c r="Z321" s="738"/>
    </row>
    <row r="322">
      <c r="A322" s="738"/>
      <c r="B322" s="738"/>
      <c r="C322" s="738"/>
      <c r="D322" s="738"/>
      <c r="E322" s="738"/>
      <c r="F322" s="738"/>
      <c r="G322" s="738"/>
      <c r="H322" s="738"/>
      <c r="I322" s="738"/>
      <c r="J322" s="738"/>
      <c r="K322" s="738"/>
      <c r="L322" s="738"/>
      <c r="M322" s="738"/>
      <c r="N322" s="738"/>
      <c r="O322" s="738"/>
      <c r="P322" s="738"/>
      <c r="Q322" s="738"/>
      <c r="R322" s="738"/>
      <c r="S322" s="738"/>
      <c r="T322" s="738"/>
      <c r="U322" s="738"/>
      <c r="V322" s="738"/>
      <c r="W322" s="738"/>
      <c r="X322" s="738"/>
      <c r="Y322" s="738"/>
      <c r="Z322" s="738"/>
    </row>
    <row r="323">
      <c r="A323" s="738"/>
      <c r="B323" s="738"/>
      <c r="C323" s="738"/>
      <c r="D323" s="738"/>
      <c r="E323" s="738"/>
      <c r="F323" s="738"/>
      <c r="G323" s="738"/>
      <c r="H323" s="738"/>
      <c r="I323" s="738"/>
      <c r="J323" s="738"/>
      <c r="K323" s="738"/>
      <c r="L323" s="738"/>
      <c r="M323" s="738"/>
      <c r="N323" s="738"/>
      <c r="O323" s="738"/>
      <c r="P323" s="738"/>
      <c r="Q323" s="738"/>
      <c r="R323" s="738"/>
      <c r="S323" s="738"/>
      <c r="T323" s="738"/>
      <c r="U323" s="738"/>
      <c r="V323" s="738"/>
      <c r="W323" s="738"/>
      <c r="X323" s="738"/>
      <c r="Y323" s="738"/>
      <c r="Z323" s="738"/>
    </row>
    <row r="324">
      <c r="A324" s="738"/>
      <c r="B324" s="738"/>
      <c r="C324" s="738"/>
      <c r="D324" s="738"/>
      <c r="E324" s="738"/>
      <c r="F324" s="738"/>
      <c r="G324" s="738"/>
      <c r="H324" s="738"/>
      <c r="I324" s="738"/>
      <c r="J324" s="738"/>
      <c r="K324" s="738"/>
      <c r="L324" s="738"/>
      <c r="M324" s="738"/>
      <c r="N324" s="738"/>
      <c r="O324" s="738"/>
      <c r="P324" s="738"/>
      <c r="Q324" s="738"/>
      <c r="R324" s="738"/>
      <c r="S324" s="738"/>
      <c r="T324" s="738"/>
      <c r="U324" s="738"/>
      <c r="V324" s="738"/>
      <c r="W324" s="738"/>
      <c r="X324" s="738"/>
      <c r="Y324" s="738"/>
      <c r="Z324" s="738"/>
    </row>
    <row r="325">
      <c r="A325" s="738"/>
      <c r="B325" s="738"/>
      <c r="C325" s="738"/>
      <c r="D325" s="738"/>
      <c r="E325" s="738"/>
      <c r="F325" s="738"/>
      <c r="G325" s="738"/>
      <c r="H325" s="738"/>
      <c r="I325" s="738"/>
      <c r="J325" s="738"/>
      <c r="K325" s="738"/>
      <c r="L325" s="738"/>
      <c r="M325" s="738"/>
      <c r="N325" s="738"/>
      <c r="O325" s="738"/>
      <c r="P325" s="738"/>
      <c r="Q325" s="738"/>
      <c r="R325" s="738"/>
      <c r="S325" s="738"/>
      <c r="T325" s="738"/>
      <c r="U325" s="738"/>
      <c r="V325" s="738"/>
      <c r="W325" s="738"/>
      <c r="X325" s="738"/>
      <c r="Y325" s="738"/>
      <c r="Z325" s="738"/>
    </row>
    <row r="326">
      <c r="A326" s="738"/>
      <c r="B326" s="738"/>
      <c r="C326" s="738"/>
      <c r="D326" s="738"/>
      <c r="E326" s="738"/>
      <c r="F326" s="738"/>
      <c r="G326" s="738"/>
      <c r="H326" s="738"/>
      <c r="I326" s="738"/>
      <c r="J326" s="738"/>
      <c r="K326" s="738"/>
      <c r="L326" s="738"/>
      <c r="M326" s="738"/>
      <c r="N326" s="738"/>
      <c r="O326" s="738"/>
      <c r="P326" s="738"/>
      <c r="Q326" s="738"/>
      <c r="R326" s="738"/>
      <c r="S326" s="738"/>
      <c r="T326" s="738"/>
      <c r="U326" s="738"/>
      <c r="V326" s="738"/>
      <c r="W326" s="738"/>
      <c r="X326" s="738"/>
      <c r="Y326" s="738"/>
      <c r="Z326" s="738"/>
    </row>
    <row r="327">
      <c r="A327" s="738"/>
      <c r="B327" s="738"/>
      <c r="C327" s="738"/>
      <c r="D327" s="738"/>
      <c r="E327" s="738"/>
      <c r="F327" s="738"/>
      <c r="G327" s="738"/>
      <c r="H327" s="738"/>
      <c r="I327" s="738"/>
      <c r="J327" s="738"/>
      <c r="K327" s="738"/>
      <c r="L327" s="738"/>
      <c r="M327" s="738"/>
      <c r="N327" s="738"/>
      <c r="O327" s="738"/>
      <c r="P327" s="738"/>
      <c r="Q327" s="738"/>
      <c r="R327" s="738"/>
      <c r="S327" s="738"/>
      <c r="T327" s="738"/>
      <c r="U327" s="738"/>
      <c r="V327" s="738"/>
      <c r="W327" s="738"/>
      <c r="X327" s="738"/>
      <c r="Y327" s="738"/>
      <c r="Z327" s="738"/>
    </row>
    <row r="328">
      <c r="A328" s="738"/>
      <c r="B328" s="738"/>
      <c r="C328" s="738"/>
      <c r="D328" s="738"/>
      <c r="E328" s="738"/>
      <c r="F328" s="738"/>
      <c r="G328" s="738"/>
      <c r="H328" s="738"/>
      <c r="I328" s="738"/>
      <c r="J328" s="738"/>
      <c r="K328" s="738"/>
      <c r="L328" s="738"/>
      <c r="M328" s="738"/>
      <c r="N328" s="738"/>
      <c r="O328" s="738"/>
      <c r="P328" s="738"/>
      <c r="Q328" s="738"/>
      <c r="R328" s="738"/>
      <c r="S328" s="738"/>
      <c r="T328" s="738"/>
      <c r="U328" s="738"/>
      <c r="V328" s="738"/>
      <c r="W328" s="738"/>
      <c r="X328" s="738"/>
      <c r="Y328" s="738"/>
      <c r="Z328" s="738"/>
    </row>
    <row r="329">
      <c r="A329" s="738"/>
      <c r="B329" s="738"/>
      <c r="C329" s="738"/>
      <c r="D329" s="738"/>
      <c r="E329" s="738"/>
      <c r="F329" s="738"/>
      <c r="G329" s="738"/>
      <c r="H329" s="738"/>
      <c r="I329" s="738"/>
      <c r="J329" s="738"/>
      <c r="K329" s="738"/>
      <c r="L329" s="738"/>
      <c r="M329" s="738"/>
      <c r="N329" s="738"/>
      <c r="O329" s="738"/>
      <c r="P329" s="738"/>
      <c r="Q329" s="738"/>
      <c r="R329" s="738"/>
      <c r="S329" s="738"/>
      <c r="T329" s="738"/>
      <c r="U329" s="738"/>
      <c r="V329" s="738"/>
      <c r="W329" s="738"/>
      <c r="X329" s="738"/>
      <c r="Y329" s="738"/>
      <c r="Z329" s="738"/>
    </row>
    <row r="330">
      <c r="A330" s="738"/>
      <c r="B330" s="738"/>
      <c r="C330" s="738"/>
      <c r="D330" s="738"/>
      <c r="E330" s="738"/>
      <c r="F330" s="738"/>
      <c r="G330" s="738"/>
      <c r="H330" s="738"/>
      <c r="I330" s="738"/>
      <c r="J330" s="738"/>
      <c r="K330" s="738"/>
      <c r="L330" s="738"/>
      <c r="M330" s="738"/>
      <c r="N330" s="738"/>
      <c r="O330" s="738"/>
      <c r="P330" s="738"/>
      <c r="Q330" s="738"/>
      <c r="R330" s="738"/>
      <c r="S330" s="738"/>
      <c r="T330" s="738"/>
      <c r="U330" s="738"/>
      <c r="V330" s="738"/>
      <c r="W330" s="738"/>
      <c r="X330" s="738"/>
      <c r="Y330" s="738"/>
      <c r="Z330" s="738"/>
    </row>
    <row r="331">
      <c r="A331" s="738"/>
      <c r="B331" s="738"/>
      <c r="C331" s="738"/>
      <c r="D331" s="738"/>
      <c r="E331" s="738"/>
      <c r="F331" s="738"/>
      <c r="G331" s="738"/>
      <c r="H331" s="738"/>
      <c r="I331" s="738"/>
      <c r="J331" s="738"/>
      <c r="K331" s="738"/>
      <c r="L331" s="738"/>
      <c r="M331" s="738"/>
      <c r="N331" s="738"/>
      <c r="O331" s="738"/>
      <c r="P331" s="738"/>
      <c r="Q331" s="738"/>
      <c r="R331" s="738"/>
      <c r="S331" s="738"/>
      <c r="T331" s="738"/>
      <c r="U331" s="738"/>
      <c r="V331" s="738"/>
      <c r="W331" s="738"/>
      <c r="X331" s="738"/>
      <c r="Y331" s="738"/>
      <c r="Z331" s="738"/>
    </row>
    <row r="332">
      <c r="A332" s="738"/>
      <c r="B332" s="738"/>
      <c r="C332" s="738"/>
      <c r="D332" s="738"/>
      <c r="E332" s="738"/>
      <c r="F332" s="738"/>
      <c r="G332" s="738"/>
      <c r="H332" s="738"/>
      <c r="I332" s="738"/>
      <c r="J332" s="738"/>
      <c r="K332" s="738"/>
      <c r="L332" s="738"/>
      <c r="M332" s="738"/>
      <c r="N332" s="738"/>
      <c r="O332" s="738"/>
      <c r="P332" s="738"/>
      <c r="Q332" s="738"/>
      <c r="R332" s="738"/>
      <c r="S332" s="738"/>
      <c r="T332" s="738"/>
      <c r="U332" s="738"/>
      <c r="V332" s="738"/>
      <c r="W332" s="738"/>
      <c r="X332" s="738"/>
      <c r="Y332" s="738"/>
      <c r="Z332" s="738"/>
    </row>
    <row r="333">
      <c r="A333" s="738"/>
      <c r="B333" s="738"/>
      <c r="C333" s="738"/>
      <c r="D333" s="738"/>
      <c r="E333" s="738"/>
      <c r="F333" s="738"/>
      <c r="G333" s="738"/>
      <c r="H333" s="738"/>
      <c r="I333" s="738"/>
      <c r="J333" s="738"/>
      <c r="K333" s="738"/>
      <c r="L333" s="738"/>
      <c r="M333" s="738"/>
      <c r="N333" s="738"/>
      <c r="O333" s="738"/>
      <c r="P333" s="738"/>
      <c r="Q333" s="738"/>
      <c r="R333" s="738"/>
      <c r="S333" s="738"/>
      <c r="T333" s="738"/>
      <c r="U333" s="738"/>
      <c r="V333" s="738"/>
      <c r="W333" s="738"/>
      <c r="X333" s="738"/>
      <c r="Y333" s="738"/>
      <c r="Z333" s="738"/>
    </row>
    <row r="334">
      <c r="A334" s="738"/>
      <c r="B334" s="738"/>
      <c r="C334" s="738"/>
      <c r="D334" s="738"/>
      <c r="E334" s="738"/>
      <c r="F334" s="738"/>
      <c r="G334" s="738"/>
      <c r="H334" s="738"/>
      <c r="I334" s="738"/>
      <c r="J334" s="738"/>
      <c r="K334" s="738"/>
      <c r="L334" s="738"/>
      <c r="M334" s="738"/>
      <c r="N334" s="738"/>
      <c r="O334" s="738"/>
      <c r="P334" s="738"/>
      <c r="Q334" s="738"/>
      <c r="R334" s="738"/>
      <c r="S334" s="738"/>
      <c r="T334" s="738"/>
      <c r="U334" s="738"/>
      <c r="V334" s="738"/>
      <c r="W334" s="738"/>
      <c r="X334" s="738"/>
      <c r="Y334" s="738"/>
      <c r="Z334" s="738"/>
    </row>
    <row r="335">
      <c r="A335" s="738"/>
      <c r="B335" s="738"/>
      <c r="C335" s="738"/>
      <c r="D335" s="738"/>
      <c r="E335" s="738"/>
      <c r="F335" s="738"/>
      <c r="G335" s="738"/>
      <c r="H335" s="738"/>
      <c r="I335" s="738"/>
      <c r="J335" s="738"/>
      <c r="K335" s="738"/>
      <c r="L335" s="738"/>
      <c r="M335" s="738"/>
      <c r="N335" s="738"/>
      <c r="O335" s="738"/>
      <c r="P335" s="738"/>
      <c r="Q335" s="738"/>
      <c r="R335" s="738"/>
      <c r="S335" s="738"/>
      <c r="T335" s="738"/>
      <c r="U335" s="738"/>
      <c r="V335" s="738"/>
      <c r="W335" s="738"/>
      <c r="X335" s="738"/>
      <c r="Y335" s="738"/>
      <c r="Z335" s="738"/>
    </row>
    <row r="336">
      <c r="A336" s="738"/>
      <c r="B336" s="738"/>
      <c r="C336" s="738"/>
      <c r="D336" s="738"/>
      <c r="E336" s="738"/>
      <c r="F336" s="738"/>
      <c r="G336" s="738"/>
      <c r="H336" s="738"/>
      <c r="I336" s="738"/>
      <c r="J336" s="738"/>
      <c r="K336" s="738"/>
      <c r="L336" s="738"/>
      <c r="M336" s="738"/>
      <c r="N336" s="738"/>
      <c r="O336" s="738"/>
      <c r="P336" s="738"/>
      <c r="Q336" s="738"/>
      <c r="R336" s="738"/>
      <c r="S336" s="738"/>
      <c r="T336" s="738"/>
      <c r="U336" s="738"/>
      <c r="V336" s="738"/>
      <c r="W336" s="738"/>
      <c r="X336" s="738"/>
      <c r="Y336" s="738"/>
      <c r="Z336" s="738"/>
    </row>
    <row r="337">
      <c r="A337" s="738"/>
      <c r="B337" s="738"/>
      <c r="C337" s="738"/>
      <c r="D337" s="738"/>
      <c r="E337" s="738"/>
      <c r="F337" s="738"/>
      <c r="G337" s="738"/>
      <c r="H337" s="738"/>
      <c r="I337" s="738"/>
      <c r="J337" s="738"/>
      <c r="K337" s="738"/>
      <c r="L337" s="738"/>
      <c r="M337" s="738"/>
      <c r="N337" s="738"/>
      <c r="O337" s="738"/>
      <c r="P337" s="738"/>
      <c r="Q337" s="738"/>
      <c r="R337" s="738"/>
      <c r="S337" s="738"/>
      <c r="T337" s="738"/>
      <c r="U337" s="738"/>
      <c r="V337" s="738"/>
      <c r="W337" s="738"/>
      <c r="X337" s="738"/>
      <c r="Y337" s="738"/>
      <c r="Z337" s="738"/>
    </row>
    <row r="338">
      <c r="A338" s="738"/>
      <c r="B338" s="738"/>
      <c r="C338" s="738"/>
      <c r="D338" s="738"/>
      <c r="E338" s="738"/>
      <c r="F338" s="738"/>
      <c r="G338" s="738"/>
      <c r="H338" s="738"/>
      <c r="I338" s="738"/>
      <c r="J338" s="738"/>
      <c r="K338" s="738"/>
      <c r="L338" s="738"/>
      <c r="M338" s="738"/>
      <c r="N338" s="738"/>
      <c r="O338" s="738"/>
      <c r="P338" s="738"/>
      <c r="Q338" s="738"/>
      <c r="R338" s="738"/>
      <c r="S338" s="738"/>
      <c r="T338" s="738"/>
      <c r="U338" s="738"/>
      <c r="V338" s="738"/>
      <c r="W338" s="738"/>
      <c r="X338" s="738"/>
      <c r="Y338" s="738"/>
      <c r="Z338" s="738"/>
    </row>
    <row r="339">
      <c r="A339" s="738"/>
      <c r="B339" s="738"/>
      <c r="C339" s="738"/>
      <c r="D339" s="738"/>
      <c r="E339" s="738"/>
      <c r="F339" s="738"/>
      <c r="G339" s="738"/>
      <c r="H339" s="738"/>
      <c r="I339" s="738"/>
      <c r="J339" s="738"/>
      <c r="K339" s="738"/>
      <c r="L339" s="738"/>
      <c r="M339" s="738"/>
      <c r="N339" s="738"/>
      <c r="O339" s="738"/>
      <c r="P339" s="738"/>
      <c r="Q339" s="738"/>
      <c r="R339" s="738"/>
      <c r="S339" s="738"/>
      <c r="T339" s="738"/>
      <c r="U339" s="738"/>
      <c r="V339" s="738"/>
      <c r="W339" s="738"/>
      <c r="X339" s="738"/>
      <c r="Y339" s="738"/>
      <c r="Z339" s="738"/>
    </row>
    <row r="340">
      <c r="A340" s="738"/>
      <c r="B340" s="738"/>
      <c r="C340" s="738"/>
      <c r="D340" s="738"/>
      <c r="E340" s="738"/>
      <c r="F340" s="738"/>
      <c r="G340" s="738"/>
      <c r="H340" s="738"/>
      <c r="I340" s="738"/>
      <c r="J340" s="738"/>
      <c r="K340" s="738"/>
      <c r="L340" s="738"/>
      <c r="M340" s="738"/>
      <c r="N340" s="738"/>
      <c r="O340" s="738"/>
      <c r="P340" s="738"/>
      <c r="Q340" s="738"/>
      <c r="R340" s="738"/>
      <c r="S340" s="738"/>
      <c r="T340" s="738"/>
      <c r="U340" s="738"/>
      <c r="V340" s="738"/>
      <c r="W340" s="738"/>
      <c r="X340" s="738"/>
      <c r="Y340" s="738"/>
      <c r="Z340" s="738"/>
    </row>
    <row r="341">
      <c r="A341" s="738"/>
      <c r="B341" s="738"/>
      <c r="C341" s="738"/>
      <c r="D341" s="738"/>
      <c r="E341" s="738"/>
      <c r="F341" s="738"/>
      <c r="G341" s="738"/>
      <c r="H341" s="738"/>
      <c r="I341" s="738"/>
      <c r="J341" s="738"/>
      <c r="K341" s="738"/>
      <c r="L341" s="738"/>
      <c r="M341" s="738"/>
      <c r="N341" s="738"/>
      <c r="O341" s="738"/>
      <c r="P341" s="738"/>
      <c r="Q341" s="738"/>
      <c r="R341" s="738"/>
      <c r="S341" s="738"/>
      <c r="T341" s="738"/>
      <c r="U341" s="738"/>
      <c r="V341" s="738"/>
      <c r="W341" s="738"/>
      <c r="X341" s="738"/>
      <c r="Y341" s="738"/>
      <c r="Z341" s="738"/>
    </row>
    <row r="342">
      <c r="A342" s="738"/>
      <c r="B342" s="738"/>
      <c r="C342" s="738"/>
      <c r="D342" s="738"/>
      <c r="E342" s="738"/>
      <c r="F342" s="738"/>
      <c r="G342" s="738"/>
      <c r="H342" s="738"/>
      <c r="I342" s="738"/>
      <c r="J342" s="738"/>
      <c r="K342" s="738"/>
      <c r="L342" s="738"/>
      <c r="M342" s="738"/>
      <c r="N342" s="738"/>
      <c r="O342" s="738"/>
      <c r="P342" s="738"/>
      <c r="Q342" s="738"/>
      <c r="R342" s="738"/>
      <c r="S342" s="738"/>
      <c r="T342" s="738"/>
      <c r="U342" s="738"/>
      <c r="V342" s="738"/>
      <c r="W342" s="738"/>
      <c r="X342" s="738"/>
      <c r="Y342" s="738"/>
      <c r="Z342" s="738"/>
    </row>
    <row r="343">
      <c r="A343" s="738"/>
      <c r="B343" s="738"/>
      <c r="C343" s="738"/>
      <c r="D343" s="738"/>
      <c r="E343" s="738"/>
      <c r="F343" s="738"/>
      <c r="G343" s="738"/>
      <c r="H343" s="738"/>
      <c r="I343" s="738"/>
      <c r="J343" s="738"/>
      <c r="K343" s="738"/>
      <c r="L343" s="738"/>
      <c r="M343" s="738"/>
      <c r="N343" s="738"/>
      <c r="O343" s="738"/>
      <c r="P343" s="738"/>
      <c r="Q343" s="738"/>
      <c r="R343" s="738"/>
      <c r="S343" s="738"/>
      <c r="T343" s="738"/>
      <c r="U343" s="738"/>
      <c r="V343" s="738"/>
      <c r="W343" s="738"/>
      <c r="X343" s="738"/>
      <c r="Y343" s="738"/>
      <c r="Z343" s="738"/>
    </row>
    <row r="344">
      <c r="A344" s="738"/>
      <c r="B344" s="738"/>
      <c r="C344" s="738"/>
      <c r="D344" s="738"/>
      <c r="E344" s="738"/>
      <c r="F344" s="738"/>
      <c r="G344" s="738"/>
      <c r="H344" s="738"/>
      <c r="I344" s="738"/>
      <c r="J344" s="738"/>
      <c r="K344" s="738"/>
      <c r="L344" s="738"/>
      <c r="M344" s="738"/>
      <c r="N344" s="738"/>
      <c r="O344" s="738"/>
      <c r="P344" s="738"/>
      <c r="Q344" s="738"/>
      <c r="R344" s="738"/>
      <c r="S344" s="738"/>
      <c r="T344" s="738"/>
      <c r="U344" s="738"/>
      <c r="V344" s="738"/>
      <c r="W344" s="738"/>
      <c r="X344" s="738"/>
      <c r="Y344" s="738"/>
      <c r="Z344" s="738"/>
    </row>
    <row r="345">
      <c r="A345" s="738"/>
      <c r="B345" s="738"/>
      <c r="C345" s="738"/>
      <c r="D345" s="738"/>
      <c r="E345" s="738"/>
      <c r="F345" s="738"/>
      <c r="G345" s="738"/>
      <c r="H345" s="738"/>
      <c r="I345" s="738"/>
      <c r="J345" s="738"/>
      <c r="K345" s="738"/>
      <c r="L345" s="738"/>
      <c r="M345" s="738"/>
      <c r="N345" s="738"/>
      <c r="O345" s="738"/>
      <c r="P345" s="738"/>
      <c r="Q345" s="738"/>
      <c r="R345" s="738"/>
      <c r="S345" s="738"/>
      <c r="T345" s="738"/>
      <c r="U345" s="738"/>
      <c r="V345" s="738"/>
      <c r="W345" s="738"/>
      <c r="X345" s="738"/>
      <c r="Y345" s="738"/>
      <c r="Z345" s="738"/>
    </row>
    <row r="346">
      <c r="A346" s="738"/>
      <c r="B346" s="738"/>
      <c r="C346" s="738"/>
      <c r="D346" s="738"/>
      <c r="E346" s="738"/>
      <c r="F346" s="738"/>
      <c r="G346" s="738"/>
      <c r="H346" s="738"/>
      <c r="I346" s="738"/>
      <c r="J346" s="738"/>
      <c r="K346" s="738"/>
      <c r="L346" s="738"/>
      <c r="M346" s="738"/>
      <c r="N346" s="738"/>
      <c r="O346" s="738"/>
      <c r="P346" s="738"/>
      <c r="Q346" s="738"/>
      <c r="R346" s="738"/>
      <c r="S346" s="738"/>
      <c r="T346" s="738"/>
      <c r="U346" s="738"/>
      <c r="V346" s="738"/>
      <c r="W346" s="738"/>
      <c r="X346" s="738"/>
      <c r="Y346" s="738"/>
      <c r="Z346" s="738"/>
    </row>
    <row r="347">
      <c r="A347" s="738"/>
      <c r="B347" s="738"/>
      <c r="C347" s="738"/>
      <c r="D347" s="738"/>
      <c r="E347" s="738"/>
      <c r="F347" s="738"/>
      <c r="G347" s="738"/>
      <c r="H347" s="738"/>
      <c r="I347" s="738"/>
      <c r="J347" s="738"/>
      <c r="K347" s="738"/>
      <c r="L347" s="738"/>
      <c r="M347" s="738"/>
      <c r="N347" s="738"/>
      <c r="O347" s="738"/>
      <c r="P347" s="738"/>
      <c r="Q347" s="738"/>
      <c r="R347" s="738"/>
      <c r="S347" s="738"/>
      <c r="T347" s="738"/>
      <c r="U347" s="738"/>
      <c r="V347" s="738"/>
      <c r="W347" s="738"/>
      <c r="X347" s="738"/>
      <c r="Y347" s="738"/>
      <c r="Z347" s="738"/>
    </row>
    <row r="348">
      <c r="A348" s="738"/>
      <c r="B348" s="738"/>
      <c r="C348" s="738"/>
      <c r="D348" s="738"/>
      <c r="E348" s="738"/>
      <c r="F348" s="738"/>
      <c r="G348" s="738"/>
      <c r="H348" s="738"/>
      <c r="I348" s="738"/>
      <c r="J348" s="738"/>
      <c r="K348" s="738"/>
      <c r="L348" s="738"/>
      <c r="M348" s="738"/>
      <c r="N348" s="738"/>
      <c r="O348" s="738"/>
      <c r="P348" s="738"/>
      <c r="Q348" s="738"/>
      <c r="R348" s="738"/>
      <c r="S348" s="738"/>
      <c r="T348" s="738"/>
      <c r="U348" s="738"/>
      <c r="V348" s="738"/>
      <c r="W348" s="738"/>
      <c r="X348" s="738"/>
      <c r="Y348" s="738"/>
      <c r="Z348" s="738"/>
    </row>
    <row r="349">
      <c r="A349" s="738"/>
      <c r="B349" s="738"/>
      <c r="C349" s="738"/>
      <c r="D349" s="738"/>
      <c r="E349" s="738"/>
      <c r="F349" s="738"/>
      <c r="G349" s="738"/>
      <c r="H349" s="738"/>
      <c r="I349" s="738"/>
      <c r="J349" s="738"/>
      <c r="K349" s="738"/>
      <c r="L349" s="738"/>
      <c r="M349" s="738"/>
      <c r="N349" s="738"/>
      <c r="O349" s="738"/>
      <c r="P349" s="738"/>
      <c r="Q349" s="738"/>
      <c r="R349" s="738"/>
      <c r="S349" s="738"/>
      <c r="T349" s="738"/>
      <c r="U349" s="738"/>
      <c r="V349" s="738"/>
      <c r="W349" s="738"/>
      <c r="X349" s="738"/>
      <c r="Y349" s="738"/>
      <c r="Z349" s="738"/>
    </row>
    <row r="350">
      <c r="A350" s="738"/>
      <c r="B350" s="738"/>
      <c r="C350" s="738"/>
      <c r="D350" s="738"/>
      <c r="E350" s="738"/>
      <c r="F350" s="738"/>
      <c r="G350" s="738"/>
      <c r="H350" s="738"/>
      <c r="I350" s="738"/>
      <c r="J350" s="738"/>
      <c r="K350" s="738"/>
      <c r="L350" s="738"/>
      <c r="M350" s="738"/>
      <c r="N350" s="738"/>
      <c r="O350" s="738"/>
      <c r="P350" s="738"/>
      <c r="Q350" s="738"/>
      <c r="R350" s="738"/>
      <c r="S350" s="738"/>
      <c r="T350" s="738"/>
      <c r="U350" s="738"/>
      <c r="V350" s="738"/>
      <c r="W350" s="738"/>
      <c r="X350" s="738"/>
      <c r="Y350" s="738"/>
      <c r="Z350" s="738"/>
    </row>
    <row r="351">
      <c r="A351" s="738"/>
      <c r="B351" s="738"/>
      <c r="C351" s="738"/>
      <c r="D351" s="738"/>
      <c r="E351" s="738"/>
      <c r="F351" s="738"/>
      <c r="G351" s="738"/>
      <c r="H351" s="738"/>
      <c r="I351" s="738"/>
      <c r="J351" s="738"/>
      <c r="K351" s="738"/>
      <c r="L351" s="738"/>
      <c r="M351" s="738"/>
      <c r="N351" s="738"/>
      <c r="O351" s="738"/>
      <c r="P351" s="738"/>
      <c r="Q351" s="738"/>
      <c r="R351" s="738"/>
      <c r="S351" s="738"/>
      <c r="T351" s="738"/>
      <c r="U351" s="738"/>
      <c r="V351" s="738"/>
      <c r="W351" s="738"/>
      <c r="X351" s="738"/>
      <c r="Y351" s="738"/>
      <c r="Z351" s="738"/>
    </row>
    <row r="352">
      <c r="A352" s="738"/>
      <c r="B352" s="738"/>
      <c r="C352" s="738"/>
      <c r="D352" s="738"/>
      <c r="E352" s="738"/>
      <c r="F352" s="738"/>
      <c r="G352" s="738"/>
      <c r="H352" s="738"/>
      <c r="I352" s="738"/>
      <c r="J352" s="738"/>
      <c r="K352" s="738"/>
      <c r="L352" s="738"/>
      <c r="M352" s="738"/>
      <c r="N352" s="738"/>
      <c r="O352" s="738"/>
      <c r="P352" s="738"/>
      <c r="Q352" s="738"/>
      <c r="R352" s="738"/>
      <c r="S352" s="738"/>
      <c r="T352" s="738"/>
      <c r="U352" s="738"/>
      <c r="V352" s="738"/>
      <c r="W352" s="738"/>
      <c r="X352" s="738"/>
      <c r="Y352" s="738"/>
      <c r="Z352" s="738"/>
    </row>
    <row r="353">
      <c r="A353" s="738"/>
      <c r="B353" s="738"/>
      <c r="C353" s="738"/>
      <c r="D353" s="738"/>
      <c r="E353" s="738"/>
      <c r="F353" s="738"/>
      <c r="G353" s="738"/>
      <c r="H353" s="738"/>
      <c r="I353" s="738"/>
      <c r="J353" s="738"/>
      <c r="K353" s="738"/>
      <c r="L353" s="738"/>
      <c r="M353" s="738"/>
      <c r="N353" s="738"/>
      <c r="O353" s="738"/>
      <c r="P353" s="738"/>
      <c r="Q353" s="738"/>
      <c r="R353" s="738"/>
      <c r="S353" s="738"/>
      <c r="T353" s="738"/>
      <c r="U353" s="738"/>
      <c r="V353" s="738"/>
      <c r="W353" s="738"/>
      <c r="X353" s="738"/>
      <c r="Y353" s="738"/>
      <c r="Z353" s="738"/>
    </row>
    <row r="354">
      <c r="A354" s="738"/>
      <c r="B354" s="738"/>
      <c r="C354" s="738"/>
      <c r="D354" s="738"/>
      <c r="E354" s="738"/>
      <c r="F354" s="738"/>
      <c r="G354" s="738"/>
      <c r="H354" s="738"/>
      <c r="I354" s="738"/>
      <c r="J354" s="738"/>
      <c r="K354" s="738"/>
      <c r="L354" s="738"/>
      <c r="M354" s="738"/>
      <c r="N354" s="738"/>
      <c r="O354" s="738"/>
      <c r="P354" s="738"/>
      <c r="Q354" s="738"/>
      <c r="R354" s="738"/>
      <c r="S354" s="738"/>
      <c r="T354" s="738"/>
      <c r="U354" s="738"/>
      <c r="V354" s="738"/>
      <c r="W354" s="738"/>
      <c r="X354" s="738"/>
      <c r="Y354" s="738"/>
      <c r="Z354" s="738"/>
    </row>
    <row r="355">
      <c r="A355" s="738"/>
      <c r="B355" s="738"/>
      <c r="C355" s="738"/>
      <c r="D355" s="738"/>
      <c r="E355" s="738"/>
      <c r="F355" s="738"/>
      <c r="G355" s="738"/>
      <c r="H355" s="738"/>
      <c r="I355" s="738"/>
      <c r="J355" s="738"/>
      <c r="K355" s="738"/>
      <c r="L355" s="738"/>
      <c r="M355" s="738"/>
      <c r="N355" s="738"/>
      <c r="O355" s="738"/>
      <c r="P355" s="738"/>
      <c r="Q355" s="738"/>
      <c r="R355" s="738"/>
      <c r="S355" s="738"/>
      <c r="T355" s="738"/>
      <c r="U355" s="738"/>
      <c r="V355" s="738"/>
      <c r="W355" s="738"/>
      <c r="X355" s="738"/>
      <c r="Y355" s="738"/>
      <c r="Z355" s="738"/>
    </row>
    <row r="356">
      <c r="A356" s="738"/>
      <c r="B356" s="738"/>
      <c r="C356" s="738"/>
      <c r="D356" s="738"/>
      <c r="E356" s="738"/>
      <c r="F356" s="738"/>
      <c r="G356" s="738"/>
      <c r="H356" s="738"/>
      <c r="I356" s="738"/>
      <c r="J356" s="738"/>
      <c r="K356" s="738"/>
      <c r="L356" s="738"/>
      <c r="M356" s="738"/>
      <c r="N356" s="738"/>
      <c r="O356" s="738"/>
      <c r="P356" s="738"/>
      <c r="Q356" s="738"/>
      <c r="R356" s="738"/>
      <c r="S356" s="738"/>
      <c r="T356" s="738"/>
      <c r="U356" s="738"/>
      <c r="V356" s="738"/>
      <c r="W356" s="738"/>
      <c r="X356" s="738"/>
      <c r="Y356" s="738"/>
      <c r="Z356" s="738"/>
    </row>
    <row r="357">
      <c r="A357" s="738"/>
      <c r="B357" s="738"/>
      <c r="C357" s="738"/>
      <c r="D357" s="738"/>
      <c r="E357" s="738"/>
      <c r="F357" s="738"/>
      <c r="G357" s="738"/>
      <c r="H357" s="738"/>
      <c r="I357" s="738"/>
      <c r="J357" s="738"/>
      <c r="K357" s="738"/>
      <c r="L357" s="738"/>
      <c r="M357" s="738"/>
      <c r="N357" s="738"/>
      <c r="O357" s="738"/>
      <c r="P357" s="738"/>
      <c r="Q357" s="738"/>
      <c r="R357" s="738"/>
      <c r="S357" s="738"/>
      <c r="T357" s="738"/>
      <c r="U357" s="738"/>
      <c r="V357" s="738"/>
      <c r="W357" s="738"/>
      <c r="X357" s="738"/>
      <c r="Y357" s="738"/>
      <c r="Z357" s="738"/>
    </row>
    <row r="358">
      <c r="A358" s="738"/>
      <c r="B358" s="738"/>
      <c r="C358" s="738"/>
      <c r="D358" s="738"/>
      <c r="E358" s="738"/>
      <c r="F358" s="738"/>
      <c r="G358" s="738"/>
      <c r="H358" s="738"/>
      <c r="I358" s="738"/>
      <c r="J358" s="738"/>
      <c r="K358" s="738"/>
      <c r="L358" s="738"/>
      <c r="M358" s="738"/>
      <c r="N358" s="738"/>
      <c r="O358" s="738"/>
      <c r="P358" s="738"/>
      <c r="Q358" s="738"/>
      <c r="R358" s="738"/>
      <c r="S358" s="738"/>
      <c r="T358" s="738"/>
      <c r="U358" s="738"/>
      <c r="V358" s="738"/>
      <c r="W358" s="738"/>
      <c r="X358" s="738"/>
      <c r="Y358" s="738"/>
      <c r="Z358" s="738"/>
    </row>
    <row r="359">
      <c r="A359" s="738"/>
      <c r="B359" s="738"/>
      <c r="C359" s="738"/>
      <c r="D359" s="738"/>
      <c r="E359" s="738"/>
      <c r="F359" s="738"/>
      <c r="G359" s="738"/>
      <c r="H359" s="738"/>
      <c r="I359" s="738"/>
      <c r="J359" s="738"/>
      <c r="K359" s="738"/>
      <c r="L359" s="738"/>
      <c r="M359" s="738"/>
      <c r="N359" s="738"/>
      <c r="O359" s="738"/>
      <c r="P359" s="738"/>
      <c r="Q359" s="738"/>
      <c r="R359" s="738"/>
      <c r="S359" s="738"/>
      <c r="T359" s="738"/>
      <c r="U359" s="738"/>
      <c r="V359" s="738"/>
      <c r="W359" s="738"/>
      <c r="X359" s="738"/>
      <c r="Y359" s="738"/>
      <c r="Z359" s="738"/>
    </row>
    <row r="360">
      <c r="A360" s="738"/>
      <c r="B360" s="738"/>
      <c r="C360" s="738"/>
      <c r="D360" s="738"/>
      <c r="E360" s="738"/>
      <c r="F360" s="738"/>
      <c r="G360" s="738"/>
      <c r="H360" s="738"/>
      <c r="I360" s="738"/>
      <c r="J360" s="738"/>
      <c r="K360" s="738"/>
      <c r="L360" s="738"/>
      <c r="M360" s="738"/>
      <c r="N360" s="738"/>
      <c r="O360" s="738"/>
      <c r="P360" s="738"/>
      <c r="Q360" s="738"/>
      <c r="R360" s="738"/>
      <c r="S360" s="738"/>
      <c r="T360" s="738"/>
      <c r="U360" s="738"/>
      <c r="V360" s="738"/>
      <c r="W360" s="738"/>
      <c r="X360" s="738"/>
      <c r="Y360" s="738"/>
      <c r="Z360" s="738"/>
    </row>
    <row r="361">
      <c r="A361" s="738"/>
      <c r="B361" s="738"/>
      <c r="C361" s="738"/>
      <c r="D361" s="738"/>
      <c r="E361" s="738"/>
      <c r="F361" s="738"/>
      <c r="G361" s="738"/>
      <c r="H361" s="738"/>
      <c r="I361" s="738"/>
      <c r="J361" s="738"/>
      <c r="K361" s="738"/>
      <c r="L361" s="738"/>
      <c r="M361" s="738"/>
      <c r="N361" s="738"/>
      <c r="O361" s="738"/>
      <c r="P361" s="738"/>
      <c r="Q361" s="738"/>
      <c r="R361" s="738"/>
      <c r="S361" s="738"/>
      <c r="T361" s="738"/>
      <c r="U361" s="738"/>
      <c r="V361" s="738"/>
      <c r="W361" s="738"/>
      <c r="X361" s="738"/>
      <c r="Y361" s="738"/>
      <c r="Z361" s="738"/>
    </row>
    <row r="362">
      <c r="A362" s="738"/>
      <c r="B362" s="738"/>
      <c r="C362" s="738"/>
      <c r="D362" s="738"/>
      <c r="E362" s="738"/>
      <c r="F362" s="738"/>
      <c r="G362" s="738"/>
      <c r="H362" s="738"/>
      <c r="I362" s="738"/>
      <c r="J362" s="738"/>
      <c r="K362" s="738"/>
      <c r="L362" s="738"/>
      <c r="M362" s="738"/>
      <c r="N362" s="738"/>
      <c r="O362" s="738"/>
      <c r="P362" s="738"/>
      <c r="Q362" s="738"/>
      <c r="R362" s="738"/>
      <c r="S362" s="738"/>
      <c r="T362" s="738"/>
      <c r="U362" s="738"/>
      <c r="V362" s="738"/>
      <c r="W362" s="738"/>
      <c r="X362" s="738"/>
      <c r="Y362" s="738"/>
      <c r="Z362" s="738"/>
    </row>
    <row r="363">
      <c r="A363" s="738"/>
      <c r="B363" s="738"/>
      <c r="C363" s="738"/>
      <c r="D363" s="738"/>
      <c r="E363" s="738"/>
      <c r="F363" s="738"/>
      <c r="G363" s="738"/>
      <c r="H363" s="738"/>
      <c r="I363" s="738"/>
      <c r="J363" s="738"/>
      <c r="K363" s="738"/>
      <c r="L363" s="738"/>
      <c r="M363" s="738"/>
      <c r="N363" s="738"/>
      <c r="O363" s="738"/>
      <c r="P363" s="738"/>
      <c r="Q363" s="738"/>
      <c r="R363" s="738"/>
      <c r="S363" s="738"/>
      <c r="T363" s="738"/>
      <c r="U363" s="738"/>
      <c r="V363" s="738"/>
      <c r="W363" s="738"/>
      <c r="X363" s="738"/>
      <c r="Y363" s="738"/>
      <c r="Z363" s="738"/>
    </row>
    <row r="364">
      <c r="A364" s="738"/>
      <c r="B364" s="738"/>
      <c r="C364" s="738"/>
      <c r="D364" s="738"/>
      <c r="E364" s="738"/>
      <c r="F364" s="738"/>
      <c r="G364" s="738"/>
      <c r="H364" s="738"/>
      <c r="I364" s="738"/>
      <c r="J364" s="738"/>
      <c r="K364" s="738"/>
      <c r="L364" s="738"/>
      <c r="M364" s="738"/>
      <c r="N364" s="738"/>
      <c r="O364" s="738"/>
      <c r="P364" s="738"/>
      <c r="Q364" s="738"/>
      <c r="R364" s="738"/>
      <c r="S364" s="738"/>
      <c r="T364" s="738"/>
      <c r="U364" s="738"/>
      <c r="V364" s="738"/>
      <c r="W364" s="738"/>
      <c r="X364" s="738"/>
      <c r="Y364" s="738"/>
      <c r="Z364" s="738"/>
    </row>
    <row r="365">
      <c r="A365" s="738"/>
      <c r="B365" s="738"/>
      <c r="C365" s="738"/>
      <c r="D365" s="738"/>
      <c r="E365" s="738"/>
      <c r="F365" s="738"/>
      <c r="G365" s="738"/>
      <c r="H365" s="738"/>
      <c r="I365" s="738"/>
      <c r="J365" s="738"/>
      <c r="K365" s="738"/>
      <c r="L365" s="738"/>
      <c r="M365" s="738"/>
      <c r="N365" s="738"/>
      <c r="O365" s="738"/>
      <c r="P365" s="738"/>
      <c r="Q365" s="738"/>
      <c r="R365" s="738"/>
      <c r="S365" s="738"/>
      <c r="T365" s="738"/>
      <c r="U365" s="738"/>
      <c r="V365" s="738"/>
      <c r="W365" s="738"/>
      <c r="X365" s="738"/>
      <c r="Y365" s="738"/>
      <c r="Z365" s="738"/>
    </row>
    <row r="366">
      <c r="A366" s="738"/>
      <c r="B366" s="738"/>
      <c r="C366" s="738"/>
      <c r="D366" s="738"/>
      <c r="E366" s="738"/>
      <c r="F366" s="738"/>
      <c r="G366" s="738"/>
      <c r="H366" s="738"/>
      <c r="I366" s="738"/>
      <c r="J366" s="738"/>
      <c r="K366" s="738"/>
      <c r="L366" s="738"/>
      <c r="M366" s="738"/>
      <c r="N366" s="738"/>
      <c r="O366" s="738"/>
      <c r="P366" s="738"/>
      <c r="Q366" s="738"/>
      <c r="R366" s="738"/>
      <c r="S366" s="738"/>
      <c r="T366" s="738"/>
      <c r="U366" s="738"/>
      <c r="V366" s="738"/>
      <c r="W366" s="738"/>
      <c r="X366" s="738"/>
      <c r="Y366" s="738"/>
      <c r="Z366" s="738"/>
    </row>
    <row r="367">
      <c r="A367" s="738"/>
      <c r="B367" s="738"/>
      <c r="C367" s="738"/>
      <c r="D367" s="738"/>
      <c r="E367" s="738"/>
      <c r="F367" s="738"/>
      <c r="G367" s="738"/>
      <c r="H367" s="738"/>
      <c r="I367" s="738"/>
      <c r="J367" s="738"/>
      <c r="K367" s="738"/>
      <c r="L367" s="738"/>
      <c r="M367" s="738"/>
      <c r="N367" s="738"/>
      <c r="O367" s="738"/>
      <c r="P367" s="738"/>
      <c r="Q367" s="738"/>
      <c r="R367" s="738"/>
      <c r="S367" s="738"/>
      <c r="T367" s="738"/>
      <c r="U367" s="738"/>
      <c r="V367" s="738"/>
      <c r="W367" s="738"/>
      <c r="X367" s="738"/>
      <c r="Y367" s="738"/>
      <c r="Z367" s="738"/>
    </row>
    <row r="368">
      <c r="A368" s="738"/>
      <c r="B368" s="738"/>
      <c r="C368" s="738"/>
      <c r="D368" s="738"/>
      <c r="E368" s="738"/>
      <c r="F368" s="738"/>
      <c r="G368" s="738"/>
      <c r="H368" s="738"/>
      <c r="I368" s="738"/>
      <c r="J368" s="738"/>
      <c r="K368" s="738"/>
      <c r="L368" s="738"/>
      <c r="M368" s="738"/>
      <c r="N368" s="738"/>
      <c r="O368" s="738"/>
      <c r="P368" s="738"/>
      <c r="Q368" s="738"/>
      <c r="R368" s="738"/>
      <c r="S368" s="738"/>
      <c r="T368" s="738"/>
      <c r="U368" s="738"/>
      <c r="V368" s="738"/>
      <c r="W368" s="738"/>
      <c r="X368" s="738"/>
      <c r="Y368" s="738"/>
      <c r="Z368" s="738"/>
    </row>
    <row r="369">
      <c r="A369" s="738"/>
      <c r="B369" s="738"/>
      <c r="C369" s="738"/>
      <c r="D369" s="738"/>
      <c r="E369" s="738"/>
      <c r="F369" s="738"/>
      <c r="G369" s="738"/>
      <c r="H369" s="738"/>
      <c r="I369" s="738"/>
      <c r="J369" s="738"/>
      <c r="K369" s="738"/>
      <c r="L369" s="738"/>
      <c r="M369" s="738"/>
      <c r="N369" s="738"/>
      <c r="O369" s="738"/>
      <c r="P369" s="738"/>
      <c r="Q369" s="738"/>
      <c r="R369" s="738"/>
      <c r="S369" s="738"/>
      <c r="T369" s="738"/>
      <c r="U369" s="738"/>
      <c r="V369" s="738"/>
      <c r="W369" s="738"/>
      <c r="X369" s="738"/>
      <c r="Y369" s="738"/>
      <c r="Z369" s="738"/>
    </row>
    <row r="370">
      <c r="A370" s="738"/>
      <c r="B370" s="738"/>
      <c r="C370" s="738"/>
      <c r="D370" s="738"/>
      <c r="E370" s="738"/>
      <c r="F370" s="738"/>
      <c r="G370" s="738"/>
      <c r="H370" s="738"/>
      <c r="I370" s="738"/>
      <c r="J370" s="738"/>
      <c r="K370" s="738"/>
      <c r="L370" s="738"/>
      <c r="M370" s="738"/>
      <c r="N370" s="738"/>
      <c r="O370" s="738"/>
      <c r="P370" s="738"/>
      <c r="Q370" s="738"/>
      <c r="R370" s="738"/>
      <c r="S370" s="738"/>
      <c r="T370" s="738"/>
      <c r="U370" s="738"/>
      <c r="V370" s="738"/>
      <c r="W370" s="738"/>
      <c r="X370" s="738"/>
      <c r="Y370" s="738"/>
      <c r="Z370" s="738"/>
    </row>
    <row r="371">
      <c r="A371" s="738"/>
      <c r="B371" s="738"/>
      <c r="C371" s="738"/>
      <c r="D371" s="738"/>
      <c r="E371" s="738"/>
      <c r="F371" s="738"/>
      <c r="G371" s="738"/>
      <c r="H371" s="738"/>
      <c r="I371" s="738"/>
      <c r="J371" s="738"/>
      <c r="K371" s="738"/>
      <c r="L371" s="738"/>
      <c r="M371" s="738"/>
      <c r="N371" s="738"/>
      <c r="O371" s="738"/>
      <c r="P371" s="738"/>
      <c r="Q371" s="738"/>
      <c r="R371" s="738"/>
      <c r="S371" s="738"/>
      <c r="T371" s="738"/>
      <c r="U371" s="738"/>
      <c r="V371" s="738"/>
      <c r="W371" s="738"/>
      <c r="X371" s="738"/>
      <c r="Y371" s="738"/>
      <c r="Z371" s="738"/>
    </row>
    <row r="372">
      <c r="A372" s="738"/>
      <c r="B372" s="738"/>
      <c r="C372" s="738"/>
      <c r="D372" s="738"/>
      <c r="E372" s="738"/>
      <c r="F372" s="738"/>
      <c r="G372" s="738"/>
      <c r="H372" s="738"/>
      <c r="I372" s="738"/>
      <c r="J372" s="738"/>
      <c r="K372" s="738"/>
      <c r="L372" s="738"/>
      <c r="M372" s="738"/>
      <c r="N372" s="738"/>
      <c r="O372" s="738"/>
      <c r="P372" s="738"/>
      <c r="Q372" s="738"/>
      <c r="R372" s="738"/>
      <c r="S372" s="738"/>
      <c r="T372" s="738"/>
      <c r="U372" s="738"/>
      <c r="V372" s="738"/>
      <c r="W372" s="738"/>
      <c r="X372" s="738"/>
      <c r="Y372" s="738"/>
      <c r="Z372" s="738"/>
    </row>
    <row r="373">
      <c r="A373" s="738"/>
      <c r="B373" s="738"/>
      <c r="C373" s="738"/>
      <c r="D373" s="738"/>
      <c r="E373" s="738"/>
      <c r="F373" s="738"/>
      <c r="G373" s="738"/>
      <c r="H373" s="738"/>
      <c r="I373" s="738"/>
      <c r="J373" s="738"/>
      <c r="K373" s="738"/>
      <c r="L373" s="738"/>
      <c r="M373" s="738"/>
      <c r="N373" s="738"/>
      <c r="O373" s="738"/>
      <c r="P373" s="738"/>
      <c r="Q373" s="738"/>
      <c r="R373" s="738"/>
      <c r="S373" s="738"/>
      <c r="T373" s="738"/>
      <c r="U373" s="738"/>
      <c r="V373" s="738"/>
      <c r="W373" s="738"/>
      <c r="X373" s="738"/>
      <c r="Y373" s="738"/>
      <c r="Z373" s="738"/>
    </row>
    <row r="374">
      <c r="A374" s="738"/>
      <c r="B374" s="738"/>
      <c r="C374" s="738"/>
      <c r="D374" s="738"/>
      <c r="E374" s="738"/>
      <c r="F374" s="738"/>
      <c r="G374" s="738"/>
      <c r="H374" s="738"/>
      <c r="I374" s="738"/>
      <c r="J374" s="738"/>
      <c r="K374" s="738"/>
      <c r="L374" s="738"/>
      <c r="M374" s="738"/>
      <c r="N374" s="738"/>
      <c r="O374" s="738"/>
      <c r="P374" s="738"/>
      <c r="Q374" s="738"/>
      <c r="R374" s="738"/>
      <c r="S374" s="738"/>
      <c r="T374" s="738"/>
      <c r="U374" s="738"/>
      <c r="V374" s="738"/>
      <c r="W374" s="738"/>
      <c r="X374" s="738"/>
      <c r="Y374" s="738"/>
      <c r="Z374" s="738"/>
    </row>
    <row r="375">
      <c r="A375" s="738"/>
      <c r="B375" s="738"/>
      <c r="C375" s="738"/>
      <c r="D375" s="738"/>
      <c r="E375" s="738"/>
      <c r="F375" s="738"/>
      <c r="G375" s="738"/>
      <c r="H375" s="738"/>
      <c r="I375" s="738"/>
      <c r="J375" s="738"/>
      <c r="K375" s="738"/>
      <c r="L375" s="738"/>
      <c r="M375" s="738"/>
      <c r="N375" s="738"/>
      <c r="O375" s="738"/>
      <c r="P375" s="738"/>
      <c r="Q375" s="738"/>
      <c r="R375" s="738"/>
      <c r="S375" s="738"/>
      <c r="T375" s="738"/>
      <c r="U375" s="738"/>
      <c r="V375" s="738"/>
      <c r="W375" s="738"/>
      <c r="X375" s="738"/>
      <c r="Y375" s="738"/>
      <c r="Z375" s="738"/>
    </row>
    <row r="376">
      <c r="A376" s="738"/>
      <c r="B376" s="738"/>
      <c r="C376" s="738"/>
      <c r="D376" s="738"/>
      <c r="E376" s="738"/>
      <c r="F376" s="738"/>
      <c r="G376" s="738"/>
      <c r="H376" s="738"/>
      <c r="I376" s="738"/>
      <c r="J376" s="738"/>
      <c r="K376" s="738"/>
      <c r="L376" s="738"/>
      <c r="M376" s="738"/>
      <c r="N376" s="738"/>
      <c r="O376" s="738"/>
      <c r="P376" s="738"/>
      <c r="Q376" s="738"/>
      <c r="R376" s="738"/>
      <c r="S376" s="738"/>
      <c r="T376" s="738"/>
      <c r="U376" s="738"/>
      <c r="V376" s="738"/>
      <c r="W376" s="738"/>
      <c r="X376" s="738"/>
      <c r="Y376" s="738"/>
      <c r="Z376" s="738"/>
    </row>
    <row r="377">
      <c r="A377" s="738"/>
      <c r="B377" s="738"/>
      <c r="C377" s="738"/>
      <c r="D377" s="738"/>
      <c r="E377" s="738"/>
      <c r="F377" s="738"/>
      <c r="G377" s="738"/>
      <c r="H377" s="738"/>
      <c r="I377" s="738"/>
      <c r="J377" s="738"/>
      <c r="K377" s="738"/>
      <c r="L377" s="738"/>
      <c r="M377" s="738"/>
      <c r="N377" s="738"/>
      <c r="O377" s="738"/>
      <c r="P377" s="738"/>
      <c r="Q377" s="738"/>
      <c r="R377" s="738"/>
      <c r="S377" s="738"/>
      <c r="T377" s="738"/>
      <c r="U377" s="738"/>
      <c r="V377" s="738"/>
      <c r="W377" s="738"/>
      <c r="X377" s="738"/>
      <c r="Y377" s="738"/>
      <c r="Z377" s="738"/>
    </row>
    <row r="378">
      <c r="A378" s="738"/>
      <c r="B378" s="738"/>
      <c r="C378" s="738"/>
      <c r="D378" s="738"/>
      <c r="E378" s="738"/>
      <c r="F378" s="738"/>
      <c r="G378" s="738"/>
      <c r="H378" s="738"/>
      <c r="I378" s="738"/>
      <c r="J378" s="738"/>
      <c r="K378" s="738"/>
      <c r="L378" s="738"/>
      <c r="M378" s="738"/>
      <c r="N378" s="738"/>
      <c r="O378" s="738"/>
      <c r="P378" s="738"/>
      <c r="Q378" s="738"/>
      <c r="R378" s="738"/>
      <c r="S378" s="738"/>
      <c r="T378" s="738"/>
      <c r="U378" s="738"/>
      <c r="V378" s="738"/>
      <c r="W378" s="738"/>
      <c r="X378" s="738"/>
      <c r="Y378" s="738"/>
      <c r="Z378" s="738"/>
    </row>
    <row r="379">
      <c r="A379" s="738"/>
      <c r="B379" s="738"/>
      <c r="C379" s="738"/>
      <c r="D379" s="738"/>
      <c r="E379" s="738"/>
      <c r="F379" s="738"/>
      <c r="G379" s="738"/>
      <c r="H379" s="738"/>
      <c r="I379" s="738"/>
      <c r="J379" s="738"/>
      <c r="K379" s="738"/>
      <c r="L379" s="738"/>
      <c r="M379" s="738"/>
      <c r="N379" s="738"/>
      <c r="O379" s="738"/>
      <c r="P379" s="738"/>
      <c r="Q379" s="738"/>
      <c r="R379" s="738"/>
      <c r="S379" s="738"/>
      <c r="T379" s="738"/>
      <c r="U379" s="738"/>
      <c r="V379" s="738"/>
      <c r="W379" s="738"/>
      <c r="X379" s="738"/>
      <c r="Y379" s="738"/>
      <c r="Z379" s="738"/>
    </row>
    <row r="380">
      <c r="A380" s="738"/>
      <c r="B380" s="738"/>
      <c r="C380" s="738"/>
      <c r="D380" s="738"/>
      <c r="E380" s="738"/>
      <c r="F380" s="738"/>
      <c r="G380" s="738"/>
      <c r="H380" s="738"/>
      <c r="I380" s="738"/>
      <c r="J380" s="738"/>
      <c r="K380" s="738"/>
      <c r="L380" s="738"/>
      <c r="M380" s="738"/>
      <c r="N380" s="738"/>
      <c r="O380" s="738"/>
      <c r="P380" s="738"/>
      <c r="Q380" s="738"/>
      <c r="R380" s="738"/>
      <c r="S380" s="738"/>
      <c r="T380" s="738"/>
      <c r="U380" s="738"/>
      <c r="V380" s="738"/>
      <c r="W380" s="738"/>
      <c r="X380" s="738"/>
      <c r="Y380" s="738"/>
      <c r="Z380" s="738"/>
    </row>
    <row r="381">
      <c r="A381" s="738"/>
      <c r="B381" s="738"/>
      <c r="C381" s="738"/>
      <c r="D381" s="738"/>
      <c r="E381" s="738"/>
      <c r="F381" s="738"/>
      <c r="G381" s="738"/>
      <c r="H381" s="738"/>
      <c r="I381" s="738"/>
      <c r="J381" s="738"/>
      <c r="K381" s="738"/>
      <c r="L381" s="738"/>
      <c r="M381" s="738"/>
      <c r="N381" s="738"/>
      <c r="O381" s="738"/>
      <c r="P381" s="738"/>
      <c r="Q381" s="738"/>
      <c r="R381" s="738"/>
      <c r="S381" s="738"/>
      <c r="T381" s="738"/>
      <c r="U381" s="738"/>
      <c r="V381" s="738"/>
      <c r="W381" s="738"/>
      <c r="X381" s="738"/>
      <c r="Y381" s="738"/>
      <c r="Z381" s="738"/>
    </row>
    <row r="382">
      <c r="A382" s="738"/>
      <c r="B382" s="738"/>
      <c r="C382" s="738"/>
      <c r="D382" s="738"/>
      <c r="E382" s="738"/>
      <c r="F382" s="738"/>
      <c r="G382" s="738"/>
      <c r="H382" s="738"/>
      <c r="I382" s="738"/>
      <c r="J382" s="738"/>
      <c r="K382" s="738"/>
      <c r="L382" s="738"/>
      <c r="M382" s="738"/>
      <c r="N382" s="738"/>
      <c r="O382" s="738"/>
      <c r="P382" s="738"/>
      <c r="Q382" s="738"/>
      <c r="R382" s="738"/>
      <c r="S382" s="738"/>
      <c r="T382" s="738"/>
      <c r="U382" s="738"/>
      <c r="V382" s="738"/>
      <c r="W382" s="738"/>
      <c r="X382" s="738"/>
      <c r="Y382" s="738"/>
      <c r="Z382" s="738"/>
    </row>
    <row r="383">
      <c r="A383" s="738"/>
      <c r="B383" s="738"/>
      <c r="C383" s="738"/>
      <c r="D383" s="738"/>
      <c r="E383" s="738"/>
      <c r="F383" s="738"/>
      <c r="G383" s="738"/>
      <c r="H383" s="738"/>
      <c r="I383" s="738"/>
      <c r="J383" s="738"/>
      <c r="K383" s="738"/>
      <c r="L383" s="738"/>
      <c r="M383" s="738"/>
      <c r="N383" s="738"/>
      <c r="O383" s="738"/>
      <c r="P383" s="738"/>
      <c r="Q383" s="738"/>
      <c r="R383" s="738"/>
      <c r="S383" s="738"/>
      <c r="T383" s="738"/>
      <c r="U383" s="738"/>
      <c r="V383" s="738"/>
      <c r="W383" s="738"/>
      <c r="X383" s="738"/>
      <c r="Y383" s="738"/>
      <c r="Z383" s="738"/>
    </row>
    <row r="384">
      <c r="A384" s="738"/>
      <c r="B384" s="738"/>
      <c r="C384" s="738"/>
      <c r="D384" s="738"/>
      <c r="E384" s="738"/>
      <c r="F384" s="738"/>
      <c r="G384" s="738"/>
      <c r="H384" s="738"/>
      <c r="I384" s="738"/>
      <c r="J384" s="738"/>
      <c r="K384" s="738"/>
      <c r="L384" s="738"/>
      <c r="M384" s="738"/>
      <c r="N384" s="738"/>
      <c r="O384" s="738"/>
      <c r="P384" s="738"/>
      <c r="Q384" s="738"/>
      <c r="R384" s="738"/>
      <c r="S384" s="738"/>
      <c r="T384" s="738"/>
      <c r="U384" s="738"/>
      <c r="V384" s="738"/>
      <c r="W384" s="738"/>
      <c r="X384" s="738"/>
      <c r="Y384" s="738"/>
      <c r="Z384" s="738"/>
    </row>
    <row r="385">
      <c r="A385" s="738"/>
      <c r="B385" s="738"/>
      <c r="C385" s="738"/>
      <c r="D385" s="738"/>
      <c r="E385" s="738"/>
      <c r="F385" s="738"/>
      <c r="G385" s="738"/>
      <c r="H385" s="738"/>
      <c r="I385" s="738"/>
      <c r="J385" s="738"/>
      <c r="K385" s="738"/>
      <c r="L385" s="738"/>
      <c r="M385" s="738"/>
      <c r="N385" s="738"/>
      <c r="O385" s="738"/>
      <c r="P385" s="738"/>
      <c r="Q385" s="738"/>
      <c r="R385" s="738"/>
      <c r="S385" s="738"/>
      <c r="T385" s="738"/>
      <c r="U385" s="738"/>
      <c r="V385" s="738"/>
      <c r="W385" s="738"/>
      <c r="X385" s="738"/>
      <c r="Y385" s="738"/>
      <c r="Z385" s="738"/>
    </row>
    <row r="386">
      <c r="A386" s="738"/>
      <c r="B386" s="738"/>
      <c r="C386" s="738"/>
      <c r="D386" s="738"/>
      <c r="E386" s="738"/>
      <c r="F386" s="738"/>
      <c r="G386" s="738"/>
      <c r="H386" s="738"/>
      <c r="I386" s="738"/>
      <c r="J386" s="738"/>
      <c r="K386" s="738"/>
      <c r="L386" s="738"/>
      <c r="M386" s="738"/>
      <c r="N386" s="738"/>
      <c r="O386" s="738"/>
      <c r="P386" s="738"/>
      <c r="Q386" s="738"/>
      <c r="R386" s="738"/>
      <c r="S386" s="738"/>
      <c r="T386" s="738"/>
      <c r="U386" s="738"/>
      <c r="V386" s="738"/>
      <c r="W386" s="738"/>
      <c r="X386" s="738"/>
      <c r="Y386" s="738"/>
      <c r="Z386" s="738"/>
    </row>
    <row r="387">
      <c r="A387" s="738"/>
      <c r="B387" s="738"/>
      <c r="C387" s="738"/>
      <c r="D387" s="738"/>
      <c r="E387" s="738"/>
      <c r="F387" s="738"/>
      <c r="G387" s="738"/>
      <c r="H387" s="738"/>
      <c r="I387" s="738"/>
      <c r="J387" s="738"/>
      <c r="K387" s="738"/>
      <c r="L387" s="738"/>
      <c r="M387" s="738"/>
      <c r="N387" s="738"/>
      <c r="O387" s="738"/>
      <c r="P387" s="738"/>
      <c r="Q387" s="738"/>
      <c r="R387" s="738"/>
      <c r="S387" s="738"/>
      <c r="T387" s="738"/>
      <c r="U387" s="738"/>
      <c r="V387" s="738"/>
      <c r="W387" s="738"/>
      <c r="X387" s="738"/>
      <c r="Y387" s="738"/>
      <c r="Z387" s="738"/>
    </row>
    <row r="388">
      <c r="A388" s="738"/>
      <c r="B388" s="738"/>
      <c r="C388" s="738"/>
      <c r="D388" s="738"/>
      <c r="E388" s="738"/>
      <c r="F388" s="738"/>
      <c r="G388" s="738"/>
      <c r="H388" s="738"/>
      <c r="I388" s="738"/>
      <c r="J388" s="738"/>
      <c r="K388" s="738"/>
      <c r="L388" s="738"/>
      <c r="M388" s="738"/>
      <c r="N388" s="738"/>
      <c r="O388" s="738"/>
      <c r="P388" s="738"/>
      <c r="Q388" s="738"/>
      <c r="R388" s="738"/>
      <c r="S388" s="738"/>
      <c r="T388" s="738"/>
      <c r="U388" s="738"/>
      <c r="V388" s="738"/>
      <c r="W388" s="738"/>
      <c r="X388" s="738"/>
      <c r="Y388" s="738"/>
      <c r="Z388" s="738"/>
    </row>
    <row r="389">
      <c r="A389" s="738"/>
      <c r="B389" s="738"/>
      <c r="C389" s="738"/>
      <c r="D389" s="738"/>
      <c r="E389" s="738"/>
      <c r="F389" s="738"/>
      <c r="G389" s="738"/>
      <c r="H389" s="738"/>
      <c r="I389" s="738"/>
      <c r="J389" s="738"/>
      <c r="K389" s="738"/>
      <c r="L389" s="738"/>
      <c r="M389" s="738"/>
      <c r="N389" s="738"/>
      <c r="O389" s="738"/>
      <c r="P389" s="738"/>
      <c r="Q389" s="738"/>
      <c r="R389" s="738"/>
      <c r="S389" s="738"/>
      <c r="T389" s="738"/>
      <c r="U389" s="738"/>
      <c r="V389" s="738"/>
      <c r="W389" s="738"/>
      <c r="X389" s="738"/>
      <c r="Y389" s="738"/>
      <c r="Z389" s="738"/>
    </row>
    <row r="390">
      <c r="A390" s="738"/>
      <c r="B390" s="738"/>
      <c r="C390" s="738"/>
      <c r="D390" s="738"/>
      <c r="E390" s="738"/>
      <c r="F390" s="738"/>
      <c r="G390" s="738"/>
      <c r="H390" s="738"/>
      <c r="I390" s="738"/>
      <c r="J390" s="738"/>
      <c r="K390" s="738"/>
      <c r="L390" s="738"/>
      <c r="M390" s="738"/>
      <c r="N390" s="738"/>
      <c r="O390" s="738"/>
      <c r="P390" s="738"/>
      <c r="Q390" s="738"/>
      <c r="R390" s="738"/>
      <c r="S390" s="738"/>
      <c r="T390" s="738"/>
      <c r="U390" s="738"/>
      <c r="V390" s="738"/>
      <c r="W390" s="738"/>
      <c r="X390" s="738"/>
      <c r="Y390" s="738"/>
      <c r="Z390" s="738"/>
    </row>
    <row r="391">
      <c r="A391" s="738"/>
      <c r="B391" s="738"/>
      <c r="C391" s="738"/>
      <c r="D391" s="738"/>
      <c r="E391" s="738"/>
      <c r="F391" s="738"/>
      <c r="G391" s="738"/>
      <c r="H391" s="738"/>
      <c r="I391" s="738"/>
      <c r="J391" s="738"/>
      <c r="K391" s="738"/>
      <c r="L391" s="738"/>
      <c r="M391" s="738"/>
      <c r="N391" s="738"/>
      <c r="O391" s="738"/>
      <c r="P391" s="738"/>
      <c r="Q391" s="738"/>
      <c r="R391" s="738"/>
      <c r="S391" s="738"/>
      <c r="T391" s="738"/>
      <c r="U391" s="738"/>
      <c r="V391" s="738"/>
      <c r="W391" s="738"/>
      <c r="X391" s="738"/>
      <c r="Y391" s="738"/>
      <c r="Z391" s="738"/>
    </row>
    <row r="392">
      <c r="A392" s="738"/>
      <c r="B392" s="738"/>
      <c r="C392" s="738"/>
      <c r="D392" s="738"/>
      <c r="E392" s="738"/>
      <c r="F392" s="738"/>
      <c r="G392" s="738"/>
      <c r="H392" s="738"/>
      <c r="I392" s="738"/>
      <c r="J392" s="738"/>
      <c r="K392" s="738"/>
      <c r="L392" s="738"/>
      <c r="M392" s="738"/>
      <c r="N392" s="738"/>
      <c r="O392" s="738"/>
      <c r="P392" s="738"/>
      <c r="Q392" s="738"/>
      <c r="R392" s="738"/>
      <c r="S392" s="738"/>
      <c r="T392" s="738"/>
      <c r="U392" s="738"/>
      <c r="V392" s="738"/>
      <c r="W392" s="738"/>
      <c r="X392" s="738"/>
      <c r="Y392" s="738"/>
      <c r="Z392" s="738"/>
    </row>
    <row r="393">
      <c r="A393" s="738"/>
      <c r="B393" s="738"/>
      <c r="C393" s="738"/>
      <c r="D393" s="738"/>
      <c r="E393" s="738"/>
      <c r="F393" s="738"/>
      <c r="G393" s="738"/>
      <c r="H393" s="738"/>
      <c r="I393" s="738"/>
      <c r="J393" s="738"/>
      <c r="K393" s="738"/>
      <c r="L393" s="738"/>
      <c r="M393" s="738"/>
      <c r="N393" s="738"/>
      <c r="O393" s="738"/>
      <c r="P393" s="738"/>
      <c r="Q393" s="738"/>
      <c r="R393" s="738"/>
      <c r="S393" s="738"/>
      <c r="T393" s="738"/>
      <c r="U393" s="738"/>
      <c r="V393" s="738"/>
      <c r="W393" s="738"/>
      <c r="X393" s="738"/>
      <c r="Y393" s="738"/>
      <c r="Z393" s="738"/>
    </row>
    <row r="394">
      <c r="A394" s="738"/>
      <c r="B394" s="738"/>
      <c r="C394" s="738"/>
      <c r="D394" s="738"/>
      <c r="E394" s="738"/>
      <c r="F394" s="738"/>
      <c r="G394" s="738"/>
      <c r="H394" s="738"/>
      <c r="I394" s="738"/>
      <c r="J394" s="738"/>
      <c r="K394" s="738"/>
      <c r="L394" s="738"/>
      <c r="M394" s="738"/>
      <c r="N394" s="738"/>
      <c r="O394" s="738"/>
      <c r="P394" s="738"/>
      <c r="Q394" s="738"/>
      <c r="R394" s="738"/>
      <c r="S394" s="738"/>
      <c r="T394" s="738"/>
      <c r="U394" s="738"/>
      <c r="V394" s="738"/>
      <c r="W394" s="738"/>
      <c r="X394" s="738"/>
      <c r="Y394" s="738"/>
      <c r="Z394" s="738"/>
    </row>
    <row r="395">
      <c r="A395" s="738"/>
      <c r="B395" s="738"/>
      <c r="C395" s="738"/>
      <c r="D395" s="738"/>
      <c r="E395" s="738"/>
      <c r="F395" s="738"/>
      <c r="G395" s="738"/>
      <c r="H395" s="738"/>
      <c r="I395" s="738"/>
      <c r="J395" s="738"/>
      <c r="K395" s="738"/>
      <c r="L395" s="738"/>
      <c r="M395" s="738"/>
      <c r="N395" s="738"/>
      <c r="O395" s="738"/>
      <c r="P395" s="738"/>
      <c r="Q395" s="738"/>
      <c r="R395" s="738"/>
      <c r="S395" s="738"/>
      <c r="T395" s="738"/>
      <c r="U395" s="738"/>
      <c r="V395" s="738"/>
      <c r="W395" s="738"/>
      <c r="X395" s="738"/>
      <c r="Y395" s="738"/>
      <c r="Z395" s="738"/>
    </row>
    <row r="396">
      <c r="A396" s="738"/>
      <c r="B396" s="738"/>
      <c r="C396" s="738"/>
      <c r="D396" s="738"/>
      <c r="E396" s="738"/>
      <c r="F396" s="738"/>
      <c r="G396" s="738"/>
      <c r="H396" s="738"/>
      <c r="I396" s="738"/>
      <c r="J396" s="738"/>
      <c r="K396" s="738"/>
      <c r="L396" s="738"/>
      <c r="M396" s="738"/>
      <c r="N396" s="738"/>
      <c r="O396" s="738"/>
      <c r="P396" s="738"/>
      <c r="Q396" s="738"/>
      <c r="R396" s="738"/>
      <c r="S396" s="738"/>
      <c r="T396" s="738"/>
      <c r="U396" s="738"/>
      <c r="V396" s="738"/>
      <c r="W396" s="738"/>
      <c r="X396" s="738"/>
      <c r="Y396" s="738"/>
      <c r="Z396" s="738"/>
    </row>
    <row r="397">
      <c r="A397" s="738"/>
      <c r="B397" s="738"/>
      <c r="C397" s="738"/>
      <c r="D397" s="738"/>
      <c r="E397" s="738"/>
      <c r="F397" s="738"/>
      <c r="G397" s="738"/>
      <c r="H397" s="738"/>
      <c r="I397" s="738"/>
      <c r="J397" s="738"/>
      <c r="K397" s="738"/>
      <c r="L397" s="738"/>
      <c r="M397" s="738"/>
      <c r="N397" s="738"/>
      <c r="O397" s="738"/>
      <c r="P397" s="738"/>
      <c r="Q397" s="738"/>
      <c r="R397" s="738"/>
      <c r="S397" s="738"/>
      <c r="T397" s="738"/>
      <c r="U397" s="738"/>
      <c r="V397" s="738"/>
      <c r="W397" s="738"/>
      <c r="X397" s="738"/>
      <c r="Y397" s="738"/>
      <c r="Z397" s="738"/>
    </row>
    <row r="398">
      <c r="A398" s="738"/>
      <c r="B398" s="738"/>
      <c r="C398" s="738"/>
      <c r="D398" s="738"/>
      <c r="E398" s="738"/>
      <c r="F398" s="738"/>
      <c r="G398" s="738"/>
      <c r="H398" s="738"/>
      <c r="I398" s="738"/>
      <c r="J398" s="738"/>
      <c r="K398" s="738"/>
      <c r="L398" s="738"/>
      <c r="M398" s="738"/>
      <c r="N398" s="738"/>
      <c r="O398" s="738"/>
      <c r="P398" s="738"/>
      <c r="Q398" s="738"/>
      <c r="R398" s="738"/>
      <c r="S398" s="738"/>
      <c r="T398" s="738"/>
      <c r="U398" s="738"/>
      <c r="V398" s="738"/>
      <c r="W398" s="738"/>
      <c r="X398" s="738"/>
      <c r="Y398" s="738"/>
      <c r="Z398" s="738"/>
    </row>
    <row r="399">
      <c r="A399" s="738"/>
      <c r="B399" s="738"/>
      <c r="C399" s="738"/>
      <c r="D399" s="738"/>
      <c r="E399" s="738"/>
      <c r="F399" s="738"/>
      <c r="G399" s="738"/>
      <c r="H399" s="738"/>
      <c r="I399" s="738"/>
      <c r="J399" s="738"/>
      <c r="K399" s="738"/>
      <c r="L399" s="738"/>
      <c r="M399" s="738"/>
      <c r="N399" s="738"/>
      <c r="O399" s="738"/>
      <c r="P399" s="738"/>
      <c r="Q399" s="738"/>
      <c r="R399" s="738"/>
      <c r="S399" s="738"/>
      <c r="T399" s="738"/>
      <c r="U399" s="738"/>
      <c r="V399" s="738"/>
      <c r="W399" s="738"/>
      <c r="X399" s="738"/>
      <c r="Y399" s="738"/>
      <c r="Z399" s="738"/>
    </row>
    <row r="400">
      <c r="A400" s="738"/>
      <c r="B400" s="738"/>
      <c r="C400" s="738"/>
      <c r="D400" s="738"/>
      <c r="E400" s="738"/>
      <c r="F400" s="738"/>
      <c r="G400" s="738"/>
      <c r="H400" s="738"/>
      <c r="I400" s="738"/>
      <c r="J400" s="738"/>
      <c r="K400" s="738"/>
      <c r="L400" s="738"/>
      <c r="M400" s="738"/>
      <c r="N400" s="738"/>
      <c r="O400" s="738"/>
      <c r="P400" s="738"/>
      <c r="Q400" s="738"/>
      <c r="R400" s="738"/>
      <c r="S400" s="738"/>
      <c r="T400" s="738"/>
      <c r="U400" s="738"/>
      <c r="V400" s="738"/>
      <c r="W400" s="738"/>
      <c r="X400" s="738"/>
      <c r="Y400" s="738"/>
      <c r="Z400" s="738"/>
    </row>
    <row r="401">
      <c r="A401" s="738"/>
      <c r="B401" s="738"/>
      <c r="C401" s="738"/>
      <c r="D401" s="738"/>
      <c r="E401" s="738"/>
      <c r="F401" s="738"/>
      <c r="G401" s="738"/>
      <c r="H401" s="738"/>
      <c r="I401" s="738"/>
      <c r="J401" s="738"/>
      <c r="K401" s="738"/>
      <c r="L401" s="738"/>
      <c r="M401" s="738"/>
      <c r="N401" s="738"/>
      <c r="O401" s="738"/>
      <c r="P401" s="738"/>
      <c r="Q401" s="738"/>
      <c r="R401" s="738"/>
      <c r="S401" s="738"/>
      <c r="T401" s="738"/>
      <c r="U401" s="738"/>
      <c r="V401" s="738"/>
      <c r="W401" s="738"/>
      <c r="X401" s="738"/>
      <c r="Y401" s="738"/>
      <c r="Z401" s="738"/>
    </row>
    <row r="402">
      <c r="A402" s="738"/>
      <c r="B402" s="738"/>
      <c r="C402" s="738"/>
      <c r="D402" s="738"/>
      <c r="E402" s="738"/>
      <c r="F402" s="738"/>
      <c r="G402" s="738"/>
      <c r="H402" s="738"/>
      <c r="I402" s="738"/>
      <c r="J402" s="738"/>
      <c r="K402" s="738"/>
      <c r="L402" s="738"/>
      <c r="M402" s="738"/>
      <c r="N402" s="738"/>
      <c r="O402" s="738"/>
      <c r="P402" s="738"/>
      <c r="Q402" s="738"/>
      <c r="R402" s="738"/>
      <c r="S402" s="738"/>
      <c r="T402" s="738"/>
      <c r="U402" s="738"/>
      <c r="V402" s="738"/>
      <c r="W402" s="738"/>
      <c r="X402" s="738"/>
      <c r="Y402" s="738"/>
      <c r="Z402" s="738"/>
    </row>
    <row r="403">
      <c r="A403" s="738"/>
      <c r="B403" s="738"/>
      <c r="C403" s="738"/>
      <c r="D403" s="738"/>
      <c r="E403" s="738"/>
      <c r="F403" s="738"/>
      <c r="G403" s="738"/>
      <c r="H403" s="738"/>
      <c r="I403" s="738"/>
      <c r="J403" s="738"/>
      <c r="K403" s="738"/>
      <c r="L403" s="738"/>
      <c r="M403" s="738"/>
      <c r="N403" s="738"/>
      <c r="O403" s="738"/>
      <c r="P403" s="738"/>
      <c r="Q403" s="738"/>
      <c r="R403" s="738"/>
      <c r="S403" s="738"/>
      <c r="T403" s="738"/>
      <c r="U403" s="738"/>
      <c r="V403" s="738"/>
      <c r="W403" s="738"/>
      <c r="X403" s="738"/>
      <c r="Y403" s="738"/>
      <c r="Z403" s="738"/>
    </row>
    <row r="404">
      <c r="A404" s="738"/>
      <c r="B404" s="738"/>
      <c r="C404" s="738"/>
      <c r="D404" s="738"/>
      <c r="E404" s="738"/>
      <c r="F404" s="738"/>
      <c r="G404" s="738"/>
      <c r="H404" s="738"/>
      <c r="I404" s="738"/>
      <c r="J404" s="738"/>
      <c r="K404" s="738"/>
      <c r="L404" s="738"/>
      <c r="M404" s="738"/>
      <c r="N404" s="738"/>
      <c r="O404" s="738"/>
      <c r="P404" s="738"/>
      <c r="Q404" s="738"/>
      <c r="R404" s="738"/>
      <c r="S404" s="738"/>
      <c r="T404" s="738"/>
      <c r="U404" s="738"/>
      <c r="V404" s="738"/>
      <c r="W404" s="738"/>
      <c r="X404" s="738"/>
      <c r="Y404" s="738"/>
      <c r="Z404" s="738"/>
    </row>
    <row r="405">
      <c r="A405" s="738"/>
      <c r="B405" s="738"/>
      <c r="C405" s="738"/>
      <c r="D405" s="738"/>
      <c r="E405" s="738"/>
      <c r="F405" s="738"/>
      <c r="G405" s="738"/>
      <c r="H405" s="738"/>
      <c r="I405" s="738"/>
      <c r="J405" s="738"/>
      <c r="K405" s="738"/>
      <c r="L405" s="738"/>
      <c r="M405" s="738"/>
      <c r="N405" s="738"/>
      <c r="O405" s="738"/>
      <c r="P405" s="738"/>
      <c r="Q405" s="738"/>
      <c r="R405" s="738"/>
      <c r="S405" s="738"/>
      <c r="T405" s="738"/>
      <c r="U405" s="738"/>
      <c r="V405" s="738"/>
      <c r="W405" s="738"/>
      <c r="X405" s="738"/>
      <c r="Y405" s="738"/>
      <c r="Z405" s="738"/>
    </row>
    <row r="406">
      <c r="A406" s="738"/>
      <c r="B406" s="738"/>
      <c r="C406" s="738"/>
      <c r="D406" s="738"/>
      <c r="E406" s="738"/>
      <c r="F406" s="738"/>
      <c r="G406" s="738"/>
      <c r="H406" s="738"/>
      <c r="I406" s="738"/>
      <c r="J406" s="738"/>
      <c r="K406" s="738"/>
      <c r="L406" s="738"/>
      <c r="M406" s="738"/>
      <c r="N406" s="738"/>
      <c r="O406" s="738"/>
      <c r="P406" s="738"/>
      <c r="Q406" s="738"/>
      <c r="R406" s="738"/>
      <c r="S406" s="738"/>
      <c r="T406" s="738"/>
      <c r="U406" s="738"/>
      <c r="V406" s="738"/>
      <c r="W406" s="738"/>
      <c r="X406" s="738"/>
      <c r="Y406" s="738"/>
      <c r="Z406" s="738"/>
    </row>
    <row r="407">
      <c r="A407" s="738"/>
      <c r="B407" s="738"/>
      <c r="C407" s="738"/>
      <c r="D407" s="738"/>
      <c r="E407" s="738"/>
      <c r="F407" s="738"/>
      <c r="G407" s="738"/>
      <c r="H407" s="738"/>
      <c r="I407" s="738"/>
      <c r="J407" s="738"/>
      <c r="K407" s="738"/>
      <c r="L407" s="738"/>
      <c r="M407" s="738"/>
      <c r="N407" s="738"/>
      <c r="O407" s="738"/>
      <c r="P407" s="738"/>
      <c r="Q407" s="738"/>
      <c r="R407" s="738"/>
      <c r="S407" s="738"/>
      <c r="T407" s="738"/>
      <c r="U407" s="738"/>
      <c r="V407" s="738"/>
      <c r="W407" s="738"/>
      <c r="X407" s="738"/>
      <c r="Y407" s="738"/>
      <c r="Z407" s="738"/>
    </row>
    <row r="408">
      <c r="A408" s="738"/>
      <c r="B408" s="738"/>
      <c r="C408" s="738"/>
      <c r="D408" s="738"/>
      <c r="E408" s="738"/>
      <c r="F408" s="738"/>
      <c r="G408" s="738"/>
      <c r="H408" s="738"/>
      <c r="I408" s="738"/>
      <c r="J408" s="738"/>
      <c r="K408" s="738"/>
      <c r="L408" s="738"/>
      <c r="M408" s="738"/>
      <c r="N408" s="738"/>
      <c r="O408" s="738"/>
      <c r="P408" s="738"/>
      <c r="Q408" s="738"/>
      <c r="R408" s="738"/>
      <c r="S408" s="738"/>
      <c r="T408" s="738"/>
      <c r="U408" s="738"/>
      <c r="V408" s="738"/>
      <c r="W408" s="738"/>
      <c r="X408" s="738"/>
      <c r="Y408" s="738"/>
      <c r="Z408" s="738"/>
    </row>
    <row r="409">
      <c r="A409" s="738"/>
      <c r="B409" s="738"/>
      <c r="C409" s="738"/>
      <c r="D409" s="738"/>
      <c r="E409" s="738"/>
      <c r="F409" s="738"/>
      <c r="G409" s="738"/>
      <c r="H409" s="738"/>
      <c r="I409" s="738"/>
      <c r="J409" s="738"/>
      <c r="K409" s="738"/>
      <c r="L409" s="738"/>
      <c r="M409" s="738"/>
      <c r="N409" s="738"/>
      <c r="O409" s="738"/>
      <c r="P409" s="738"/>
      <c r="Q409" s="738"/>
      <c r="R409" s="738"/>
      <c r="S409" s="738"/>
      <c r="T409" s="738"/>
      <c r="U409" s="738"/>
      <c r="V409" s="738"/>
      <c r="W409" s="738"/>
      <c r="X409" s="738"/>
      <c r="Y409" s="738"/>
      <c r="Z409" s="738"/>
    </row>
    <row r="410">
      <c r="A410" s="738"/>
      <c r="B410" s="738"/>
      <c r="C410" s="738"/>
      <c r="D410" s="738"/>
      <c r="E410" s="738"/>
      <c r="F410" s="738"/>
      <c r="G410" s="738"/>
      <c r="H410" s="738"/>
      <c r="I410" s="738"/>
      <c r="J410" s="738"/>
      <c r="K410" s="738"/>
      <c r="L410" s="738"/>
      <c r="M410" s="738"/>
      <c r="N410" s="738"/>
      <c r="O410" s="738"/>
      <c r="P410" s="738"/>
      <c r="Q410" s="738"/>
      <c r="R410" s="738"/>
      <c r="S410" s="738"/>
      <c r="T410" s="738"/>
      <c r="U410" s="738"/>
      <c r="V410" s="738"/>
      <c r="W410" s="738"/>
      <c r="X410" s="738"/>
      <c r="Y410" s="738"/>
      <c r="Z410" s="738"/>
    </row>
    <row r="411">
      <c r="A411" s="738"/>
      <c r="B411" s="738"/>
      <c r="C411" s="738"/>
      <c r="D411" s="738"/>
      <c r="E411" s="738"/>
      <c r="F411" s="738"/>
      <c r="G411" s="738"/>
      <c r="H411" s="738"/>
      <c r="I411" s="738"/>
      <c r="J411" s="738"/>
      <c r="K411" s="738"/>
      <c r="L411" s="738"/>
      <c r="M411" s="738"/>
      <c r="N411" s="738"/>
      <c r="O411" s="738"/>
      <c r="P411" s="738"/>
      <c r="Q411" s="738"/>
      <c r="R411" s="738"/>
      <c r="S411" s="738"/>
      <c r="T411" s="738"/>
      <c r="U411" s="738"/>
      <c r="V411" s="738"/>
      <c r="W411" s="738"/>
      <c r="X411" s="738"/>
      <c r="Y411" s="738"/>
      <c r="Z411" s="738"/>
    </row>
    <row r="412">
      <c r="A412" s="738"/>
      <c r="B412" s="738"/>
      <c r="C412" s="738"/>
      <c r="D412" s="738"/>
      <c r="E412" s="738"/>
      <c r="F412" s="738"/>
      <c r="G412" s="738"/>
      <c r="H412" s="738"/>
      <c r="I412" s="738"/>
      <c r="J412" s="738"/>
      <c r="K412" s="738"/>
      <c r="L412" s="738"/>
      <c r="M412" s="738"/>
      <c r="N412" s="738"/>
      <c r="O412" s="738"/>
      <c r="P412" s="738"/>
      <c r="Q412" s="738"/>
      <c r="R412" s="738"/>
      <c r="S412" s="738"/>
      <c r="T412" s="738"/>
      <c r="U412" s="738"/>
      <c r="V412" s="738"/>
      <c r="W412" s="738"/>
      <c r="X412" s="738"/>
      <c r="Y412" s="738"/>
      <c r="Z412" s="738"/>
    </row>
    <row r="413">
      <c r="A413" s="738"/>
      <c r="B413" s="738"/>
      <c r="C413" s="738"/>
      <c r="D413" s="738"/>
      <c r="E413" s="738"/>
      <c r="F413" s="738"/>
      <c r="G413" s="738"/>
      <c r="H413" s="738"/>
      <c r="I413" s="738"/>
      <c r="J413" s="738"/>
      <c r="K413" s="738"/>
      <c r="L413" s="738"/>
      <c r="M413" s="738"/>
      <c r="N413" s="738"/>
      <c r="O413" s="738"/>
      <c r="P413" s="738"/>
      <c r="Q413" s="738"/>
      <c r="R413" s="738"/>
      <c r="S413" s="738"/>
      <c r="T413" s="738"/>
      <c r="U413" s="738"/>
      <c r="V413" s="738"/>
      <c r="W413" s="738"/>
      <c r="X413" s="738"/>
      <c r="Y413" s="738"/>
      <c r="Z413" s="738"/>
    </row>
    <row r="414">
      <c r="A414" s="738"/>
      <c r="B414" s="738"/>
      <c r="C414" s="738"/>
      <c r="D414" s="738"/>
      <c r="E414" s="738"/>
      <c r="F414" s="738"/>
      <c r="G414" s="738"/>
      <c r="H414" s="738"/>
      <c r="I414" s="738"/>
      <c r="J414" s="738"/>
      <c r="K414" s="738"/>
      <c r="L414" s="738"/>
      <c r="M414" s="738"/>
      <c r="N414" s="738"/>
      <c r="O414" s="738"/>
      <c r="P414" s="738"/>
      <c r="Q414" s="738"/>
      <c r="R414" s="738"/>
      <c r="S414" s="738"/>
      <c r="T414" s="738"/>
      <c r="U414" s="738"/>
      <c r="V414" s="738"/>
      <c r="W414" s="738"/>
      <c r="X414" s="738"/>
      <c r="Y414" s="738"/>
      <c r="Z414" s="738"/>
    </row>
    <row r="415">
      <c r="A415" s="738"/>
      <c r="B415" s="738"/>
      <c r="C415" s="738"/>
      <c r="D415" s="738"/>
      <c r="E415" s="738"/>
      <c r="F415" s="738"/>
      <c r="G415" s="738"/>
      <c r="H415" s="738"/>
      <c r="I415" s="738"/>
      <c r="J415" s="738"/>
      <c r="K415" s="738"/>
      <c r="L415" s="738"/>
      <c r="M415" s="738"/>
      <c r="N415" s="738"/>
      <c r="O415" s="738"/>
      <c r="P415" s="738"/>
      <c r="Q415" s="738"/>
      <c r="R415" s="738"/>
      <c r="S415" s="738"/>
      <c r="T415" s="738"/>
      <c r="U415" s="738"/>
      <c r="V415" s="738"/>
      <c r="W415" s="738"/>
      <c r="X415" s="738"/>
      <c r="Y415" s="738"/>
      <c r="Z415" s="738"/>
    </row>
    <row r="416">
      <c r="A416" s="738"/>
      <c r="B416" s="738"/>
      <c r="C416" s="738"/>
      <c r="D416" s="738"/>
      <c r="E416" s="738"/>
      <c r="F416" s="738"/>
      <c r="G416" s="738"/>
      <c r="H416" s="738"/>
      <c r="I416" s="738"/>
      <c r="J416" s="738"/>
      <c r="K416" s="738"/>
      <c r="L416" s="738"/>
      <c r="M416" s="738"/>
      <c r="N416" s="738"/>
      <c r="O416" s="738"/>
      <c r="P416" s="738"/>
      <c r="Q416" s="738"/>
      <c r="R416" s="738"/>
      <c r="S416" s="738"/>
      <c r="T416" s="738"/>
      <c r="U416" s="738"/>
      <c r="V416" s="738"/>
      <c r="W416" s="738"/>
      <c r="X416" s="738"/>
      <c r="Y416" s="738"/>
      <c r="Z416" s="738"/>
    </row>
    <row r="417">
      <c r="A417" s="738"/>
      <c r="B417" s="738"/>
      <c r="C417" s="738"/>
      <c r="D417" s="738"/>
      <c r="E417" s="738"/>
      <c r="F417" s="738"/>
      <c r="G417" s="738"/>
      <c r="H417" s="738"/>
      <c r="I417" s="738"/>
      <c r="J417" s="738"/>
      <c r="K417" s="738"/>
      <c r="L417" s="738"/>
      <c r="M417" s="738"/>
      <c r="N417" s="738"/>
      <c r="O417" s="738"/>
      <c r="P417" s="738"/>
      <c r="Q417" s="738"/>
      <c r="R417" s="738"/>
      <c r="S417" s="738"/>
      <c r="T417" s="738"/>
      <c r="U417" s="738"/>
      <c r="V417" s="738"/>
      <c r="W417" s="738"/>
      <c r="X417" s="738"/>
      <c r="Y417" s="738"/>
      <c r="Z417" s="738"/>
    </row>
    <row r="418">
      <c r="A418" s="738"/>
      <c r="B418" s="738"/>
      <c r="C418" s="738"/>
      <c r="D418" s="738"/>
      <c r="E418" s="738"/>
      <c r="F418" s="738"/>
      <c r="G418" s="738"/>
      <c r="H418" s="738"/>
      <c r="I418" s="738"/>
      <c r="J418" s="738"/>
      <c r="K418" s="738"/>
      <c r="L418" s="738"/>
      <c r="M418" s="738"/>
      <c r="N418" s="738"/>
      <c r="O418" s="738"/>
      <c r="P418" s="738"/>
      <c r="Q418" s="738"/>
      <c r="R418" s="738"/>
      <c r="S418" s="738"/>
      <c r="T418" s="738"/>
      <c r="U418" s="738"/>
      <c r="V418" s="738"/>
      <c r="W418" s="738"/>
      <c r="X418" s="738"/>
      <c r="Y418" s="738"/>
      <c r="Z418" s="738"/>
    </row>
    <row r="419">
      <c r="A419" s="738"/>
      <c r="B419" s="738"/>
      <c r="C419" s="738"/>
      <c r="D419" s="738"/>
      <c r="E419" s="738"/>
      <c r="F419" s="738"/>
      <c r="G419" s="738"/>
      <c r="H419" s="738"/>
      <c r="I419" s="738"/>
      <c r="J419" s="738"/>
      <c r="K419" s="738"/>
      <c r="L419" s="738"/>
      <c r="M419" s="738"/>
      <c r="N419" s="738"/>
      <c r="O419" s="738"/>
      <c r="P419" s="738"/>
      <c r="Q419" s="738"/>
      <c r="R419" s="738"/>
      <c r="S419" s="738"/>
      <c r="T419" s="738"/>
      <c r="U419" s="738"/>
      <c r="V419" s="738"/>
      <c r="W419" s="738"/>
      <c r="X419" s="738"/>
      <c r="Y419" s="738"/>
      <c r="Z419" s="738"/>
    </row>
    <row r="420">
      <c r="A420" s="738"/>
      <c r="B420" s="738"/>
      <c r="C420" s="738"/>
      <c r="D420" s="738"/>
      <c r="E420" s="738"/>
      <c r="F420" s="738"/>
      <c r="G420" s="738"/>
      <c r="H420" s="738"/>
      <c r="I420" s="738"/>
      <c r="J420" s="738"/>
      <c r="K420" s="738"/>
      <c r="L420" s="738"/>
      <c r="M420" s="738"/>
      <c r="N420" s="738"/>
      <c r="O420" s="738"/>
      <c r="P420" s="738"/>
      <c r="Q420" s="738"/>
      <c r="R420" s="738"/>
      <c r="S420" s="738"/>
      <c r="T420" s="738"/>
      <c r="U420" s="738"/>
      <c r="V420" s="738"/>
      <c r="W420" s="738"/>
      <c r="X420" s="738"/>
      <c r="Y420" s="738"/>
      <c r="Z420" s="738"/>
    </row>
    <row r="421">
      <c r="A421" s="738"/>
      <c r="B421" s="738"/>
      <c r="C421" s="738"/>
      <c r="D421" s="738"/>
      <c r="E421" s="738"/>
      <c r="F421" s="738"/>
      <c r="G421" s="738"/>
      <c r="H421" s="738"/>
      <c r="I421" s="738"/>
      <c r="J421" s="738"/>
      <c r="K421" s="738"/>
      <c r="L421" s="738"/>
      <c r="M421" s="738"/>
      <c r="N421" s="738"/>
      <c r="O421" s="738"/>
      <c r="P421" s="738"/>
      <c r="Q421" s="738"/>
      <c r="R421" s="738"/>
      <c r="S421" s="738"/>
      <c r="T421" s="738"/>
      <c r="U421" s="738"/>
      <c r="V421" s="738"/>
      <c r="W421" s="738"/>
      <c r="X421" s="738"/>
      <c r="Y421" s="738"/>
      <c r="Z421" s="738"/>
    </row>
    <row r="422">
      <c r="A422" s="738"/>
      <c r="B422" s="738"/>
      <c r="C422" s="738"/>
      <c r="D422" s="738"/>
      <c r="E422" s="738"/>
      <c r="F422" s="738"/>
      <c r="G422" s="738"/>
      <c r="H422" s="738"/>
      <c r="I422" s="738"/>
      <c r="J422" s="738"/>
      <c r="K422" s="738"/>
      <c r="L422" s="738"/>
      <c r="M422" s="738"/>
      <c r="N422" s="738"/>
      <c r="O422" s="738"/>
      <c r="P422" s="738"/>
      <c r="Q422" s="738"/>
      <c r="R422" s="738"/>
      <c r="S422" s="738"/>
      <c r="T422" s="738"/>
      <c r="U422" s="738"/>
      <c r="V422" s="738"/>
      <c r="W422" s="738"/>
      <c r="X422" s="738"/>
      <c r="Y422" s="738"/>
      <c r="Z422" s="738"/>
    </row>
    <row r="423">
      <c r="A423" s="738"/>
      <c r="B423" s="738"/>
      <c r="C423" s="738"/>
      <c r="D423" s="738"/>
      <c r="E423" s="738"/>
      <c r="F423" s="738"/>
      <c r="G423" s="738"/>
      <c r="H423" s="738"/>
      <c r="I423" s="738"/>
      <c r="J423" s="738"/>
      <c r="K423" s="738"/>
      <c r="L423" s="738"/>
      <c r="M423" s="738"/>
      <c r="N423" s="738"/>
      <c r="O423" s="738"/>
      <c r="P423" s="738"/>
      <c r="Q423" s="738"/>
      <c r="R423" s="738"/>
      <c r="S423" s="738"/>
      <c r="T423" s="738"/>
      <c r="U423" s="738"/>
      <c r="V423" s="738"/>
      <c r="W423" s="738"/>
      <c r="X423" s="738"/>
      <c r="Y423" s="738"/>
      <c r="Z423" s="738"/>
    </row>
    <row r="424">
      <c r="A424" s="738"/>
      <c r="B424" s="738"/>
      <c r="C424" s="738"/>
      <c r="D424" s="738"/>
      <c r="E424" s="738"/>
      <c r="F424" s="738"/>
      <c r="G424" s="738"/>
      <c r="H424" s="738"/>
      <c r="I424" s="738"/>
      <c r="J424" s="738"/>
      <c r="K424" s="738"/>
      <c r="L424" s="738"/>
      <c r="M424" s="738"/>
      <c r="N424" s="738"/>
      <c r="O424" s="738"/>
      <c r="P424" s="738"/>
      <c r="Q424" s="738"/>
      <c r="R424" s="738"/>
      <c r="S424" s="738"/>
      <c r="T424" s="738"/>
      <c r="U424" s="738"/>
      <c r="V424" s="738"/>
      <c r="W424" s="738"/>
      <c r="X424" s="738"/>
      <c r="Y424" s="738"/>
      <c r="Z424" s="738"/>
    </row>
    <row r="425">
      <c r="A425" s="738"/>
      <c r="B425" s="738"/>
      <c r="C425" s="738"/>
      <c r="D425" s="738"/>
      <c r="E425" s="738"/>
      <c r="F425" s="738"/>
      <c r="G425" s="738"/>
      <c r="H425" s="738"/>
      <c r="I425" s="738"/>
      <c r="J425" s="738"/>
      <c r="K425" s="738"/>
      <c r="L425" s="738"/>
      <c r="M425" s="738"/>
      <c r="N425" s="738"/>
      <c r="O425" s="738"/>
      <c r="P425" s="738"/>
      <c r="Q425" s="738"/>
      <c r="R425" s="738"/>
      <c r="S425" s="738"/>
      <c r="T425" s="738"/>
      <c r="U425" s="738"/>
      <c r="V425" s="738"/>
      <c r="W425" s="738"/>
      <c r="X425" s="738"/>
      <c r="Y425" s="738"/>
      <c r="Z425" s="738"/>
    </row>
    <row r="426">
      <c r="A426" s="738"/>
      <c r="B426" s="738"/>
      <c r="C426" s="738"/>
      <c r="D426" s="738"/>
      <c r="E426" s="738"/>
      <c r="F426" s="738"/>
      <c r="G426" s="738"/>
      <c r="H426" s="738"/>
      <c r="I426" s="738"/>
      <c r="J426" s="738"/>
      <c r="K426" s="738"/>
      <c r="L426" s="738"/>
      <c r="M426" s="738"/>
      <c r="N426" s="738"/>
      <c r="O426" s="738"/>
      <c r="P426" s="738"/>
      <c r="Q426" s="738"/>
      <c r="R426" s="738"/>
      <c r="S426" s="738"/>
      <c r="T426" s="738"/>
      <c r="U426" s="738"/>
      <c r="V426" s="738"/>
      <c r="W426" s="738"/>
      <c r="X426" s="738"/>
      <c r="Y426" s="738"/>
      <c r="Z426" s="738"/>
    </row>
    <row r="427">
      <c r="A427" s="738"/>
      <c r="B427" s="738"/>
      <c r="C427" s="738"/>
      <c r="D427" s="738"/>
      <c r="E427" s="738"/>
      <c r="F427" s="738"/>
      <c r="G427" s="738"/>
      <c r="H427" s="738"/>
      <c r="I427" s="738"/>
      <c r="J427" s="738"/>
      <c r="K427" s="738"/>
      <c r="L427" s="738"/>
      <c r="M427" s="738"/>
      <c r="N427" s="738"/>
      <c r="O427" s="738"/>
      <c r="P427" s="738"/>
      <c r="Q427" s="738"/>
      <c r="R427" s="738"/>
      <c r="S427" s="738"/>
      <c r="T427" s="738"/>
      <c r="U427" s="738"/>
      <c r="V427" s="738"/>
      <c r="W427" s="738"/>
      <c r="X427" s="738"/>
      <c r="Y427" s="738"/>
      <c r="Z427" s="738"/>
    </row>
    <row r="428">
      <c r="A428" s="738"/>
      <c r="B428" s="738"/>
      <c r="C428" s="738"/>
      <c r="D428" s="738"/>
      <c r="E428" s="738"/>
      <c r="F428" s="738"/>
      <c r="G428" s="738"/>
      <c r="H428" s="738"/>
      <c r="I428" s="738"/>
      <c r="J428" s="738"/>
      <c r="K428" s="738"/>
      <c r="L428" s="738"/>
      <c r="M428" s="738"/>
      <c r="N428" s="738"/>
      <c r="O428" s="738"/>
      <c r="P428" s="738"/>
      <c r="Q428" s="738"/>
      <c r="R428" s="738"/>
      <c r="S428" s="738"/>
      <c r="T428" s="738"/>
      <c r="U428" s="738"/>
      <c r="V428" s="738"/>
      <c r="W428" s="738"/>
      <c r="X428" s="738"/>
      <c r="Y428" s="738"/>
      <c r="Z428" s="738"/>
    </row>
    <row r="429">
      <c r="A429" s="738"/>
      <c r="B429" s="738"/>
      <c r="C429" s="738"/>
      <c r="D429" s="738"/>
      <c r="E429" s="738"/>
      <c r="F429" s="738"/>
      <c r="G429" s="738"/>
      <c r="H429" s="738"/>
      <c r="I429" s="738"/>
      <c r="J429" s="738"/>
      <c r="K429" s="738"/>
      <c r="L429" s="738"/>
      <c r="M429" s="738"/>
      <c r="N429" s="738"/>
      <c r="O429" s="738"/>
      <c r="P429" s="738"/>
      <c r="Q429" s="738"/>
      <c r="R429" s="738"/>
      <c r="S429" s="738"/>
      <c r="T429" s="738"/>
      <c r="U429" s="738"/>
      <c r="V429" s="738"/>
      <c r="W429" s="738"/>
      <c r="X429" s="738"/>
      <c r="Y429" s="738"/>
      <c r="Z429" s="738"/>
    </row>
    <row r="430">
      <c r="A430" s="738"/>
      <c r="B430" s="738"/>
      <c r="C430" s="738"/>
      <c r="D430" s="738"/>
      <c r="E430" s="738"/>
      <c r="F430" s="738"/>
      <c r="G430" s="738"/>
      <c r="H430" s="738"/>
      <c r="I430" s="738"/>
      <c r="J430" s="738"/>
      <c r="K430" s="738"/>
      <c r="L430" s="738"/>
      <c r="M430" s="738"/>
      <c r="N430" s="738"/>
      <c r="O430" s="738"/>
      <c r="P430" s="738"/>
      <c r="Q430" s="738"/>
      <c r="R430" s="738"/>
      <c r="S430" s="738"/>
      <c r="T430" s="738"/>
      <c r="U430" s="738"/>
      <c r="V430" s="738"/>
      <c r="W430" s="738"/>
      <c r="X430" s="738"/>
      <c r="Y430" s="738"/>
      <c r="Z430" s="738"/>
    </row>
    <row r="431">
      <c r="A431" s="738"/>
      <c r="B431" s="738"/>
      <c r="C431" s="738"/>
      <c r="D431" s="738"/>
      <c r="E431" s="738"/>
      <c r="F431" s="738"/>
      <c r="G431" s="738"/>
      <c r="H431" s="738"/>
      <c r="I431" s="738"/>
      <c r="J431" s="738"/>
      <c r="K431" s="738"/>
      <c r="L431" s="738"/>
      <c r="M431" s="738"/>
      <c r="N431" s="738"/>
      <c r="O431" s="738"/>
      <c r="P431" s="738"/>
      <c r="Q431" s="738"/>
      <c r="R431" s="738"/>
      <c r="S431" s="738"/>
      <c r="T431" s="738"/>
      <c r="U431" s="738"/>
      <c r="V431" s="738"/>
      <c r="W431" s="738"/>
      <c r="X431" s="738"/>
      <c r="Y431" s="738"/>
      <c r="Z431" s="738"/>
    </row>
    <row r="432">
      <c r="A432" s="738"/>
      <c r="B432" s="738"/>
      <c r="C432" s="738"/>
      <c r="D432" s="738"/>
      <c r="E432" s="738"/>
      <c r="F432" s="738"/>
      <c r="G432" s="738"/>
      <c r="H432" s="738"/>
      <c r="I432" s="738"/>
      <c r="J432" s="738"/>
      <c r="K432" s="738"/>
      <c r="L432" s="738"/>
      <c r="M432" s="738"/>
      <c r="N432" s="738"/>
      <c r="O432" s="738"/>
      <c r="P432" s="738"/>
      <c r="Q432" s="738"/>
      <c r="R432" s="738"/>
      <c r="S432" s="738"/>
      <c r="T432" s="738"/>
      <c r="U432" s="738"/>
      <c r="V432" s="738"/>
      <c r="W432" s="738"/>
      <c r="X432" s="738"/>
      <c r="Y432" s="738"/>
      <c r="Z432" s="738"/>
    </row>
    <row r="433">
      <c r="A433" s="738"/>
      <c r="B433" s="738"/>
      <c r="C433" s="738"/>
      <c r="D433" s="738"/>
      <c r="E433" s="738"/>
      <c r="F433" s="738"/>
      <c r="G433" s="738"/>
      <c r="H433" s="738"/>
      <c r="I433" s="738"/>
      <c r="J433" s="738"/>
      <c r="K433" s="738"/>
      <c r="L433" s="738"/>
      <c r="M433" s="738"/>
      <c r="N433" s="738"/>
      <c r="O433" s="738"/>
      <c r="P433" s="738"/>
      <c r="Q433" s="738"/>
      <c r="R433" s="738"/>
      <c r="S433" s="738"/>
      <c r="T433" s="738"/>
      <c r="U433" s="738"/>
      <c r="V433" s="738"/>
      <c r="W433" s="738"/>
      <c r="X433" s="738"/>
      <c r="Y433" s="738"/>
      <c r="Z433" s="738"/>
    </row>
    <row r="434">
      <c r="A434" s="738"/>
      <c r="B434" s="738"/>
      <c r="C434" s="738"/>
      <c r="D434" s="738"/>
      <c r="E434" s="738"/>
      <c r="F434" s="738"/>
      <c r="G434" s="738"/>
      <c r="H434" s="738"/>
      <c r="I434" s="738"/>
      <c r="J434" s="738"/>
      <c r="K434" s="738"/>
      <c r="L434" s="738"/>
      <c r="M434" s="738"/>
      <c r="N434" s="738"/>
      <c r="O434" s="738"/>
      <c r="P434" s="738"/>
      <c r="Q434" s="738"/>
      <c r="R434" s="738"/>
      <c r="S434" s="738"/>
      <c r="T434" s="738"/>
      <c r="U434" s="738"/>
      <c r="V434" s="738"/>
      <c r="W434" s="738"/>
      <c r="X434" s="738"/>
      <c r="Y434" s="738"/>
      <c r="Z434" s="738"/>
    </row>
    <row r="435">
      <c r="A435" s="738"/>
      <c r="B435" s="738"/>
      <c r="C435" s="738"/>
      <c r="D435" s="738"/>
      <c r="E435" s="738"/>
      <c r="F435" s="738"/>
      <c r="G435" s="738"/>
      <c r="H435" s="738"/>
      <c r="I435" s="738"/>
      <c r="J435" s="738"/>
      <c r="K435" s="738"/>
      <c r="L435" s="738"/>
      <c r="M435" s="738"/>
      <c r="N435" s="738"/>
      <c r="O435" s="738"/>
      <c r="P435" s="738"/>
      <c r="Q435" s="738"/>
      <c r="R435" s="738"/>
      <c r="S435" s="738"/>
      <c r="T435" s="738"/>
      <c r="U435" s="738"/>
      <c r="V435" s="738"/>
      <c r="W435" s="738"/>
      <c r="X435" s="738"/>
      <c r="Y435" s="738"/>
      <c r="Z435" s="738"/>
    </row>
    <row r="436">
      <c r="A436" s="738"/>
      <c r="B436" s="738"/>
      <c r="C436" s="738"/>
      <c r="D436" s="738"/>
      <c r="E436" s="738"/>
      <c r="F436" s="738"/>
      <c r="G436" s="738"/>
      <c r="H436" s="738"/>
      <c r="I436" s="738"/>
      <c r="J436" s="738"/>
      <c r="K436" s="738"/>
      <c r="L436" s="738"/>
      <c r="M436" s="738"/>
      <c r="N436" s="738"/>
      <c r="O436" s="738"/>
      <c r="P436" s="738"/>
      <c r="Q436" s="738"/>
      <c r="R436" s="738"/>
      <c r="S436" s="738"/>
      <c r="T436" s="738"/>
      <c r="U436" s="738"/>
      <c r="V436" s="738"/>
      <c r="W436" s="738"/>
      <c r="X436" s="738"/>
      <c r="Y436" s="738"/>
      <c r="Z436" s="738"/>
    </row>
    <row r="437">
      <c r="A437" s="738"/>
      <c r="B437" s="738"/>
      <c r="C437" s="738"/>
      <c r="D437" s="738"/>
      <c r="E437" s="738"/>
      <c r="F437" s="738"/>
      <c r="G437" s="738"/>
      <c r="H437" s="738"/>
      <c r="I437" s="738"/>
      <c r="J437" s="738"/>
      <c r="K437" s="738"/>
      <c r="L437" s="738"/>
      <c r="M437" s="738"/>
      <c r="N437" s="738"/>
      <c r="O437" s="738"/>
      <c r="P437" s="738"/>
      <c r="Q437" s="738"/>
      <c r="R437" s="738"/>
      <c r="S437" s="738"/>
      <c r="T437" s="738"/>
      <c r="U437" s="738"/>
      <c r="V437" s="738"/>
      <c r="W437" s="738"/>
      <c r="X437" s="738"/>
      <c r="Y437" s="738"/>
      <c r="Z437" s="738"/>
    </row>
    <row r="438">
      <c r="A438" s="738"/>
      <c r="B438" s="738"/>
      <c r="C438" s="738"/>
      <c r="D438" s="738"/>
      <c r="E438" s="738"/>
      <c r="F438" s="738"/>
      <c r="G438" s="738"/>
      <c r="H438" s="738"/>
      <c r="I438" s="738"/>
      <c r="J438" s="738"/>
      <c r="K438" s="738"/>
      <c r="L438" s="738"/>
      <c r="M438" s="738"/>
      <c r="N438" s="738"/>
      <c r="O438" s="738"/>
      <c r="P438" s="738"/>
      <c r="Q438" s="738"/>
      <c r="R438" s="738"/>
      <c r="S438" s="738"/>
      <c r="T438" s="738"/>
      <c r="U438" s="738"/>
      <c r="V438" s="738"/>
      <c r="W438" s="738"/>
      <c r="X438" s="738"/>
      <c r="Y438" s="738"/>
      <c r="Z438" s="738"/>
    </row>
    <row r="439">
      <c r="A439" s="738"/>
      <c r="B439" s="738"/>
      <c r="C439" s="738"/>
      <c r="D439" s="738"/>
      <c r="E439" s="738"/>
      <c r="F439" s="738"/>
      <c r="G439" s="738"/>
      <c r="H439" s="738"/>
      <c r="I439" s="738"/>
      <c r="J439" s="738"/>
      <c r="K439" s="738"/>
      <c r="L439" s="738"/>
      <c r="M439" s="738"/>
      <c r="N439" s="738"/>
      <c r="O439" s="738"/>
      <c r="P439" s="738"/>
      <c r="Q439" s="738"/>
      <c r="R439" s="738"/>
      <c r="S439" s="738"/>
      <c r="T439" s="738"/>
      <c r="U439" s="738"/>
      <c r="V439" s="738"/>
      <c r="W439" s="738"/>
      <c r="X439" s="738"/>
      <c r="Y439" s="738"/>
      <c r="Z439" s="738"/>
    </row>
    <row r="440">
      <c r="A440" s="738"/>
      <c r="B440" s="738"/>
      <c r="C440" s="738"/>
      <c r="D440" s="738"/>
      <c r="E440" s="738"/>
      <c r="F440" s="738"/>
      <c r="G440" s="738"/>
      <c r="H440" s="738"/>
      <c r="I440" s="738"/>
      <c r="J440" s="738"/>
      <c r="K440" s="738"/>
      <c r="L440" s="738"/>
      <c r="M440" s="738"/>
      <c r="N440" s="738"/>
      <c r="O440" s="738"/>
      <c r="P440" s="738"/>
      <c r="Q440" s="738"/>
      <c r="R440" s="738"/>
      <c r="S440" s="738"/>
      <c r="T440" s="738"/>
      <c r="U440" s="738"/>
      <c r="V440" s="738"/>
      <c r="W440" s="738"/>
      <c r="X440" s="738"/>
      <c r="Y440" s="738"/>
      <c r="Z440" s="738"/>
    </row>
    <row r="441">
      <c r="A441" s="738"/>
      <c r="B441" s="738"/>
      <c r="C441" s="738"/>
      <c r="D441" s="738"/>
      <c r="E441" s="738"/>
      <c r="F441" s="738"/>
      <c r="G441" s="738"/>
      <c r="H441" s="738"/>
      <c r="I441" s="738"/>
      <c r="J441" s="738"/>
      <c r="K441" s="738"/>
      <c r="L441" s="738"/>
      <c r="M441" s="738"/>
      <c r="N441" s="738"/>
      <c r="O441" s="738"/>
      <c r="P441" s="738"/>
      <c r="Q441" s="738"/>
      <c r="R441" s="738"/>
      <c r="S441" s="738"/>
      <c r="T441" s="738"/>
      <c r="U441" s="738"/>
      <c r="V441" s="738"/>
      <c r="W441" s="738"/>
      <c r="X441" s="738"/>
      <c r="Y441" s="738"/>
      <c r="Z441" s="738"/>
    </row>
    <row r="442">
      <c r="A442" s="738"/>
      <c r="B442" s="738"/>
      <c r="C442" s="738"/>
      <c r="D442" s="738"/>
      <c r="E442" s="738"/>
      <c r="F442" s="738"/>
      <c r="G442" s="738"/>
      <c r="H442" s="738"/>
      <c r="I442" s="738"/>
      <c r="J442" s="738"/>
      <c r="K442" s="738"/>
      <c r="L442" s="738"/>
      <c r="M442" s="738"/>
      <c r="N442" s="738"/>
      <c r="O442" s="738"/>
      <c r="P442" s="738"/>
      <c r="Q442" s="738"/>
      <c r="R442" s="738"/>
      <c r="S442" s="738"/>
      <c r="T442" s="738"/>
      <c r="U442" s="738"/>
      <c r="V442" s="738"/>
      <c r="W442" s="738"/>
      <c r="X442" s="738"/>
      <c r="Y442" s="738"/>
      <c r="Z442" s="738"/>
    </row>
    <row r="443">
      <c r="A443" s="738"/>
      <c r="B443" s="738"/>
      <c r="C443" s="738"/>
      <c r="D443" s="738"/>
      <c r="E443" s="738"/>
      <c r="F443" s="738"/>
      <c r="G443" s="738"/>
      <c r="H443" s="738"/>
      <c r="I443" s="738"/>
      <c r="J443" s="738"/>
      <c r="K443" s="738"/>
      <c r="L443" s="738"/>
      <c r="M443" s="738"/>
      <c r="N443" s="738"/>
      <c r="O443" s="738"/>
      <c r="P443" s="738"/>
      <c r="Q443" s="738"/>
      <c r="R443" s="738"/>
      <c r="S443" s="738"/>
      <c r="T443" s="738"/>
      <c r="U443" s="738"/>
      <c r="V443" s="738"/>
      <c r="W443" s="738"/>
      <c r="X443" s="738"/>
      <c r="Y443" s="738"/>
      <c r="Z443" s="738"/>
    </row>
    <row r="444">
      <c r="A444" s="738"/>
      <c r="B444" s="738"/>
      <c r="C444" s="738"/>
      <c r="D444" s="738"/>
      <c r="E444" s="738"/>
      <c r="F444" s="738"/>
      <c r="G444" s="738"/>
      <c r="H444" s="738"/>
      <c r="I444" s="738"/>
      <c r="J444" s="738"/>
      <c r="K444" s="738"/>
      <c r="L444" s="738"/>
      <c r="M444" s="738"/>
      <c r="N444" s="738"/>
      <c r="O444" s="738"/>
      <c r="P444" s="738"/>
      <c r="Q444" s="738"/>
      <c r="R444" s="738"/>
      <c r="S444" s="738"/>
      <c r="T444" s="738"/>
      <c r="U444" s="738"/>
      <c r="V444" s="738"/>
      <c r="W444" s="738"/>
      <c r="X444" s="738"/>
      <c r="Y444" s="738"/>
      <c r="Z444" s="738"/>
    </row>
    <row r="445">
      <c r="A445" s="738"/>
      <c r="B445" s="738"/>
      <c r="C445" s="738"/>
      <c r="D445" s="738"/>
      <c r="E445" s="738"/>
      <c r="F445" s="738"/>
      <c r="G445" s="738"/>
      <c r="H445" s="738"/>
      <c r="I445" s="738"/>
      <c r="J445" s="738"/>
      <c r="K445" s="738"/>
      <c r="L445" s="738"/>
      <c r="M445" s="738"/>
      <c r="N445" s="738"/>
      <c r="O445" s="738"/>
      <c r="P445" s="738"/>
      <c r="Q445" s="738"/>
      <c r="R445" s="738"/>
      <c r="S445" s="738"/>
      <c r="T445" s="738"/>
      <c r="U445" s="738"/>
      <c r="V445" s="738"/>
      <c r="W445" s="738"/>
      <c r="X445" s="738"/>
      <c r="Y445" s="738"/>
      <c r="Z445" s="738"/>
    </row>
    <row r="446">
      <c r="A446" s="738"/>
      <c r="B446" s="738"/>
      <c r="C446" s="738"/>
      <c r="D446" s="738"/>
      <c r="E446" s="738"/>
      <c r="F446" s="738"/>
      <c r="G446" s="738"/>
      <c r="H446" s="738"/>
      <c r="I446" s="738"/>
      <c r="J446" s="738"/>
      <c r="K446" s="738"/>
      <c r="L446" s="738"/>
      <c r="M446" s="738"/>
      <c r="N446" s="738"/>
      <c r="O446" s="738"/>
      <c r="P446" s="738"/>
      <c r="Q446" s="738"/>
      <c r="R446" s="738"/>
      <c r="S446" s="738"/>
      <c r="T446" s="738"/>
      <c r="U446" s="738"/>
      <c r="V446" s="738"/>
      <c r="W446" s="738"/>
      <c r="X446" s="738"/>
      <c r="Y446" s="738"/>
      <c r="Z446" s="738"/>
    </row>
    <row r="447">
      <c r="A447" s="738"/>
      <c r="B447" s="738"/>
      <c r="C447" s="738"/>
      <c r="D447" s="738"/>
      <c r="E447" s="738"/>
      <c r="F447" s="738"/>
      <c r="G447" s="738"/>
      <c r="H447" s="738"/>
      <c r="I447" s="738"/>
      <c r="J447" s="738"/>
      <c r="K447" s="738"/>
      <c r="L447" s="738"/>
      <c r="M447" s="738"/>
      <c r="N447" s="738"/>
      <c r="O447" s="738"/>
      <c r="P447" s="738"/>
      <c r="Q447" s="738"/>
      <c r="R447" s="738"/>
      <c r="S447" s="738"/>
      <c r="T447" s="738"/>
      <c r="U447" s="738"/>
      <c r="V447" s="738"/>
      <c r="W447" s="738"/>
      <c r="X447" s="738"/>
      <c r="Y447" s="738"/>
      <c r="Z447" s="738"/>
    </row>
    <row r="448">
      <c r="A448" s="738"/>
      <c r="B448" s="738"/>
      <c r="C448" s="738"/>
      <c r="D448" s="738"/>
      <c r="E448" s="738"/>
      <c r="F448" s="738"/>
      <c r="G448" s="738"/>
      <c r="H448" s="738"/>
      <c r="I448" s="738"/>
      <c r="J448" s="738"/>
      <c r="K448" s="738"/>
      <c r="L448" s="738"/>
      <c r="M448" s="738"/>
      <c r="N448" s="738"/>
      <c r="O448" s="738"/>
      <c r="P448" s="738"/>
      <c r="Q448" s="738"/>
      <c r="R448" s="738"/>
      <c r="S448" s="738"/>
      <c r="T448" s="738"/>
      <c r="U448" s="738"/>
      <c r="V448" s="738"/>
      <c r="W448" s="738"/>
      <c r="X448" s="738"/>
      <c r="Y448" s="738"/>
      <c r="Z448" s="738"/>
    </row>
    <row r="449">
      <c r="A449" s="738"/>
      <c r="B449" s="738"/>
      <c r="C449" s="738"/>
      <c r="D449" s="738"/>
      <c r="E449" s="738"/>
      <c r="F449" s="738"/>
      <c r="G449" s="738"/>
      <c r="H449" s="738"/>
      <c r="I449" s="738"/>
      <c r="J449" s="738"/>
      <c r="K449" s="738"/>
      <c r="L449" s="738"/>
      <c r="M449" s="738"/>
      <c r="N449" s="738"/>
      <c r="O449" s="738"/>
      <c r="P449" s="738"/>
      <c r="Q449" s="738"/>
      <c r="R449" s="738"/>
      <c r="S449" s="738"/>
      <c r="T449" s="738"/>
      <c r="U449" s="738"/>
      <c r="V449" s="738"/>
      <c r="W449" s="738"/>
      <c r="X449" s="738"/>
      <c r="Y449" s="738"/>
      <c r="Z449" s="738"/>
    </row>
    <row r="450">
      <c r="A450" s="738"/>
      <c r="B450" s="738"/>
      <c r="C450" s="738"/>
      <c r="D450" s="738"/>
      <c r="E450" s="738"/>
      <c r="F450" s="738"/>
      <c r="G450" s="738"/>
      <c r="H450" s="738"/>
      <c r="I450" s="738"/>
      <c r="J450" s="738"/>
      <c r="K450" s="738"/>
      <c r="L450" s="738"/>
      <c r="M450" s="738"/>
      <c r="N450" s="738"/>
      <c r="O450" s="738"/>
      <c r="P450" s="738"/>
      <c r="Q450" s="738"/>
      <c r="R450" s="738"/>
      <c r="S450" s="738"/>
      <c r="T450" s="738"/>
      <c r="U450" s="738"/>
      <c r="V450" s="738"/>
      <c r="W450" s="738"/>
      <c r="X450" s="738"/>
      <c r="Y450" s="738"/>
      <c r="Z450" s="738"/>
    </row>
    <row r="451">
      <c r="A451" s="738"/>
      <c r="B451" s="738"/>
      <c r="C451" s="738"/>
      <c r="D451" s="738"/>
      <c r="E451" s="738"/>
      <c r="F451" s="738"/>
      <c r="G451" s="738"/>
      <c r="H451" s="738"/>
      <c r="I451" s="738"/>
      <c r="J451" s="738"/>
      <c r="K451" s="738"/>
      <c r="L451" s="738"/>
      <c r="M451" s="738"/>
      <c r="N451" s="738"/>
      <c r="O451" s="738"/>
      <c r="P451" s="738"/>
      <c r="Q451" s="738"/>
      <c r="R451" s="738"/>
      <c r="S451" s="738"/>
      <c r="T451" s="738"/>
      <c r="U451" s="738"/>
      <c r="V451" s="738"/>
      <c r="W451" s="738"/>
      <c r="X451" s="738"/>
      <c r="Y451" s="738"/>
      <c r="Z451" s="738"/>
    </row>
    <row r="452">
      <c r="A452" s="738"/>
      <c r="B452" s="738"/>
      <c r="C452" s="738"/>
      <c r="D452" s="738"/>
      <c r="E452" s="738"/>
      <c r="F452" s="738"/>
      <c r="G452" s="738"/>
      <c r="H452" s="738"/>
      <c r="I452" s="738"/>
      <c r="J452" s="738"/>
      <c r="K452" s="738"/>
      <c r="L452" s="738"/>
      <c r="M452" s="738"/>
      <c r="N452" s="738"/>
      <c r="O452" s="738"/>
      <c r="P452" s="738"/>
      <c r="Q452" s="738"/>
      <c r="R452" s="738"/>
      <c r="S452" s="738"/>
      <c r="T452" s="738"/>
      <c r="U452" s="738"/>
      <c r="V452" s="738"/>
      <c r="W452" s="738"/>
      <c r="X452" s="738"/>
      <c r="Y452" s="738"/>
      <c r="Z452" s="738"/>
    </row>
    <row r="453">
      <c r="A453" s="738"/>
      <c r="B453" s="738"/>
      <c r="C453" s="738"/>
      <c r="D453" s="738"/>
      <c r="E453" s="738"/>
      <c r="F453" s="738"/>
      <c r="G453" s="738"/>
      <c r="H453" s="738"/>
      <c r="I453" s="738"/>
      <c r="J453" s="738"/>
      <c r="K453" s="738"/>
      <c r="L453" s="738"/>
      <c r="M453" s="738"/>
      <c r="N453" s="738"/>
      <c r="O453" s="738"/>
      <c r="P453" s="738"/>
      <c r="Q453" s="738"/>
      <c r="R453" s="738"/>
      <c r="S453" s="738"/>
      <c r="T453" s="738"/>
      <c r="U453" s="738"/>
      <c r="V453" s="738"/>
      <c r="W453" s="738"/>
      <c r="X453" s="738"/>
      <c r="Y453" s="738"/>
      <c r="Z453" s="738"/>
    </row>
    <row r="454">
      <c r="A454" s="738"/>
      <c r="B454" s="738"/>
      <c r="C454" s="738"/>
      <c r="D454" s="738"/>
      <c r="E454" s="738"/>
      <c r="F454" s="738"/>
      <c r="G454" s="738"/>
      <c r="H454" s="738"/>
      <c r="I454" s="738"/>
      <c r="J454" s="738"/>
      <c r="K454" s="738"/>
      <c r="L454" s="738"/>
      <c r="M454" s="738"/>
      <c r="N454" s="738"/>
      <c r="O454" s="738"/>
      <c r="P454" s="738"/>
      <c r="Q454" s="738"/>
      <c r="R454" s="738"/>
      <c r="S454" s="738"/>
      <c r="T454" s="738"/>
      <c r="U454" s="738"/>
      <c r="V454" s="738"/>
      <c r="W454" s="738"/>
      <c r="X454" s="738"/>
      <c r="Y454" s="738"/>
      <c r="Z454" s="738"/>
    </row>
    <row r="455">
      <c r="A455" s="738"/>
      <c r="B455" s="738"/>
      <c r="C455" s="738"/>
      <c r="D455" s="738"/>
      <c r="E455" s="738"/>
      <c r="F455" s="738"/>
      <c r="G455" s="738"/>
      <c r="H455" s="738"/>
      <c r="I455" s="738"/>
      <c r="J455" s="738"/>
      <c r="K455" s="738"/>
      <c r="L455" s="738"/>
      <c r="M455" s="738"/>
      <c r="N455" s="738"/>
      <c r="O455" s="738"/>
      <c r="P455" s="738"/>
      <c r="Q455" s="738"/>
      <c r="R455" s="738"/>
      <c r="S455" s="738"/>
      <c r="T455" s="738"/>
      <c r="U455" s="738"/>
      <c r="V455" s="738"/>
      <c r="W455" s="738"/>
      <c r="X455" s="738"/>
      <c r="Y455" s="738"/>
      <c r="Z455" s="738"/>
    </row>
    <row r="456">
      <c r="A456" s="738"/>
      <c r="B456" s="738"/>
      <c r="C456" s="738"/>
      <c r="D456" s="738"/>
      <c r="E456" s="738"/>
      <c r="F456" s="738"/>
      <c r="G456" s="738"/>
      <c r="H456" s="738"/>
      <c r="I456" s="738"/>
      <c r="J456" s="738"/>
      <c r="K456" s="738"/>
      <c r="L456" s="738"/>
      <c r="M456" s="738"/>
      <c r="N456" s="738"/>
      <c r="O456" s="738"/>
      <c r="P456" s="738"/>
      <c r="Q456" s="738"/>
      <c r="R456" s="738"/>
      <c r="S456" s="738"/>
      <c r="T456" s="738"/>
      <c r="U456" s="738"/>
      <c r="V456" s="738"/>
      <c r="W456" s="738"/>
      <c r="X456" s="738"/>
      <c r="Y456" s="738"/>
      <c r="Z456" s="738"/>
    </row>
    <row r="457">
      <c r="A457" s="738"/>
      <c r="B457" s="738"/>
      <c r="C457" s="738"/>
      <c r="D457" s="738"/>
      <c r="E457" s="738"/>
      <c r="F457" s="738"/>
      <c r="G457" s="738"/>
      <c r="H457" s="738"/>
      <c r="I457" s="738"/>
      <c r="J457" s="738"/>
      <c r="K457" s="738"/>
      <c r="L457" s="738"/>
      <c r="M457" s="738"/>
      <c r="N457" s="738"/>
      <c r="O457" s="738"/>
      <c r="P457" s="738"/>
      <c r="Q457" s="738"/>
      <c r="R457" s="738"/>
      <c r="S457" s="738"/>
      <c r="T457" s="738"/>
      <c r="U457" s="738"/>
      <c r="V457" s="738"/>
      <c r="W457" s="738"/>
      <c r="X457" s="738"/>
      <c r="Y457" s="738"/>
      <c r="Z457" s="738"/>
    </row>
    <row r="458">
      <c r="A458" s="738"/>
      <c r="B458" s="738"/>
      <c r="C458" s="738"/>
      <c r="D458" s="738"/>
      <c r="E458" s="738"/>
      <c r="F458" s="738"/>
      <c r="G458" s="738"/>
      <c r="H458" s="738"/>
      <c r="I458" s="738"/>
      <c r="J458" s="738"/>
      <c r="K458" s="738"/>
      <c r="L458" s="738"/>
      <c r="M458" s="738"/>
      <c r="N458" s="738"/>
      <c r="O458" s="738"/>
      <c r="P458" s="738"/>
      <c r="Q458" s="738"/>
      <c r="R458" s="738"/>
      <c r="S458" s="738"/>
      <c r="T458" s="738"/>
      <c r="U458" s="738"/>
      <c r="V458" s="738"/>
      <c r="W458" s="738"/>
      <c r="X458" s="738"/>
      <c r="Y458" s="738"/>
      <c r="Z458" s="738"/>
    </row>
    <row r="459">
      <c r="A459" s="738"/>
      <c r="B459" s="738"/>
      <c r="C459" s="738"/>
      <c r="D459" s="738"/>
      <c r="E459" s="738"/>
      <c r="F459" s="738"/>
      <c r="G459" s="738"/>
      <c r="H459" s="738"/>
      <c r="I459" s="738"/>
      <c r="J459" s="738"/>
      <c r="K459" s="738"/>
      <c r="L459" s="738"/>
      <c r="M459" s="738"/>
      <c r="N459" s="738"/>
      <c r="O459" s="738"/>
      <c r="P459" s="738"/>
      <c r="Q459" s="738"/>
      <c r="R459" s="738"/>
      <c r="S459" s="738"/>
      <c r="T459" s="738"/>
      <c r="U459" s="738"/>
      <c r="V459" s="738"/>
      <c r="W459" s="738"/>
      <c r="X459" s="738"/>
      <c r="Y459" s="738"/>
      <c r="Z459" s="738"/>
    </row>
    <row r="460">
      <c r="A460" s="738"/>
      <c r="B460" s="738"/>
      <c r="C460" s="738"/>
      <c r="D460" s="738"/>
      <c r="E460" s="738"/>
      <c r="F460" s="738"/>
      <c r="G460" s="738"/>
      <c r="H460" s="738"/>
      <c r="I460" s="738"/>
      <c r="J460" s="738"/>
      <c r="K460" s="738"/>
      <c r="L460" s="738"/>
      <c r="M460" s="738"/>
      <c r="N460" s="738"/>
      <c r="O460" s="738"/>
      <c r="P460" s="738"/>
      <c r="Q460" s="738"/>
      <c r="R460" s="738"/>
      <c r="S460" s="738"/>
      <c r="T460" s="738"/>
      <c r="U460" s="738"/>
      <c r="V460" s="738"/>
      <c r="W460" s="738"/>
      <c r="X460" s="738"/>
      <c r="Y460" s="738"/>
      <c r="Z460" s="738"/>
    </row>
    <row r="461">
      <c r="A461" s="738"/>
      <c r="B461" s="738"/>
      <c r="C461" s="738"/>
      <c r="D461" s="738"/>
      <c r="E461" s="738"/>
      <c r="F461" s="738"/>
      <c r="G461" s="738"/>
      <c r="H461" s="738"/>
      <c r="I461" s="738"/>
      <c r="J461" s="738"/>
      <c r="K461" s="738"/>
      <c r="L461" s="738"/>
      <c r="M461" s="738"/>
      <c r="N461" s="738"/>
      <c r="O461" s="738"/>
      <c r="P461" s="738"/>
      <c r="Q461" s="738"/>
      <c r="R461" s="738"/>
      <c r="S461" s="738"/>
      <c r="T461" s="738"/>
      <c r="U461" s="738"/>
      <c r="V461" s="738"/>
      <c r="W461" s="738"/>
      <c r="X461" s="738"/>
      <c r="Y461" s="738"/>
      <c r="Z461" s="738"/>
    </row>
    <row r="462">
      <c r="A462" s="738"/>
      <c r="B462" s="738"/>
      <c r="C462" s="738"/>
      <c r="D462" s="738"/>
      <c r="E462" s="738"/>
      <c r="F462" s="738"/>
      <c r="G462" s="738"/>
      <c r="H462" s="738"/>
      <c r="I462" s="738"/>
      <c r="J462" s="738"/>
      <c r="K462" s="738"/>
      <c r="L462" s="738"/>
      <c r="M462" s="738"/>
      <c r="N462" s="738"/>
      <c r="O462" s="738"/>
      <c r="P462" s="738"/>
      <c r="Q462" s="738"/>
      <c r="R462" s="738"/>
      <c r="S462" s="738"/>
      <c r="T462" s="738"/>
      <c r="U462" s="738"/>
      <c r="V462" s="738"/>
      <c r="W462" s="738"/>
      <c r="X462" s="738"/>
      <c r="Y462" s="738"/>
      <c r="Z462" s="738"/>
    </row>
    <row r="463">
      <c r="A463" s="738"/>
      <c r="B463" s="738"/>
      <c r="C463" s="738"/>
      <c r="D463" s="738"/>
      <c r="E463" s="738"/>
      <c r="F463" s="738"/>
      <c r="G463" s="738"/>
      <c r="H463" s="738"/>
      <c r="I463" s="738"/>
      <c r="J463" s="738"/>
      <c r="K463" s="738"/>
      <c r="L463" s="738"/>
      <c r="M463" s="738"/>
      <c r="N463" s="738"/>
      <c r="O463" s="738"/>
      <c r="P463" s="738"/>
      <c r="Q463" s="738"/>
      <c r="R463" s="738"/>
      <c r="S463" s="738"/>
      <c r="T463" s="738"/>
      <c r="U463" s="738"/>
      <c r="V463" s="738"/>
      <c r="W463" s="738"/>
      <c r="X463" s="738"/>
      <c r="Y463" s="738"/>
      <c r="Z463" s="738"/>
    </row>
    <row r="464">
      <c r="A464" s="738"/>
      <c r="B464" s="738"/>
      <c r="C464" s="738"/>
      <c r="D464" s="738"/>
      <c r="E464" s="738"/>
      <c r="F464" s="738"/>
      <c r="G464" s="738"/>
      <c r="H464" s="738"/>
      <c r="I464" s="738"/>
      <c r="J464" s="738"/>
      <c r="K464" s="738"/>
      <c r="L464" s="738"/>
      <c r="M464" s="738"/>
      <c r="N464" s="738"/>
      <c r="O464" s="738"/>
      <c r="P464" s="738"/>
      <c r="Q464" s="738"/>
      <c r="R464" s="738"/>
      <c r="S464" s="738"/>
      <c r="T464" s="738"/>
      <c r="U464" s="738"/>
      <c r="V464" s="738"/>
      <c r="W464" s="738"/>
      <c r="X464" s="738"/>
      <c r="Y464" s="738"/>
      <c r="Z464" s="738"/>
    </row>
    <row r="465">
      <c r="A465" s="738"/>
      <c r="B465" s="738"/>
      <c r="C465" s="738"/>
      <c r="D465" s="738"/>
      <c r="E465" s="738"/>
      <c r="F465" s="738"/>
      <c r="G465" s="738"/>
      <c r="H465" s="738"/>
      <c r="I465" s="738"/>
      <c r="J465" s="738"/>
      <c r="K465" s="738"/>
      <c r="L465" s="738"/>
      <c r="M465" s="738"/>
      <c r="N465" s="738"/>
      <c r="O465" s="738"/>
      <c r="P465" s="738"/>
      <c r="Q465" s="738"/>
      <c r="R465" s="738"/>
      <c r="S465" s="738"/>
      <c r="T465" s="738"/>
      <c r="U465" s="738"/>
      <c r="V465" s="738"/>
      <c r="W465" s="738"/>
      <c r="X465" s="738"/>
      <c r="Y465" s="738"/>
      <c r="Z465" s="738"/>
    </row>
    <row r="466">
      <c r="A466" s="738"/>
      <c r="B466" s="738"/>
      <c r="C466" s="738"/>
      <c r="D466" s="738"/>
      <c r="E466" s="738"/>
      <c r="F466" s="738"/>
      <c r="G466" s="738"/>
      <c r="H466" s="738"/>
      <c r="I466" s="738"/>
      <c r="J466" s="738"/>
      <c r="K466" s="738"/>
      <c r="L466" s="738"/>
      <c r="M466" s="738"/>
      <c r="N466" s="738"/>
      <c r="O466" s="738"/>
      <c r="P466" s="738"/>
      <c r="Q466" s="738"/>
      <c r="R466" s="738"/>
      <c r="S466" s="738"/>
      <c r="T466" s="738"/>
      <c r="U466" s="738"/>
      <c r="V466" s="738"/>
      <c r="W466" s="738"/>
      <c r="X466" s="738"/>
      <c r="Y466" s="738"/>
      <c r="Z466" s="738"/>
    </row>
    <row r="467">
      <c r="A467" s="738"/>
      <c r="B467" s="738"/>
      <c r="C467" s="738"/>
      <c r="D467" s="738"/>
      <c r="E467" s="738"/>
      <c r="F467" s="738"/>
      <c r="G467" s="738"/>
      <c r="H467" s="738"/>
      <c r="I467" s="738"/>
      <c r="J467" s="738"/>
      <c r="K467" s="738"/>
      <c r="L467" s="738"/>
      <c r="M467" s="738"/>
      <c r="N467" s="738"/>
      <c r="O467" s="738"/>
      <c r="P467" s="738"/>
      <c r="Q467" s="738"/>
      <c r="R467" s="738"/>
      <c r="S467" s="738"/>
      <c r="T467" s="738"/>
      <c r="U467" s="738"/>
      <c r="V467" s="738"/>
      <c r="W467" s="738"/>
      <c r="X467" s="738"/>
      <c r="Y467" s="738"/>
      <c r="Z467" s="738"/>
    </row>
    <row r="468">
      <c r="A468" s="738"/>
      <c r="B468" s="738"/>
      <c r="C468" s="738"/>
      <c r="D468" s="738"/>
      <c r="E468" s="738"/>
      <c r="F468" s="738"/>
      <c r="G468" s="738"/>
      <c r="H468" s="738"/>
      <c r="I468" s="738"/>
      <c r="J468" s="738"/>
      <c r="K468" s="738"/>
      <c r="L468" s="738"/>
      <c r="M468" s="738"/>
      <c r="N468" s="738"/>
      <c r="O468" s="738"/>
      <c r="P468" s="738"/>
      <c r="Q468" s="738"/>
      <c r="R468" s="738"/>
      <c r="S468" s="738"/>
      <c r="T468" s="738"/>
      <c r="U468" s="738"/>
      <c r="V468" s="738"/>
      <c r="W468" s="738"/>
      <c r="X468" s="738"/>
      <c r="Y468" s="738"/>
      <c r="Z468" s="738"/>
    </row>
    <row r="469">
      <c r="A469" s="738"/>
      <c r="B469" s="738"/>
      <c r="C469" s="738"/>
      <c r="D469" s="738"/>
      <c r="E469" s="738"/>
      <c r="F469" s="738"/>
      <c r="G469" s="738"/>
      <c r="H469" s="738"/>
      <c r="I469" s="738"/>
      <c r="J469" s="738"/>
      <c r="K469" s="738"/>
      <c r="L469" s="738"/>
      <c r="M469" s="738"/>
      <c r="N469" s="738"/>
      <c r="O469" s="738"/>
      <c r="P469" s="738"/>
      <c r="Q469" s="738"/>
      <c r="R469" s="738"/>
      <c r="S469" s="738"/>
      <c r="T469" s="738"/>
      <c r="U469" s="738"/>
      <c r="V469" s="738"/>
      <c r="W469" s="738"/>
      <c r="X469" s="738"/>
      <c r="Y469" s="738"/>
      <c r="Z469" s="738"/>
    </row>
    <row r="470">
      <c r="A470" s="738"/>
      <c r="B470" s="738"/>
      <c r="C470" s="738"/>
      <c r="D470" s="738"/>
      <c r="E470" s="738"/>
      <c r="F470" s="738"/>
      <c r="G470" s="738"/>
      <c r="H470" s="738"/>
      <c r="I470" s="738"/>
      <c r="J470" s="738"/>
      <c r="K470" s="738"/>
      <c r="L470" s="738"/>
      <c r="M470" s="738"/>
      <c r="N470" s="738"/>
      <c r="O470" s="738"/>
      <c r="P470" s="738"/>
      <c r="Q470" s="738"/>
      <c r="R470" s="738"/>
      <c r="S470" s="738"/>
      <c r="T470" s="738"/>
      <c r="U470" s="738"/>
      <c r="V470" s="738"/>
      <c r="W470" s="738"/>
      <c r="X470" s="738"/>
      <c r="Y470" s="738"/>
      <c r="Z470" s="738"/>
    </row>
    <row r="471">
      <c r="A471" s="738"/>
      <c r="B471" s="738"/>
      <c r="C471" s="738"/>
      <c r="D471" s="738"/>
      <c r="E471" s="738"/>
      <c r="F471" s="738"/>
      <c r="G471" s="738"/>
      <c r="H471" s="738"/>
      <c r="I471" s="738"/>
      <c r="J471" s="738"/>
      <c r="K471" s="738"/>
      <c r="L471" s="738"/>
      <c r="M471" s="738"/>
      <c r="N471" s="738"/>
      <c r="O471" s="738"/>
      <c r="P471" s="738"/>
      <c r="Q471" s="738"/>
      <c r="R471" s="738"/>
      <c r="S471" s="738"/>
      <c r="T471" s="738"/>
      <c r="U471" s="738"/>
      <c r="V471" s="738"/>
      <c r="W471" s="738"/>
      <c r="X471" s="738"/>
      <c r="Y471" s="738"/>
      <c r="Z471" s="738"/>
    </row>
    <row r="472">
      <c r="A472" s="738"/>
      <c r="B472" s="738"/>
      <c r="C472" s="738"/>
      <c r="D472" s="738"/>
      <c r="E472" s="738"/>
      <c r="F472" s="738"/>
      <c r="G472" s="738"/>
      <c r="H472" s="738"/>
      <c r="I472" s="738"/>
      <c r="J472" s="738"/>
      <c r="K472" s="738"/>
      <c r="L472" s="738"/>
      <c r="M472" s="738"/>
      <c r="N472" s="738"/>
      <c r="O472" s="738"/>
      <c r="P472" s="738"/>
      <c r="Q472" s="738"/>
      <c r="R472" s="738"/>
      <c r="S472" s="738"/>
      <c r="T472" s="738"/>
      <c r="U472" s="738"/>
      <c r="V472" s="738"/>
      <c r="W472" s="738"/>
      <c r="X472" s="738"/>
      <c r="Y472" s="738"/>
      <c r="Z472" s="738"/>
    </row>
    <row r="473">
      <c r="A473" s="738"/>
      <c r="B473" s="738"/>
      <c r="C473" s="738"/>
      <c r="D473" s="738"/>
      <c r="E473" s="738"/>
      <c r="F473" s="738"/>
      <c r="G473" s="738"/>
      <c r="H473" s="738"/>
      <c r="I473" s="738"/>
      <c r="J473" s="738"/>
      <c r="K473" s="738"/>
      <c r="L473" s="738"/>
      <c r="M473" s="738"/>
      <c r="N473" s="738"/>
      <c r="O473" s="738"/>
      <c r="P473" s="738"/>
      <c r="Q473" s="738"/>
      <c r="R473" s="738"/>
      <c r="S473" s="738"/>
      <c r="T473" s="738"/>
      <c r="U473" s="738"/>
      <c r="V473" s="738"/>
      <c r="W473" s="738"/>
      <c r="X473" s="738"/>
      <c r="Y473" s="738"/>
      <c r="Z473" s="738"/>
    </row>
    <row r="474">
      <c r="A474" s="738"/>
      <c r="B474" s="738"/>
      <c r="C474" s="738"/>
      <c r="D474" s="738"/>
      <c r="E474" s="738"/>
      <c r="F474" s="738"/>
      <c r="G474" s="738"/>
      <c r="H474" s="738"/>
      <c r="I474" s="738"/>
      <c r="J474" s="738"/>
      <c r="K474" s="738"/>
      <c r="L474" s="738"/>
      <c r="M474" s="738"/>
      <c r="N474" s="738"/>
      <c r="O474" s="738"/>
      <c r="P474" s="738"/>
      <c r="Q474" s="738"/>
      <c r="R474" s="738"/>
      <c r="S474" s="738"/>
      <c r="T474" s="738"/>
      <c r="U474" s="738"/>
      <c r="V474" s="738"/>
      <c r="W474" s="738"/>
      <c r="X474" s="738"/>
      <c r="Y474" s="738"/>
      <c r="Z474" s="738"/>
    </row>
    <row r="475">
      <c r="A475" s="738"/>
      <c r="B475" s="738"/>
      <c r="C475" s="738"/>
      <c r="D475" s="738"/>
      <c r="E475" s="738"/>
      <c r="F475" s="738"/>
      <c r="G475" s="738"/>
      <c r="H475" s="738"/>
      <c r="I475" s="738"/>
      <c r="J475" s="738"/>
      <c r="K475" s="738"/>
      <c r="L475" s="738"/>
      <c r="M475" s="738"/>
      <c r="N475" s="738"/>
      <c r="O475" s="738"/>
      <c r="P475" s="738"/>
      <c r="Q475" s="738"/>
      <c r="R475" s="738"/>
      <c r="S475" s="738"/>
      <c r="T475" s="738"/>
      <c r="U475" s="738"/>
      <c r="V475" s="738"/>
      <c r="W475" s="738"/>
      <c r="X475" s="738"/>
      <c r="Y475" s="738"/>
      <c r="Z475" s="738"/>
    </row>
    <row r="476">
      <c r="A476" s="738"/>
      <c r="B476" s="738"/>
      <c r="C476" s="738"/>
      <c r="D476" s="738"/>
      <c r="E476" s="738"/>
      <c r="F476" s="738"/>
      <c r="G476" s="738"/>
      <c r="H476" s="738"/>
      <c r="I476" s="738"/>
      <c r="J476" s="738"/>
      <c r="K476" s="738"/>
      <c r="L476" s="738"/>
      <c r="M476" s="738"/>
      <c r="N476" s="738"/>
      <c r="O476" s="738"/>
      <c r="P476" s="738"/>
      <c r="Q476" s="738"/>
      <c r="R476" s="738"/>
      <c r="S476" s="738"/>
      <c r="T476" s="738"/>
      <c r="U476" s="738"/>
      <c r="V476" s="738"/>
      <c r="W476" s="738"/>
      <c r="X476" s="738"/>
      <c r="Y476" s="738"/>
      <c r="Z476" s="738"/>
    </row>
    <row r="477">
      <c r="A477" s="738"/>
      <c r="B477" s="738"/>
      <c r="C477" s="738"/>
      <c r="D477" s="738"/>
      <c r="E477" s="738"/>
      <c r="F477" s="738"/>
      <c r="G477" s="738"/>
      <c r="H477" s="738"/>
      <c r="I477" s="738"/>
      <c r="J477" s="738"/>
      <c r="K477" s="738"/>
      <c r="L477" s="738"/>
      <c r="M477" s="738"/>
      <c r="N477" s="738"/>
      <c r="O477" s="738"/>
      <c r="P477" s="738"/>
      <c r="Q477" s="738"/>
      <c r="R477" s="738"/>
      <c r="S477" s="738"/>
      <c r="T477" s="738"/>
      <c r="U477" s="738"/>
      <c r="V477" s="738"/>
      <c r="W477" s="738"/>
      <c r="X477" s="738"/>
      <c r="Y477" s="738"/>
      <c r="Z477" s="738"/>
    </row>
    <row r="478">
      <c r="A478" s="738"/>
      <c r="B478" s="738"/>
      <c r="C478" s="738"/>
      <c r="D478" s="738"/>
      <c r="E478" s="738"/>
      <c r="F478" s="738"/>
      <c r="G478" s="738"/>
      <c r="H478" s="738"/>
      <c r="I478" s="738"/>
      <c r="J478" s="738"/>
      <c r="K478" s="738"/>
      <c r="L478" s="738"/>
      <c r="M478" s="738"/>
      <c r="N478" s="738"/>
      <c r="O478" s="738"/>
      <c r="P478" s="738"/>
      <c r="Q478" s="738"/>
      <c r="R478" s="738"/>
      <c r="S478" s="738"/>
      <c r="T478" s="738"/>
      <c r="U478" s="738"/>
      <c r="V478" s="738"/>
      <c r="W478" s="738"/>
      <c r="X478" s="738"/>
      <c r="Y478" s="738"/>
      <c r="Z478" s="738"/>
    </row>
    <row r="479">
      <c r="A479" s="738"/>
      <c r="B479" s="738"/>
      <c r="C479" s="738"/>
      <c r="D479" s="738"/>
      <c r="E479" s="738"/>
      <c r="F479" s="738"/>
      <c r="G479" s="738"/>
      <c r="H479" s="738"/>
      <c r="I479" s="738"/>
      <c r="J479" s="738"/>
      <c r="K479" s="738"/>
      <c r="L479" s="738"/>
      <c r="M479" s="738"/>
      <c r="N479" s="738"/>
      <c r="O479" s="738"/>
      <c r="P479" s="738"/>
      <c r="Q479" s="738"/>
      <c r="R479" s="738"/>
      <c r="S479" s="738"/>
      <c r="T479" s="738"/>
      <c r="U479" s="738"/>
      <c r="V479" s="738"/>
      <c r="W479" s="738"/>
      <c r="X479" s="738"/>
      <c r="Y479" s="738"/>
      <c r="Z479" s="738"/>
    </row>
    <row r="480">
      <c r="A480" s="738"/>
      <c r="B480" s="738"/>
      <c r="C480" s="738"/>
      <c r="D480" s="738"/>
      <c r="E480" s="738"/>
      <c r="F480" s="738"/>
      <c r="G480" s="738"/>
      <c r="H480" s="738"/>
      <c r="I480" s="738"/>
      <c r="J480" s="738"/>
      <c r="K480" s="738"/>
      <c r="L480" s="738"/>
      <c r="M480" s="738"/>
      <c r="N480" s="738"/>
      <c r="O480" s="738"/>
      <c r="P480" s="738"/>
      <c r="Q480" s="738"/>
      <c r="R480" s="738"/>
      <c r="S480" s="738"/>
      <c r="T480" s="738"/>
      <c r="U480" s="738"/>
      <c r="V480" s="738"/>
      <c r="W480" s="738"/>
      <c r="X480" s="738"/>
      <c r="Y480" s="738"/>
      <c r="Z480" s="738"/>
    </row>
    <row r="481">
      <c r="A481" s="738"/>
      <c r="B481" s="738"/>
      <c r="C481" s="738"/>
      <c r="D481" s="738"/>
      <c r="E481" s="738"/>
      <c r="F481" s="738"/>
      <c r="G481" s="738"/>
      <c r="H481" s="738"/>
      <c r="I481" s="738"/>
      <c r="J481" s="738"/>
      <c r="K481" s="738"/>
      <c r="L481" s="738"/>
      <c r="M481" s="738"/>
      <c r="N481" s="738"/>
      <c r="O481" s="738"/>
      <c r="P481" s="738"/>
      <c r="Q481" s="738"/>
      <c r="R481" s="738"/>
      <c r="S481" s="738"/>
      <c r="T481" s="738"/>
      <c r="U481" s="738"/>
      <c r="V481" s="738"/>
      <c r="W481" s="738"/>
      <c r="X481" s="738"/>
      <c r="Y481" s="738"/>
      <c r="Z481" s="738"/>
    </row>
    <row r="482">
      <c r="A482" s="738"/>
      <c r="B482" s="738"/>
      <c r="C482" s="738"/>
      <c r="D482" s="738"/>
      <c r="E482" s="738"/>
      <c r="F482" s="738"/>
      <c r="G482" s="738"/>
      <c r="H482" s="738"/>
      <c r="I482" s="738"/>
      <c r="J482" s="738"/>
      <c r="K482" s="738"/>
      <c r="L482" s="738"/>
      <c r="M482" s="738"/>
      <c r="N482" s="738"/>
      <c r="O482" s="738"/>
      <c r="P482" s="738"/>
      <c r="Q482" s="738"/>
      <c r="R482" s="738"/>
      <c r="S482" s="738"/>
      <c r="T482" s="738"/>
      <c r="U482" s="738"/>
      <c r="V482" s="738"/>
      <c r="W482" s="738"/>
      <c r="X482" s="738"/>
      <c r="Y482" s="738"/>
      <c r="Z482" s="738"/>
    </row>
    <row r="483">
      <c r="A483" s="738"/>
      <c r="B483" s="738"/>
      <c r="C483" s="738"/>
      <c r="D483" s="738"/>
      <c r="E483" s="738"/>
      <c r="F483" s="738"/>
      <c r="G483" s="738"/>
      <c r="H483" s="738"/>
      <c r="I483" s="738"/>
      <c r="J483" s="738"/>
      <c r="K483" s="738"/>
      <c r="L483" s="738"/>
      <c r="M483" s="738"/>
      <c r="N483" s="738"/>
      <c r="O483" s="738"/>
      <c r="P483" s="738"/>
      <c r="Q483" s="738"/>
      <c r="R483" s="738"/>
      <c r="S483" s="738"/>
      <c r="T483" s="738"/>
      <c r="U483" s="738"/>
      <c r="V483" s="738"/>
      <c r="W483" s="738"/>
      <c r="X483" s="738"/>
      <c r="Y483" s="738"/>
      <c r="Z483" s="738"/>
    </row>
    <row r="484">
      <c r="A484" s="738"/>
      <c r="B484" s="738"/>
      <c r="C484" s="738"/>
      <c r="D484" s="738"/>
      <c r="E484" s="738"/>
      <c r="F484" s="738"/>
      <c r="G484" s="738"/>
      <c r="H484" s="738"/>
      <c r="I484" s="738"/>
      <c r="J484" s="738"/>
      <c r="K484" s="738"/>
      <c r="L484" s="738"/>
      <c r="M484" s="738"/>
      <c r="N484" s="738"/>
      <c r="O484" s="738"/>
      <c r="P484" s="738"/>
      <c r="Q484" s="738"/>
      <c r="R484" s="738"/>
      <c r="S484" s="738"/>
      <c r="T484" s="738"/>
      <c r="U484" s="738"/>
      <c r="V484" s="738"/>
      <c r="W484" s="738"/>
      <c r="X484" s="738"/>
      <c r="Y484" s="738"/>
      <c r="Z484" s="738"/>
    </row>
    <row r="485">
      <c r="A485" s="738"/>
      <c r="B485" s="738"/>
      <c r="C485" s="738"/>
      <c r="D485" s="738"/>
      <c r="E485" s="738"/>
      <c r="F485" s="738"/>
      <c r="G485" s="738"/>
      <c r="H485" s="738"/>
      <c r="I485" s="738"/>
      <c r="J485" s="738"/>
      <c r="K485" s="738"/>
      <c r="L485" s="738"/>
      <c r="M485" s="738"/>
      <c r="N485" s="738"/>
      <c r="O485" s="738"/>
      <c r="P485" s="738"/>
      <c r="Q485" s="738"/>
      <c r="R485" s="738"/>
      <c r="S485" s="738"/>
      <c r="T485" s="738"/>
      <c r="U485" s="738"/>
      <c r="V485" s="738"/>
      <c r="W485" s="738"/>
      <c r="X485" s="738"/>
      <c r="Y485" s="738"/>
      <c r="Z485" s="738"/>
    </row>
    <row r="486">
      <c r="A486" s="738"/>
      <c r="B486" s="738"/>
      <c r="C486" s="738"/>
      <c r="D486" s="738"/>
      <c r="E486" s="738"/>
      <c r="F486" s="738"/>
      <c r="G486" s="738"/>
      <c r="H486" s="738"/>
      <c r="I486" s="738"/>
      <c r="J486" s="738"/>
      <c r="K486" s="738"/>
      <c r="L486" s="738"/>
      <c r="M486" s="738"/>
      <c r="N486" s="738"/>
      <c r="O486" s="738"/>
      <c r="P486" s="738"/>
      <c r="Q486" s="738"/>
      <c r="R486" s="738"/>
      <c r="S486" s="738"/>
      <c r="T486" s="738"/>
      <c r="U486" s="738"/>
      <c r="V486" s="738"/>
      <c r="W486" s="738"/>
      <c r="X486" s="738"/>
      <c r="Y486" s="738"/>
      <c r="Z486" s="738"/>
    </row>
    <row r="487">
      <c r="A487" s="738"/>
      <c r="B487" s="738"/>
      <c r="C487" s="738"/>
      <c r="D487" s="738"/>
      <c r="E487" s="738"/>
      <c r="F487" s="738"/>
      <c r="G487" s="738"/>
      <c r="H487" s="738"/>
      <c r="I487" s="738"/>
      <c r="J487" s="738"/>
      <c r="K487" s="738"/>
      <c r="L487" s="738"/>
      <c r="M487" s="738"/>
      <c r="N487" s="738"/>
      <c r="O487" s="738"/>
      <c r="P487" s="738"/>
      <c r="Q487" s="738"/>
      <c r="R487" s="738"/>
      <c r="S487" s="738"/>
      <c r="T487" s="738"/>
      <c r="U487" s="738"/>
      <c r="V487" s="738"/>
      <c r="W487" s="738"/>
      <c r="X487" s="738"/>
      <c r="Y487" s="738"/>
      <c r="Z487" s="738"/>
    </row>
    <row r="488">
      <c r="A488" s="738"/>
      <c r="B488" s="738"/>
      <c r="C488" s="738"/>
      <c r="D488" s="738"/>
      <c r="E488" s="738"/>
      <c r="F488" s="738"/>
      <c r="G488" s="738"/>
      <c r="H488" s="738"/>
      <c r="I488" s="738"/>
      <c r="J488" s="738"/>
      <c r="K488" s="738"/>
      <c r="L488" s="738"/>
      <c r="M488" s="738"/>
      <c r="N488" s="738"/>
      <c r="O488" s="738"/>
      <c r="P488" s="738"/>
      <c r="Q488" s="738"/>
      <c r="R488" s="738"/>
      <c r="S488" s="738"/>
      <c r="T488" s="738"/>
      <c r="U488" s="738"/>
      <c r="V488" s="738"/>
      <c r="W488" s="738"/>
      <c r="X488" s="738"/>
      <c r="Y488" s="738"/>
      <c r="Z488" s="738"/>
    </row>
    <row r="489">
      <c r="A489" s="738"/>
      <c r="B489" s="738"/>
      <c r="C489" s="738"/>
      <c r="D489" s="738"/>
      <c r="E489" s="738"/>
      <c r="F489" s="738"/>
      <c r="G489" s="738"/>
      <c r="H489" s="738"/>
      <c r="I489" s="738"/>
      <c r="J489" s="738"/>
      <c r="K489" s="738"/>
      <c r="L489" s="738"/>
      <c r="M489" s="738"/>
      <c r="N489" s="738"/>
      <c r="O489" s="738"/>
      <c r="P489" s="738"/>
      <c r="Q489" s="738"/>
      <c r="R489" s="738"/>
      <c r="S489" s="738"/>
      <c r="T489" s="738"/>
      <c r="U489" s="738"/>
      <c r="V489" s="738"/>
      <c r="W489" s="738"/>
      <c r="X489" s="738"/>
      <c r="Y489" s="738"/>
      <c r="Z489" s="738"/>
    </row>
    <row r="490">
      <c r="A490" s="738"/>
      <c r="B490" s="738"/>
      <c r="C490" s="738"/>
      <c r="D490" s="738"/>
      <c r="E490" s="738"/>
      <c r="F490" s="738"/>
      <c r="G490" s="738"/>
      <c r="H490" s="738"/>
      <c r="I490" s="738"/>
      <c r="J490" s="738"/>
      <c r="K490" s="738"/>
      <c r="L490" s="738"/>
      <c r="M490" s="738"/>
      <c r="N490" s="738"/>
      <c r="O490" s="738"/>
      <c r="P490" s="738"/>
      <c r="Q490" s="738"/>
      <c r="R490" s="738"/>
      <c r="S490" s="738"/>
      <c r="T490" s="738"/>
      <c r="U490" s="738"/>
      <c r="V490" s="738"/>
      <c r="W490" s="738"/>
      <c r="X490" s="738"/>
      <c r="Y490" s="738"/>
      <c r="Z490" s="738"/>
    </row>
    <row r="491">
      <c r="A491" s="738"/>
      <c r="B491" s="738"/>
      <c r="C491" s="738"/>
      <c r="D491" s="738"/>
      <c r="E491" s="738"/>
      <c r="F491" s="738"/>
      <c r="G491" s="738"/>
      <c r="H491" s="738"/>
      <c r="I491" s="738"/>
      <c r="J491" s="738"/>
      <c r="K491" s="738"/>
      <c r="L491" s="738"/>
      <c r="M491" s="738"/>
      <c r="N491" s="738"/>
      <c r="O491" s="738"/>
      <c r="P491" s="738"/>
      <c r="Q491" s="738"/>
      <c r="R491" s="738"/>
      <c r="S491" s="738"/>
      <c r="T491" s="738"/>
      <c r="U491" s="738"/>
      <c r="V491" s="738"/>
      <c r="W491" s="738"/>
      <c r="X491" s="738"/>
      <c r="Y491" s="738"/>
      <c r="Z491" s="738"/>
    </row>
    <row r="492">
      <c r="A492" s="738"/>
      <c r="B492" s="738"/>
      <c r="C492" s="738"/>
      <c r="D492" s="738"/>
      <c r="E492" s="738"/>
      <c r="F492" s="738"/>
      <c r="G492" s="738"/>
      <c r="H492" s="738"/>
      <c r="I492" s="738"/>
      <c r="J492" s="738"/>
      <c r="K492" s="738"/>
      <c r="L492" s="738"/>
      <c r="M492" s="738"/>
      <c r="N492" s="738"/>
      <c r="O492" s="738"/>
      <c r="P492" s="738"/>
      <c r="Q492" s="738"/>
      <c r="R492" s="738"/>
      <c r="S492" s="738"/>
      <c r="T492" s="738"/>
      <c r="U492" s="738"/>
      <c r="V492" s="738"/>
      <c r="W492" s="738"/>
      <c r="X492" s="738"/>
      <c r="Y492" s="738"/>
      <c r="Z492" s="738"/>
    </row>
    <row r="493">
      <c r="A493" s="738"/>
      <c r="B493" s="738"/>
      <c r="C493" s="738"/>
      <c r="D493" s="738"/>
      <c r="E493" s="738"/>
      <c r="F493" s="738"/>
      <c r="G493" s="738"/>
      <c r="H493" s="738"/>
      <c r="I493" s="738"/>
      <c r="J493" s="738"/>
      <c r="K493" s="738"/>
      <c r="L493" s="738"/>
      <c r="M493" s="738"/>
      <c r="N493" s="738"/>
      <c r="O493" s="738"/>
      <c r="P493" s="738"/>
      <c r="Q493" s="738"/>
      <c r="R493" s="738"/>
      <c r="S493" s="738"/>
      <c r="T493" s="738"/>
      <c r="U493" s="738"/>
      <c r="V493" s="738"/>
      <c r="W493" s="738"/>
      <c r="X493" s="738"/>
      <c r="Y493" s="738"/>
      <c r="Z493" s="738"/>
    </row>
    <row r="494">
      <c r="A494" s="738"/>
      <c r="B494" s="738"/>
      <c r="C494" s="738"/>
      <c r="D494" s="738"/>
      <c r="E494" s="738"/>
      <c r="F494" s="738"/>
      <c r="G494" s="738"/>
      <c r="H494" s="738"/>
      <c r="I494" s="738"/>
      <c r="J494" s="738"/>
      <c r="K494" s="738"/>
      <c r="L494" s="738"/>
      <c r="M494" s="738"/>
      <c r="N494" s="738"/>
      <c r="O494" s="738"/>
      <c r="P494" s="738"/>
      <c r="Q494" s="738"/>
      <c r="R494" s="738"/>
      <c r="S494" s="738"/>
      <c r="T494" s="738"/>
      <c r="U494" s="738"/>
      <c r="V494" s="738"/>
      <c r="W494" s="738"/>
      <c r="X494" s="738"/>
      <c r="Y494" s="738"/>
      <c r="Z494" s="738"/>
    </row>
    <row r="495">
      <c r="A495" s="738"/>
      <c r="B495" s="738"/>
      <c r="C495" s="738"/>
      <c r="D495" s="738"/>
      <c r="E495" s="738"/>
      <c r="F495" s="738"/>
      <c r="G495" s="738"/>
      <c r="H495" s="738"/>
      <c r="I495" s="738"/>
      <c r="J495" s="738"/>
      <c r="K495" s="738"/>
      <c r="L495" s="738"/>
      <c r="M495" s="738"/>
      <c r="N495" s="738"/>
      <c r="O495" s="738"/>
      <c r="P495" s="738"/>
      <c r="Q495" s="738"/>
      <c r="R495" s="738"/>
      <c r="S495" s="738"/>
      <c r="T495" s="738"/>
      <c r="U495" s="738"/>
      <c r="V495" s="738"/>
      <c r="W495" s="738"/>
      <c r="X495" s="738"/>
      <c r="Y495" s="738"/>
      <c r="Z495" s="738"/>
    </row>
    <row r="496">
      <c r="A496" s="738"/>
      <c r="B496" s="738"/>
      <c r="C496" s="738"/>
      <c r="D496" s="738"/>
      <c r="E496" s="738"/>
      <c r="F496" s="738"/>
      <c r="G496" s="738"/>
      <c r="H496" s="738"/>
      <c r="I496" s="738"/>
      <c r="J496" s="738"/>
      <c r="K496" s="738"/>
      <c r="L496" s="738"/>
      <c r="M496" s="738"/>
      <c r="N496" s="738"/>
      <c r="O496" s="738"/>
      <c r="P496" s="738"/>
      <c r="Q496" s="738"/>
      <c r="R496" s="738"/>
      <c r="S496" s="738"/>
      <c r="T496" s="738"/>
      <c r="U496" s="738"/>
      <c r="V496" s="738"/>
      <c r="W496" s="738"/>
      <c r="X496" s="738"/>
      <c r="Y496" s="738"/>
      <c r="Z496" s="738"/>
    </row>
    <row r="497">
      <c r="A497" s="738"/>
      <c r="B497" s="738"/>
      <c r="C497" s="738"/>
      <c r="D497" s="738"/>
      <c r="E497" s="738"/>
      <c r="F497" s="738"/>
      <c r="G497" s="738"/>
      <c r="H497" s="738"/>
      <c r="I497" s="738"/>
      <c r="J497" s="738"/>
      <c r="K497" s="738"/>
      <c r="L497" s="738"/>
      <c r="M497" s="738"/>
      <c r="N497" s="738"/>
      <c r="O497" s="738"/>
      <c r="P497" s="738"/>
      <c r="Q497" s="738"/>
      <c r="R497" s="738"/>
      <c r="S497" s="738"/>
      <c r="T497" s="738"/>
      <c r="U497" s="738"/>
      <c r="V497" s="738"/>
      <c r="W497" s="738"/>
      <c r="X497" s="738"/>
      <c r="Y497" s="738"/>
      <c r="Z497" s="738"/>
    </row>
    <row r="498">
      <c r="A498" s="738"/>
      <c r="B498" s="738"/>
      <c r="C498" s="738"/>
      <c r="D498" s="738"/>
      <c r="E498" s="738"/>
      <c r="F498" s="738"/>
      <c r="G498" s="738"/>
      <c r="H498" s="738"/>
      <c r="I498" s="738"/>
      <c r="J498" s="738"/>
      <c r="K498" s="738"/>
      <c r="L498" s="738"/>
      <c r="M498" s="738"/>
      <c r="N498" s="738"/>
      <c r="O498" s="738"/>
      <c r="P498" s="738"/>
      <c r="Q498" s="738"/>
      <c r="R498" s="738"/>
      <c r="S498" s="738"/>
      <c r="T498" s="738"/>
      <c r="U498" s="738"/>
      <c r="V498" s="738"/>
      <c r="W498" s="738"/>
      <c r="X498" s="738"/>
      <c r="Y498" s="738"/>
      <c r="Z498" s="738"/>
    </row>
    <row r="499">
      <c r="A499" s="738"/>
      <c r="B499" s="738"/>
      <c r="C499" s="738"/>
      <c r="D499" s="738"/>
      <c r="E499" s="738"/>
      <c r="F499" s="738"/>
      <c r="G499" s="738"/>
      <c r="H499" s="738"/>
      <c r="I499" s="738"/>
      <c r="J499" s="738"/>
      <c r="K499" s="738"/>
      <c r="L499" s="738"/>
      <c r="M499" s="738"/>
      <c r="N499" s="738"/>
      <c r="O499" s="738"/>
      <c r="P499" s="738"/>
      <c r="Q499" s="738"/>
      <c r="R499" s="738"/>
      <c r="S499" s="738"/>
      <c r="T499" s="738"/>
      <c r="U499" s="738"/>
      <c r="V499" s="738"/>
      <c r="W499" s="738"/>
      <c r="X499" s="738"/>
      <c r="Y499" s="738"/>
      <c r="Z499" s="738"/>
    </row>
    <row r="500">
      <c r="A500" s="738"/>
      <c r="B500" s="738"/>
      <c r="C500" s="738"/>
      <c r="D500" s="738"/>
      <c r="E500" s="738"/>
      <c r="F500" s="738"/>
      <c r="G500" s="738"/>
      <c r="H500" s="738"/>
      <c r="I500" s="738"/>
      <c r="J500" s="738"/>
      <c r="K500" s="738"/>
      <c r="L500" s="738"/>
      <c r="M500" s="738"/>
      <c r="N500" s="738"/>
      <c r="O500" s="738"/>
      <c r="P500" s="738"/>
      <c r="Q500" s="738"/>
      <c r="R500" s="738"/>
      <c r="S500" s="738"/>
      <c r="T500" s="738"/>
      <c r="U500" s="738"/>
      <c r="V500" s="738"/>
      <c r="W500" s="738"/>
      <c r="X500" s="738"/>
      <c r="Y500" s="738"/>
      <c r="Z500" s="738"/>
    </row>
    <row r="501">
      <c r="A501" s="738"/>
      <c r="B501" s="738"/>
      <c r="C501" s="738"/>
      <c r="D501" s="738"/>
      <c r="E501" s="738"/>
      <c r="F501" s="738"/>
      <c r="G501" s="738"/>
      <c r="H501" s="738"/>
      <c r="I501" s="738"/>
      <c r="J501" s="738"/>
      <c r="K501" s="738"/>
      <c r="L501" s="738"/>
      <c r="M501" s="738"/>
      <c r="N501" s="738"/>
      <c r="O501" s="738"/>
      <c r="P501" s="738"/>
      <c r="Q501" s="738"/>
      <c r="R501" s="738"/>
      <c r="S501" s="738"/>
      <c r="T501" s="738"/>
      <c r="U501" s="738"/>
      <c r="V501" s="738"/>
      <c r="W501" s="738"/>
      <c r="X501" s="738"/>
      <c r="Y501" s="738"/>
      <c r="Z501" s="738"/>
    </row>
    <row r="502">
      <c r="A502" s="738"/>
      <c r="B502" s="738"/>
      <c r="C502" s="738"/>
      <c r="D502" s="738"/>
      <c r="E502" s="738"/>
      <c r="F502" s="738"/>
      <c r="G502" s="738"/>
      <c r="H502" s="738"/>
      <c r="I502" s="738"/>
      <c r="J502" s="738"/>
      <c r="K502" s="738"/>
      <c r="L502" s="738"/>
      <c r="M502" s="738"/>
      <c r="N502" s="738"/>
      <c r="O502" s="738"/>
      <c r="P502" s="738"/>
      <c r="Q502" s="738"/>
      <c r="R502" s="738"/>
      <c r="S502" s="738"/>
      <c r="T502" s="738"/>
      <c r="U502" s="738"/>
      <c r="V502" s="738"/>
      <c r="W502" s="738"/>
      <c r="X502" s="738"/>
      <c r="Y502" s="738"/>
      <c r="Z502" s="738"/>
    </row>
    <row r="503">
      <c r="A503" s="738"/>
      <c r="B503" s="738"/>
      <c r="C503" s="738"/>
      <c r="D503" s="738"/>
      <c r="E503" s="738"/>
      <c r="F503" s="738"/>
      <c r="G503" s="738"/>
      <c r="H503" s="738"/>
      <c r="I503" s="738"/>
      <c r="J503" s="738"/>
      <c r="K503" s="738"/>
      <c r="L503" s="738"/>
      <c r="M503" s="738"/>
      <c r="N503" s="738"/>
      <c r="O503" s="738"/>
      <c r="P503" s="738"/>
      <c r="Q503" s="738"/>
      <c r="R503" s="738"/>
      <c r="S503" s="738"/>
      <c r="T503" s="738"/>
      <c r="U503" s="738"/>
      <c r="V503" s="738"/>
      <c r="W503" s="738"/>
      <c r="X503" s="738"/>
      <c r="Y503" s="738"/>
      <c r="Z503" s="738"/>
    </row>
    <row r="504">
      <c r="A504" s="738"/>
      <c r="B504" s="738"/>
      <c r="C504" s="738"/>
      <c r="D504" s="738"/>
      <c r="E504" s="738"/>
      <c r="F504" s="738"/>
      <c r="G504" s="738"/>
      <c r="H504" s="738"/>
      <c r="I504" s="738"/>
      <c r="J504" s="738"/>
      <c r="K504" s="738"/>
      <c r="L504" s="738"/>
      <c r="M504" s="738"/>
      <c r="N504" s="738"/>
      <c r="O504" s="738"/>
      <c r="P504" s="738"/>
      <c r="Q504" s="738"/>
      <c r="R504" s="738"/>
      <c r="S504" s="738"/>
      <c r="T504" s="738"/>
      <c r="U504" s="738"/>
      <c r="V504" s="738"/>
      <c r="W504" s="738"/>
      <c r="X504" s="738"/>
      <c r="Y504" s="738"/>
      <c r="Z504" s="738"/>
    </row>
    <row r="505">
      <c r="A505" s="738"/>
      <c r="B505" s="738"/>
      <c r="C505" s="738"/>
      <c r="D505" s="738"/>
      <c r="E505" s="738"/>
      <c r="F505" s="738"/>
      <c r="G505" s="738"/>
      <c r="H505" s="738"/>
      <c r="I505" s="738"/>
      <c r="J505" s="738"/>
      <c r="K505" s="738"/>
      <c r="L505" s="738"/>
      <c r="M505" s="738"/>
      <c r="N505" s="738"/>
      <c r="O505" s="738"/>
      <c r="P505" s="738"/>
      <c r="Q505" s="738"/>
      <c r="R505" s="738"/>
      <c r="S505" s="738"/>
      <c r="T505" s="738"/>
      <c r="U505" s="738"/>
      <c r="V505" s="738"/>
      <c r="W505" s="738"/>
      <c r="X505" s="738"/>
      <c r="Y505" s="738"/>
      <c r="Z505" s="738"/>
    </row>
    <row r="506">
      <c r="A506" s="738"/>
      <c r="B506" s="738"/>
      <c r="C506" s="738"/>
      <c r="D506" s="738"/>
      <c r="E506" s="738"/>
      <c r="F506" s="738"/>
      <c r="G506" s="738"/>
      <c r="H506" s="738"/>
      <c r="I506" s="738"/>
      <c r="J506" s="738"/>
      <c r="K506" s="738"/>
      <c r="L506" s="738"/>
      <c r="M506" s="738"/>
      <c r="N506" s="738"/>
      <c r="O506" s="738"/>
      <c r="P506" s="738"/>
      <c r="Q506" s="738"/>
      <c r="R506" s="738"/>
      <c r="S506" s="738"/>
      <c r="T506" s="738"/>
      <c r="U506" s="738"/>
      <c r="V506" s="738"/>
      <c r="W506" s="738"/>
      <c r="X506" s="738"/>
      <c r="Y506" s="738"/>
      <c r="Z506" s="738"/>
    </row>
    <row r="507">
      <c r="A507" s="738"/>
      <c r="B507" s="738"/>
      <c r="C507" s="738"/>
      <c r="D507" s="738"/>
      <c r="E507" s="738"/>
      <c r="F507" s="738"/>
      <c r="G507" s="738"/>
      <c r="H507" s="738"/>
      <c r="I507" s="738"/>
      <c r="J507" s="738"/>
      <c r="K507" s="738"/>
      <c r="L507" s="738"/>
      <c r="M507" s="738"/>
      <c r="N507" s="738"/>
      <c r="O507" s="738"/>
      <c r="P507" s="738"/>
      <c r="Q507" s="738"/>
      <c r="R507" s="738"/>
      <c r="S507" s="738"/>
      <c r="T507" s="738"/>
      <c r="U507" s="738"/>
      <c r="V507" s="738"/>
      <c r="W507" s="738"/>
      <c r="X507" s="738"/>
      <c r="Y507" s="738"/>
      <c r="Z507" s="738"/>
    </row>
    <row r="508">
      <c r="A508" s="738"/>
      <c r="B508" s="738"/>
      <c r="C508" s="738"/>
      <c r="D508" s="738"/>
      <c r="E508" s="738"/>
      <c r="F508" s="738"/>
      <c r="G508" s="738"/>
      <c r="H508" s="738"/>
      <c r="I508" s="738"/>
      <c r="J508" s="738"/>
      <c r="K508" s="738"/>
      <c r="L508" s="738"/>
      <c r="M508" s="738"/>
      <c r="N508" s="738"/>
      <c r="O508" s="738"/>
      <c r="P508" s="738"/>
      <c r="Q508" s="738"/>
      <c r="R508" s="738"/>
      <c r="S508" s="738"/>
      <c r="T508" s="738"/>
      <c r="U508" s="738"/>
      <c r="V508" s="738"/>
      <c r="W508" s="738"/>
      <c r="X508" s="738"/>
      <c r="Y508" s="738"/>
      <c r="Z508" s="738"/>
    </row>
    <row r="509">
      <c r="A509" s="738"/>
      <c r="B509" s="738"/>
      <c r="C509" s="738"/>
      <c r="D509" s="738"/>
      <c r="E509" s="738"/>
      <c r="F509" s="738"/>
      <c r="G509" s="738"/>
      <c r="H509" s="738"/>
      <c r="I509" s="738"/>
      <c r="J509" s="738"/>
      <c r="K509" s="738"/>
      <c r="L509" s="738"/>
      <c r="M509" s="738"/>
      <c r="N509" s="738"/>
      <c r="O509" s="738"/>
      <c r="P509" s="738"/>
      <c r="Q509" s="738"/>
      <c r="R509" s="738"/>
      <c r="S509" s="738"/>
      <c r="T509" s="738"/>
      <c r="U509" s="738"/>
      <c r="V509" s="738"/>
      <c r="W509" s="738"/>
      <c r="X509" s="738"/>
      <c r="Y509" s="738"/>
      <c r="Z509" s="738"/>
    </row>
    <row r="510">
      <c r="A510" s="738"/>
      <c r="B510" s="738"/>
      <c r="C510" s="738"/>
      <c r="D510" s="738"/>
      <c r="E510" s="738"/>
      <c r="F510" s="738"/>
      <c r="G510" s="738"/>
      <c r="H510" s="738"/>
      <c r="I510" s="738"/>
      <c r="J510" s="738"/>
      <c r="K510" s="738"/>
      <c r="L510" s="738"/>
      <c r="M510" s="738"/>
      <c r="N510" s="738"/>
      <c r="O510" s="738"/>
      <c r="P510" s="738"/>
      <c r="Q510" s="738"/>
      <c r="R510" s="738"/>
      <c r="S510" s="738"/>
      <c r="T510" s="738"/>
      <c r="U510" s="738"/>
      <c r="V510" s="738"/>
      <c r="W510" s="738"/>
      <c r="X510" s="738"/>
      <c r="Y510" s="738"/>
      <c r="Z510" s="738"/>
    </row>
    <row r="511">
      <c r="A511" s="738"/>
      <c r="B511" s="738"/>
      <c r="C511" s="738"/>
      <c r="D511" s="738"/>
      <c r="E511" s="738"/>
      <c r="F511" s="738"/>
      <c r="G511" s="738"/>
      <c r="H511" s="738"/>
      <c r="I511" s="738"/>
      <c r="J511" s="738"/>
      <c r="K511" s="738"/>
      <c r="L511" s="738"/>
      <c r="M511" s="738"/>
      <c r="N511" s="738"/>
      <c r="O511" s="738"/>
      <c r="P511" s="738"/>
      <c r="Q511" s="738"/>
      <c r="R511" s="738"/>
      <c r="S511" s="738"/>
      <c r="T511" s="738"/>
      <c r="U511" s="738"/>
      <c r="V511" s="738"/>
      <c r="W511" s="738"/>
      <c r="X511" s="738"/>
      <c r="Y511" s="738"/>
      <c r="Z511" s="738"/>
    </row>
    <row r="512">
      <c r="A512" s="738"/>
      <c r="B512" s="738"/>
      <c r="C512" s="738"/>
      <c r="D512" s="738"/>
      <c r="E512" s="738"/>
      <c r="F512" s="738"/>
      <c r="G512" s="738"/>
      <c r="H512" s="738"/>
      <c r="I512" s="738"/>
      <c r="J512" s="738"/>
      <c r="K512" s="738"/>
      <c r="L512" s="738"/>
      <c r="M512" s="738"/>
      <c r="N512" s="738"/>
      <c r="O512" s="738"/>
      <c r="P512" s="738"/>
      <c r="Q512" s="738"/>
      <c r="R512" s="738"/>
      <c r="S512" s="738"/>
      <c r="T512" s="738"/>
      <c r="U512" s="738"/>
      <c r="V512" s="738"/>
      <c r="W512" s="738"/>
      <c r="X512" s="738"/>
      <c r="Y512" s="738"/>
      <c r="Z512" s="738"/>
    </row>
    <row r="513">
      <c r="A513" s="738"/>
      <c r="B513" s="738"/>
      <c r="C513" s="738"/>
      <c r="D513" s="738"/>
      <c r="E513" s="738"/>
      <c r="F513" s="738"/>
      <c r="G513" s="738"/>
      <c r="H513" s="738"/>
      <c r="I513" s="738"/>
      <c r="J513" s="738"/>
      <c r="K513" s="738"/>
      <c r="L513" s="738"/>
      <c r="M513" s="738"/>
      <c r="N513" s="738"/>
      <c r="O513" s="738"/>
      <c r="P513" s="738"/>
      <c r="Q513" s="738"/>
      <c r="R513" s="738"/>
      <c r="S513" s="738"/>
      <c r="T513" s="738"/>
      <c r="U513" s="738"/>
      <c r="V513" s="738"/>
      <c r="W513" s="738"/>
      <c r="X513" s="738"/>
      <c r="Y513" s="738"/>
      <c r="Z513" s="738"/>
    </row>
    <row r="514">
      <c r="A514" s="738"/>
      <c r="B514" s="738"/>
      <c r="C514" s="738"/>
      <c r="D514" s="738"/>
      <c r="E514" s="738"/>
      <c r="F514" s="738"/>
      <c r="G514" s="738"/>
      <c r="H514" s="738"/>
      <c r="I514" s="738"/>
      <c r="J514" s="738"/>
      <c r="K514" s="738"/>
      <c r="L514" s="738"/>
      <c r="M514" s="738"/>
      <c r="N514" s="738"/>
      <c r="O514" s="738"/>
      <c r="P514" s="738"/>
      <c r="Q514" s="738"/>
      <c r="R514" s="738"/>
      <c r="S514" s="738"/>
      <c r="T514" s="738"/>
      <c r="U514" s="738"/>
      <c r="V514" s="738"/>
      <c r="W514" s="738"/>
      <c r="X514" s="738"/>
      <c r="Y514" s="738"/>
      <c r="Z514" s="738"/>
    </row>
    <row r="515">
      <c r="A515" s="738"/>
      <c r="B515" s="738"/>
      <c r="C515" s="738"/>
      <c r="D515" s="738"/>
      <c r="E515" s="738"/>
      <c r="F515" s="738"/>
      <c r="G515" s="738"/>
      <c r="H515" s="738"/>
      <c r="I515" s="738"/>
      <c r="J515" s="738"/>
      <c r="K515" s="738"/>
      <c r="L515" s="738"/>
      <c r="M515" s="738"/>
      <c r="N515" s="738"/>
      <c r="O515" s="738"/>
      <c r="P515" s="738"/>
      <c r="Q515" s="738"/>
      <c r="R515" s="738"/>
      <c r="S515" s="738"/>
      <c r="T515" s="738"/>
      <c r="U515" s="738"/>
      <c r="V515" s="738"/>
      <c r="W515" s="738"/>
      <c r="X515" s="738"/>
      <c r="Y515" s="738"/>
      <c r="Z515" s="738"/>
    </row>
    <row r="516">
      <c r="A516" s="738"/>
      <c r="B516" s="738"/>
      <c r="C516" s="738"/>
      <c r="D516" s="738"/>
      <c r="E516" s="738"/>
      <c r="F516" s="738"/>
      <c r="G516" s="738"/>
      <c r="H516" s="738"/>
      <c r="I516" s="738"/>
      <c r="J516" s="738"/>
      <c r="K516" s="738"/>
      <c r="L516" s="738"/>
      <c r="M516" s="738"/>
      <c r="N516" s="738"/>
      <c r="O516" s="738"/>
      <c r="P516" s="738"/>
      <c r="Q516" s="738"/>
      <c r="R516" s="738"/>
      <c r="S516" s="738"/>
      <c r="T516" s="738"/>
      <c r="U516" s="738"/>
      <c r="V516" s="738"/>
      <c r="W516" s="738"/>
      <c r="X516" s="738"/>
      <c r="Y516" s="738"/>
      <c r="Z516" s="738"/>
    </row>
    <row r="517">
      <c r="A517" s="738"/>
      <c r="B517" s="738"/>
      <c r="C517" s="738"/>
      <c r="D517" s="738"/>
      <c r="E517" s="738"/>
      <c r="F517" s="738"/>
      <c r="G517" s="738"/>
      <c r="H517" s="738"/>
      <c r="I517" s="738"/>
      <c r="J517" s="738"/>
      <c r="K517" s="738"/>
      <c r="L517" s="738"/>
      <c r="M517" s="738"/>
      <c r="N517" s="738"/>
      <c r="O517" s="738"/>
      <c r="P517" s="738"/>
      <c r="Q517" s="738"/>
      <c r="R517" s="738"/>
      <c r="S517" s="738"/>
      <c r="T517" s="738"/>
      <c r="U517" s="738"/>
      <c r="V517" s="738"/>
      <c r="W517" s="738"/>
      <c r="X517" s="738"/>
      <c r="Y517" s="738"/>
      <c r="Z517" s="738"/>
    </row>
    <row r="518">
      <c r="A518" s="738"/>
      <c r="B518" s="738"/>
      <c r="C518" s="738"/>
      <c r="D518" s="738"/>
      <c r="E518" s="738"/>
      <c r="F518" s="738"/>
      <c r="G518" s="738"/>
      <c r="H518" s="738"/>
      <c r="I518" s="738"/>
      <c r="J518" s="738"/>
      <c r="K518" s="738"/>
      <c r="L518" s="738"/>
      <c r="M518" s="738"/>
      <c r="N518" s="738"/>
      <c r="O518" s="738"/>
      <c r="P518" s="738"/>
      <c r="Q518" s="738"/>
      <c r="R518" s="738"/>
      <c r="S518" s="738"/>
      <c r="T518" s="738"/>
      <c r="U518" s="738"/>
      <c r="V518" s="738"/>
      <c r="W518" s="738"/>
      <c r="X518" s="738"/>
      <c r="Y518" s="738"/>
      <c r="Z518" s="738"/>
    </row>
    <row r="519">
      <c r="A519" s="738"/>
      <c r="B519" s="738"/>
      <c r="C519" s="738"/>
      <c r="D519" s="738"/>
      <c r="E519" s="738"/>
      <c r="F519" s="738"/>
      <c r="G519" s="738"/>
      <c r="H519" s="738"/>
      <c r="I519" s="738"/>
      <c r="J519" s="738"/>
      <c r="K519" s="738"/>
      <c r="L519" s="738"/>
      <c r="M519" s="738"/>
      <c r="N519" s="738"/>
      <c r="O519" s="738"/>
      <c r="P519" s="738"/>
      <c r="Q519" s="738"/>
      <c r="R519" s="738"/>
      <c r="S519" s="738"/>
      <c r="T519" s="738"/>
      <c r="U519" s="738"/>
      <c r="V519" s="738"/>
      <c r="W519" s="738"/>
      <c r="X519" s="738"/>
      <c r="Y519" s="738"/>
      <c r="Z519" s="738"/>
    </row>
    <row r="520">
      <c r="A520" s="738"/>
      <c r="B520" s="738"/>
      <c r="C520" s="738"/>
      <c r="D520" s="738"/>
      <c r="E520" s="738"/>
      <c r="F520" s="738"/>
      <c r="G520" s="738"/>
      <c r="H520" s="738"/>
      <c r="I520" s="738"/>
      <c r="J520" s="738"/>
      <c r="K520" s="738"/>
      <c r="L520" s="738"/>
      <c r="M520" s="738"/>
      <c r="N520" s="738"/>
      <c r="O520" s="738"/>
      <c r="P520" s="738"/>
      <c r="Q520" s="738"/>
      <c r="R520" s="738"/>
      <c r="S520" s="738"/>
      <c r="T520" s="738"/>
      <c r="U520" s="738"/>
      <c r="V520" s="738"/>
      <c r="W520" s="738"/>
      <c r="X520" s="738"/>
      <c r="Y520" s="738"/>
      <c r="Z520" s="738"/>
    </row>
    <row r="521">
      <c r="A521" s="738"/>
      <c r="B521" s="738"/>
      <c r="C521" s="738"/>
      <c r="D521" s="738"/>
      <c r="E521" s="738"/>
      <c r="F521" s="738"/>
      <c r="G521" s="738"/>
      <c r="H521" s="738"/>
      <c r="I521" s="738"/>
      <c r="J521" s="738"/>
      <c r="K521" s="738"/>
      <c r="L521" s="738"/>
      <c r="M521" s="738"/>
      <c r="N521" s="738"/>
      <c r="O521" s="738"/>
      <c r="P521" s="738"/>
      <c r="Q521" s="738"/>
      <c r="R521" s="738"/>
      <c r="S521" s="738"/>
      <c r="T521" s="738"/>
      <c r="U521" s="738"/>
      <c r="V521" s="738"/>
      <c r="W521" s="738"/>
      <c r="X521" s="738"/>
      <c r="Y521" s="738"/>
      <c r="Z521" s="738"/>
    </row>
    <row r="522">
      <c r="A522" s="738"/>
      <c r="B522" s="738"/>
      <c r="C522" s="738"/>
      <c r="D522" s="738"/>
      <c r="E522" s="738"/>
      <c r="F522" s="738"/>
      <c r="G522" s="738"/>
      <c r="H522" s="738"/>
      <c r="I522" s="738"/>
      <c r="J522" s="738"/>
      <c r="K522" s="738"/>
      <c r="L522" s="738"/>
      <c r="M522" s="738"/>
      <c r="N522" s="738"/>
      <c r="O522" s="738"/>
      <c r="P522" s="738"/>
      <c r="Q522" s="738"/>
      <c r="R522" s="738"/>
      <c r="S522" s="738"/>
      <c r="T522" s="738"/>
      <c r="U522" s="738"/>
      <c r="V522" s="738"/>
      <c r="W522" s="738"/>
      <c r="X522" s="738"/>
      <c r="Y522" s="738"/>
      <c r="Z522" s="738"/>
    </row>
    <row r="523">
      <c r="A523" s="738"/>
      <c r="B523" s="738"/>
      <c r="C523" s="738"/>
      <c r="D523" s="738"/>
      <c r="E523" s="738"/>
      <c r="F523" s="738"/>
      <c r="G523" s="738"/>
      <c r="H523" s="738"/>
      <c r="I523" s="738"/>
      <c r="J523" s="738"/>
      <c r="K523" s="738"/>
      <c r="L523" s="738"/>
      <c r="M523" s="738"/>
      <c r="N523" s="738"/>
      <c r="O523" s="738"/>
      <c r="P523" s="738"/>
      <c r="Q523" s="738"/>
      <c r="R523" s="738"/>
      <c r="S523" s="738"/>
      <c r="T523" s="738"/>
      <c r="U523" s="738"/>
      <c r="V523" s="738"/>
      <c r="W523" s="738"/>
      <c r="X523" s="738"/>
      <c r="Y523" s="738"/>
      <c r="Z523" s="738"/>
    </row>
    <row r="524">
      <c r="A524" s="738"/>
      <c r="B524" s="738"/>
      <c r="C524" s="738"/>
      <c r="D524" s="738"/>
      <c r="E524" s="738"/>
      <c r="F524" s="738"/>
      <c r="G524" s="738"/>
      <c r="H524" s="738"/>
      <c r="I524" s="738"/>
      <c r="J524" s="738"/>
      <c r="K524" s="738"/>
      <c r="L524" s="738"/>
      <c r="M524" s="738"/>
      <c r="N524" s="738"/>
      <c r="O524" s="738"/>
      <c r="P524" s="738"/>
      <c r="Q524" s="738"/>
      <c r="R524" s="738"/>
      <c r="S524" s="738"/>
      <c r="T524" s="738"/>
      <c r="U524" s="738"/>
      <c r="V524" s="738"/>
      <c r="W524" s="738"/>
      <c r="X524" s="738"/>
      <c r="Y524" s="738"/>
      <c r="Z524" s="738"/>
    </row>
    <row r="525">
      <c r="A525" s="738"/>
      <c r="B525" s="738"/>
      <c r="C525" s="738"/>
      <c r="D525" s="738"/>
      <c r="E525" s="738"/>
      <c r="F525" s="738"/>
      <c r="G525" s="738"/>
      <c r="H525" s="738"/>
      <c r="I525" s="738"/>
      <c r="J525" s="738"/>
      <c r="K525" s="738"/>
      <c r="L525" s="738"/>
      <c r="M525" s="738"/>
      <c r="N525" s="738"/>
      <c r="O525" s="738"/>
      <c r="P525" s="738"/>
      <c r="Q525" s="738"/>
      <c r="R525" s="738"/>
      <c r="S525" s="738"/>
      <c r="T525" s="738"/>
      <c r="U525" s="738"/>
      <c r="V525" s="738"/>
      <c r="W525" s="738"/>
      <c r="X525" s="738"/>
      <c r="Y525" s="738"/>
      <c r="Z525" s="738"/>
    </row>
    <row r="526">
      <c r="A526" s="738"/>
      <c r="B526" s="738"/>
      <c r="C526" s="738"/>
      <c r="D526" s="738"/>
      <c r="E526" s="738"/>
      <c r="F526" s="738"/>
      <c r="G526" s="738"/>
      <c r="H526" s="738"/>
      <c r="I526" s="738"/>
      <c r="J526" s="738"/>
      <c r="K526" s="738"/>
      <c r="L526" s="738"/>
      <c r="M526" s="738"/>
      <c r="N526" s="738"/>
      <c r="O526" s="738"/>
      <c r="P526" s="738"/>
      <c r="Q526" s="738"/>
      <c r="R526" s="738"/>
      <c r="S526" s="738"/>
      <c r="T526" s="738"/>
      <c r="U526" s="738"/>
      <c r="V526" s="738"/>
      <c r="W526" s="738"/>
      <c r="X526" s="738"/>
      <c r="Y526" s="738"/>
      <c r="Z526" s="738"/>
    </row>
    <row r="527">
      <c r="A527" s="738"/>
      <c r="B527" s="738"/>
      <c r="C527" s="738"/>
      <c r="D527" s="738"/>
      <c r="E527" s="738"/>
      <c r="F527" s="738"/>
      <c r="G527" s="738"/>
      <c r="H527" s="738"/>
      <c r="I527" s="738"/>
      <c r="J527" s="738"/>
      <c r="K527" s="738"/>
      <c r="L527" s="738"/>
      <c r="M527" s="738"/>
      <c r="N527" s="738"/>
      <c r="O527" s="738"/>
      <c r="P527" s="738"/>
      <c r="Q527" s="738"/>
      <c r="R527" s="738"/>
      <c r="S527" s="738"/>
      <c r="T527" s="738"/>
      <c r="U527" s="738"/>
      <c r="V527" s="738"/>
      <c r="W527" s="738"/>
      <c r="X527" s="738"/>
      <c r="Y527" s="738"/>
      <c r="Z527" s="738"/>
    </row>
    <row r="528">
      <c r="A528" s="738"/>
      <c r="B528" s="738"/>
      <c r="C528" s="738"/>
      <c r="D528" s="738"/>
      <c r="E528" s="738"/>
      <c r="F528" s="738"/>
      <c r="G528" s="738"/>
      <c r="H528" s="738"/>
      <c r="I528" s="738"/>
      <c r="J528" s="738"/>
      <c r="K528" s="738"/>
      <c r="L528" s="738"/>
      <c r="M528" s="738"/>
      <c r="N528" s="738"/>
      <c r="O528" s="738"/>
      <c r="P528" s="738"/>
      <c r="Q528" s="738"/>
      <c r="R528" s="738"/>
      <c r="S528" s="738"/>
      <c r="T528" s="738"/>
      <c r="U528" s="738"/>
      <c r="V528" s="738"/>
      <c r="W528" s="738"/>
      <c r="X528" s="738"/>
      <c r="Y528" s="738"/>
      <c r="Z528" s="738"/>
    </row>
    <row r="529">
      <c r="A529" s="738"/>
      <c r="B529" s="738"/>
      <c r="C529" s="738"/>
      <c r="D529" s="738"/>
      <c r="E529" s="738"/>
      <c r="F529" s="738"/>
      <c r="G529" s="738"/>
      <c r="H529" s="738"/>
      <c r="I529" s="738"/>
      <c r="J529" s="738"/>
      <c r="K529" s="738"/>
      <c r="L529" s="738"/>
      <c r="M529" s="738"/>
      <c r="N529" s="738"/>
      <c r="O529" s="738"/>
      <c r="P529" s="738"/>
      <c r="Q529" s="738"/>
      <c r="R529" s="738"/>
      <c r="S529" s="738"/>
      <c r="T529" s="738"/>
      <c r="U529" s="738"/>
      <c r="V529" s="738"/>
      <c r="W529" s="738"/>
      <c r="X529" s="738"/>
      <c r="Y529" s="738"/>
      <c r="Z529" s="738"/>
    </row>
    <row r="530">
      <c r="A530" s="738"/>
      <c r="B530" s="738"/>
      <c r="C530" s="738"/>
      <c r="D530" s="738"/>
      <c r="E530" s="738"/>
      <c r="F530" s="738"/>
      <c r="G530" s="738"/>
      <c r="H530" s="738"/>
      <c r="I530" s="738"/>
      <c r="J530" s="738"/>
      <c r="K530" s="738"/>
      <c r="L530" s="738"/>
      <c r="M530" s="738"/>
      <c r="N530" s="738"/>
      <c r="O530" s="738"/>
      <c r="P530" s="738"/>
      <c r="Q530" s="738"/>
      <c r="R530" s="738"/>
      <c r="S530" s="738"/>
      <c r="T530" s="738"/>
      <c r="U530" s="738"/>
      <c r="V530" s="738"/>
      <c r="W530" s="738"/>
      <c r="X530" s="738"/>
      <c r="Y530" s="738"/>
      <c r="Z530" s="738"/>
    </row>
    <row r="531">
      <c r="A531" s="738"/>
      <c r="B531" s="738"/>
      <c r="C531" s="738"/>
      <c r="D531" s="738"/>
      <c r="E531" s="738"/>
      <c r="F531" s="738"/>
      <c r="G531" s="738"/>
      <c r="H531" s="738"/>
      <c r="I531" s="738"/>
      <c r="J531" s="738"/>
      <c r="K531" s="738"/>
      <c r="L531" s="738"/>
      <c r="M531" s="738"/>
      <c r="N531" s="738"/>
      <c r="O531" s="738"/>
      <c r="P531" s="738"/>
      <c r="Q531" s="738"/>
      <c r="R531" s="738"/>
      <c r="S531" s="738"/>
      <c r="T531" s="738"/>
      <c r="U531" s="738"/>
      <c r="V531" s="738"/>
      <c r="W531" s="738"/>
      <c r="X531" s="738"/>
      <c r="Y531" s="738"/>
      <c r="Z531" s="738"/>
    </row>
    <row r="532">
      <c r="A532" s="738"/>
      <c r="B532" s="738"/>
      <c r="C532" s="738"/>
      <c r="D532" s="738"/>
      <c r="E532" s="738"/>
      <c r="F532" s="738"/>
      <c r="G532" s="738"/>
      <c r="H532" s="738"/>
      <c r="I532" s="738"/>
      <c r="J532" s="738"/>
      <c r="K532" s="738"/>
      <c r="L532" s="738"/>
      <c r="M532" s="738"/>
      <c r="N532" s="738"/>
      <c r="O532" s="738"/>
      <c r="P532" s="738"/>
      <c r="Q532" s="738"/>
      <c r="R532" s="738"/>
      <c r="S532" s="738"/>
      <c r="T532" s="738"/>
      <c r="U532" s="738"/>
      <c r="V532" s="738"/>
      <c r="W532" s="738"/>
      <c r="X532" s="738"/>
      <c r="Y532" s="738"/>
      <c r="Z532" s="738"/>
    </row>
    <row r="533">
      <c r="A533" s="738"/>
      <c r="B533" s="738"/>
      <c r="C533" s="738"/>
      <c r="D533" s="738"/>
      <c r="E533" s="738"/>
      <c r="F533" s="738"/>
      <c r="G533" s="738"/>
      <c r="H533" s="738"/>
      <c r="I533" s="738"/>
      <c r="J533" s="738"/>
      <c r="K533" s="738"/>
      <c r="L533" s="738"/>
      <c r="M533" s="738"/>
      <c r="N533" s="738"/>
      <c r="O533" s="738"/>
      <c r="P533" s="738"/>
      <c r="Q533" s="738"/>
      <c r="R533" s="738"/>
      <c r="S533" s="738"/>
      <c r="T533" s="738"/>
      <c r="U533" s="738"/>
      <c r="V533" s="738"/>
      <c r="W533" s="738"/>
      <c r="X533" s="738"/>
      <c r="Y533" s="738"/>
      <c r="Z533" s="738"/>
    </row>
    <row r="534">
      <c r="A534" s="738"/>
      <c r="B534" s="738"/>
      <c r="C534" s="738"/>
      <c r="D534" s="738"/>
      <c r="E534" s="738"/>
      <c r="F534" s="738"/>
      <c r="G534" s="738"/>
      <c r="H534" s="738"/>
      <c r="I534" s="738"/>
      <c r="J534" s="738"/>
      <c r="K534" s="738"/>
      <c r="L534" s="738"/>
      <c r="M534" s="738"/>
      <c r="N534" s="738"/>
      <c r="O534" s="738"/>
      <c r="P534" s="738"/>
      <c r="Q534" s="738"/>
      <c r="R534" s="738"/>
      <c r="S534" s="738"/>
      <c r="T534" s="738"/>
      <c r="U534" s="738"/>
      <c r="V534" s="738"/>
      <c r="W534" s="738"/>
      <c r="X534" s="738"/>
      <c r="Y534" s="738"/>
      <c r="Z534" s="738"/>
    </row>
    <row r="535">
      <c r="A535" s="738"/>
      <c r="B535" s="738"/>
      <c r="C535" s="738"/>
      <c r="D535" s="738"/>
      <c r="E535" s="738"/>
      <c r="F535" s="738"/>
      <c r="G535" s="738"/>
      <c r="H535" s="738"/>
      <c r="I535" s="738"/>
      <c r="J535" s="738"/>
      <c r="K535" s="738"/>
      <c r="L535" s="738"/>
      <c r="M535" s="738"/>
      <c r="N535" s="738"/>
      <c r="O535" s="738"/>
      <c r="P535" s="738"/>
      <c r="Q535" s="738"/>
      <c r="R535" s="738"/>
      <c r="S535" s="738"/>
      <c r="T535" s="738"/>
      <c r="U535" s="738"/>
      <c r="V535" s="738"/>
      <c r="W535" s="738"/>
      <c r="X535" s="738"/>
      <c r="Y535" s="738"/>
      <c r="Z535" s="738"/>
    </row>
    <row r="536">
      <c r="A536" s="738"/>
      <c r="B536" s="738"/>
      <c r="C536" s="738"/>
      <c r="D536" s="738"/>
      <c r="E536" s="738"/>
      <c r="F536" s="738"/>
      <c r="G536" s="738"/>
      <c r="H536" s="738"/>
      <c r="I536" s="738"/>
      <c r="J536" s="738"/>
      <c r="K536" s="738"/>
      <c r="L536" s="738"/>
      <c r="M536" s="738"/>
      <c r="N536" s="738"/>
      <c r="O536" s="738"/>
      <c r="P536" s="738"/>
      <c r="Q536" s="738"/>
      <c r="R536" s="738"/>
      <c r="S536" s="738"/>
      <c r="T536" s="738"/>
      <c r="U536" s="738"/>
      <c r="V536" s="738"/>
      <c r="W536" s="738"/>
      <c r="X536" s="738"/>
      <c r="Y536" s="738"/>
      <c r="Z536" s="738"/>
    </row>
    <row r="537">
      <c r="A537" s="738"/>
      <c r="B537" s="738"/>
      <c r="C537" s="738"/>
      <c r="D537" s="738"/>
      <c r="E537" s="738"/>
      <c r="F537" s="738"/>
      <c r="G537" s="738"/>
      <c r="H537" s="738"/>
      <c r="I537" s="738"/>
      <c r="J537" s="738"/>
      <c r="K537" s="738"/>
      <c r="L537" s="738"/>
      <c r="M537" s="738"/>
      <c r="N537" s="738"/>
      <c r="O537" s="738"/>
      <c r="P537" s="738"/>
      <c r="Q537" s="738"/>
      <c r="R537" s="738"/>
      <c r="S537" s="738"/>
      <c r="T537" s="738"/>
      <c r="U537" s="738"/>
      <c r="V537" s="738"/>
      <c r="W537" s="738"/>
      <c r="X537" s="738"/>
      <c r="Y537" s="738"/>
      <c r="Z537" s="738"/>
    </row>
    <row r="538">
      <c r="A538" s="738"/>
      <c r="B538" s="738"/>
      <c r="C538" s="738"/>
      <c r="D538" s="738"/>
      <c r="E538" s="738"/>
      <c r="F538" s="738"/>
      <c r="G538" s="738"/>
      <c r="H538" s="738"/>
      <c r="I538" s="738"/>
      <c r="J538" s="738"/>
      <c r="K538" s="738"/>
      <c r="L538" s="738"/>
      <c r="M538" s="738"/>
      <c r="N538" s="738"/>
      <c r="O538" s="738"/>
      <c r="P538" s="738"/>
      <c r="Q538" s="738"/>
      <c r="R538" s="738"/>
      <c r="S538" s="738"/>
      <c r="T538" s="738"/>
      <c r="U538" s="738"/>
      <c r="V538" s="738"/>
      <c r="W538" s="738"/>
      <c r="X538" s="738"/>
      <c r="Y538" s="738"/>
      <c r="Z538" s="738"/>
    </row>
    <row r="539">
      <c r="A539" s="738"/>
      <c r="B539" s="738"/>
      <c r="C539" s="738"/>
      <c r="D539" s="738"/>
      <c r="E539" s="738"/>
      <c r="F539" s="738"/>
      <c r="G539" s="738"/>
      <c r="H539" s="738"/>
      <c r="I539" s="738"/>
      <c r="J539" s="738"/>
      <c r="K539" s="738"/>
      <c r="L539" s="738"/>
      <c r="M539" s="738"/>
      <c r="N539" s="738"/>
      <c r="O539" s="738"/>
      <c r="P539" s="738"/>
      <c r="Q539" s="738"/>
      <c r="R539" s="738"/>
      <c r="S539" s="738"/>
      <c r="T539" s="738"/>
      <c r="U539" s="738"/>
      <c r="V539" s="738"/>
      <c r="W539" s="738"/>
      <c r="X539" s="738"/>
      <c r="Y539" s="738"/>
      <c r="Z539" s="738"/>
    </row>
    <row r="540">
      <c r="A540" s="738"/>
      <c r="B540" s="738"/>
      <c r="C540" s="738"/>
      <c r="D540" s="738"/>
      <c r="E540" s="738"/>
      <c r="F540" s="738"/>
      <c r="G540" s="738"/>
      <c r="H540" s="738"/>
      <c r="I540" s="738"/>
      <c r="J540" s="738"/>
      <c r="K540" s="738"/>
      <c r="L540" s="738"/>
      <c r="M540" s="738"/>
      <c r="N540" s="738"/>
      <c r="O540" s="738"/>
      <c r="P540" s="738"/>
      <c r="Q540" s="738"/>
      <c r="R540" s="738"/>
      <c r="S540" s="738"/>
      <c r="T540" s="738"/>
      <c r="U540" s="738"/>
      <c r="V540" s="738"/>
      <c r="W540" s="738"/>
      <c r="X540" s="738"/>
      <c r="Y540" s="738"/>
      <c r="Z540" s="738"/>
    </row>
    <row r="541">
      <c r="A541" s="738"/>
      <c r="B541" s="738"/>
      <c r="C541" s="738"/>
      <c r="D541" s="738"/>
      <c r="E541" s="738"/>
      <c r="F541" s="738"/>
      <c r="G541" s="738"/>
      <c r="H541" s="738"/>
      <c r="I541" s="738"/>
      <c r="J541" s="738"/>
      <c r="K541" s="738"/>
      <c r="L541" s="738"/>
      <c r="M541" s="738"/>
      <c r="N541" s="738"/>
      <c r="O541" s="738"/>
      <c r="P541" s="738"/>
      <c r="Q541" s="738"/>
      <c r="R541" s="738"/>
      <c r="S541" s="738"/>
      <c r="T541" s="738"/>
      <c r="U541" s="738"/>
      <c r="V541" s="738"/>
      <c r="W541" s="738"/>
      <c r="X541" s="738"/>
      <c r="Y541" s="738"/>
      <c r="Z541" s="738"/>
    </row>
    <row r="542">
      <c r="A542" s="738"/>
      <c r="B542" s="738"/>
      <c r="C542" s="738"/>
      <c r="D542" s="738"/>
      <c r="E542" s="738"/>
      <c r="F542" s="738"/>
      <c r="G542" s="738"/>
      <c r="H542" s="738"/>
      <c r="I542" s="738"/>
      <c r="J542" s="738"/>
      <c r="K542" s="738"/>
      <c r="L542" s="738"/>
      <c r="M542" s="738"/>
      <c r="N542" s="738"/>
      <c r="O542" s="738"/>
      <c r="P542" s="738"/>
      <c r="Q542" s="738"/>
      <c r="R542" s="738"/>
      <c r="S542" s="738"/>
      <c r="T542" s="738"/>
      <c r="U542" s="738"/>
      <c r="V542" s="738"/>
      <c r="W542" s="738"/>
      <c r="X542" s="738"/>
      <c r="Y542" s="738"/>
      <c r="Z542" s="738"/>
    </row>
    <row r="543">
      <c r="A543" s="738"/>
      <c r="B543" s="738"/>
      <c r="C543" s="738"/>
      <c r="D543" s="738"/>
      <c r="E543" s="738"/>
      <c r="F543" s="738"/>
      <c r="G543" s="738"/>
      <c r="H543" s="738"/>
      <c r="I543" s="738"/>
      <c r="J543" s="738"/>
      <c r="K543" s="738"/>
      <c r="L543" s="738"/>
      <c r="M543" s="738"/>
      <c r="N543" s="738"/>
      <c r="O543" s="738"/>
      <c r="P543" s="738"/>
      <c r="Q543" s="738"/>
      <c r="R543" s="738"/>
      <c r="S543" s="738"/>
      <c r="T543" s="738"/>
      <c r="U543" s="738"/>
      <c r="V543" s="738"/>
      <c r="W543" s="738"/>
      <c r="X543" s="738"/>
      <c r="Y543" s="738"/>
      <c r="Z543" s="738"/>
    </row>
    <row r="544">
      <c r="A544" s="738"/>
      <c r="B544" s="738"/>
      <c r="C544" s="738"/>
      <c r="D544" s="738"/>
      <c r="E544" s="738"/>
      <c r="F544" s="738"/>
      <c r="G544" s="738"/>
      <c r="H544" s="738"/>
      <c r="I544" s="738"/>
      <c r="J544" s="738"/>
      <c r="K544" s="738"/>
      <c r="L544" s="738"/>
      <c r="M544" s="738"/>
      <c r="N544" s="738"/>
      <c r="O544" s="738"/>
      <c r="P544" s="738"/>
      <c r="Q544" s="738"/>
      <c r="R544" s="738"/>
      <c r="S544" s="738"/>
      <c r="T544" s="738"/>
      <c r="U544" s="738"/>
      <c r="V544" s="738"/>
      <c r="W544" s="738"/>
      <c r="X544" s="738"/>
      <c r="Y544" s="738"/>
      <c r="Z544" s="738"/>
    </row>
    <row r="545">
      <c r="A545" s="738"/>
      <c r="B545" s="738"/>
      <c r="C545" s="738"/>
      <c r="D545" s="738"/>
      <c r="E545" s="738"/>
      <c r="F545" s="738"/>
      <c r="G545" s="738"/>
      <c r="H545" s="738"/>
      <c r="I545" s="738"/>
      <c r="J545" s="738"/>
      <c r="K545" s="738"/>
      <c r="L545" s="738"/>
      <c r="M545" s="738"/>
      <c r="N545" s="738"/>
      <c r="O545" s="738"/>
      <c r="P545" s="738"/>
      <c r="Q545" s="738"/>
      <c r="R545" s="738"/>
      <c r="S545" s="738"/>
      <c r="T545" s="738"/>
      <c r="U545" s="738"/>
      <c r="V545" s="738"/>
      <c r="W545" s="738"/>
      <c r="X545" s="738"/>
      <c r="Y545" s="738"/>
      <c r="Z545" s="738"/>
    </row>
    <row r="546">
      <c r="A546" s="738"/>
      <c r="B546" s="738"/>
      <c r="C546" s="738"/>
      <c r="D546" s="738"/>
      <c r="E546" s="738"/>
      <c r="F546" s="738"/>
      <c r="G546" s="738"/>
      <c r="H546" s="738"/>
      <c r="I546" s="738"/>
      <c r="J546" s="738"/>
      <c r="K546" s="738"/>
      <c r="L546" s="738"/>
      <c r="M546" s="738"/>
      <c r="N546" s="738"/>
      <c r="O546" s="738"/>
      <c r="P546" s="738"/>
      <c r="Q546" s="738"/>
      <c r="R546" s="738"/>
      <c r="S546" s="738"/>
      <c r="T546" s="738"/>
      <c r="U546" s="738"/>
      <c r="V546" s="738"/>
      <c r="W546" s="738"/>
      <c r="X546" s="738"/>
      <c r="Y546" s="738"/>
      <c r="Z546" s="738"/>
    </row>
    <row r="547">
      <c r="A547" s="738"/>
      <c r="B547" s="738"/>
      <c r="C547" s="738"/>
      <c r="D547" s="738"/>
      <c r="E547" s="738"/>
      <c r="F547" s="738"/>
      <c r="G547" s="738"/>
      <c r="H547" s="738"/>
      <c r="I547" s="738"/>
      <c r="J547" s="738"/>
      <c r="K547" s="738"/>
      <c r="L547" s="738"/>
      <c r="M547" s="738"/>
      <c r="N547" s="738"/>
      <c r="O547" s="738"/>
      <c r="P547" s="738"/>
      <c r="Q547" s="738"/>
      <c r="R547" s="738"/>
      <c r="S547" s="738"/>
      <c r="T547" s="738"/>
      <c r="U547" s="738"/>
      <c r="V547" s="738"/>
      <c r="W547" s="738"/>
      <c r="X547" s="738"/>
      <c r="Y547" s="738"/>
      <c r="Z547" s="738"/>
    </row>
    <row r="548">
      <c r="A548" s="738"/>
      <c r="B548" s="738"/>
      <c r="C548" s="738"/>
      <c r="D548" s="738"/>
      <c r="E548" s="738"/>
      <c r="F548" s="738"/>
      <c r="G548" s="738"/>
      <c r="H548" s="738"/>
      <c r="I548" s="738"/>
      <c r="J548" s="738"/>
      <c r="K548" s="738"/>
      <c r="L548" s="738"/>
      <c r="M548" s="738"/>
      <c r="N548" s="738"/>
      <c r="O548" s="738"/>
      <c r="P548" s="738"/>
      <c r="Q548" s="738"/>
      <c r="R548" s="738"/>
      <c r="S548" s="738"/>
      <c r="T548" s="738"/>
      <c r="U548" s="738"/>
      <c r="V548" s="738"/>
      <c r="W548" s="738"/>
      <c r="X548" s="738"/>
      <c r="Y548" s="738"/>
      <c r="Z548" s="738"/>
    </row>
    <row r="549">
      <c r="A549" s="738"/>
      <c r="B549" s="738"/>
      <c r="C549" s="738"/>
      <c r="D549" s="738"/>
      <c r="E549" s="738"/>
      <c r="F549" s="738"/>
      <c r="G549" s="738"/>
      <c r="H549" s="738"/>
      <c r="I549" s="738"/>
      <c r="J549" s="738"/>
      <c r="K549" s="738"/>
      <c r="L549" s="738"/>
      <c r="M549" s="738"/>
      <c r="N549" s="738"/>
      <c r="O549" s="738"/>
      <c r="P549" s="738"/>
      <c r="Q549" s="738"/>
      <c r="R549" s="738"/>
      <c r="S549" s="738"/>
      <c r="T549" s="738"/>
      <c r="U549" s="738"/>
      <c r="V549" s="738"/>
      <c r="W549" s="738"/>
      <c r="X549" s="738"/>
      <c r="Y549" s="738"/>
      <c r="Z549" s="738"/>
    </row>
    <row r="550">
      <c r="A550" s="738"/>
      <c r="B550" s="738"/>
      <c r="C550" s="738"/>
      <c r="D550" s="738"/>
      <c r="E550" s="738"/>
      <c r="F550" s="738"/>
      <c r="G550" s="738"/>
      <c r="H550" s="738"/>
      <c r="I550" s="738"/>
      <c r="J550" s="738"/>
      <c r="K550" s="738"/>
      <c r="L550" s="738"/>
      <c r="M550" s="738"/>
      <c r="N550" s="738"/>
      <c r="O550" s="738"/>
      <c r="P550" s="738"/>
      <c r="Q550" s="738"/>
      <c r="R550" s="738"/>
      <c r="S550" s="738"/>
      <c r="T550" s="738"/>
      <c r="U550" s="738"/>
      <c r="V550" s="738"/>
      <c r="W550" s="738"/>
      <c r="X550" s="738"/>
      <c r="Y550" s="738"/>
      <c r="Z550" s="738"/>
    </row>
    <row r="551">
      <c r="A551" s="738"/>
      <c r="B551" s="738"/>
      <c r="C551" s="738"/>
      <c r="D551" s="738"/>
      <c r="E551" s="738"/>
      <c r="F551" s="738"/>
      <c r="G551" s="738"/>
      <c r="H551" s="738"/>
      <c r="I551" s="738"/>
      <c r="J551" s="738"/>
      <c r="K551" s="738"/>
      <c r="L551" s="738"/>
      <c r="M551" s="738"/>
      <c r="N551" s="738"/>
      <c r="O551" s="738"/>
      <c r="P551" s="738"/>
      <c r="Q551" s="738"/>
      <c r="R551" s="738"/>
      <c r="S551" s="738"/>
      <c r="T551" s="738"/>
      <c r="U551" s="738"/>
      <c r="V551" s="738"/>
      <c r="W551" s="738"/>
      <c r="X551" s="738"/>
      <c r="Y551" s="738"/>
      <c r="Z551" s="738"/>
    </row>
    <row r="552">
      <c r="A552" s="738"/>
      <c r="B552" s="738"/>
      <c r="C552" s="738"/>
      <c r="D552" s="738"/>
      <c r="E552" s="738"/>
      <c r="F552" s="738"/>
      <c r="G552" s="738"/>
      <c r="H552" s="738"/>
      <c r="I552" s="738"/>
      <c r="J552" s="738"/>
      <c r="K552" s="738"/>
      <c r="L552" s="738"/>
      <c r="M552" s="738"/>
      <c r="N552" s="738"/>
      <c r="O552" s="738"/>
      <c r="P552" s="738"/>
      <c r="Q552" s="738"/>
      <c r="R552" s="738"/>
      <c r="S552" s="738"/>
      <c r="T552" s="738"/>
      <c r="U552" s="738"/>
      <c r="V552" s="738"/>
      <c r="W552" s="738"/>
      <c r="X552" s="738"/>
      <c r="Y552" s="738"/>
      <c r="Z552" s="738"/>
    </row>
    <row r="553">
      <c r="A553" s="738"/>
      <c r="B553" s="738"/>
      <c r="C553" s="738"/>
      <c r="D553" s="738"/>
      <c r="E553" s="738"/>
      <c r="F553" s="738"/>
      <c r="G553" s="738"/>
      <c r="H553" s="738"/>
      <c r="I553" s="738"/>
      <c r="J553" s="738"/>
      <c r="K553" s="738"/>
      <c r="L553" s="738"/>
      <c r="M553" s="738"/>
      <c r="N553" s="738"/>
      <c r="O553" s="738"/>
      <c r="P553" s="738"/>
      <c r="Q553" s="738"/>
      <c r="R553" s="738"/>
      <c r="S553" s="738"/>
      <c r="T553" s="738"/>
      <c r="U553" s="738"/>
      <c r="V553" s="738"/>
      <c r="W553" s="738"/>
      <c r="X553" s="738"/>
      <c r="Y553" s="738"/>
      <c r="Z553" s="738"/>
    </row>
    <row r="554">
      <c r="A554" s="738"/>
      <c r="B554" s="738"/>
      <c r="C554" s="738"/>
      <c r="D554" s="738"/>
      <c r="E554" s="738"/>
      <c r="F554" s="738"/>
      <c r="G554" s="738"/>
      <c r="H554" s="738"/>
      <c r="I554" s="738"/>
      <c r="J554" s="738"/>
      <c r="K554" s="738"/>
      <c r="L554" s="738"/>
      <c r="M554" s="738"/>
      <c r="N554" s="738"/>
      <c r="O554" s="738"/>
      <c r="P554" s="738"/>
      <c r="Q554" s="738"/>
      <c r="R554" s="738"/>
      <c r="S554" s="738"/>
      <c r="T554" s="738"/>
      <c r="U554" s="738"/>
      <c r="V554" s="738"/>
      <c r="W554" s="738"/>
      <c r="X554" s="738"/>
      <c r="Y554" s="738"/>
      <c r="Z554" s="738"/>
    </row>
    <row r="555">
      <c r="A555" s="738"/>
      <c r="B555" s="738"/>
      <c r="C555" s="738"/>
      <c r="D555" s="738"/>
      <c r="E555" s="738"/>
      <c r="F555" s="738"/>
      <c r="G555" s="738"/>
      <c r="H555" s="738"/>
      <c r="I555" s="738"/>
      <c r="J555" s="738"/>
      <c r="K555" s="738"/>
      <c r="L555" s="738"/>
      <c r="M555" s="738"/>
      <c r="N555" s="738"/>
      <c r="O555" s="738"/>
      <c r="P555" s="738"/>
      <c r="Q555" s="738"/>
      <c r="R555" s="738"/>
      <c r="S555" s="738"/>
      <c r="T555" s="738"/>
      <c r="U555" s="738"/>
      <c r="V555" s="738"/>
      <c r="W555" s="738"/>
      <c r="X555" s="738"/>
      <c r="Y555" s="738"/>
      <c r="Z555" s="738"/>
    </row>
    <row r="556">
      <c r="A556" s="738"/>
      <c r="B556" s="738"/>
      <c r="C556" s="738"/>
      <c r="D556" s="738"/>
      <c r="E556" s="738"/>
      <c r="F556" s="738"/>
      <c r="G556" s="738"/>
      <c r="H556" s="738"/>
      <c r="I556" s="738"/>
      <c r="J556" s="738"/>
      <c r="K556" s="738"/>
      <c r="L556" s="738"/>
      <c r="M556" s="738"/>
      <c r="N556" s="738"/>
      <c r="O556" s="738"/>
      <c r="P556" s="738"/>
      <c r="Q556" s="738"/>
      <c r="R556" s="738"/>
      <c r="S556" s="738"/>
      <c r="T556" s="738"/>
      <c r="U556" s="738"/>
      <c r="V556" s="738"/>
      <c r="W556" s="738"/>
      <c r="X556" s="738"/>
      <c r="Y556" s="738"/>
      <c r="Z556" s="738"/>
    </row>
    <row r="557">
      <c r="A557" s="738"/>
      <c r="B557" s="738"/>
      <c r="C557" s="738"/>
      <c r="D557" s="738"/>
      <c r="E557" s="738"/>
      <c r="F557" s="738"/>
      <c r="G557" s="738"/>
      <c r="H557" s="738"/>
      <c r="I557" s="738"/>
      <c r="J557" s="738"/>
      <c r="K557" s="738"/>
      <c r="L557" s="738"/>
      <c r="M557" s="738"/>
      <c r="N557" s="738"/>
      <c r="O557" s="738"/>
      <c r="P557" s="738"/>
      <c r="Q557" s="738"/>
      <c r="R557" s="738"/>
      <c r="S557" s="738"/>
      <c r="T557" s="738"/>
      <c r="U557" s="738"/>
      <c r="V557" s="738"/>
      <c r="W557" s="738"/>
      <c r="X557" s="738"/>
      <c r="Y557" s="738"/>
      <c r="Z557" s="738"/>
    </row>
    <row r="558">
      <c r="A558" s="738"/>
      <c r="B558" s="738"/>
      <c r="C558" s="738"/>
      <c r="D558" s="738"/>
      <c r="E558" s="738"/>
      <c r="F558" s="738"/>
      <c r="G558" s="738"/>
      <c r="H558" s="738"/>
      <c r="I558" s="738"/>
      <c r="J558" s="738"/>
      <c r="K558" s="738"/>
      <c r="L558" s="738"/>
      <c r="M558" s="738"/>
      <c r="N558" s="738"/>
      <c r="O558" s="738"/>
      <c r="P558" s="738"/>
      <c r="Q558" s="738"/>
      <c r="R558" s="738"/>
      <c r="S558" s="738"/>
      <c r="T558" s="738"/>
      <c r="U558" s="738"/>
      <c r="V558" s="738"/>
      <c r="W558" s="738"/>
      <c r="X558" s="738"/>
      <c r="Y558" s="738"/>
      <c r="Z558" s="738"/>
    </row>
    <row r="559">
      <c r="A559" s="738"/>
      <c r="B559" s="738"/>
      <c r="C559" s="738"/>
      <c r="D559" s="738"/>
      <c r="E559" s="738"/>
      <c r="F559" s="738"/>
      <c r="G559" s="738"/>
      <c r="H559" s="738"/>
      <c r="I559" s="738"/>
      <c r="J559" s="738"/>
      <c r="K559" s="738"/>
      <c r="L559" s="738"/>
      <c r="M559" s="738"/>
      <c r="N559" s="738"/>
      <c r="O559" s="738"/>
      <c r="P559" s="738"/>
      <c r="Q559" s="738"/>
      <c r="R559" s="738"/>
      <c r="S559" s="738"/>
      <c r="T559" s="738"/>
      <c r="U559" s="738"/>
      <c r="V559" s="738"/>
      <c r="W559" s="738"/>
      <c r="X559" s="738"/>
      <c r="Y559" s="738"/>
      <c r="Z559" s="738"/>
    </row>
    <row r="560">
      <c r="A560" s="738"/>
      <c r="B560" s="738"/>
      <c r="C560" s="738"/>
      <c r="D560" s="738"/>
      <c r="E560" s="738"/>
      <c r="F560" s="738"/>
      <c r="G560" s="738"/>
      <c r="H560" s="738"/>
      <c r="I560" s="738"/>
      <c r="J560" s="738"/>
      <c r="K560" s="738"/>
      <c r="L560" s="738"/>
      <c r="M560" s="738"/>
      <c r="N560" s="738"/>
      <c r="O560" s="738"/>
      <c r="P560" s="738"/>
      <c r="Q560" s="738"/>
      <c r="R560" s="738"/>
      <c r="S560" s="738"/>
      <c r="T560" s="738"/>
      <c r="U560" s="738"/>
      <c r="V560" s="738"/>
      <c r="W560" s="738"/>
      <c r="X560" s="738"/>
      <c r="Y560" s="738"/>
      <c r="Z560" s="738"/>
    </row>
    <row r="561">
      <c r="A561" s="738"/>
      <c r="B561" s="738"/>
      <c r="C561" s="738"/>
      <c r="D561" s="738"/>
      <c r="E561" s="738"/>
      <c r="F561" s="738"/>
      <c r="G561" s="738"/>
      <c r="H561" s="738"/>
      <c r="I561" s="738"/>
      <c r="J561" s="738"/>
      <c r="K561" s="738"/>
      <c r="L561" s="738"/>
      <c r="M561" s="738"/>
      <c r="N561" s="738"/>
      <c r="O561" s="738"/>
      <c r="P561" s="738"/>
      <c r="Q561" s="738"/>
      <c r="R561" s="738"/>
      <c r="S561" s="738"/>
      <c r="T561" s="738"/>
      <c r="U561" s="738"/>
      <c r="V561" s="738"/>
      <c r="W561" s="738"/>
      <c r="X561" s="738"/>
      <c r="Y561" s="738"/>
      <c r="Z561" s="738"/>
    </row>
    <row r="562">
      <c r="A562" s="738"/>
      <c r="B562" s="738"/>
      <c r="C562" s="738"/>
      <c r="D562" s="738"/>
      <c r="E562" s="738"/>
      <c r="F562" s="738"/>
      <c r="G562" s="738"/>
      <c r="H562" s="738"/>
      <c r="I562" s="738"/>
      <c r="J562" s="738"/>
      <c r="K562" s="738"/>
      <c r="L562" s="738"/>
      <c r="M562" s="738"/>
      <c r="N562" s="738"/>
      <c r="O562" s="738"/>
      <c r="P562" s="738"/>
      <c r="Q562" s="738"/>
      <c r="R562" s="738"/>
      <c r="S562" s="738"/>
      <c r="T562" s="738"/>
      <c r="U562" s="738"/>
      <c r="V562" s="738"/>
      <c r="W562" s="738"/>
      <c r="X562" s="738"/>
      <c r="Y562" s="738"/>
      <c r="Z562" s="738"/>
    </row>
    <row r="563">
      <c r="A563" s="738"/>
      <c r="B563" s="738"/>
      <c r="C563" s="738"/>
      <c r="D563" s="738"/>
      <c r="E563" s="738"/>
      <c r="F563" s="738"/>
      <c r="G563" s="738"/>
      <c r="H563" s="738"/>
      <c r="I563" s="738"/>
      <c r="J563" s="738"/>
      <c r="K563" s="738"/>
      <c r="L563" s="738"/>
      <c r="M563" s="738"/>
      <c r="N563" s="738"/>
      <c r="O563" s="738"/>
      <c r="P563" s="738"/>
      <c r="Q563" s="738"/>
      <c r="R563" s="738"/>
      <c r="S563" s="738"/>
      <c r="T563" s="738"/>
      <c r="U563" s="738"/>
      <c r="V563" s="738"/>
      <c r="W563" s="738"/>
      <c r="X563" s="738"/>
      <c r="Y563" s="738"/>
      <c r="Z563" s="738"/>
    </row>
    <row r="564">
      <c r="A564" s="738"/>
      <c r="B564" s="738"/>
      <c r="C564" s="738"/>
      <c r="D564" s="738"/>
      <c r="E564" s="738"/>
      <c r="F564" s="738"/>
      <c r="G564" s="738"/>
      <c r="H564" s="738"/>
      <c r="I564" s="738"/>
      <c r="J564" s="738"/>
      <c r="K564" s="738"/>
      <c r="L564" s="738"/>
      <c r="M564" s="738"/>
      <c r="N564" s="738"/>
      <c r="O564" s="738"/>
      <c r="P564" s="738"/>
      <c r="Q564" s="738"/>
      <c r="R564" s="738"/>
      <c r="S564" s="738"/>
      <c r="T564" s="738"/>
      <c r="U564" s="738"/>
      <c r="V564" s="738"/>
      <c r="W564" s="738"/>
      <c r="X564" s="738"/>
      <c r="Y564" s="738"/>
      <c r="Z564" s="738"/>
    </row>
    <row r="565">
      <c r="A565" s="738"/>
      <c r="B565" s="738"/>
      <c r="C565" s="738"/>
      <c r="D565" s="738"/>
      <c r="E565" s="738"/>
      <c r="F565" s="738"/>
      <c r="G565" s="738"/>
      <c r="H565" s="738"/>
      <c r="I565" s="738"/>
      <c r="J565" s="738"/>
      <c r="K565" s="738"/>
      <c r="L565" s="738"/>
      <c r="M565" s="738"/>
      <c r="N565" s="738"/>
      <c r="O565" s="738"/>
      <c r="P565" s="738"/>
      <c r="Q565" s="738"/>
      <c r="R565" s="738"/>
      <c r="S565" s="738"/>
      <c r="T565" s="738"/>
      <c r="U565" s="738"/>
      <c r="V565" s="738"/>
      <c r="W565" s="738"/>
      <c r="X565" s="738"/>
      <c r="Y565" s="738"/>
      <c r="Z565" s="738"/>
    </row>
    <row r="566">
      <c r="A566" s="738"/>
      <c r="B566" s="738"/>
      <c r="C566" s="738"/>
      <c r="D566" s="738"/>
      <c r="E566" s="738"/>
      <c r="F566" s="738"/>
      <c r="G566" s="738"/>
      <c r="H566" s="738"/>
      <c r="I566" s="738"/>
      <c r="J566" s="738"/>
      <c r="K566" s="738"/>
      <c r="L566" s="738"/>
      <c r="M566" s="738"/>
      <c r="N566" s="738"/>
      <c r="O566" s="738"/>
      <c r="P566" s="738"/>
      <c r="Q566" s="738"/>
      <c r="R566" s="738"/>
      <c r="S566" s="738"/>
      <c r="T566" s="738"/>
      <c r="U566" s="738"/>
      <c r="V566" s="738"/>
      <c r="W566" s="738"/>
      <c r="X566" s="738"/>
      <c r="Y566" s="738"/>
      <c r="Z566" s="738"/>
    </row>
    <row r="567">
      <c r="A567" s="738"/>
      <c r="B567" s="738"/>
      <c r="C567" s="738"/>
      <c r="D567" s="738"/>
      <c r="E567" s="738"/>
      <c r="F567" s="738"/>
      <c r="G567" s="738"/>
      <c r="H567" s="738"/>
      <c r="I567" s="738"/>
      <c r="J567" s="738"/>
      <c r="K567" s="738"/>
      <c r="L567" s="738"/>
      <c r="M567" s="738"/>
      <c r="N567" s="738"/>
      <c r="O567" s="738"/>
      <c r="P567" s="738"/>
      <c r="Q567" s="738"/>
      <c r="R567" s="738"/>
      <c r="S567" s="738"/>
      <c r="T567" s="738"/>
      <c r="U567" s="738"/>
      <c r="V567" s="738"/>
      <c r="W567" s="738"/>
      <c r="X567" s="738"/>
      <c r="Y567" s="738"/>
      <c r="Z567" s="738"/>
    </row>
    <row r="568">
      <c r="A568" s="738"/>
      <c r="B568" s="738"/>
      <c r="C568" s="738"/>
      <c r="D568" s="738"/>
      <c r="E568" s="738"/>
      <c r="F568" s="738"/>
      <c r="G568" s="738"/>
      <c r="H568" s="738"/>
      <c r="I568" s="738"/>
      <c r="J568" s="738"/>
      <c r="K568" s="738"/>
      <c r="L568" s="738"/>
      <c r="M568" s="738"/>
      <c r="N568" s="738"/>
      <c r="O568" s="738"/>
      <c r="P568" s="738"/>
      <c r="Q568" s="738"/>
      <c r="R568" s="738"/>
      <c r="S568" s="738"/>
      <c r="T568" s="738"/>
      <c r="U568" s="738"/>
      <c r="V568" s="738"/>
      <c r="W568" s="738"/>
      <c r="X568" s="738"/>
      <c r="Y568" s="738"/>
      <c r="Z568" s="738"/>
    </row>
    <row r="569">
      <c r="A569" s="738"/>
      <c r="B569" s="738"/>
      <c r="C569" s="738"/>
      <c r="D569" s="738"/>
      <c r="E569" s="738"/>
      <c r="F569" s="738"/>
      <c r="G569" s="738"/>
      <c r="H569" s="738"/>
      <c r="I569" s="738"/>
      <c r="J569" s="738"/>
      <c r="K569" s="738"/>
      <c r="L569" s="738"/>
      <c r="M569" s="738"/>
      <c r="N569" s="738"/>
      <c r="O569" s="738"/>
      <c r="P569" s="738"/>
      <c r="Q569" s="738"/>
      <c r="R569" s="738"/>
      <c r="S569" s="738"/>
      <c r="T569" s="738"/>
      <c r="U569" s="738"/>
      <c r="V569" s="738"/>
      <c r="W569" s="738"/>
      <c r="X569" s="738"/>
      <c r="Y569" s="738"/>
      <c r="Z569" s="738"/>
    </row>
    <row r="570">
      <c r="A570" s="738"/>
      <c r="B570" s="738"/>
      <c r="C570" s="738"/>
      <c r="D570" s="738"/>
      <c r="E570" s="738"/>
      <c r="F570" s="738"/>
      <c r="G570" s="738"/>
      <c r="H570" s="738"/>
      <c r="I570" s="738"/>
      <c r="J570" s="738"/>
      <c r="K570" s="738"/>
      <c r="L570" s="738"/>
      <c r="M570" s="738"/>
      <c r="N570" s="738"/>
      <c r="O570" s="738"/>
      <c r="P570" s="738"/>
      <c r="Q570" s="738"/>
      <c r="R570" s="738"/>
      <c r="S570" s="738"/>
      <c r="T570" s="738"/>
      <c r="U570" s="738"/>
      <c r="V570" s="738"/>
      <c r="W570" s="738"/>
      <c r="X570" s="738"/>
      <c r="Y570" s="738"/>
      <c r="Z570" s="738"/>
    </row>
    <row r="571">
      <c r="A571" s="738"/>
      <c r="B571" s="738"/>
      <c r="C571" s="738"/>
      <c r="D571" s="738"/>
      <c r="E571" s="738"/>
      <c r="F571" s="738"/>
      <c r="G571" s="738"/>
      <c r="H571" s="738"/>
      <c r="I571" s="738"/>
      <c r="J571" s="738"/>
      <c r="K571" s="738"/>
      <c r="L571" s="738"/>
      <c r="M571" s="738"/>
      <c r="N571" s="738"/>
      <c r="O571" s="738"/>
      <c r="P571" s="738"/>
      <c r="Q571" s="738"/>
      <c r="R571" s="738"/>
      <c r="S571" s="738"/>
      <c r="T571" s="738"/>
      <c r="U571" s="738"/>
      <c r="V571" s="738"/>
      <c r="W571" s="738"/>
      <c r="X571" s="738"/>
      <c r="Y571" s="738"/>
      <c r="Z571" s="738"/>
    </row>
    <row r="572">
      <c r="A572" s="738"/>
      <c r="B572" s="738"/>
      <c r="C572" s="738"/>
      <c r="D572" s="738"/>
      <c r="E572" s="738"/>
      <c r="F572" s="738"/>
      <c r="G572" s="738"/>
      <c r="H572" s="738"/>
      <c r="I572" s="738"/>
      <c r="J572" s="738"/>
      <c r="K572" s="738"/>
      <c r="L572" s="738"/>
      <c r="M572" s="738"/>
      <c r="N572" s="738"/>
      <c r="O572" s="738"/>
      <c r="P572" s="738"/>
      <c r="Q572" s="738"/>
      <c r="R572" s="738"/>
      <c r="S572" s="738"/>
      <c r="T572" s="738"/>
      <c r="U572" s="738"/>
      <c r="V572" s="738"/>
      <c r="W572" s="738"/>
      <c r="X572" s="738"/>
      <c r="Y572" s="738"/>
      <c r="Z572" s="738"/>
    </row>
    <row r="573">
      <c r="A573" s="738"/>
      <c r="B573" s="738"/>
      <c r="C573" s="738"/>
      <c r="D573" s="738"/>
      <c r="E573" s="738"/>
      <c r="F573" s="738"/>
      <c r="G573" s="738"/>
      <c r="H573" s="738"/>
      <c r="I573" s="738"/>
      <c r="J573" s="738"/>
      <c r="K573" s="738"/>
      <c r="L573" s="738"/>
      <c r="M573" s="738"/>
      <c r="N573" s="738"/>
      <c r="O573" s="738"/>
      <c r="P573" s="738"/>
      <c r="Q573" s="738"/>
      <c r="R573" s="738"/>
      <c r="S573" s="738"/>
      <c r="T573" s="738"/>
      <c r="U573" s="738"/>
      <c r="V573" s="738"/>
      <c r="W573" s="738"/>
      <c r="X573" s="738"/>
      <c r="Y573" s="738"/>
      <c r="Z573" s="738"/>
    </row>
    <row r="574">
      <c r="A574" s="738"/>
      <c r="B574" s="738"/>
      <c r="C574" s="738"/>
      <c r="D574" s="738"/>
      <c r="E574" s="738"/>
      <c r="F574" s="738"/>
      <c r="G574" s="738"/>
      <c r="H574" s="738"/>
      <c r="I574" s="738"/>
      <c r="J574" s="738"/>
      <c r="K574" s="738"/>
      <c r="L574" s="738"/>
      <c r="M574" s="738"/>
      <c r="N574" s="738"/>
      <c r="O574" s="738"/>
      <c r="P574" s="738"/>
      <c r="Q574" s="738"/>
      <c r="R574" s="738"/>
      <c r="S574" s="738"/>
      <c r="T574" s="738"/>
      <c r="U574" s="738"/>
      <c r="V574" s="738"/>
      <c r="W574" s="738"/>
      <c r="X574" s="738"/>
      <c r="Y574" s="738"/>
      <c r="Z574" s="738"/>
    </row>
    <row r="575">
      <c r="A575" s="738"/>
      <c r="B575" s="738"/>
      <c r="C575" s="738"/>
      <c r="D575" s="738"/>
      <c r="E575" s="738"/>
      <c r="F575" s="738"/>
      <c r="G575" s="738"/>
      <c r="H575" s="738"/>
      <c r="I575" s="738"/>
      <c r="J575" s="738"/>
      <c r="K575" s="738"/>
      <c r="L575" s="738"/>
      <c r="M575" s="738"/>
      <c r="N575" s="738"/>
      <c r="O575" s="738"/>
      <c r="P575" s="738"/>
      <c r="Q575" s="738"/>
      <c r="R575" s="738"/>
      <c r="S575" s="738"/>
      <c r="T575" s="738"/>
      <c r="U575" s="738"/>
      <c r="V575" s="738"/>
      <c r="W575" s="738"/>
      <c r="X575" s="738"/>
      <c r="Y575" s="738"/>
      <c r="Z575" s="738"/>
    </row>
    <row r="576">
      <c r="A576" s="738"/>
      <c r="B576" s="738"/>
      <c r="C576" s="738"/>
      <c r="D576" s="738"/>
      <c r="E576" s="738"/>
      <c r="F576" s="738"/>
      <c r="G576" s="738"/>
      <c r="H576" s="738"/>
      <c r="I576" s="738"/>
      <c r="J576" s="738"/>
      <c r="K576" s="738"/>
      <c r="L576" s="738"/>
      <c r="M576" s="738"/>
      <c r="N576" s="738"/>
      <c r="O576" s="738"/>
      <c r="P576" s="738"/>
      <c r="Q576" s="738"/>
      <c r="R576" s="738"/>
      <c r="S576" s="738"/>
      <c r="T576" s="738"/>
      <c r="U576" s="738"/>
      <c r="V576" s="738"/>
      <c r="W576" s="738"/>
      <c r="X576" s="738"/>
      <c r="Y576" s="738"/>
      <c r="Z576" s="738"/>
    </row>
    <row r="577">
      <c r="A577" s="738"/>
      <c r="B577" s="738"/>
      <c r="C577" s="738"/>
      <c r="D577" s="738"/>
      <c r="E577" s="738"/>
      <c r="F577" s="738"/>
      <c r="G577" s="738"/>
      <c r="H577" s="738"/>
      <c r="I577" s="738"/>
      <c r="J577" s="738"/>
      <c r="K577" s="738"/>
      <c r="L577" s="738"/>
      <c r="M577" s="738"/>
      <c r="N577" s="738"/>
      <c r="O577" s="738"/>
      <c r="P577" s="738"/>
      <c r="Q577" s="738"/>
      <c r="R577" s="738"/>
      <c r="S577" s="738"/>
      <c r="T577" s="738"/>
      <c r="U577" s="738"/>
      <c r="V577" s="738"/>
      <c r="W577" s="738"/>
      <c r="X577" s="738"/>
      <c r="Y577" s="738"/>
      <c r="Z577" s="738"/>
    </row>
    <row r="578">
      <c r="A578" s="738"/>
      <c r="B578" s="738"/>
      <c r="C578" s="738"/>
      <c r="D578" s="738"/>
      <c r="E578" s="738"/>
      <c r="F578" s="738"/>
      <c r="G578" s="738"/>
      <c r="H578" s="738"/>
      <c r="I578" s="738"/>
      <c r="J578" s="738"/>
      <c r="K578" s="738"/>
      <c r="L578" s="738"/>
      <c r="M578" s="738"/>
      <c r="N578" s="738"/>
      <c r="O578" s="738"/>
      <c r="P578" s="738"/>
      <c r="Q578" s="738"/>
      <c r="R578" s="738"/>
      <c r="S578" s="738"/>
      <c r="T578" s="738"/>
      <c r="U578" s="738"/>
      <c r="V578" s="738"/>
      <c r="W578" s="738"/>
      <c r="X578" s="738"/>
      <c r="Y578" s="738"/>
      <c r="Z578" s="738"/>
    </row>
    <row r="579">
      <c r="A579" s="738"/>
      <c r="B579" s="738"/>
      <c r="C579" s="738"/>
      <c r="D579" s="738"/>
      <c r="E579" s="738"/>
      <c r="F579" s="738"/>
      <c r="G579" s="738"/>
      <c r="H579" s="738"/>
      <c r="I579" s="738"/>
      <c r="J579" s="738"/>
      <c r="K579" s="738"/>
      <c r="L579" s="738"/>
      <c r="M579" s="738"/>
      <c r="N579" s="738"/>
      <c r="O579" s="738"/>
      <c r="P579" s="738"/>
      <c r="Q579" s="738"/>
      <c r="R579" s="738"/>
      <c r="S579" s="738"/>
      <c r="T579" s="738"/>
      <c r="U579" s="738"/>
      <c r="V579" s="738"/>
      <c r="W579" s="738"/>
      <c r="X579" s="738"/>
      <c r="Y579" s="738"/>
      <c r="Z579" s="738"/>
    </row>
    <row r="580">
      <c r="A580" s="738"/>
      <c r="B580" s="738"/>
      <c r="C580" s="738"/>
      <c r="D580" s="738"/>
      <c r="E580" s="738"/>
      <c r="F580" s="738"/>
      <c r="G580" s="738"/>
      <c r="H580" s="738"/>
      <c r="I580" s="738"/>
      <c r="J580" s="738"/>
      <c r="K580" s="738"/>
      <c r="L580" s="738"/>
      <c r="M580" s="738"/>
      <c r="N580" s="738"/>
      <c r="O580" s="738"/>
      <c r="P580" s="738"/>
      <c r="Q580" s="738"/>
      <c r="R580" s="738"/>
      <c r="S580" s="738"/>
      <c r="T580" s="738"/>
      <c r="U580" s="738"/>
      <c r="V580" s="738"/>
      <c r="W580" s="738"/>
      <c r="X580" s="738"/>
      <c r="Y580" s="738"/>
      <c r="Z580" s="738"/>
    </row>
    <row r="581">
      <c r="A581" s="738"/>
      <c r="B581" s="738"/>
      <c r="C581" s="738"/>
      <c r="D581" s="738"/>
      <c r="E581" s="738"/>
      <c r="F581" s="738"/>
      <c r="G581" s="738"/>
      <c r="H581" s="738"/>
      <c r="I581" s="738"/>
      <c r="J581" s="738"/>
      <c r="K581" s="738"/>
      <c r="L581" s="738"/>
      <c r="M581" s="738"/>
      <c r="N581" s="738"/>
      <c r="O581" s="738"/>
      <c r="P581" s="738"/>
      <c r="Q581" s="738"/>
      <c r="R581" s="738"/>
      <c r="S581" s="738"/>
      <c r="T581" s="738"/>
      <c r="U581" s="738"/>
      <c r="V581" s="738"/>
      <c r="W581" s="738"/>
      <c r="X581" s="738"/>
      <c r="Y581" s="738"/>
      <c r="Z581" s="738"/>
    </row>
    <row r="582">
      <c r="A582" s="738"/>
      <c r="B582" s="738"/>
      <c r="C582" s="738"/>
      <c r="D582" s="738"/>
      <c r="E582" s="738"/>
      <c r="F582" s="738"/>
      <c r="G582" s="738"/>
      <c r="H582" s="738"/>
      <c r="I582" s="738"/>
      <c r="J582" s="738"/>
      <c r="K582" s="738"/>
      <c r="L582" s="738"/>
      <c r="M582" s="738"/>
      <c r="N582" s="738"/>
      <c r="O582" s="738"/>
      <c r="P582" s="738"/>
      <c r="Q582" s="738"/>
      <c r="R582" s="738"/>
      <c r="S582" s="738"/>
      <c r="T582" s="738"/>
      <c r="U582" s="738"/>
      <c r="V582" s="738"/>
      <c r="W582" s="738"/>
      <c r="X582" s="738"/>
      <c r="Y582" s="738"/>
      <c r="Z582" s="738"/>
    </row>
    <row r="583">
      <c r="A583" s="738"/>
      <c r="B583" s="738"/>
      <c r="C583" s="738"/>
      <c r="D583" s="738"/>
      <c r="E583" s="738"/>
      <c r="F583" s="738"/>
      <c r="G583" s="738"/>
      <c r="H583" s="738"/>
      <c r="I583" s="738"/>
      <c r="J583" s="738"/>
      <c r="K583" s="738"/>
      <c r="L583" s="738"/>
      <c r="M583" s="738"/>
      <c r="N583" s="738"/>
      <c r="O583" s="738"/>
      <c r="P583" s="738"/>
      <c r="Q583" s="738"/>
      <c r="R583" s="738"/>
      <c r="S583" s="738"/>
      <c r="T583" s="738"/>
      <c r="U583" s="738"/>
      <c r="V583" s="738"/>
      <c r="W583" s="738"/>
      <c r="X583" s="738"/>
      <c r="Y583" s="738"/>
      <c r="Z583" s="738"/>
    </row>
    <row r="584">
      <c r="A584" s="738"/>
      <c r="B584" s="738"/>
      <c r="C584" s="738"/>
      <c r="D584" s="738"/>
      <c r="E584" s="738"/>
      <c r="F584" s="738"/>
      <c r="G584" s="738"/>
      <c r="H584" s="738"/>
      <c r="I584" s="738"/>
      <c r="J584" s="738"/>
      <c r="K584" s="738"/>
      <c r="L584" s="738"/>
      <c r="M584" s="738"/>
      <c r="N584" s="738"/>
      <c r="O584" s="738"/>
      <c r="P584" s="738"/>
      <c r="Q584" s="738"/>
      <c r="R584" s="738"/>
      <c r="S584" s="738"/>
      <c r="T584" s="738"/>
      <c r="U584" s="738"/>
      <c r="V584" s="738"/>
      <c r="W584" s="738"/>
      <c r="X584" s="738"/>
      <c r="Y584" s="738"/>
      <c r="Z584" s="738"/>
    </row>
    <row r="585">
      <c r="A585" s="738"/>
      <c r="B585" s="738"/>
      <c r="C585" s="738"/>
      <c r="D585" s="738"/>
      <c r="E585" s="738"/>
      <c r="F585" s="738"/>
      <c r="G585" s="738"/>
      <c r="H585" s="738"/>
      <c r="I585" s="738"/>
      <c r="J585" s="738"/>
      <c r="K585" s="738"/>
      <c r="L585" s="738"/>
      <c r="M585" s="738"/>
      <c r="N585" s="738"/>
      <c r="O585" s="738"/>
      <c r="P585" s="738"/>
      <c r="Q585" s="738"/>
      <c r="R585" s="738"/>
      <c r="S585" s="738"/>
      <c r="T585" s="738"/>
      <c r="U585" s="738"/>
      <c r="V585" s="738"/>
      <c r="W585" s="738"/>
      <c r="X585" s="738"/>
      <c r="Y585" s="738"/>
      <c r="Z585" s="738"/>
    </row>
    <row r="586">
      <c r="A586" s="738"/>
      <c r="B586" s="738"/>
      <c r="C586" s="738"/>
      <c r="D586" s="738"/>
      <c r="E586" s="738"/>
      <c r="F586" s="738"/>
      <c r="G586" s="738"/>
      <c r="H586" s="738"/>
      <c r="I586" s="738"/>
      <c r="J586" s="738"/>
      <c r="K586" s="738"/>
      <c r="L586" s="738"/>
      <c r="M586" s="738"/>
      <c r="N586" s="738"/>
      <c r="O586" s="738"/>
      <c r="P586" s="738"/>
      <c r="Q586" s="738"/>
      <c r="R586" s="738"/>
      <c r="S586" s="738"/>
      <c r="T586" s="738"/>
      <c r="U586" s="738"/>
      <c r="V586" s="738"/>
      <c r="W586" s="738"/>
      <c r="X586" s="738"/>
      <c r="Y586" s="738"/>
      <c r="Z586" s="738"/>
    </row>
    <row r="587">
      <c r="A587" s="738"/>
      <c r="B587" s="738"/>
      <c r="C587" s="738"/>
      <c r="D587" s="738"/>
      <c r="E587" s="738"/>
      <c r="F587" s="738"/>
      <c r="G587" s="738"/>
      <c r="H587" s="738"/>
      <c r="I587" s="738"/>
      <c r="J587" s="738"/>
      <c r="K587" s="738"/>
      <c r="L587" s="738"/>
      <c r="M587" s="738"/>
      <c r="N587" s="738"/>
      <c r="O587" s="738"/>
      <c r="P587" s="738"/>
      <c r="Q587" s="738"/>
      <c r="R587" s="738"/>
      <c r="S587" s="738"/>
      <c r="T587" s="738"/>
      <c r="U587" s="738"/>
      <c r="V587" s="738"/>
      <c r="W587" s="738"/>
      <c r="X587" s="738"/>
      <c r="Y587" s="738"/>
      <c r="Z587" s="738"/>
    </row>
    <row r="588">
      <c r="A588" s="738"/>
      <c r="B588" s="738"/>
      <c r="C588" s="738"/>
      <c r="D588" s="738"/>
      <c r="E588" s="738"/>
      <c r="F588" s="738"/>
      <c r="G588" s="738"/>
      <c r="H588" s="738"/>
      <c r="I588" s="738"/>
      <c r="J588" s="738"/>
      <c r="K588" s="738"/>
      <c r="L588" s="738"/>
      <c r="M588" s="738"/>
      <c r="N588" s="738"/>
      <c r="O588" s="738"/>
      <c r="P588" s="738"/>
      <c r="Q588" s="738"/>
      <c r="R588" s="738"/>
      <c r="S588" s="738"/>
      <c r="T588" s="738"/>
      <c r="U588" s="738"/>
      <c r="V588" s="738"/>
      <c r="W588" s="738"/>
      <c r="X588" s="738"/>
      <c r="Y588" s="738"/>
      <c r="Z588" s="738"/>
    </row>
    <row r="589">
      <c r="A589" s="738"/>
      <c r="B589" s="738"/>
      <c r="C589" s="738"/>
      <c r="D589" s="738"/>
      <c r="E589" s="738"/>
      <c r="F589" s="738"/>
      <c r="G589" s="738"/>
      <c r="H589" s="738"/>
      <c r="I589" s="738"/>
      <c r="J589" s="738"/>
      <c r="K589" s="738"/>
      <c r="L589" s="738"/>
      <c r="M589" s="738"/>
      <c r="N589" s="738"/>
      <c r="O589" s="738"/>
      <c r="P589" s="738"/>
      <c r="Q589" s="738"/>
      <c r="R589" s="738"/>
      <c r="S589" s="738"/>
      <c r="T589" s="738"/>
      <c r="U589" s="738"/>
      <c r="V589" s="738"/>
      <c r="W589" s="738"/>
      <c r="X589" s="738"/>
      <c r="Y589" s="738"/>
      <c r="Z589" s="738"/>
    </row>
    <row r="590">
      <c r="A590" s="738"/>
      <c r="B590" s="738"/>
      <c r="C590" s="738"/>
      <c r="D590" s="738"/>
      <c r="E590" s="738"/>
      <c r="F590" s="738"/>
      <c r="G590" s="738"/>
      <c r="H590" s="738"/>
      <c r="I590" s="738"/>
      <c r="J590" s="738"/>
      <c r="K590" s="738"/>
      <c r="L590" s="738"/>
      <c r="M590" s="738"/>
      <c r="N590" s="738"/>
      <c r="O590" s="738"/>
      <c r="P590" s="738"/>
      <c r="Q590" s="738"/>
      <c r="R590" s="738"/>
      <c r="S590" s="738"/>
      <c r="T590" s="738"/>
      <c r="U590" s="738"/>
      <c r="V590" s="738"/>
      <c r="W590" s="738"/>
      <c r="X590" s="738"/>
      <c r="Y590" s="738"/>
      <c r="Z590" s="738"/>
    </row>
    <row r="591">
      <c r="A591" s="738"/>
      <c r="B591" s="738"/>
      <c r="C591" s="738"/>
      <c r="D591" s="738"/>
      <c r="E591" s="738"/>
      <c r="F591" s="738"/>
      <c r="G591" s="738"/>
      <c r="H591" s="738"/>
      <c r="I591" s="738"/>
      <c r="J591" s="738"/>
      <c r="K591" s="738"/>
      <c r="L591" s="738"/>
      <c r="M591" s="738"/>
      <c r="N591" s="738"/>
      <c r="O591" s="738"/>
      <c r="P591" s="738"/>
      <c r="Q591" s="738"/>
      <c r="R591" s="738"/>
      <c r="S591" s="738"/>
      <c r="T591" s="738"/>
      <c r="U591" s="738"/>
      <c r="V591" s="738"/>
      <c r="W591" s="738"/>
      <c r="X591" s="738"/>
      <c r="Y591" s="738"/>
      <c r="Z591" s="738"/>
    </row>
    <row r="592">
      <c r="A592" s="738"/>
      <c r="B592" s="738"/>
      <c r="C592" s="738"/>
      <c r="D592" s="738"/>
      <c r="E592" s="738"/>
      <c r="F592" s="738"/>
      <c r="G592" s="738"/>
      <c r="H592" s="738"/>
      <c r="I592" s="738"/>
      <c r="J592" s="738"/>
      <c r="K592" s="738"/>
      <c r="L592" s="738"/>
      <c r="M592" s="738"/>
      <c r="N592" s="738"/>
      <c r="O592" s="738"/>
      <c r="P592" s="738"/>
      <c r="Q592" s="738"/>
      <c r="R592" s="738"/>
      <c r="S592" s="738"/>
      <c r="T592" s="738"/>
      <c r="U592" s="738"/>
      <c r="V592" s="738"/>
      <c r="W592" s="738"/>
      <c r="X592" s="738"/>
      <c r="Y592" s="738"/>
      <c r="Z592" s="738"/>
    </row>
    <row r="593">
      <c r="A593" s="738"/>
      <c r="B593" s="738"/>
      <c r="C593" s="738"/>
      <c r="D593" s="738"/>
      <c r="E593" s="738"/>
      <c r="F593" s="738"/>
      <c r="G593" s="738"/>
      <c r="H593" s="738"/>
      <c r="I593" s="738"/>
      <c r="J593" s="738"/>
      <c r="K593" s="738"/>
      <c r="L593" s="738"/>
      <c r="M593" s="738"/>
      <c r="N593" s="738"/>
      <c r="O593" s="738"/>
      <c r="P593" s="738"/>
      <c r="Q593" s="738"/>
      <c r="R593" s="738"/>
      <c r="S593" s="738"/>
      <c r="T593" s="738"/>
      <c r="U593" s="738"/>
      <c r="V593" s="738"/>
      <c r="W593" s="738"/>
      <c r="X593" s="738"/>
      <c r="Y593" s="738"/>
      <c r="Z593" s="738"/>
    </row>
    <row r="594">
      <c r="A594" s="738"/>
      <c r="B594" s="738"/>
      <c r="C594" s="738"/>
      <c r="D594" s="738"/>
      <c r="E594" s="738"/>
      <c r="F594" s="738"/>
      <c r="G594" s="738"/>
      <c r="H594" s="738"/>
      <c r="I594" s="738"/>
      <c r="J594" s="738"/>
      <c r="K594" s="738"/>
      <c r="L594" s="738"/>
      <c r="M594" s="738"/>
      <c r="N594" s="738"/>
      <c r="O594" s="738"/>
      <c r="P594" s="738"/>
      <c r="Q594" s="738"/>
      <c r="R594" s="738"/>
      <c r="S594" s="738"/>
      <c r="T594" s="738"/>
      <c r="U594" s="738"/>
      <c r="V594" s="738"/>
      <c r="W594" s="738"/>
      <c r="X594" s="738"/>
      <c r="Y594" s="738"/>
      <c r="Z594" s="738"/>
    </row>
    <row r="595">
      <c r="A595" s="738"/>
      <c r="B595" s="738"/>
      <c r="C595" s="738"/>
      <c r="D595" s="738"/>
      <c r="E595" s="738"/>
      <c r="F595" s="738"/>
      <c r="G595" s="738"/>
      <c r="H595" s="738"/>
      <c r="I595" s="738"/>
      <c r="J595" s="738"/>
      <c r="K595" s="738"/>
      <c r="L595" s="738"/>
      <c r="M595" s="738"/>
      <c r="N595" s="738"/>
      <c r="O595" s="738"/>
      <c r="P595" s="738"/>
      <c r="Q595" s="738"/>
      <c r="R595" s="738"/>
      <c r="S595" s="738"/>
      <c r="T595" s="738"/>
      <c r="U595" s="738"/>
      <c r="V595" s="738"/>
      <c r="W595" s="738"/>
      <c r="X595" s="738"/>
      <c r="Y595" s="738"/>
      <c r="Z595" s="738"/>
    </row>
    <row r="596">
      <c r="A596" s="738"/>
      <c r="B596" s="738"/>
      <c r="C596" s="738"/>
      <c r="D596" s="738"/>
      <c r="E596" s="738"/>
      <c r="F596" s="738"/>
      <c r="G596" s="738"/>
      <c r="H596" s="738"/>
      <c r="I596" s="738"/>
      <c r="J596" s="738"/>
      <c r="K596" s="738"/>
      <c r="L596" s="738"/>
      <c r="M596" s="738"/>
      <c r="N596" s="738"/>
      <c r="O596" s="738"/>
      <c r="P596" s="738"/>
      <c r="Q596" s="738"/>
      <c r="R596" s="738"/>
      <c r="S596" s="738"/>
      <c r="T596" s="738"/>
      <c r="U596" s="738"/>
      <c r="V596" s="738"/>
      <c r="W596" s="738"/>
      <c r="X596" s="738"/>
      <c r="Y596" s="738"/>
      <c r="Z596" s="738"/>
    </row>
    <row r="597">
      <c r="A597" s="738"/>
      <c r="B597" s="738"/>
      <c r="C597" s="738"/>
      <c r="D597" s="738"/>
      <c r="E597" s="738"/>
      <c r="F597" s="738"/>
      <c r="G597" s="738"/>
      <c r="H597" s="738"/>
      <c r="I597" s="738"/>
      <c r="J597" s="738"/>
      <c r="K597" s="738"/>
      <c r="L597" s="738"/>
      <c r="M597" s="738"/>
      <c r="N597" s="738"/>
      <c r="O597" s="738"/>
      <c r="P597" s="738"/>
      <c r="Q597" s="738"/>
      <c r="R597" s="738"/>
      <c r="S597" s="738"/>
      <c r="T597" s="738"/>
      <c r="U597" s="738"/>
      <c r="V597" s="738"/>
      <c r="W597" s="738"/>
      <c r="X597" s="738"/>
      <c r="Y597" s="738"/>
      <c r="Z597" s="738"/>
    </row>
    <row r="598">
      <c r="A598" s="738"/>
      <c r="B598" s="738"/>
      <c r="C598" s="738"/>
      <c r="D598" s="738"/>
      <c r="E598" s="738"/>
      <c r="F598" s="738"/>
      <c r="G598" s="738"/>
      <c r="H598" s="738"/>
      <c r="I598" s="738"/>
      <c r="J598" s="738"/>
      <c r="K598" s="738"/>
      <c r="L598" s="738"/>
      <c r="M598" s="738"/>
      <c r="N598" s="738"/>
      <c r="O598" s="738"/>
      <c r="P598" s="738"/>
      <c r="Q598" s="738"/>
      <c r="R598" s="738"/>
      <c r="S598" s="738"/>
      <c r="T598" s="738"/>
      <c r="U598" s="738"/>
      <c r="V598" s="738"/>
      <c r="W598" s="738"/>
      <c r="X598" s="738"/>
      <c r="Y598" s="738"/>
      <c r="Z598" s="738"/>
    </row>
    <row r="599">
      <c r="A599" s="738"/>
      <c r="B599" s="738"/>
      <c r="C599" s="738"/>
      <c r="D599" s="738"/>
      <c r="E599" s="738"/>
      <c r="F599" s="738"/>
      <c r="G599" s="738"/>
      <c r="H599" s="738"/>
      <c r="I599" s="738"/>
      <c r="J599" s="738"/>
      <c r="K599" s="738"/>
      <c r="L599" s="738"/>
      <c r="M599" s="738"/>
      <c r="N599" s="738"/>
      <c r="O599" s="738"/>
      <c r="P599" s="738"/>
      <c r="Q599" s="738"/>
      <c r="R599" s="738"/>
      <c r="S599" s="738"/>
      <c r="T599" s="738"/>
      <c r="U599" s="738"/>
      <c r="V599" s="738"/>
      <c r="W599" s="738"/>
      <c r="X599" s="738"/>
      <c r="Y599" s="738"/>
      <c r="Z599" s="738"/>
    </row>
    <row r="600">
      <c r="A600" s="738"/>
      <c r="B600" s="738"/>
      <c r="C600" s="738"/>
      <c r="D600" s="738"/>
      <c r="E600" s="738"/>
      <c r="F600" s="738"/>
      <c r="G600" s="738"/>
      <c r="H600" s="738"/>
      <c r="I600" s="738"/>
      <c r="J600" s="738"/>
      <c r="K600" s="738"/>
      <c r="L600" s="738"/>
      <c r="M600" s="738"/>
      <c r="N600" s="738"/>
      <c r="O600" s="738"/>
      <c r="P600" s="738"/>
      <c r="Q600" s="738"/>
      <c r="R600" s="738"/>
      <c r="S600" s="738"/>
      <c r="T600" s="738"/>
      <c r="U600" s="738"/>
      <c r="V600" s="738"/>
      <c r="W600" s="738"/>
      <c r="X600" s="738"/>
      <c r="Y600" s="738"/>
      <c r="Z600" s="738"/>
    </row>
    <row r="601">
      <c r="A601" s="738"/>
      <c r="B601" s="738"/>
      <c r="C601" s="738"/>
      <c r="D601" s="738"/>
      <c r="E601" s="738"/>
      <c r="F601" s="738"/>
      <c r="G601" s="738"/>
      <c r="H601" s="738"/>
      <c r="I601" s="738"/>
      <c r="J601" s="738"/>
      <c r="K601" s="738"/>
      <c r="L601" s="738"/>
      <c r="M601" s="738"/>
      <c r="N601" s="738"/>
      <c r="O601" s="738"/>
      <c r="P601" s="738"/>
      <c r="Q601" s="738"/>
      <c r="R601" s="738"/>
      <c r="S601" s="738"/>
      <c r="T601" s="738"/>
      <c r="U601" s="738"/>
      <c r="V601" s="738"/>
      <c r="W601" s="738"/>
      <c r="X601" s="738"/>
      <c r="Y601" s="738"/>
      <c r="Z601" s="738"/>
    </row>
    <row r="602">
      <c r="A602" s="738"/>
      <c r="B602" s="738"/>
      <c r="C602" s="738"/>
      <c r="D602" s="738"/>
      <c r="E602" s="738"/>
      <c r="F602" s="738"/>
      <c r="G602" s="738"/>
      <c r="H602" s="738"/>
      <c r="I602" s="738"/>
      <c r="J602" s="738"/>
      <c r="K602" s="738"/>
      <c r="L602" s="738"/>
      <c r="M602" s="738"/>
      <c r="N602" s="738"/>
      <c r="O602" s="738"/>
      <c r="P602" s="738"/>
      <c r="Q602" s="738"/>
      <c r="R602" s="738"/>
      <c r="S602" s="738"/>
      <c r="T602" s="738"/>
      <c r="U602" s="738"/>
      <c r="V602" s="738"/>
      <c r="W602" s="738"/>
      <c r="X602" s="738"/>
      <c r="Y602" s="738"/>
      <c r="Z602" s="738"/>
    </row>
    <row r="603">
      <c r="A603" s="738"/>
      <c r="B603" s="738"/>
      <c r="C603" s="738"/>
      <c r="D603" s="738"/>
      <c r="E603" s="738"/>
      <c r="F603" s="738"/>
      <c r="G603" s="738"/>
      <c r="H603" s="738"/>
      <c r="I603" s="738"/>
      <c r="J603" s="738"/>
      <c r="K603" s="738"/>
      <c r="L603" s="738"/>
      <c r="M603" s="738"/>
      <c r="N603" s="738"/>
      <c r="O603" s="738"/>
      <c r="P603" s="738"/>
      <c r="Q603" s="738"/>
      <c r="R603" s="738"/>
      <c r="S603" s="738"/>
      <c r="T603" s="738"/>
      <c r="U603" s="738"/>
      <c r="V603" s="738"/>
      <c r="W603" s="738"/>
      <c r="X603" s="738"/>
      <c r="Y603" s="738"/>
      <c r="Z603" s="738"/>
    </row>
    <row r="604">
      <c r="A604" s="738"/>
      <c r="B604" s="738"/>
      <c r="C604" s="738"/>
      <c r="D604" s="738"/>
      <c r="E604" s="738"/>
      <c r="F604" s="738"/>
      <c r="G604" s="738"/>
      <c r="H604" s="738"/>
      <c r="I604" s="738"/>
      <c r="J604" s="738"/>
      <c r="K604" s="738"/>
      <c r="L604" s="738"/>
      <c r="M604" s="738"/>
      <c r="N604" s="738"/>
      <c r="O604" s="738"/>
      <c r="P604" s="738"/>
      <c r="Q604" s="738"/>
      <c r="R604" s="738"/>
      <c r="S604" s="738"/>
      <c r="T604" s="738"/>
      <c r="U604" s="738"/>
      <c r="V604" s="738"/>
      <c r="W604" s="738"/>
      <c r="X604" s="738"/>
      <c r="Y604" s="738"/>
      <c r="Z604" s="738"/>
    </row>
    <row r="605">
      <c r="A605" s="738"/>
      <c r="B605" s="738"/>
      <c r="C605" s="738"/>
      <c r="D605" s="738"/>
      <c r="E605" s="738"/>
      <c r="F605" s="738"/>
      <c r="G605" s="738"/>
      <c r="H605" s="738"/>
      <c r="I605" s="738"/>
      <c r="J605" s="738"/>
      <c r="K605" s="738"/>
      <c r="L605" s="738"/>
      <c r="M605" s="738"/>
      <c r="N605" s="738"/>
      <c r="O605" s="738"/>
      <c r="P605" s="738"/>
      <c r="Q605" s="738"/>
      <c r="R605" s="738"/>
      <c r="S605" s="738"/>
      <c r="T605" s="738"/>
      <c r="U605" s="738"/>
      <c r="V605" s="738"/>
      <c r="W605" s="738"/>
      <c r="X605" s="738"/>
      <c r="Y605" s="738"/>
      <c r="Z605" s="738"/>
    </row>
    <row r="606">
      <c r="A606" s="738"/>
      <c r="B606" s="738"/>
      <c r="C606" s="738"/>
      <c r="D606" s="738"/>
      <c r="E606" s="738"/>
      <c r="F606" s="738"/>
      <c r="G606" s="738"/>
      <c r="H606" s="738"/>
      <c r="I606" s="738"/>
      <c r="J606" s="738"/>
      <c r="K606" s="738"/>
      <c r="L606" s="738"/>
      <c r="M606" s="738"/>
      <c r="N606" s="738"/>
      <c r="O606" s="738"/>
      <c r="P606" s="738"/>
      <c r="Q606" s="738"/>
      <c r="R606" s="738"/>
      <c r="S606" s="738"/>
      <c r="T606" s="738"/>
      <c r="U606" s="738"/>
      <c r="V606" s="738"/>
      <c r="W606" s="738"/>
      <c r="X606" s="738"/>
      <c r="Y606" s="738"/>
      <c r="Z606" s="738"/>
    </row>
    <row r="607">
      <c r="A607" s="738"/>
      <c r="B607" s="738"/>
      <c r="C607" s="738"/>
      <c r="D607" s="738"/>
      <c r="E607" s="738"/>
      <c r="F607" s="738"/>
      <c r="G607" s="738"/>
      <c r="H607" s="738"/>
      <c r="I607" s="738"/>
      <c r="J607" s="738"/>
      <c r="K607" s="738"/>
      <c r="L607" s="738"/>
      <c r="M607" s="738"/>
      <c r="N607" s="738"/>
      <c r="O607" s="738"/>
      <c r="P607" s="738"/>
      <c r="Q607" s="738"/>
      <c r="R607" s="738"/>
      <c r="S607" s="738"/>
      <c r="T607" s="738"/>
      <c r="U607" s="738"/>
      <c r="V607" s="738"/>
      <c r="W607" s="738"/>
      <c r="X607" s="738"/>
      <c r="Y607" s="738"/>
      <c r="Z607" s="738"/>
    </row>
    <row r="608">
      <c r="A608" s="738"/>
      <c r="B608" s="738"/>
      <c r="C608" s="738"/>
      <c r="D608" s="738"/>
      <c r="E608" s="738"/>
      <c r="F608" s="738"/>
      <c r="G608" s="738"/>
      <c r="H608" s="738"/>
      <c r="I608" s="738"/>
      <c r="J608" s="738"/>
      <c r="K608" s="738"/>
      <c r="L608" s="738"/>
      <c r="M608" s="738"/>
      <c r="N608" s="738"/>
      <c r="O608" s="738"/>
      <c r="P608" s="738"/>
      <c r="Q608" s="738"/>
      <c r="R608" s="738"/>
      <c r="S608" s="738"/>
      <c r="T608" s="738"/>
      <c r="U608" s="738"/>
      <c r="V608" s="738"/>
      <c r="W608" s="738"/>
      <c r="X608" s="738"/>
      <c r="Y608" s="738"/>
      <c r="Z608" s="738"/>
    </row>
    <row r="609">
      <c r="A609" s="738"/>
      <c r="B609" s="738"/>
      <c r="C609" s="738"/>
      <c r="D609" s="738"/>
      <c r="E609" s="738"/>
      <c r="F609" s="738"/>
      <c r="G609" s="738"/>
      <c r="H609" s="738"/>
      <c r="I609" s="738"/>
      <c r="J609" s="738"/>
      <c r="K609" s="738"/>
      <c r="L609" s="738"/>
      <c r="M609" s="738"/>
      <c r="N609" s="738"/>
      <c r="O609" s="738"/>
      <c r="P609" s="738"/>
      <c r="Q609" s="738"/>
      <c r="R609" s="738"/>
      <c r="S609" s="738"/>
      <c r="T609" s="738"/>
      <c r="U609" s="738"/>
      <c r="V609" s="738"/>
      <c r="W609" s="738"/>
      <c r="X609" s="738"/>
      <c r="Y609" s="738"/>
      <c r="Z609" s="738"/>
    </row>
    <row r="610">
      <c r="A610" s="738"/>
      <c r="B610" s="738"/>
      <c r="C610" s="738"/>
      <c r="D610" s="738"/>
      <c r="E610" s="738"/>
      <c r="F610" s="738"/>
      <c r="G610" s="738"/>
      <c r="H610" s="738"/>
      <c r="I610" s="738"/>
      <c r="J610" s="738"/>
      <c r="K610" s="738"/>
      <c r="L610" s="738"/>
      <c r="M610" s="738"/>
      <c r="N610" s="738"/>
      <c r="O610" s="738"/>
      <c r="P610" s="738"/>
      <c r="Q610" s="738"/>
      <c r="R610" s="738"/>
      <c r="S610" s="738"/>
      <c r="T610" s="738"/>
      <c r="U610" s="738"/>
      <c r="V610" s="738"/>
      <c r="W610" s="738"/>
      <c r="X610" s="738"/>
      <c r="Y610" s="738"/>
      <c r="Z610" s="738"/>
    </row>
    <row r="611">
      <c r="A611" s="738"/>
      <c r="B611" s="738"/>
      <c r="C611" s="738"/>
      <c r="D611" s="738"/>
      <c r="E611" s="738"/>
      <c r="F611" s="738"/>
      <c r="G611" s="738"/>
      <c r="H611" s="738"/>
      <c r="I611" s="738"/>
      <c r="J611" s="738"/>
      <c r="K611" s="738"/>
      <c r="L611" s="738"/>
      <c r="M611" s="738"/>
      <c r="N611" s="738"/>
      <c r="O611" s="738"/>
      <c r="P611" s="738"/>
      <c r="Q611" s="738"/>
      <c r="R611" s="738"/>
      <c r="S611" s="738"/>
      <c r="T611" s="738"/>
      <c r="U611" s="738"/>
      <c r="V611" s="738"/>
      <c r="W611" s="738"/>
      <c r="X611" s="738"/>
      <c r="Y611" s="738"/>
      <c r="Z611" s="738"/>
    </row>
    <row r="612">
      <c r="A612" s="738"/>
      <c r="B612" s="738"/>
      <c r="C612" s="738"/>
      <c r="D612" s="738"/>
      <c r="E612" s="738"/>
      <c r="F612" s="738"/>
      <c r="G612" s="738"/>
      <c r="H612" s="738"/>
      <c r="I612" s="738"/>
      <c r="J612" s="738"/>
      <c r="K612" s="738"/>
      <c r="L612" s="738"/>
      <c r="M612" s="738"/>
      <c r="N612" s="738"/>
      <c r="O612" s="738"/>
      <c r="P612" s="738"/>
      <c r="Q612" s="738"/>
      <c r="R612" s="738"/>
      <c r="S612" s="738"/>
      <c r="T612" s="738"/>
      <c r="U612" s="738"/>
      <c r="V612" s="738"/>
      <c r="W612" s="738"/>
      <c r="X612" s="738"/>
      <c r="Y612" s="738"/>
      <c r="Z612" s="738"/>
    </row>
    <row r="613">
      <c r="A613" s="738"/>
      <c r="B613" s="738"/>
      <c r="C613" s="738"/>
      <c r="D613" s="738"/>
      <c r="E613" s="738"/>
      <c r="F613" s="738"/>
      <c r="G613" s="738"/>
      <c r="H613" s="738"/>
      <c r="I613" s="738"/>
      <c r="J613" s="738"/>
      <c r="K613" s="738"/>
      <c r="L613" s="738"/>
      <c r="M613" s="738"/>
      <c r="N613" s="738"/>
      <c r="O613" s="738"/>
      <c r="P613" s="738"/>
      <c r="Q613" s="738"/>
      <c r="R613" s="738"/>
      <c r="S613" s="738"/>
      <c r="T613" s="738"/>
      <c r="U613" s="738"/>
      <c r="V613" s="738"/>
      <c r="W613" s="738"/>
      <c r="X613" s="738"/>
      <c r="Y613" s="738"/>
      <c r="Z613" s="738"/>
    </row>
    <row r="614">
      <c r="A614" s="738"/>
      <c r="B614" s="738"/>
      <c r="C614" s="738"/>
      <c r="D614" s="738"/>
      <c r="E614" s="738"/>
      <c r="F614" s="738"/>
      <c r="G614" s="738"/>
      <c r="H614" s="738"/>
      <c r="I614" s="738"/>
      <c r="J614" s="738"/>
      <c r="K614" s="738"/>
      <c r="L614" s="738"/>
      <c r="M614" s="738"/>
      <c r="N614" s="738"/>
      <c r="O614" s="738"/>
      <c r="P614" s="738"/>
      <c r="Q614" s="738"/>
      <c r="R614" s="738"/>
      <c r="S614" s="738"/>
      <c r="T614" s="738"/>
      <c r="U614" s="738"/>
      <c r="V614" s="738"/>
      <c r="W614" s="738"/>
      <c r="X614" s="738"/>
      <c r="Y614" s="738"/>
      <c r="Z614" s="738"/>
    </row>
    <row r="615">
      <c r="A615" s="738"/>
      <c r="B615" s="738"/>
      <c r="C615" s="738"/>
      <c r="D615" s="738"/>
      <c r="E615" s="738"/>
      <c r="F615" s="738"/>
      <c r="G615" s="738"/>
      <c r="H615" s="738"/>
      <c r="I615" s="738"/>
      <c r="J615" s="738"/>
      <c r="K615" s="738"/>
      <c r="L615" s="738"/>
      <c r="M615" s="738"/>
      <c r="N615" s="738"/>
      <c r="O615" s="738"/>
      <c r="P615" s="738"/>
      <c r="Q615" s="738"/>
      <c r="R615" s="738"/>
      <c r="S615" s="738"/>
      <c r="T615" s="738"/>
      <c r="U615" s="738"/>
      <c r="V615" s="738"/>
      <c r="W615" s="738"/>
      <c r="X615" s="738"/>
      <c r="Y615" s="738"/>
      <c r="Z615" s="738"/>
    </row>
    <row r="616">
      <c r="A616" s="738"/>
      <c r="B616" s="738"/>
      <c r="C616" s="738"/>
      <c r="D616" s="738"/>
      <c r="E616" s="738"/>
      <c r="F616" s="738"/>
      <c r="G616" s="738"/>
      <c r="H616" s="738"/>
      <c r="I616" s="738"/>
      <c r="J616" s="738"/>
      <c r="K616" s="738"/>
      <c r="L616" s="738"/>
      <c r="M616" s="738"/>
      <c r="N616" s="738"/>
      <c r="O616" s="738"/>
      <c r="P616" s="738"/>
      <c r="Q616" s="738"/>
      <c r="R616" s="738"/>
      <c r="S616" s="738"/>
      <c r="T616" s="738"/>
      <c r="U616" s="738"/>
      <c r="V616" s="738"/>
      <c r="W616" s="738"/>
      <c r="X616" s="738"/>
      <c r="Y616" s="738"/>
      <c r="Z616" s="738"/>
    </row>
    <row r="617">
      <c r="A617" s="738"/>
      <c r="B617" s="738"/>
      <c r="C617" s="738"/>
      <c r="D617" s="738"/>
      <c r="E617" s="738"/>
      <c r="F617" s="738"/>
      <c r="G617" s="738"/>
      <c r="H617" s="738"/>
      <c r="I617" s="738"/>
      <c r="J617" s="738"/>
      <c r="K617" s="738"/>
      <c r="L617" s="738"/>
      <c r="M617" s="738"/>
      <c r="N617" s="738"/>
      <c r="O617" s="738"/>
      <c r="P617" s="738"/>
      <c r="Q617" s="738"/>
      <c r="R617" s="738"/>
      <c r="S617" s="738"/>
      <c r="T617" s="738"/>
      <c r="U617" s="738"/>
      <c r="V617" s="738"/>
      <c r="W617" s="738"/>
      <c r="X617" s="738"/>
      <c r="Y617" s="738"/>
      <c r="Z617" s="738"/>
    </row>
    <row r="618">
      <c r="A618" s="738"/>
      <c r="B618" s="738"/>
      <c r="C618" s="738"/>
      <c r="D618" s="738"/>
      <c r="E618" s="738"/>
      <c r="F618" s="738"/>
      <c r="G618" s="738"/>
      <c r="H618" s="738"/>
      <c r="I618" s="738"/>
      <c r="J618" s="738"/>
      <c r="K618" s="738"/>
      <c r="L618" s="738"/>
      <c r="M618" s="738"/>
      <c r="N618" s="738"/>
      <c r="O618" s="738"/>
      <c r="P618" s="738"/>
      <c r="Q618" s="738"/>
      <c r="R618" s="738"/>
      <c r="S618" s="738"/>
      <c r="T618" s="738"/>
      <c r="U618" s="738"/>
      <c r="V618" s="738"/>
      <c r="W618" s="738"/>
      <c r="X618" s="738"/>
      <c r="Y618" s="738"/>
      <c r="Z618" s="738"/>
    </row>
    <row r="619">
      <c r="A619" s="738"/>
      <c r="B619" s="738"/>
      <c r="C619" s="738"/>
      <c r="D619" s="738"/>
      <c r="E619" s="738"/>
      <c r="F619" s="738"/>
      <c r="G619" s="738"/>
      <c r="H619" s="738"/>
      <c r="I619" s="738"/>
      <c r="J619" s="738"/>
      <c r="K619" s="738"/>
      <c r="L619" s="738"/>
      <c r="M619" s="738"/>
      <c r="N619" s="738"/>
      <c r="O619" s="738"/>
      <c r="P619" s="738"/>
      <c r="Q619" s="738"/>
      <c r="R619" s="738"/>
      <c r="S619" s="738"/>
      <c r="T619" s="738"/>
      <c r="U619" s="738"/>
      <c r="V619" s="738"/>
      <c r="W619" s="738"/>
      <c r="X619" s="738"/>
      <c r="Y619" s="738"/>
      <c r="Z619" s="738"/>
    </row>
    <row r="620">
      <c r="A620" s="738"/>
      <c r="B620" s="738"/>
      <c r="C620" s="738"/>
      <c r="D620" s="738"/>
      <c r="E620" s="738"/>
      <c r="F620" s="738"/>
      <c r="G620" s="738"/>
      <c r="H620" s="738"/>
      <c r="I620" s="738"/>
      <c r="J620" s="738"/>
      <c r="K620" s="738"/>
      <c r="L620" s="738"/>
      <c r="M620" s="738"/>
      <c r="N620" s="738"/>
      <c r="O620" s="738"/>
      <c r="P620" s="738"/>
      <c r="Q620" s="738"/>
      <c r="R620" s="738"/>
      <c r="S620" s="738"/>
      <c r="T620" s="738"/>
      <c r="U620" s="738"/>
      <c r="V620" s="738"/>
      <c r="W620" s="738"/>
      <c r="X620" s="738"/>
      <c r="Y620" s="738"/>
      <c r="Z620" s="738"/>
    </row>
    <row r="621">
      <c r="A621" s="738"/>
      <c r="B621" s="738"/>
      <c r="C621" s="738"/>
      <c r="D621" s="738"/>
      <c r="E621" s="738"/>
      <c r="F621" s="738"/>
      <c r="G621" s="738"/>
      <c r="H621" s="738"/>
      <c r="I621" s="738"/>
      <c r="J621" s="738"/>
      <c r="K621" s="738"/>
      <c r="L621" s="738"/>
      <c r="M621" s="738"/>
      <c r="N621" s="738"/>
      <c r="O621" s="738"/>
      <c r="P621" s="738"/>
      <c r="Q621" s="738"/>
      <c r="R621" s="738"/>
      <c r="S621" s="738"/>
      <c r="T621" s="738"/>
      <c r="U621" s="738"/>
      <c r="V621" s="738"/>
      <c r="W621" s="738"/>
      <c r="X621" s="738"/>
      <c r="Y621" s="738"/>
      <c r="Z621" s="738"/>
    </row>
    <row r="622">
      <c r="A622" s="738"/>
      <c r="B622" s="738"/>
      <c r="C622" s="738"/>
      <c r="D622" s="738"/>
      <c r="E622" s="738"/>
      <c r="F622" s="738"/>
      <c r="G622" s="738"/>
      <c r="H622" s="738"/>
      <c r="I622" s="738"/>
      <c r="J622" s="738"/>
      <c r="K622" s="738"/>
      <c r="L622" s="738"/>
      <c r="M622" s="738"/>
      <c r="N622" s="738"/>
      <c r="O622" s="738"/>
      <c r="P622" s="738"/>
      <c r="Q622" s="738"/>
      <c r="R622" s="738"/>
      <c r="S622" s="738"/>
      <c r="T622" s="738"/>
      <c r="U622" s="738"/>
      <c r="V622" s="738"/>
      <c r="W622" s="738"/>
      <c r="X622" s="738"/>
      <c r="Y622" s="738"/>
      <c r="Z622" s="738"/>
    </row>
    <row r="623">
      <c r="A623" s="738"/>
      <c r="B623" s="738"/>
      <c r="C623" s="738"/>
      <c r="D623" s="738"/>
      <c r="E623" s="738"/>
      <c r="F623" s="738"/>
      <c r="G623" s="738"/>
      <c r="H623" s="738"/>
      <c r="I623" s="738"/>
      <c r="J623" s="738"/>
      <c r="K623" s="738"/>
      <c r="L623" s="738"/>
      <c r="M623" s="738"/>
      <c r="N623" s="738"/>
      <c r="O623" s="738"/>
      <c r="P623" s="738"/>
      <c r="Q623" s="738"/>
      <c r="R623" s="738"/>
      <c r="S623" s="738"/>
      <c r="T623" s="738"/>
      <c r="U623" s="738"/>
      <c r="V623" s="738"/>
      <c r="W623" s="738"/>
      <c r="X623" s="738"/>
      <c r="Y623" s="738"/>
      <c r="Z623" s="738"/>
    </row>
    <row r="624">
      <c r="A624" s="738"/>
      <c r="B624" s="738"/>
      <c r="C624" s="738"/>
      <c r="D624" s="738"/>
      <c r="E624" s="738"/>
      <c r="F624" s="738"/>
      <c r="G624" s="738"/>
      <c r="H624" s="738"/>
      <c r="I624" s="738"/>
      <c r="J624" s="738"/>
      <c r="K624" s="738"/>
      <c r="L624" s="738"/>
      <c r="M624" s="738"/>
      <c r="N624" s="738"/>
      <c r="O624" s="738"/>
      <c r="P624" s="738"/>
      <c r="Q624" s="738"/>
      <c r="R624" s="738"/>
      <c r="S624" s="738"/>
      <c r="T624" s="738"/>
      <c r="U624" s="738"/>
      <c r="V624" s="738"/>
      <c r="W624" s="738"/>
      <c r="X624" s="738"/>
      <c r="Y624" s="738"/>
      <c r="Z624" s="738"/>
    </row>
    <row r="625">
      <c r="A625" s="738"/>
      <c r="B625" s="738"/>
      <c r="C625" s="738"/>
      <c r="D625" s="738"/>
      <c r="E625" s="738"/>
      <c r="F625" s="738"/>
      <c r="G625" s="738"/>
      <c r="H625" s="738"/>
      <c r="I625" s="738"/>
      <c r="J625" s="738"/>
      <c r="K625" s="738"/>
      <c r="L625" s="738"/>
      <c r="M625" s="738"/>
      <c r="N625" s="738"/>
      <c r="O625" s="738"/>
      <c r="P625" s="738"/>
      <c r="Q625" s="738"/>
      <c r="R625" s="738"/>
      <c r="S625" s="738"/>
      <c r="T625" s="738"/>
      <c r="U625" s="738"/>
      <c r="V625" s="738"/>
      <c r="W625" s="738"/>
      <c r="X625" s="738"/>
      <c r="Y625" s="738"/>
      <c r="Z625" s="738"/>
    </row>
    <row r="626">
      <c r="A626" s="738"/>
      <c r="B626" s="738"/>
      <c r="C626" s="738"/>
      <c r="D626" s="738"/>
      <c r="E626" s="738"/>
      <c r="F626" s="738"/>
      <c r="G626" s="738"/>
      <c r="H626" s="738"/>
      <c r="I626" s="738"/>
      <c r="J626" s="738"/>
      <c r="K626" s="738"/>
      <c r="L626" s="738"/>
      <c r="M626" s="738"/>
      <c r="N626" s="738"/>
      <c r="O626" s="738"/>
      <c r="P626" s="738"/>
      <c r="Q626" s="738"/>
      <c r="R626" s="738"/>
      <c r="S626" s="738"/>
      <c r="T626" s="738"/>
      <c r="U626" s="738"/>
      <c r="V626" s="738"/>
      <c r="W626" s="738"/>
      <c r="X626" s="738"/>
      <c r="Y626" s="738"/>
      <c r="Z626" s="738"/>
    </row>
    <row r="627">
      <c r="A627" s="738"/>
      <c r="B627" s="738"/>
      <c r="C627" s="738"/>
      <c r="D627" s="738"/>
      <c r="E627" s="738"/>
      <c r="F627" s="738"/>
      <c r="G627" s="738"/>
      <c r="H627" s="738"/>
      <c r="I627" s="738"/>
      <c r="J627" s="738"/>
      <c r="K627" s="738"/>
      <c r="L627" s="738"/>
      <c r="M627" s="738"/>
      <c r="N627" s="738"/>
      <c r="O627" s="738"/>
      <c r="P627" s="738"/>
      <c r="Q627" s="738"/>
      <c r="R627" s="738"/>
      <c r="S627" s="738"/>
      <c r="T627" s="738"/>
      <c r="U627" s="738"/>
      <c r="V627" s="738"/>
      <c r="W627" s="738"/>
      <c r="X627" s="738"/>
      <c r="Y627" s="738"/>
      <c r="Z627" s="738"/>
    </row>
    <row r="628">
      <c r="A628" s="738"/>
      <c r="B628" s="738"/>
      <c r="C628" s="738"/>
      <c r="D628" s="738"/>
      <c r="E628" s="738"/>
      <c r="F628" s="738"/>
      <c r="G628" s="738"/>
      <c r="H628" s="738"/>
      <c r="I628" s="738"/>
      <c r="J628" s="738"/>
      <c r="K628" s="738"/>
      <c r="L628" s="738"/>
      <c r="M628" s="738"/>
      <c r="N628" s="738"/>
      <c r="O628" s="738"/>
      <c r="P628" s="738"/>
      <c r="Q628" s="738"/>
      <c r="R628" s="738"/>
      <c r="S628" s="738"/>
      <c r="T628" s="738"/>
      <c r="U628" s="738"/>
      <c r="V628" s="738"/>
      <c r="W628" s="738"/>
      <c r="X628" s="738"/>
      <c r="Y628" s="738"/>
      <c r="Z628" s="738"/>
    </row>
    <row r="629">
      <c r="A629" s="738"/>
      <c r="B629" s="738"/>
      <c r="C629" s="738"/>
      <c r="D629" s="738"/>
      <c r="E629" s="738"/>
      <c r="F629" s="738"/>
      <c r="G629" s="738"/>
      <c r="H629" s="738"/>
      <c r="I629" s="738"/>
      <c r="J629" s="738"/>
      <c r="K629" s="738"/>
      <c r="L629" s="738"/>
      <c r="M629" s="738"/>
      <c r="N629" s="738"/>
      <c r="O629" s="738"/>
      <c r="P629" s="738"/>
      <c r="Q629" s="738"/>
      <c r="R629" s="738"/>
      <c r="S629" s="738"/>
      <c r="T629" s="738"/>
      <c r="U629" s="738"/>
      <c r="V629" s="738"/>
      <c r="W629" s="738"/>
      <c r="X629" s="738"/>
      <c r="Y629" s="738"/>
      <c r="Z629" s="738"/>
    </row>
    <row r="630">
      <c r="A630" s="738"/>
      <c r="B630" s="738"/>
      <c r="C630" s="738"/>
      <c r="D630" s="738"/>
      <c r="E630" s="738"/>
      <c r="F630" s="738"/>
      <c r="G630" s="738"/>
      <c r="H630" s="738"/>
      <c r="I630" s="738"/>
      <c r="J630" s="738"/>
      <c r="K630" s="738"/>
      <c r="L630" s="738"/>
      <c r="M630" s="738"/>
      <c r="N630" s="738"/>
      <c r="O630" s="738"/>
      <c r="P630" s="738"/>
      <c r="Q630" s="738"/>
      <c r="R630" s="738"/>
      <c r="S630" s="738"/>
      <c r="T630" s="738"/>
      <c r="U630" s="738"/>
      <c r="V630" s="738"/>
      <c r="W630" s="738"/>
      <c r="X630" s="738"/>
      <c r="Y630" s="738"/>
      <c r="Z630" s="738"/>
    </row>
    <row r="631">
      <c r="A631" s="738"/>
      <c r="B631" s="738"/>
      <c r="C631" s="738"/>
      <c r="D631" s="738"/>
      <c r="E631" s="738"/>
      <c r="F631" s="738"/>
      <c r="G631" s="738"/>
      <c r="H631" s="738"/>
      <c r="I631" s="738"/>
      <c r="J631" s="738"/>
      <c r="K631" s="738"/>
      <c r="L631" s="738"/>
      <c r="M631" s="738"/>
      <c r="N631" s="738"/>
      <c r="O631" s="738"/>
      <c r="P631" s="738"/>
      <c r="Q631" s="738"/>
      <c r="R631" s="738"/>
      <c r="S631" s="738"/>
      <c r="T631" s="738"/>
      <c r="U631" s="738"/>
      <c r="V631" s="738"/>
      <c r="W631" s="738"/>
      <c r="X631" s="738"/>
      <c r="Y631" s="738"/>
      <c r="Z631" s="738"/>
    </row>
    <row r="632">
      <c r="A632" s="738"/>
      <c r="B632" s="738"/>
      <c r="C632" s="738"/>
      <c r="D632" s="738"/>
      <c r="E632" s="738"/>
      <c r="F632" s="738"/>
      <c r="G632" s="738"/>
      <c r="H632" s="738"/>
      <c r="I632" s="738"/>
      <c r="J632" s="738"/>
      <c r="K632" s="738"/>
      <c r="L632" s="738"/>
      <c r="M632" s="738"/>
      <c r="N632" s="738"/>
      <c r="O632" s="738"/>
      <c r="P632" s="738"/>
      <c r="Q632" s="738"/>
      <c r="R632" s="738"/>
      <c r="S632" s="738"/>
      <c r="T632" s="738"/>
      <c r="U632" s="738"/>
      <c r="V632" s="738"/>
      <c r="W632" s="738"/>
      <c r="X632" s="738"/>
      <c r="Y632" s="738"/>
      <c r="Z632" s="738"/>
    </row>
    <row r="633">
      <c r="A633" s="738"/>
      <c r="B633" s="738"/>
      <c r="C633" s="738"/>
      <c r="D633" s="738"/>
      <c r="E633" s="738"/>
      <c r="F633" s="738"/>
      <c r="G633" s="738"/>
      <c r="H633" s="738"/>
      <c r="I633" s="738"/>
      <c r="J633" s="738"/>
      <c r="K633" s="738"/>
      <c r="L633" s="738"/>
      <c r="M633" s="738"/>
      <c r="N633" s="738"/>
      <c r="O633" s="738"/>
      <c r="P633" s="738"/>
      <c r="Q633" s="738"/>
      <c r="R633" s="738"/>
      <c r="S633" s="738"/>
      <c r="T633" s="738"/>
      <c r="U633" s="738"/>
      <c r="V633" s="738"/>
      <c r="W633" s="738"/>
      <c r="X633" s="738"/>
      <c r="Y633" s="738"/>
      <c r="Z633" s="738"/>
    </row>
    <row r="634">
      <c r="A634" s="738"/>
      <c r="B634" s="738"/>
      <c r="C634" s="738"/>
      <c r="D634" s="738"/>
      <c r="E634" s="738"/>
      <c r="F634" s="738"/>
      <c r="G634" s="738"/>
      <c r="H634" s="738"/>
      <c r="I634" s="738"/>
      <c r="J634" s="738"/>
      <c r="K634" s="738"/>
      <c r="L634" s="738"/>
      <c r="M634" s="738"/>
      <c r="N634" s="738"/>
      <c r="O634" s="738"/>
      <c r="P634" s="738"/>
      <c r="Q634" s="738"/>
      <c r="R634" s="738"/>
      <c r="S634" s="738"/>
      <c r="T634" s="738"/>
      <c r="U634" s="738"/>
      <c r="V634" s="738"/>
      <c r="W634" s="738"/>
      <c r="X634" s="738"/>
      <c r="Y634" s="738"/>
      <c r="Z634" s="738"/>
    </row>
    <row r="635">
      <c r="A635" s="738"/>
      <c r="B635" s="738"/>
      <c r="C635" s="738"/>
      <c r="D635" s="738"/>
      <c r="E635" s="738"/>
      <c r="F635" s="738"/>
      <c r="G635" s="738"/>
      <c r="H635" s="738"/>
      <c r="I635" s="738"/>
      <c r="J635" s="738"/>
      <c r="K635" s="738"/>
      <c r="L635" s="738"/>
      <c r="M635" s="738"/>
      <c r="N635" s="738"/>
      <c r="O635" s="738"/>
      <c r="P635" s="738"/>
      <c r="Q635" s="738"/>
      <c r="R635" s="738"/>
      <c r="S635" s="738"/>
      <c r="T635" s="738"/>
      <c r="U635" s="738"/>
      <c r="V635" s="738"/>
      <c r="W635" s="738"/>
      <c r="X635" s="738"/>
      <c r="Y635" s="738"/>
      <c r="Z635" s="738"/>
    </row>
    <row r="636">
      <c r="A636" s="738"/>
      <c r="B636" s="738"/>
      <c r="C636" s="738"/>
      <c r="D636" s="738"/>
      <c r="E636" s="738"/>
      <c r="F636" s="738"/>
      <c r="G636" s="738"/>
      <c r="H636" s="738"/>
      <c r="I636" s="738"/>
      <c r="J636" s="738"/>
      <c r="K636" s="738"/>
      <c r="L636" s="738"/>
      <c r="M636" s="738"/>
      <c r="N636" s="738"/>
      <c r="O636" s="738"/>
      <c r="P636" s="738"/>
      <c r="Q636" s="738"/>
      <c r="R636" s="738"/>
      <c r="S636" s="738"/>
      <c r="T636" s="738"/>
      <c r="U636" s="738"/>
      <c r="V636" s="738"/>
      <c r="W636" s="738"/>
      <c r="X636" s="738"/>
      <c r="Y636" s="738"/>
      <c r="Z636" s="738"/>
    </row>
    <row r="637">
      <c r="A637" s="738"/>
      <c r="B637" s="738"/>
      <c r="C637" s="738"/>
      <c r="D637" s="738"/>
      <c r="E637" s="738"/>
      <c r="F637" s="738"/>
      <c r="G637" s="738"/>
      <c r="H637" s="738"/>
      <c r="I637" s="738"/>
      <c r="J637" s="738"/>
      <c r="K637" s="738"/>
      <c r="L637" s="738"/>
      <c r="M637" s="738"/>
      <c r="N637" s="738"/>
      <c r="O637" s="738"/>
      <c r="P637" s="738"/>
      <c r="Q637" s="738"/>
      <c r="R637" s="738"/>
      <c r="S637" s="738"/>
      <c r="T637" s="738"/>
      <c r="U637" s="738"/>
      <c r="V637" s="738"/>
      <c r="W637" s="738"/>
      <c r="X637" s="738"/>
      <c r="Y637" s="738"/>
      <c r="Z637" s="738"/>
    </row>
    <row r="638">
      <c r="A638" s="738"/>
      <c r="B638" s="738"/>
      <c r="C638" s="738"/>
      <c r="D638" s="738"/>
      <c r="E638" s="738"/>
      <c r="F638" s="738"/>
      <c r="G638" s="738"/>
      <c r="H638" s="738"/>
      <c r="I638" s="738"/>
      <c r="J638" s="738"/>
      <c r="K638" s="738"/>
      <c r="L638" s="738"/>
      <c r="M638" s="738"/>
      <c r="N638" s="738"/>
      <c r="O638" s="738"/>
      <c r="P638" s="738"/>
      <c r="Q638" s="738"/>
      <c r="R638" s="738"/>
      <c r="S638" s="738"/>
      <c r="T638" s="738"/>
      <c r="U638" s="738"/>
      <c r="V638" s="738"/>
      <c r="W638" s="738"/>
      <c r="X638" s="738"/>
      <c r="Y638" s="738"/>
      <c r="Z638" s="738"/>
    </row>
    <row r="639">
      <c r="A639" s="738"/>
      <c r="B639" s="738"/>
      <c r="C639" s="738"/>
      <c r="D639" s="738"/>
      <c r="E639" s="738"/>
      <c r="F639" s="738"/>
      <c r="G639" s="738"/>
      <c r="H639" s="738"/>
      <c r="I639" s="738"/>
      <c r="J639" s="738"/>
      <c r="K639" s="738"/>
      <c r="L639" s="738"/>
      <c r="M639" s="738"/>
      <c r="N639" s="738"/>
      <c r="O639" s="738"/>
      <c r="P639" s="738"/>
      <c r="Q639" s="738"/>
      <c r="R639" s="738"/>
      <c r="S639" s="738"/>
      <c r="T639" s="738"/>
      <c r="U639" s="738"/>
      <c r="V639" s="738"/>
      <c r="W639" s="738"/>
      <c r="X639" s="738"/>
      <c r="Y639" s="738"/>
      <c r="Z639" s="738"/>
    </row>
    <row r="640">
      <c r="A640" s="738"/>
      <c r="B640" s="738"/>
      <c r="C640" s="738"/>
      <c r="D640" s="738"/>
      <c r="E640" s="738"/>
      <c r="F640" s="738"/>
      <c r="G640" s="738"/>
      <c r="H640" s="738"/>
      <c r="I640" s="738"/>
      <c r="J640" s="738"/>
      <c r="K640" s="738"/>
      <c r="L640" s="738"/>
      <c r="M640" s="738"/>
      <c r="N640" s="738"/>
      <c r="O640" s="738"/>
      <c r="P640" s="738"/>
      <c r="Q640" s="738"/>
      <c r="R640" s="738"/>
      <c r="S640" s="738"/>
      <c r="T640" s="738"/>
      <c r="U640" s="738"/>
      <c r="V640" s="738"/>
      <c r="W640" s="738"/>
      <c r="X640" s="738"/>
      <c r="Y640" s="738"/>
      <c r="Z640" s="738"/>
    </row>
    <row r="641">
      <c r="A641" s="738"/>
      <c r="B641" s="738"/>
      <c r="C641" s="738"/>
      <c r="D641" s="738"/>
      <c r="E641" s="738"/>
      <c r="F641" s="738"/>
      <c r="G641" s="738"/>
      <c r="H641" s="738"/>
      <c r="I641" s="738"/>
      <c r="J641" s="738"/>
      <c r="K641" s="738"/>
      <c r="L641" s="738"/>
      <c r="M641" s="738"/>
      <c r="N641" s="738"/>
      <c r="O641" s="738"/>
      <c r="P641" s="738"/>
      <c r="Q641" s="738"/>
      <c r="R641" s="738"/>
      <c r="S641" s="738"/>
      <c r="T641" s="738"/>
      <c r="U641" s="738"/>
      <c r="V641" s="738"/>
      <c r="W641" s="738"/>
      <c r="X641" s="738"/>
      <c r="Y641" s="738"/>
      <c r="Z641" s="738"/>
    </row>
    <row r="642">
      <c r="A642" s="738"/>
      <c r="B642" s="738"/>
      <c r="C642" s="738"/>
      <c r="D642" s="738"/>
      <c r="E642" s="738"/>
      <c r="F642" s="738"/>
      <c r="G642" s="738"/>
      <c r="H642" s="738"/>
      <c r="I642" s="738"/>
      <c r="J642" s="738"/>
      <c r="K642" s="738"/>
      <c r="L642" s="738"/>
      <c r="M642" s="738"/>
      <c r="N642" s="738"/>
      <c r="O642" s="738"/>
      <c r="P642" s="738"/>
      <c r="Q642" s="738"/>
      <c r="R642" s="738"/>
      <c r="S642" s="738"/>
      <c r="T642" s="738"/>
      <c r="U642" s="738"/>
      <c r="V642" s="738"/>
      <c r="W642" s="738"/>
      <c r="X642" s="738"/>
      <c r="Y642" s="738"/>
      <c r="Z642" s="738"/>
    </row>
    <row r="643">
      <c r="A643" s="738"/>
      <c r="B643" s="738"/>
      <c r="C643" s="738"/>
      <c r="D643" s="738"/>
      <c r="E643" s="738"/>
      <c r="F643" s="738"/>
      <c r="G643" s="738"/>
      <c r="H643" s="738"/>
      <c r="I643" s="738"/>
      <c r="J643" s="738"/>
      <c r="K643" s="738"/>
      <c r="L643" s="738"/>
      <c r="M643" s="738"/>
      <c r="N643" s="738"/>
      <c r="O643" s="738"/>
      <c r="P643" s="738"/>
      <c r="Q643" s="738"/>
      <c r="R643" s="738"/>
      <c r="S643" s="738"/>
      <c r="T643" s="738"/>
      <c r="U643" s="738"/>
      <c r="V643" s="738"/>
      <c r="W643" s="738"/>
      <c r="X643" s="738"/>
      <c r="Y643" s="738"/>
      <c r="Z643" s="738"/>
    </row>
    <row r="644">
      <c r="A644" s="738"/>
      <c r="B644" s="738"/>
      <c r="C644" s="738"/>
      <c r="D644" s="738"/>
      <c r="E644" s="738"/>
      <c r="F644" s="738"/>
      <c r="G644" s="738"/>
      <c r="H644" s="738"/>
      <c r="I644" s="738"/>
      <c r="J644" s="738"/>
      <c r="K644" s="738"/>
      <c r="L644" s="738"/>
      <c r="M644" s="738"/>
      <c r="N644" s="738"/>
      <c r="O644" s="738"/>
      <c r="P644" s="738"/>
      <c r="Q644" s="738"/>
      <c r="R644" s="738"/>
      <c r="S644" s="738"/>
      <c r="T644" s="738"/>
      <c r="U644" s="738"/>
      <c r="V644" s="738"/>
      <c r="W644" s="738"/>
      <c r="X644" s="738"/>
      <c r="Y644" s="738"/>
      <c r="Z644" s="738"/>
    </row>
    <row r="645">
      <c r="A645" s="738"/>
      <c r="B645" s="738"/>
      <c r="C645" s="738"/>
      <c r="D645" s="738"/>
      <c r="E645" s="738"/>
      <c r="F645" s="738"/>
      <c r="G645" s="738"/>
      <c r="H645" s="738"/>
      <c r="I645" s="738"/>
      <c r="J645" s="738"/>
      <c r="K645" s="738"/>
      <c r="L645" s="738"/>
      <c r="M645" s="738"/>
      <c r="N645" s="738"/>
      <c r="O645" s="738"/>
      <c r="P645" s="738"/>
      <c r="Q645" s="738"/>
      <c r="R645" s="738"/>
      <c r="S645" s="738"/>
      <c r="T645" s="738"/>
      <c r="U645" s="738"/>
      <c r="V645" s="738"/>
      <c r="W645" s="738"/>
      <c r="X645" s="738"/>
      <c r="Y645" s="738"/>
      <c r="Z645" s="738"/>
    </row>
    <row r="646">
      <c r="A646" s="738"/>
      <c r="B646" s="738"/>
      <c r="C646" s="738"/>
      <c r="D646" s="738"/>
      <c r="E646" s="738"/>
      <c r="F646" s="738"/>
      <c r="G646" s="738"/>
      <c r="H646" s="738"/>
      <c r="I646" s="738"/>
      <c r="J646" s="738"/>
      <c r="K646" s="738"/>
      <c r="L646" s="738"/>
      <c r="M646" s="738"/>
      <c r="N646" s="738"/>
      <c r="O646" s="738"/>
      <c r="P646" s="738"/>
      <c r="Q646" s="738"/>
      <c r="R646" s="738"/>
      <c r="S646" s="738"/>
      <c r="T646" s="738"/>
      <c r="U646" s="738"/>
      <c r="V646" s="738"/>
      <c r="W646" s="738"/>
      <c r="X646" s="738"/>
      <c r="Y646" s="738"/>
      <c r="Z646" s="738"/>
    </row>
    <row r="647">
      <c r="A647" s="738"/>
      <c r="B647" s="738"/>
      <c r="C647" s="738"/>
      <c r="D647" s="738"/>
      <c r="E647" s="738"/>
      <c r="F647" s="738"/>
      <c r="G647" s="738"/>
      <c r="H647" s="738"/>
      <c r="I647" s="738"/>
      <c r="J647" s="738"/>
      <c r="K647" s="738"/>
      <c r="L647" s="738"/>
      <c r="M647" s="738"/>
      <c r="N647" s="738"/>
      <c r="O647" s="738"/>
      <c r="P647" s="738"/>
      <c r="Q647" s="738"/>
      <c r="R647" s="738"/>
      <c r="S647" s="738"/>
      <c r="T647" s="738"/>
      <c r="U647" s="738"/>
      <c r="V647" s="738"/>
      <c r="W647" s="738"/>
      <c r="X647" s="738"/>
      <c r="Y647" s="738"/>
      <c r="Z647" s="738"/>
    </row>
    <row r="648">
      <c r="A648" s="738"/>
      <c r="B648" s="738"/>
      <c r="C648" s="738"/>
      <c r="D648" s="738"/>
      <c r="E648" s="738"/>
      <c r="F648" s="738"/>
      <c r="G648" s="738"/>
      <c r="H648" s="738"/>
      <c r="I648" s="738"/>
      <c r="J648" s="738"/>
      <c r="K648" s="738"/>
      <c r="L648" s="738"/>
      <c r="M648" s="738"/>
      <c r="N648" s="738"/>
      <c r="O648" s="738"/>
      <c r="P648" s="738"/>
      <c r="Q648" s="738"/>
      <c r="R648" s="738"/>
      <c r="S648" s="738"/>
      <c r="T648" s="738"/>
      <c r="U648" s="738"/>
      <c r="V648" s="738"/>
      <c r="W648" s="738"/>
      <c r="X648" s="738"/>
      <c r="Y648" s="738"/>
      <c r="Z648" s="738"/>
    </row>
    <row r="649">
      <c r="A649" s="738"/>
      <c r="B649" s="738"/>
      <c r="C649" s="738"/>
      <c r="D649" s="738"/>
      <c r="E649" s="738"/>
      <c r="F649" s="738"/>
      <c r="G649" s="738"/>
      <c r="H649" s="738"/>
      <c r="I649" s="738"/>
      <c r="J649" s="738"/>
      <c r="K649" s="738"/>
      <c r="L649" s="738"/>
      <c r="M649" s="738"/>
      <c r="N649" s="738"/>
      <c r="O649" s="738"/>
      <c r="P649" s="738"/>
      <c r="Q649" s="738"/>
      <c r="R649" s="738"/>
      <c r="S649" s="738"/>
      <c r="T649" s="738"/>
      <c r="U649" s="738"/>
      <c r="V649" s="738"/>
      <c r="W649" s="738"/>
      <c r="X649" s="738"/>
      <c r="Y649" s="738"/>
      <c r="Z649" s="738"/>
    </row>
    <row r="650">
      <c r="A650" s="738"/>
      <c r="B650" s="738"/>
      <c r="C650" s="738"/>
      <c r="D650" s="738"/>
      <c r="E650" s="738"/>
      <c r="F650" s="738"/>
      <c r="G650" s="738"/>
      <c r="H650" s="738"/>
      <c r="I650" s="738"/>
      <c r="J650" s="738"/>
      <c r="K650" s="738"/>
      <c r="L650" s="738"/>
      <c r="M650" s="738"/>
      <c r="N650" s="738"/>
      <c r="O650" s="738"/>
      <c r="P650" s="738"/>
      <c r="Q650" s="738"/>
      <c r="R650" s="738"/>
      <c r="S650" s="738"/>
      <c r="T650" s="738"/>
      <c r="U650" s="738"/>
      <c r="V650" s="738"/>
      <c r="W650" s="738"/>
      <c r="X650" s="738"/>
      <c r="Y650" s="738"/>
      <c r="Z650" s="738"/>
    </row>
    <row r="651">
      <c r="A651" s="738"/>
      <c r="B651" s="738"/>
      <c r="C651" s="738"/>
      <c r="D651" s="738"/>
      <c r="E651" s="738"/>
      <c r="F651" s="738"/>
      <c r="G651" s="738"/>
      <c r="H651" s="738"/>
      <c r="I651" s="738"/>
      <c r="J651" s="738"/>
      <c r="K651" s="738"/>
      <c r="L651" s="738"/>
      <c r="M651" s="738"/>
      <c r="N651" s="738"/>
      <c r="O651" s="738"/>
      <c r="P651" s="738"/>
      <c r="Q651" s="738"/>
      <c r="R651" s="738"/>
      <c r="S651" s="738"/>
      <c r="T651" s="738"/>
      <c r="U651" s="738"/>
      <c r="V651" s="738"/>
      <c r="W651" s="738"/>
      <c r="X651" s="738"/>
      <c r="Y651" s="738"/>
      <c r="Z651" s="738"/>
    </row>
    <row r="652">
      <c r="A652" s="738"/>
      <c r="B652" s="738"/>
      <c r="C652" s="738"/>
      <c r="D652" s="738"/>
      <c r="E652" s="738"/>
      <c r="F652" s="738"/>
      <c r="G652" s="738"/>
      <c r="H652" s="738"/>
      <c r="I652" s="738"/>
      <c r="J652" s="738"/>
      <c r="K652" s="738"/>
      <c r="L652" s="738"/>
      <c r="M652" s="738"/>
      <c r="N652" s="738"/>
      <c r="O652" s="738"/>
      <c r="P652" s="738"/>
      <c r="Q652" s="738"/>
      <c r="R652" s="738"/>
      <c r="S652" s="738"/>
      <c r="T652" s="738"/>
      <c r="U652" s="738"/>
      <c r="V652" s="738"/>
      <c r="W652" s="738"/>
      <c r="X652" s="738"/>
      <c r="Y652" s="738"/>
      <c r="Z652" s="738"/>
    </row>
    <row r="653">
      <c r="A653" s="738"/>
      <c r="B653" s="738"/>
      <c r="C653" s="738"/>
      <c r="D653" s="738"/>
      <c r="E653" s="738"/>
      <c r="F653" s="738"/>
      <c r="G653" s="738"/>
      <c r="H653" s="738"/>
      <c r="I653" s="738"/>
      <c r="J653" s="738"/>
      <c r="K653" s="738"/>
      <c r="L653" s="738"/>
      <c r="M653" s="738"/>
      <c r="N653" s="738"/>
      <c r="O653" s="738"/>
      <c r="P653" s="738"/>
      <c r="Q653" s="738"/>
      <c r="R653" s="738"/>
      <c r="S653" s="738"/>
      <c r="T653" s="738"/>
      <c r="U653" s="738"/>
      <c r="V653" s="738"/>
      <c r="W653" s="738"/>
      <c r="X653" s="738"/>
      <c r="Y653" s="738"/>
      <c r="Z653" s="738"/>
    </row>
    <row r="654">
      <c r="A654" s="738"/>
      <c r="B654" s="738"/>
      <c r="C654" s="738"/>
      <c r="D654" s="738"/>
      <c r="E654" s="738"/>
      <c r="F654" s="738"/>
      <c r="G654" s="738"/>
      <c r="H654" s="738"/>
      <c r="I654" s="738"/>
      <c r="J654" s="738"/>
      <c r="K654" s="738"/>
      <c r="L654" s="738"/>
      <c r="M654" s="738"/>
      <c r="N654" s="738"/>
      <c r="O654" s="738"/>
      <c r="P654" s="738"/>
      <c r="Q654" s="738"/>
      <c r="R654" s="738"/>
      <c r="S654" s="738"/>
      <c r="T654" s="738"/>
      <c r="U654" s="738"/>
      <c r="V654" s="738"/>
      <c r="W654" s="738"/>
      <c r="X654" s="738"/>
      <c r="Y654" s="738"/>
      <c r="Z654" s="738"/>
    </row>
    <row r="655">
      <c r="A655" s="738"/>
      <c r="B655" s="738"/>
      <c r="C655" s="738"/>
      <c r="D655" s="738"/>
      <c r="E655" s="738"/>
      <c r="F655" s="738"/>
      <c r="G655" s="738"/>
      <c r="H655" s="738"/>
      <c r="I655" s="738"/>
      <c r="J655" s="738"/>
      <c r="K655" s="738"/>
      <c r="L655" s="738"/>
      <c r="M655" s="738"/>
      <c r="N655" s="738"/>
      <c r="O655" s="738"/>
      <c r="P655" s="738"/>
      <c r="Q655" s="738"/>
      <c r="R655" s="738"/>
      <c r="S655" s="738"/>
      <c r="T655" s="738"/>
      <c r="U655" s="738"/>
      <c r="V655" s="738"/>
      <c r="W655" s="738"/>
      <c r="X655" s="738"/>
      <c r="Y655" s="738"/>
      <c r="Z655" s="738"/>
    </row>
    <row r="656">
      <c r="A656" s="738"/>
      <c r="B656" s="738"/>
      <c r="C656" s="738"/>
      <c r="D656" s="738"/>
      <c r="E656" s="738"/>
      <c r="F656" s="738"/>
      <c r="G656" s="738"/>
      <c r="H656" s="738"/>
      <c r="I656" s="738"/>
      <c r="J656" s="738"/>
      <c r="K656" s="738"/>
      <c r="L656" s="738"/>
      <c r="M656" s="738"/>
      <c r="N656" s="738"/>
      <c r="O656" s="738"/>
      <c r="P656" s="738"/>
      <c r="Q656" s="738"/>
      <c r="R656" s="738"/>
      <c r="S656" s="738"/>
      <c r="T656" s="738"/>
      <c r="U656" s="738"/>
      <c r="V656" s="738"/>
      <c r="W656" s="738"/>
      <c r="X656" s="738"/>
      <c r="Y656" s="738"/>
      <c r="Z656" s="738"/>
    </row>
    <row r="657">
      <c r="A657" s="738"/>
      <c r="B657" s="738"/>
      <c r="C657" s="738"/>
      <c r="D657" s="738"/>
      <c r="E657" s="738"/>
      <c r="F657" s="738"/>
      <c r="G657" s="738"/>
      <c r="H657" s="738"/>
      <c r="I657" s="738"/>
      <c r="J657" s="738"/>
      <c r="K657" s="738"/>
      <c r="L657" s="738"/>
      <c r="M657" s="738"/>
      <c r="N657" s="738"/>
      <c r="O657" s="738"/>
      <c r="P657" s="738"/>
      <c r="Q657" s="738"/>
      <c r="R657" s="738"/>
      <c r="S657" s="738"/>
      <c r="T657" s="738"/>
      <c r="U657" s="738"/>
      <c r="V657" s="738"/>
      <c r="W657" s="738"/>
      <c r="X657" s="738"/>
      <c r="Y657" s="738"/>
      <c r="Z657" s="738"/>
    </row>
    <row r="658">
      <c r="A658" s="738"/>
      <c r="B658" s="738"/>
      <c r="C658" s="738"/>
      <c r="D658" s="738"/>
      <c r="E658" s="738"/>
      <c r="F658" s="738"/>
      <c r="G658" s="738"/>
      <c r="H658" s="738"/>
      <c r="I658" s="738"/>
      <c r="J658" s="738"/>
      <c r="K658" s="738"/>
      <c r="L658" s="738"/>
      <c r="M658" s="738"/>
      <c r="N658" s="738"/>
      <c r="O658" s="738"/>
      <c r="P658" s="738"/>
      <c r="Q658" s="738"/>
      <c r="R658" s="738"/>
      <c r="S658" s="738"/>
      <c r="T658" s="738"/>
      <c r="U658" s="738"/>
      <c r="V658" s="738"/>
      <c r="W658" s="738"/>
      <c r="X658" s="738"/>
      <c r="Y658" s="738"/>
      <c r="Z658" s="738"/>
    </row>
    <row r="659">
      <c r="A659" s="738"/>
      <c r="B659" s="738"/>
      <c r="C659" s="738"/>
      <c r="D659" s="738"/>
      <c r="E659" s="738"/>
      <c r="F659" s="738"/>
      <c r="G659" s="738"/>
      <c r="H659" s="738"/>
      <c r="I659" s="738"/>
      <c r="J659" s="738"/>
      <c r="K659" s="738"/>
      <c r="L659" s="738"/>
      <c r="M659" s="738"/>
      <c r="N659" s="738"/>
      <c r="O659" s="738"/>
      <c r="P659" s="738"/>
      <c r="Q659" s="738"/>
      <c r="R659" s="738"/>
      <c r="S659" s="738"/>
      <c r="T659" s="738"/>
      <c r="U659" s="738"/>
      <c r="V659" s="738"/>
      <c r="W659" s="738"/>
      <c r="X659" s="738"/>
      <c r="Y659" s="738"/>
      <c r="Z659" s="738"/>
    </row>
    <row r="660">
      <c r="A660" s="738"/>
      <c r="B660" s="738"/>
      <c r="C660" s="738"/>
      <c r="D660" s="738"/>
      <c r="E660" s="738"/>
      <c r="F660" s="738"/>
      <c r="G660" s="738"/>
      <c r="H660" s="738"/>
      <c r="I660" s="738"/>
      <c r="J660" s="738"/>
      <c r="K660" s="738"/>
      <c r="L660" s="738"/>
      <c r="M660" s="738"/>
      <c r="N660" s="738"/>
      <c r="O660" s="738"/>
      <c r="P660" s="738"/>
      <c r="Q660" s="738"/>
      <c r="R660" s="738"/>
      <c r="S660" s="738"/>
      <c r="T660" s="738"/>
      <c r="U660" s="738"/>
      <c r="V660" s="738"/>
      <c r="W660" s="738"/>
      <c r="X660" s="738"/>
      <c r="Y660" s="738"/>
      <c r="Z660" s="738"/>
    </row>
    <row r="661">
      <c r="A661" s="738"/>
      <c r="B661" s="738"/>
      <c r="C661" s="738"/>
      <c r="D661" s="738"/>
      <c r="E661" s="738"/>
      <c r="F661" s="738"/>
      <c r="G661" s="738"/>
      <c r="H661" s="738"/>
      <c r="I661" s="738"/>
      <c r="J661" s="738"/>
      <c r="K661" s="738"/>
      <c r="L661" s="738"/>
      <c r="M661" s="738"/>
      <c r="N661" s="738"/>
      <c r="O661" s="738"/>
      <c r="P661" s="738"/>
      <c r="Q661" s="738"/>
      <c r="R661" s="738"/>
      <c r="S661" s="738"/>
      <c r="T661" s="738"/>
      <c r="U661" s="738"/>
      <c r="V661" s="738"/>
      <c r="W661" s="738"/>
      <c r="X661" s="738"/>
      <c r="Y661" s="738"/>
      <c r="Z661" s="738"/>
    </row>
    <row r="662">
      <c r="A662" s="738"/>
      <c r="B662" s="738"/>
      <c r="C662" s="738"/>
      <c r="D662" s="738"/>
      <c r="E662" s="738"/>
      <c r="F662" s="738"/>
      <c r="G662" s="738"/>
      <c r="H662" s="738"/>
      <c r="I662" s="738"/>
      <c r="J662" s="738"/>
      <c r="K662" s="738"/>
      <c r="L662" s="738"/>
      <c r="M662" s="738"/>
      <c r="N662" s="738"/>
      <c r="O662" s="738"/>
      <c r="P662" s="738"/>
      <c r="Q662" s="738"/>
      <c r="R662" s="738"/>
      <c r="S662" s="738"/>
      <c r="T662" s="738"/>
      <c r="U662" s="738"/>
      <c r="V662" s="738"/>
      <c r="W662" s="738"/>
      <c r="X662" s="738"/>
      <c r="Y662" s="738"/>
      <c r="Z662" s="738"/>
    </row>
    <row r="663">
      <c r="A663" s="738"/>
      <c r="B663" s="738"/>
      <c r="C663" s="738"/>
      <c r="D663" s="738"/>
      <c r="E663" s="738"/>
      <c r="F663" s="738"/>
      <c r="G663" s="738"/>
      <c r="H663" s="738"/>
      <c r="I663" s="738"/>
      <c r="J663" s="738"/>
      <c r="K663" s="738"/>
      <c r="L663" s="738"/>
      <c r="M663" s="738"/>
      <c r="N663" s="738"/>
      <c r="O663" s="738"/>
      <c r="P663" s="738"/>
      <c r="Q663" s="738"/>
      <c r="R663" s="738"/>
      <c r="S663" s="738"/>
      <c r="T663" s="738"/>
      <c r="U663" s="738"/>
      <c r="V663" s="738"/>
      <c r="W663" s="738"/>
      <c r="X663" s="738"/>
      <c r="Y663" s="738"/>
      <c r="Z663" s="738"/>
    </row>
    <row r="664">
      <c r="A664" s="738"/>
      <c r="B664" s="738"/>
      <c r="C664" s="738"/>
      <c r="D664" s="738"/>
      <c r="E664" s="738"/>
      <c r="F664" s="738"/>
      <c r="G664" s="738"/>
      <c r="H664" s="738"/>
      <c r="I664" s="738"/>
      <c r="J664" s="738"/>
      <c r="K664" s="738"/>
      <c r="L664" s="738"/>
      <c r="M664" s="738"/>
      <c r="N664" s="738"/>
      <c r="O664" s="738"/>
      <c r="P664" s="738"/>
      <c r="Q664" s="738"/>
      <c r="R664" s="738"/>
      <c r="S664" s="738"/>
      <c r="T664" s="738"/>
      <c r="U664" s="738"/>
      <c r="V664" s="738"/>
      <c r="W664" s="738"/>
      <c r="X664" s="738"/>
      <c r="Y664" s="738"/>
      <c r="Z664" s="738"/>
    </row>
    <row r="665">
      <c r="A665" s="738"/>
      <c r="B665" s="738"/>
      <c r="C665" s="738"/>
      <c r="D665" s="738"/>
      <c r="E665" s="738"/>
      <c r="F665" s="738"/>
      <c r="G665" s="738"/>
      <c r="H665" s="738"/>
      <c r="I665" s="738"/>
      <c r="J665" s="738"/>
      <c r="K665" s="738"/>
      <c r="L665" s="738"/>
      <c r="M665" s="738"/>
      <c r="N665" s="738"/>
      <c r="O665" s="738"/>
      <c r="P665" s="738"/>
      <c r="Q665" s="738"/>
      <c r="R665" s="738"/>
      <c r="S665" s="738"/>
      <c r="T665" s="738"/>
      <c r="U665" s="738"/>
      <c r="V665" s="738"/>
      <c r="W665" s="738"/>
      <c r="X665" s="738"/>
      <c r="Y665" s="738"/>
      <c r="Z665" s="738"/>
    </row>
    <row r="666">
      <c r="A666" s="738"/>
      <c r="B666" s="738"/>
      <c r="C666" s="738"/>
      <c r="D666" s="738"/>
      <c r="E666" s="738"/>
      <c r="F666" s="738"/>
      <c r="G666" s="738"/>
      <c r="H666" s="738"/>
      <c r="I666" s="738"/>
      <c r="J666" s="738"/>
      <c r="K666" s="738"/>
      <c r="L666" s="738"/>
      <c r="M666" s="738"/>
      <c r="N666" s="738"/>
      <c r="O666" s="738"/>
      <c r="P666" s="738"/>
      <c r="Q666" s="738"/>
      <c r="R666" s="738"/>
      <c r="S666" s="738"/>
      <c r="T666" s="738"/>
      <c r="U666" s="738"/>
      <c r="V666" s="738"/>
      <c r="W666" s="738"/>
      <c r="X666" s="738"/>
      <c r="Y666" s="738"/>
      <c r="Z666" s="738"/>
    </row>
    <row r="667">
      <c r="A667" s="738"/>
      <c r="B667" s="738"/>
      <c r="C667" s="738"/>
      <c r="D667" s="738"/>
      <c r="E667" s="738"/>
      <c r="F667" s="738"/>
      <c r="G667" s="738"/>
      <c r="H667" s="738"/>
      <c r="I667" s="738"/>
      <c r="J667" s="738"/>
      <c r="K667" s="738"/>
      <c r="L667" s="738"/>
      <c r="M667" s="738"/>
      <c r="N667" s="738"/>
      <c r="O667" s="738"/>
      <c r="P667" s="738"/>
      <c r="Q667" s="738"/>
      <c r="R667" s="738"/>
      <c r="S667" s="738"/>
      <c r="T667" s="738"/>
      <c r="U667" s="738"/>
      <c r="V667" s="738"/>
      <c r="W667" s="738"/>
      <c r="X667" s="738"/>
      <c r="Y667" s="738"/>
      <c r="Z667" s="738"/>
    </row>
    <row r="668">
      <c r="A668" s="738"/>
      <c r="B668" s="738"/>
      <c r="C668" s="738"/>
      <c r="D668" s="738"/>
      <c r="E668" s="738"/>
      <c r="F668" s="738"/>
      <c r="G668" s="738"/>
      <c r="H668" s="738"/>
      <c r="I668" s="738"/>
      <c r="J668" s="738"/>
      <c r="K668" s="738"/>
      <c r="L668" s="738"/>
      <c r="M668" s="738"/>
      <c r="N668" s="738"/>
      <c r="O668" s="738"/>
      <c r="P668" s="738"/>
      <c r="Q668" s="738"/>
      <c r="R668" s="738"/>
      <c r="S668" s="738"/>
      <c r="T668" s="738"/>
      <c r="U668" s="738"/>
      <c r="V668" s="738"/>
      <c r="W668" s="738"/>
      <c r="X668" s="738"/>
      <c r="Y668" s="738"/>
      <c r="Z668" s="738"/>
    </row>
    <row r="669">
      <c r="A669" s="738"/>
      <c r="B669" s="738"/>
      <c r="C669" s="738"/>
      <c r="D669" s="738"/>
      <c r="E669" s="738"/>
      <c r="F669" s="738"/>
      <c r="G669" s="738"/>
      <c r="H669" s="738"/>
      <c r="I669" s="738"/>
      <c r="J669" s="738"/>
      <c r="K669" s="738"/>
      <c r="L669" s="738"/>
      <c r="M669" s="738"/>
      <c r="N669" s="738"/>
      <c r="O669" s="738"/>
      <c r="P669" s="738"/>
      <c r="Q669" s="738"/>
      <c r="R669" s="738"/>
      <c r="S669" s="738"/>
      <c r="T669" s="738"/>
      <c r="U669" s="738"/>
      <c r="V669" s="738"/>
      <c r="W669" s="738"/>
      <c r="X669" s="738"/>
      <c r="Y669" s="738"/>
      <c r="Z669" s="738"/>
    </row>
    <row r="670">
      <c r="A670" s="738"/>
      <c r="B670" s="738"/>
      <c r="C670" s="738"/>
      <c r="D670" s="738"/>
      <c r="E670" s="738"/>
      <c r="F670" s="738"/>
      <c r="G670" s="738"/>
      <c r="H670" s="738"/>
      <c r="I670" s="738"/>
      <c r="J670" s="738"/>
      <c r="K670" s="738"/>
      <c r="L670" s="738"/>
      <c r="M670" s="738"/>
      <c r="N670" s="738"/>
      <c r="O670" s="738"/>
      <c r="P670" s="738"/>
      <c r="Q670" s="738"/>
      <c r="R670" s="738"/>
      <c r="S670" s="738"/>
      <c r="T670" s="738"/>
      <c r="U670" s="738"/>
      <c r="V670" s="738"/>
      <c r="W670" s="738"/>
      <c r="X670" s="738"/>
      <c r="Y670" s="738"/>
      <c r="Z670" s="738"/>
    </row>
    <row r="671">
      <c r="A671" s="738"/>
      <c r="B671" s="738"/>
      <c r="C671" s="738"/>
      <c r="D671" s="738"/>
      <c r="E671" s="738"/>
      <c r="F671" s="738"/>
      <c r="G671" s="738"/>
      <c r="H671" s="738"/>
      <c r="I671" s="738"/>
      <c r="J671" s="738"/>
      <c r="K671" s="738"/>
      <c r="L671" s="738"/>
      <c r="M671" s="738"/>
      <c r="N671" s="738"/>
      <c r="O671" s="738"/>
      <c r="P671" s="738"/>
      <c r="Q671" s="738"/>
      <c r="R671" s="738"/>
      <c r="S671" s="738"/>
      <c r="T671" s="738"/>
      <c r="U671" s="738"/>
      <c r="V671" s="738"/>
      <c r="W671" s="738"/>
      <c r="X671" s="738"/>
      <c r="Y671" s="738"/>
      <c r="Z671" s="738"/>
    </row>
    <row r="672">
      <c r="A672" s="738"/>
      <c r="B672" s="738"/>
      <c r="C672" s="738"/>
      <c r="D672" s="738"/>
      <c r="E672" s="738"/>
      <c r="F672" s="738"/>
      <c r="G672" s="738"/>
      <c r="H672" s="738"/>
      <c r="I672" s="738"/>
      <c r="J672" s="738"/>
      <c r="K672" s="738"/>
      <c r="L672" s="738"/>
      <c r="M672" s="738"/>
      <c r="N672" s="738"/>
      <c r="O672" s="738"/>
      <c r="P672" s="738"/>
      <c r="Q672" s="738"/>
      <c r="R672" s="738"/>
      <c r="S672" s="738"/>
      <c r="T672" s="738"/>
      <c r="U672" s="738"/>
      <c r="V672" s="738"/>
      <c r="W672" s="738"/>
      <c r="X672" s="738"/>
      <c r="Y672" s="738"/>
      <c r="Z672" s="738"/>
    </row>
    <row r="673">
      <c r="A673" s="738"/>
      <c r="B673" s="738"/>
      <c r="C673" s="738"/>
      <c r="D673" s="738"/>
      <c r="E673" s="738"/>
      <c r="F673" s="738"/>
      <c r="G673" s="738"/>
      <c r="H673" s="738"/>
      <c r="I673" s="738"/>
      <c r="J673" s="738"/>
      <c r="K673" s="738"/>
      <c r="L673" s="738"/>
      <c r="M673" s="738"/>
      <c r="N673" s="738"/>
      <c r="O673" s="738"/>
      <c r="P673" s="738"/>
      <c r="Q673" s="738"/>
      <c r="R673" s="738"/>
      <c r="S673" s="738"/>
      <c r="T673" s="738"/>
      <c r="U673" s="738"/>
      <c r="V673" s="738"/>
      <c r="W673" s="738"/>
      <c r="X673" s="738"/>
      <c r="Y673" s="738"/>
      <c r="Z673" s="738"/>
    </row>
    <row r="674">
      <c r="A674" s="738"/>
      <c r="B674" s="738"/>
      <c r="C674" s="738"/>
      <c r="D674" s="738"/>
      <c r="E674" s="738"/>
      <c r="F674" s="738"/>
      <c r="G674" s="738"/>
      <c r="H674" s="738"/>
      <c r="I674" s="738"/>
      <c r="J674" s="738"/>
      <c r="K674" s="738"/>
      <c r="L674" s="738"/>
      <c r="M674" s="738"/>
      <c r="N674" s="738"/>
      <c r="O674" s="738"/>
      <c r="P674" s="738"/>
      <c r="Q674" s="738"/>
      <c r="R674" s="738"/>
      <c r="S674" s="738"/>
      <c r="T674" s="738"/>
      <c r="U674" s="738"/>
      <c r="V674" s="738"/>
      <c r="W674" s="738"/>
      <c r="X674" s="738"/>
      <c r="Y674" s="738"/>
      <c r="Z674" s="738"/>
    </row>
    <row r="675">
      <c r="A675" s="738"/>
      <c r="B675" s="738"/>
      <c r="C675" s="738"/>
      <c r="D675" s="738"/>
      <c r="E675" s="738"/>
      <c r="F675" s="738"/>
      <c r="G675" s="738"/>
      <c r="H675" s="738"/>
      <c r="I675" s="738"/>
      <c r="J675" s="738"/>
      <c r="K675" s="738"/>
      <c r="L675" s="738"/>
      <c r="M675" s="738"/>
      <c r="N675" s="738"/>
      <c r="O675" s="738"/>
      <c r="P675" s="738"/>
      <c r="Q675" s="738"/>
      <c r="R675" s="738"/>
      <c r="S675" s="738"/>
      <c r="T675" s="738"/>
      <c r="U675" s="738"/>
      <c r="V675" s="738"/>
      <c r="W675" s="738"/>
      <c r="X675" s="738"/>
      <c r="Y675" s="738"/>
      <c r="Z675" s="738"/>
    </row>
    <row r="676">
      <c r="A676" s="738"/>
      <c r="B676" s="738"/>
      <c r="C676" s="738"/>
      <c r="D676" s="738"/>
      <c r="E676" s="738"/>
      <c r="F676" s="738"/>
      <c r="G676" s="738"/>
      <c r="H676" s="738"/>
      <c r="I676" s="738"/>
      <c r="J676" s="738"/>
      <c r="K676" s="738"/>
      <c r="L676" s="738"/>
      <c r="M676" s="738"/>
      <c r="N676" s="738"/>
      <c r="O676" s="738"/>
      <c r="P676" s="738"/>
      <c r="Q676" s="738"/>
      <c r="R676" s="738"/>
      <c r="S676" s="738"/>
      <c r="T676" s="738"/>
      <c r="U676" s="738"/>
      <c r="V676" s="738"/>
      <c r="W676" s="738"/>
      <c r="X676" s="738"/>
      <c r="Y676" s="738"/>
      <c r="Z676" s="738"/>
    </row>
    <row r="677">
      <c r="A677" s="738"/>
      <c r="B677" s="738"/>
      <c r="C677" s="738"/>
      <c r="D677" s="738"/>
      <c r="E677" s="738"/>
      <c r="F677" s="738"/>
      <c r="G677" s="738"/>
      <c r="H677" s="738"/>
      <c r="I677" s="738"/>
      <c r="J677" s="738"/>
      <c r="K677" s="738"/>
      <c r="L677" s="738"/>
      <c r="M677" s="738"/>
      <c r="N677" s="738"/>
      <c r="O677" s="738"/>
      <c r="P677" s="738"/>
      <c r="Q677" s="738"/>
      <c r="R677" s="738"/>
      <c r="S677" s="738"/>
      <c r="T677" s="738"/>
      <c r="U677" s="738"/>
      <c r="V677" s="738"/>
      <c r="W677" s="738"/>
      <c r="X677" s="738"/>
      <c r="Y677" s="738"/>
      <c r="Z677" s="738"/>
    </row>
    <row r="678">
      <c r="A678" s="738"/>
      <c r="B678" s="738"/>
      <c r="C678" s="738"/>
      <c r="D678" s="738"/>
      <c r="E678" s="738"/>
      <c r="F678" s="738"/>
      <c r="G678" s="738"/>
      <c r="H678" s="738"/>
      <c r="I678" s="738"/>
      <c r="J678" s="738"/>
      <c r="K678" s="738"/>
      <c r="L678" s="738"/>
      <c r="M678" s="738"/>
      <c r="N678" s="738"/>
      <c r="O678" s="738"/>
      <c r="P678" s="738"/>
      <c r="Q678" s="738"/>
      <c r="R678" s="738"/>
      <c r="S678" s="738"/>
      <c r="T678" s="738"/>
      <c r="U678" s="738"/>
      <c r="V678" s="738"/>
      <c r="W678" s="738"/>
      <c r="X678" s="738"/>
      <c r="Y678" s="738"/>
      <c r="Z678" s="738"/>
    </row>
    <row r="679">
      <c r="A679" s="738"/>
      <c r="B679" s="738"/>
      <c r="C679" s="738"/>
      <c r="D679" s="738"/>
      <c r="E679" s="738"/>
      <c r="F679" s="738"/>
      <c r="G679" s="738"/>
      <c r="H679" s="738"/>
      <c r="I679" s="738"/>
      <c r="J679" s="738"/>
      <c r="K679" s="738"/>
      <c r="L679" s="738"/>
      <c r="M679" s="738"/>
      <c r="N679" s="738"/>
      <c r="O679" s="738"/>
      <c r="P679" s="738"/>
      <c r="Q679" s="738"/>
      <c r="R679" s="738"/>
      <c r="S679" s="738"/>
      <c r="T679" s="738"/>
      <c r="U679" s="738"/>
      <c r="V679" s="738"/>
      <c r="W679" s="738"/>
      <c r="X679" s="738"/>
      <c r="Y679" s="738"/>
      <c r="Z679" s="738"/>
    </row>
    <row r="680">
      <c r="A680" s="738"/>
      <c r="B680" s="738"/>
      <c r="C680" s="738"/>
      <c r="D680" s="738"/>
      <c r="E680" s="738"/>
      <c r="F680" s="738"/>
      <c r="G680" s="738"/>
      <c r="H680" s="738"/>
      <c r="I680" s="738"/>
      <c r="J680" s="738"/>
      <c r="K680" s="738"/>
      <c r="L680" s="738"/>
      <c r="M680" s="738"/>
      <c r="N680" s="738"/>
      <c r="O680" s="738"/>
      <c r="P680" s="738"/>
      <c r="Q680" s="738"/>
      <c r="R680" s="738"/>
      <c r="S680" s="738"/>
      <c r="T680" s="738"/>
      <c r="U680" s="738"/>
      <c r="V680" s="738"/>
      <c r="W680" s="738"/>
      <c r="X680" s="738"/>
      <c r="Y680" s="738"/>
      <c r="Z680" s="738"/>
    </row>
    <row r="681">
      <c r="A681" s="738"/>
      <c r="B681" s="738"/>
      <c r="C681" s="738"/>
      <c r="D681" s="738"/>
      <c r="E681" s="738"/>
      <c r="F681" s="738"/>
      <c r="G681" s="738"/>
      <c r="H681" s="738"/>
      <c r="I681" s="738"/>
      <c r="J681" s="738"/>
      <c r="K681" s="738"/>
      <c r="L681" s="738"/>
      <c r="M681" s="738"/>
      <c r="N681" s="738"/>
      <c r="O681" s="738"/>
      <c r="P681" s="738"/>
      <c r="Q681" s="738"/>
      <c r="R681" s="738"/>
      <c r="S681" s="738"/>
      <c r="T681" s="738"/>
      <c r="U681" s="738"/>
      <c r="V681" s="738"/>
      <c r="W681" s="738"/>
      <c r="X681" s="738"/>
      <c r="Y681" s="738"/>
      <c r="Z681" s="738"/>
    </row>
    <row r="682">
      <c r="A682" s="738"/>
      <c r="B682" s="738"/>
      <c r="C682" s="738"/>
      <c r="D682" s="738"/>
      <c r="E682" s="738"/>
      <c r="F682" s="738"/>
      <c r="G682" s="738"/>
      <c r="H682" s="738"/>
      <c r="I682" s="738"/>
      <c r="J682" s="738"/>
      <c r="K682" s="738"/>
      <c r="L682" s="738"/>
      <c r="M682" s="738"/>
      <c r="N682" s="738"/>
      <c r="O682" s="738"/>
      <c r="P682" s="738"/>
      <c r="Q682" s="738"/>
      <c r="R682" s="738"/>
      <c r="S682" s="738"/>
      <c r="T682" s="738"/>
      <c r="U682" s="738"/>
      <c r="V682" s="738"/>
      <c r="W682" s="738"/>
      <c r="X682" s="738"/>
      <c r="Y682" s="738"/>
      <c r="Z682" s="738"/>
    </row>
    <row r="683">
      <c r="A683" s="738"/>
      <c r="B683" s="738"/>
      <c r="C683" s="738"/>
      <c r="D683" s="738"/>
      <c r="E683" s="738"/>
      <c r="F683" s="738"/>
      <c r="G683" s="738"/>
      <c r="H683" s="738"/>
      <c r="I683" s="738"/>
      <c r="J683" s="738"/>
      <c r="K683" s="738"/>
      <c r="L683" s="738"/>
      <c r="M683" s="738"/>
      <c r="N683" s="738"/>
      <c r="O683" s="738"/>
      <c r="P683" s="738"/>
      <c r="Q683" s="738"/>
      <c r="R683" s="738"/>
      <c r="S683" s="738"/>
      <c r="T683" s="738"/>
      <c r="U683" s="738"/>
      <c r="V683" s="738"/>
      <c r="W683" s="738"/>
      <c r="X683" s="738"/>
      <c r="Y683" s="738"/>
      <c r="Z683" s="738"/>
    </row>
    <row r="684">
      <c r="A684" s="738"/>
      <c r="B684" s="738"/>
      <c r="C684" s="738"/>
      <c r="D684" s="738"/>
      <c r="E684" s="738"/>
      <c r="F684" s="738"/>
      <c r="G684" s="738"/>
      <c r="H684" s="738"/>
      <c r="I684" s="738"/>
      <c r="J684" s="738"/>
      <c r="K684" s="738"/>
      <c r="L684" s="738"/>
      <c r="M684" s="738"/>
      <c r="N684" s="738"/>
      <c r="O684" s="738"/>
      <c r="P684" s="738"/>
      <c r="Q684" s="738"/>
      <c r="R684" s="738"/>
      <c r="S684" s="738"/>
      <c r="T684" s="738"/>
      <c r="U684" s="738"/>
      <c r="V684" s="738"/>
      <c r="W684" s="738"/>
      <c r="X684" s="738"/>
      <c r="Y684" s="738"/>
      <c r="Z684" s="738"/>
    </row>
    <row r="685">
      <c r="A685" s="738"/>
      <c r="B685" s="738"/>
      <c r="C685" s="738"/>
      <c r="D685" s="738"/>
      <c r="E685" s="738"/>
      <c r="F685" s="738"/>
      <c r="G685" s="738"/>
      <c r="H685" s="738"/>
      <c r="I685" s="738"/>
      <c r="J685" s="738"/>
      <c r="K685" s="738"/>
      <c r="L685" s="738"/>
      <c r="M685" s="738"/>
      <c r="N685" s="738"/>
      <c r="O685" s="738"/>
      <c r="P685" s="738"/>
      <c r="Q685" s="738"/>
      <c r="R685" s="738"/>
      <c r="S685" s="738"/>
      <c r="T685" s="738"/>
      <c r="U685" s="738"/>
      <c r="V685" s="738"/>
      <c r="W685" s="738"/>
      <c r="X685" s="738"/>
      <c r="Y685" s="738"/>
      <c r="Z685" s="738"/>
    </row>
    <row r="686">
      <c r="A686" s="738"/>
      <c r="B686" s="738"/>
      <c r="C686" s="738"/>
      <c r="D686" s="738"/>
      <c r="E686" s="738"/>
      <c r="F686" s="738"/>
      <c r="G686" s="738"/>
      <c r="H686" s="738"/>
      <c r="I686" s="738"/>
      <c r="J686" s="738"/>
      <c r="K686" s="738"/>
      <c r="L686" s="738"/>
      <c r="M686" s="738"/>
      <c r="N686" s="738"/>
      <c r="O686" s="738"/>
      <c r="P686" s="738"/>
      <c r="Q686" s="738"/>
      <c r="R686" s="738"/>
      <c r="S686" s="738"/>
      <c r="T686" s="738"/>
      <c r="U686" s="738"/>
      <c r="V686" s="738"/>
      <c r="W686" s="738"/>
      <c r="X686" s="738"/>
      <c r="Y686" s="738"/>
      <c r="Z686" s="738"/>
    </row>
    <row r="687">
      <c r="A687" s="738"/>
      <c r="B687" s="738"/>
      <c r="C687" s="738"/>
      <c r="D687" s="738"/>
      <c r="E687" s="738"/>
      <c r="F687" s="738"/>
      <c r="G687" s="738"/>
      <c r="H687" s="738"/>
      <c r="I687" s="738"/>
      <c r="J687" s="738"/>
      <c r="K687" s="738"/>
      <c r="L687" s="738"/>
      <c r="M687" s="738"/>
      <c r="N687" s="738"/>
      <c r="O687" s="738"/>
      <c r="P687" s="738"/>
      <c r="Q687" s="738"/>
      <c r="R687" s="738"/>
      <c r="S687" s="738"/>
      <c r="T687" s="738"/>
      <c r="U687" s="738"/>
      <c r="V687" s="738"/>
      <c r="W687" s="738"/>
      <c r="X687" s="738"/>
      <c r="Y687" s="738"/>
      <c r="Z687" s="738"/>
    </row>
    <row r="688">
      <c r="A688" s="738"/>
      <c r="B688" s="738"/>
      <c r="C688" s="738"/>
      <c r="D688" s="738"/>
      <c r="E688" s="738"/>
      <c r="F688" s="738"/>
      <c r="G688" s="738"/>
      <c r="H688" s="738"/>
      <c r="I688" s="738"/>
      <c r="J688" s="738"/>
      <c r="K688" s="738"/>
      <c r="L688" s="738"/>
      <c r="M688" s="738"/>
      <c r="N688" s="738"/>
      <c r="O688" s="738"/>
      <c r="P688" s="738"/>
      <c r="Q688" s="738"/>
      <c r="R688" s="738"/>
      <c r="S688" s="738"/>
      <c r="T688" s="738"/>
      <c r="U688" s="738"/>
      <c r="V688" s="738"/>
      <c r="W688" s="738"/>
      <c r="X688" s="738"/>
      <c r="Y688" s="738"/>
      <c r="Z688" s="738"/>
    </row>
    <row r="689">
      <c r="A689" s="738"/>
      <c r="B689" s="738"/>
      <c r="C689" s="738"/>
      <c r="D689" s="738"/>
      <c r="E689" s="738"/>
      <c r="F689" s="738"/>
      <c r="G689" s="738"/>
      <c r="H689" s="738"/>
      <c r="I689" s="738"/>
      <c r="J689" s="738"/>
      <c r="K689" s="738"/>
      <c r="L689" s="738"/>
      <c r="M689" s="738"/>
      <c r="N689" s="738"/>
      <c r="O689" s="738"/>
      <c r="P689" s="738"/>
      <c r="Q689" s="738"/>
      <c r="R689" s="738"/>
      <c r="S689" s="738"/>
      <c r="T689" s="738"/>
      <c r="U689" s="738"/>
      <c r="V689" s="738"/>
      <c r="W689" s="738"/>
      <c r="X689" s="738"/>
      <c r="Y689" s="738"/>
      <c r="Z689" s="738"/>
    </row>
    <row r="690">
      <c r="A690" s="738"/>
      <c r="B690" s="738"/>
      <c r="C690" s="738"/>
      <c r="D690" s="738"/>
      <c r="E690" s="738"/>
      <c r="F690" s="738"/>
      <c r="G690" s="738"/>
      <c r="H690" s="738"/>
      <c r="I690" s="738"/>
      <c r="J690" s="738"/>
      <c r="K690" s="738"/>
      <c r="L690" s="738"/>
      <c r="M690" s="738"/>
      <c r="N690" s="738"/>
      <c r="O690" s="738"/>
      <c r="P690" s="738"/>
      <c r="Q690" s="738"/>
      <c r="R690" s="738"/>
      <c r="S690" s="738"/>
      <c r="T690" s="738"/>
      <c r="U690" s="738"/>
      <c r="V690" s="738"/>
      <c r="W690" s="738"/>
      <c r="X690" s="738"/>
      <c r="Y690" s="738"/>
      <c r="Z690" s="738"/>
    </row>
    <row r="691">
      <c r="A691" s="738"/>
      <c r="B691" s="738"/>
      <c r="C691" s="738"/>
      <c r="D691" s="738"/>
      <c r="E691" s="738"/>
      <c r="F691" s="738"/>
      <c r="G691" s="738"/>
      <c r="H691" s="738"/>
      <c r="I691" s="738"/>
      <c r="J691" s="738"/>
      <c r="K691" s="738"/>
      <c r="L691" s="738"/>
      <c r="M691" s="738"/>
      <c r="N691" s="738"/>
      <c r="O691" s="738"/>
      <c r="P691" s="738"/>
      <c r="Q691" s="738"/>
      <c r="R691" s="738"/>
      <c r="S691" s="738"/>
      <c r="T691" s="738"/>
      <c r="U691" s="738"/>
      <c r="V691" s="738"/>
      <c r="W691" s="738"/>
      <c r="X691" s="738"/>
      <c r="Y691" s="738"/>
      <c r="Z691" s="738"/>
    </row>
    <row r="692">
      <c r="A692" s="738"/>
      <c r="B692" s="738"/>
      <c r="C692" s="738"/>
      <c r="D692" s="738"/>
      <c r="E692" s="738"/>
      <c r="F692" s="738"/>
      <c r="G692" s="738"/>
      <c r="H692" s="738"/>
      <c r="I692" s="738"/>
      <c r="J692" s="738"/>
      <c r="K692" s="738"/>
      <c r="L692" s="738"/>
      <c r="M692" s="738"/>
      <c r="N692" s="738"/>
      <c r="O692" s="738"/>
      <c r="P692" s="738"/>
      <c r="Q692" s="738"/>
      <c r="R692" s="738"/>
      <c r="S692" s="738"/>
      <c r="T692" s="738"/>
      <c r="U692" s="738"/>
      <c r="V692" s="738"/>
      <c r="W692" s="738"/>
      <c r="X692" s="738"/>
      <c r="Y692" s="738"/>
      <c r="Z692" s="738"/>
    </row>
    <row r="693">
      <c r="A693" s="738"/>
      <c r="B693" s="738"/>
      <c r="C693" s="738"/>
      <c r="D693" s="738"/>
      <c r="E693" s="738"/>
      <c r="F693" s="738"/>
      <c r="G693" s="738"/>
      <c r="H693" s="738"/>
      <c r="I693" s="738"/>
      <c r="J693" s="738"/>
      <c r="K693" s="738"/>
      <c r="L693" s="738"/>
      <c r="M693" s="738"/>
      <c r="N693" s="738"/>
      <c r="O693" s="738"/>
      <c r="P693" s="738"/>
      <c r="Q693" s="738"/>
      <c r="R693" s="738"/>
      <c r="S693" s="738"/>
      <c r="T693" s="738"/>
      <c r="U693" s="738"/>
      <c r="V693" s="738"/>
      <c r="W693" s="738"/>
      <c r="X693" s="738"/>
      <c r="Y693" s="738"/>
      <c r="Z693" s="738"/>
    </row>
    <row r="694">
      <c r="A694" s="738"/>
      <c r="B694" s="738"/>
      <c r="C694" s="738"/>
      <c r="D694" s="738"/>
      <c r="E694" s="738"/>
      <c r="F694" s="738"/>
      <c r="G694" s="738"/>
      <c r="H694" s="738"/>
      <c r="I694" s="738"/>
      <c r="J694" s="738"/>
      <c r="K694" s="738"/>
      <c r="L694" s="738"/>
      <c r="M694" s="738"/>
      <c r="N694" s="738"/>
      <c r="O694" s="738"/>
      <c r="P694" s="738"/>
      <c r="Q694" s="738"/>
      <c r="R694" s="738"/>
      <c r="S694" s="738"/>
      <c r="T694" s="738"/>
      <c r="U694" s="738"/>
      <c r="V694" s="738"/>
      <c r="W694" s="738"/>
      <c r="X694" s="738"/>
      <c r="Y694" s="738"/>
      <c r="Z694" s="738"/>
    </row>
    <row r="695">
      <c r="A695" s="738"/>
      <c r="B695" s="738"/>
      <c r="C695" s="738"/>
      <c r="D695" s="738"/>
      <c r="E695" s="738"/>
      <c r="F695" s="738"/>
      <c r="G695" s="738"/>
      <c r="H695" s="738"/>
      <c r="I695" s="738"/>
      <c r="J695" s="738"/>
      <c r="K695" s="738"/>
      <c r="L695" s="738"/>
      <c r="M695" s="738"/>
      <c r="N695" s="738"/>
      <c r="O695" s="738"/>
      <c r="P695" s="738"/>
      <c r="Q695" s="738"/>
      <c r="R695" s="738"/>
      <c r="S695" s="738"/>
      <c r="T695" s="738"/>
      <c r="U695" s="738"/>
      <c r="V695" s="738"/>
      <c r="W695" s="738"/>
      <c r="X695" s="738"/>
      <c r="Y695" s="738"/>
      <c r="Z695" s="738"/>
    </row>
    <row r="696">
      <c r="A696" s="738"/>
      <c r="B696" s="738"/>
      <c r="C696" s="738"/>
      <c r="D696" s="738"/>
      <c r="E696" s="738"/>
      <c r="F696" s="738"/>
      <c r="G696" s="738"/>
      <c r="H696" s="738"/>
      <c r="I696" s="738"/>
      <c r="J696" s="738"/>
      <c r="K696" s="738"/>
      <c r="L696" s="738"/>
      <c r="M696" s="738"/>
      <c r="N696" s="738"/>
      <c r="O696" s="738"/>
      <c r="P696" s="738"/>
      <c r="Q696" s="738"/>
      <c r="R696" s="738"/>
      <c r="S696" s="738"/>
      <c r="T696" s="738"/>
      <c r="U696" s="738"/>
      <c r="V696" s="738"/>
      <c r="W696" s="738"/>
      <c r="X696" s="738"/>
      <c r="Y696" s="738"/>
      <c r="Z696" s="738"/>
    </row>
    <row r="697">
      <c r="A697" s="738"/>
      <c r="B697" s="738"/>
      <c r="C697" s="738"/>
      <c r="D697" s="738"/>
      <c r="E697" s="738"/>
      <c r="F697" s="738"/>
      <c r="G697" s="738"/>
      <c r="H697" s="738"/>
      <c r="I697" s="738"/>
      <c r="J697" s="738"/>
      <c r="K697" s="738"/>
      <c r="L697" s="738"/>
      <c r="M697" s="738"/>
      <c r="N697" s="738"/>
      <c r="O697" s="738"/>
      <c r="P697" s="738"/>
      <c r="Q697" s="738"/>
      <c r="R697" s="738"/>
      <c r="S697" s="738"/>
      <c r="T697" s="738"/>
      <c r="U697" s="738"/>
      <c r="V697" s="738"/>
      <c r="W697" s="738"/>
      <c r="X697" s="738"/>
      <c r="Y697" s="738"/>
      <c r="Z697" s="738"/>
    </row>
    <row r="698">
      <c r="A698" s="738"/>
      <c r="B698" s="738"/>
      <c r="C698" s="738"/>
      <c r="D698" s="738"/>
      <c r="E698" s="738"/>
      <c r="F698" s="738"/>
      <c r="G698" s="738"/>
      <c r="H698" s="738"/>
      <c r="I698" s="738"/>
      <c r="J698" s="738"/>
      <c r="K698" s="738"/>
      <c r="L698" s="738"/>
      <c r="M698" s="738"/>
      <c r="N698" s="738"/>
      <c r="O698" s="738"/>
      <c r="P698" s="738"/>
      <c r="Q698" s="738"/>
      <c r="R698" s="738"/>
      <c r="S698" s="738"/>
      <c r="T698" s="738"/>
      <c r="U698" s="738"/>
      <c r="V698" s="738"/>
      <c r="W698" s="738"/>
      <c r="X698" s="738"/>
      <c r="Y698" s="738"/>
      <c r="Z698" s="738"/>
    </row>
    <row r="699">
      <c r="A699" s="738"/>
      <c r="B699" s="738"/>
      <c r="C699" s="738"/>
      <c r="D699" s="738"/>
      <c r="E699" s="738"/>
      <c r="F699" s="738"/>
      <c r="G699" s="738"/>
      <c r="H699" s="738"/>
      <c r="I699" s="738"/>
      <c r="J699" s="738"/>
      <c r="K699" s="738"/>
      <c r="L699" s="738"/>
      <c r="M699" s="738"/>
      <c r="N699" s="738"/>
      <c r="O699" s="738"/>
      <c r="P699" s="738"/>
      <c r="Q699" s="738"/>
      <c r="R699" s="738"/>
      <c r="S699" s="738"/>
      <c r="T699" s="738"/>
      <c r="U699" s="738"/>
      <c r="V699" s="738"/>
      <c r="W699" s="738"/>
      <c r="X699" s="738"/>
      <c r="Y699" s="738"/>
      <c r="Z699" s="738"/>
    </row>
    <row r="700">
      <c r="A700" s="738"/>
      <c r="B700" s="738"/>
      <c r="C700" s="738"/>
      <c r="D700" s="738"/>
      <c r="E700" s="738"/>
      <c r="F700" s="738"/>
      <c r="G700" s="738"/>
      <c r="H700" s="738"/>
      <c r="I700" s="738"/>
      <c r="J700" s="738"/>
      <c r="K700" s="738"/>
      <c r="L700" s="738"/>
      <c r="M700" s="738"/>
      <c r="N700" s="738"/>
      <c r="O700" s="738"/>
      <c r="P700" s="738"/>
      <c r="Q700" s="738"/>
      <c r="R700" s="738"/>
      <c r="S700" s="738"/>
      <c r="T700" s="738"/>
      <c r="U700" s="738"/>
      <c r="V700" s="738"/>
      <c r="W700" s="738"/>
      <c r="X700" s="738"/>
      <c r="Y700" s="738"/>
      <c r="Z700" s="738"/>
    </row>
    <row r="701">
      <c r="A701" s="738"/>
      <c r="B701" s="738"/>
      <c r="C701" s="738"/>
      <c r="D701" s="738"/>
      <c r="E701" s="738"/>
      <c r="F701" s="738"/>
      <c r="G701" s="738"/>
      <c r="H701" s="738"/>
      <c r="I701" s="738"/>
      <c r="J701" s="738"/>
      <c r="K701" s="738"/>
      <c r="L701" s="738"/>
      <c r="M701" s="738"/>
      <c r="N701" s="738"/>
      <c r="O701" s="738"/>
      <c r="P701" s="738"/>
      <c r="Q701" s="738"/>
      <c r="R701" s="738"/>
      <c r="S701" s="738"/>
      <c r="T701" s="738"/>
      <c r="U701" s="738"/>
      <c r="V701" s="738"/>
      <c r="W701" s="738"/>
      <c r="X701" s="738"/>
      <c r="Y701" s="738"/>
      <c r="Z701" s="738"/>
    </row>
    <row r="702">
      <c r="A702" s="738"/>
      <c r="B702" s="738"/>
      <c r="C702" s="738"/>
      <c r="D702" s="738"/>
      <c r="E702" s="738"/>
      <c r="F702" s="738"/>
      <c r="G702" s="738"/>
      <c r="H702" s="738"/>
      <c r="I702" s="738"/>
      <c r="J702" s="738"/>
      <c r="K702" s="738"/>
      <c r="L702" s="738"/>
      <c r="M702" s="738"/>
      <c r="N702" s="738"/>
      <c r="O702" s="738"/>
      <c r="P702" s="738"/>
      <c r="Q702" s="738"/>
      <c r="R702" s="738"/>
      <c r="S702" s="738"/>
      <c r="T702" s="738"/>
      <c r="U702" s="738"/>
      <c r="V702" s="738"/>
      <c r="W702" s="738"/>
      <c r="X702" s="738"/>
      <c r="Y702" s="738"/>
      <c r="Z702" s="738"/>
    </row>
    <row r="703">
      <c r="A703" s="738"/>
      <c r="B703" s="738"/>
      <c r="C703" s="738"/>
      <c r="D703" s="738"/>
      <c r="E703" s="738"/>
      <c r="F703" s="738"/>
      <c r="G703" s="738"/>
      <c r="H703" s="738"/>
      <c r="I703" s="738"/>
      <c r="J703" s="738"/>
      <c r="K703" s="738"/>
      <c r="L703" s="738"/>
      <c r="M703" s="738"/>
      <c r="N703" s="738"/>
      <c r="O703" s="738"/>
      <c r="P703" s="738"/>
      <c r="Q703" s="738"/>
      <c r="R703" s="738"/>
      <c r="S703" s="738"/>
      <c r="T703" s="738"/>
      <c r="U703" s="738"/>
      <c r="V703" s="738"/>
      <c r="W703" s="738"/>
      <c r="X703" s="738"/>
      <c r="Y703" s="738"/>
      <c r="Z703" s="738"/>
    </row>
    <row r="704">
      <c r="A704" s="738"/>
      <c r="B704" s="738"/>
      <c r="C704" s="738"/>
      <c r="D704" s="738"/>
      <c r="E704" s="738"/>
      <c r="F704" s="738"/>
      <c r="G704" s="738"/>
      <c r="H704" s="738"/>
      <c r="I704" s="738"/>
      <c r="J704" s="738"/>
      <c r="K704" s="738"/>
      <c r="L704" s="738"/>
      <c r="M704" s="738"/>
      <c r="N704" s="738"/>
      <c r="O704" s="738"/>
      <c r="P704" s="738"/>
      <c r="Q704" s="738"/>
      <c r="R704" s="738"/>
      <c r="S704" s="738"/>
      <c r="T704" s="738"/>
      <c r="U704" s="738"/>
      <c r="V704" s="738"/>
      <c r="W704" s="738"/>
      <c r="X704" s="738"/>
      <c r="Y704" s="738"/>
      <c r="Z704" s="738"/>
    </row>
    <row r="705">
      <c r="A705" s="738"/>
      <c r="B705" s="738"/>
      <c r="C705" s="738"/>
      <c r="D705" s="738"/>
      <c r="E705" s="738"/>
      <c r="F705" s="738"/>
      <c r="G705" s="738"/>
      <c r="H705" s="738"/>
      <c r="I705" s="738"/>
      <c r="J705" s="738"/>
      <c r="K705" s="738"/>
      <c r="L705" s="738"/>
      <c r="M705" s="738"/>
      <c r="N705" s="738"/>
      <c r="O705" s="738"/>
      <c r="P705" s="738"/>
      <c r="Q705" s="738"/>
      <c r="R705" s="738"/>
      <c r="S705" s="738"/>
      <c r="T705" s="738"/>
      <c r="U705" s="738"/>
      <c r="V705" s="738"/>
      <c r="W705" s="738"/>
      <c r="X705" s="738"/>
      <c r="Y705" s="738"/>
      <c r="Z705" s="738"/>
    </row>
    <row r="706">
      <c r="A706" s="738"/>
      <c r="B706" s="738"/>
      <c r="C706" s="738"/>
      <c r="D706" s="738"/>
      <c r="E706" s="738"/>
      <c r="F706" s="738"/>
      <c r="G706" s="738"/>
      <c r="H706" s="738"/>
      <c r="I706" s="738"/>
      <c r="J706" s="738"/>
      <c r="K706" s="738"/>
      <c r="L706" s="738"/>
      <c r="M706" s="738"/>
      <c r="N706" s="738"/>
      <c r="O706" s="738"/>
      <c r="P706" s="738"/>
      <c r="Q706" s="738"/>
      <c r="R706" s="738"/>
      <c r="S706" s="738"/>
      <c r="T706" s="738"/>
      <c r="U706" s="738"/>
      <c r="V706" s="738"/>
      <c r="W706" s="738"/>
      <c r="X706" s="738"/>
      <c r="Y706" s="738"/>
      <c r="Z706" s="738"/>
    </row>
    <row r="707">
      <c r="A707" s="738"/>
      <c r="B707" s="738"/>
      <c r="C707" s="738"/>
      <c r="D707" s="738"/>
      <c r="E707" s="738"/>
      <c r="F707" s="738"/>
      <c r="G707" s="738"/>
      <c r="H707" s="738"/>
      <c r="I707" s="738"/>
      <c r="J707" s="738"/>
      <c r="K707" s="738"/>
      <c r="L707" s="738"/>
      <c r="M707" s="738"/>
      <c r="N707" s="738"/>
      <c r="O707" s="738"/>
      <c r="P707" s="738"/>
      <c r="Q707" s="738"/>
      <c r="R707" s="738"/>
      <c r="S707" s="738"/>
      <c r="T707" s="738"/>
      <c r="U707" s="738"/>
      <c r="V707" s="738"/>
      <c r="W707" s="738"/>
      <c r="X707" s="738"/>
      <c r="Y707" s="738"/>
      <c r="Z707" s="738"/>
    </row>
    <row r="708">
      <c r="A708" s="738"/>
      <c r="B708" s="738"/>
      <c r="C708" s="738"/>
      <c r="D708" s="738"/>
      <c r="E708" s="738"/>
      <c r="F708" s="738"/>
      <c r="G708" s="738"/>
      <c r="H708" s="738"/>
      <c r="I708" s="738"/>
      <c r="J708" s="738"/>
      <c r="K708" s="738"/>
      <c r="L708" s="738"/>
      <c r="M708" s="738"/>
      <c r="N708" s="738"/>
      <c r="O708" s="738"/>
      <c r="P708" s="738"/>
      <c r="Q708" s="738"/>
      <c r="R708" s="738"/>
      <c r="S708" s="738"/>
      <c r="T708" s="738"/>
      <c r="U708" s="738"/>
      <c r="V708" s="738"/>
      <c r="W708" s="738"/>
      <c r="X708" s="738"/>
      <c r="Y708" s="738"/>
      <c r="Z708" s="738"/>
    </row>
    <row r="709">
      <c r="A709" s="738"/>
      <c r="B709" s="738"/>
      <c r="C709" s="738"/>
      <c r="D709" s="738"/>
      <c r="E709" s="738"/>
      <c r="F709" s="738"/>
      <c r="G709" s="738"/>
      <c r="H709" s="738"/>
      <c r="I709" s="738"/>
      <c r="J709" s="738"/>
      <c r="K709" s="738"/>
      <c r="L709" s="738"/>
      <c r="M709" s="738"/>
      <c r="N709" s="738"/>
      <c r="O709" s="738"/>
      <c r="P709" s="738"/>
      <c r="Q709" s="738"/>
      <c r="R709" s="738"/>
      <c r="S709" s="738"/>
      <c r="T709" s="738"/>
      <c r="U709" s="738"/>
      <c r="V709" s="738"/>
      <c r="W709" s="738"/>
      <c r="X709" s="738"/>
      <c r="Y709" s="738"/>
      <c r="Z709" s="738"/>
    </row>
    <row r="710">
      <c r="A710" s="738"/>
      <c r="B710" s="738"/>
      <c r="C710" s="738"/>
      <c r="D710" s="738"/>
      <c r="E710" s="738"/>
      <c r="F710" s="738"/>
      <c r="G710" s="738"/>
      <c r="H710" s="738"/>
      <c r="I710" s="738"/>
      <c r="J710" s="738"/>
      <c r="K710" s="738"/>
      <c r="L710" s="738"/>
      <c r="M710" s="738"/>
      <c r="N710" s="738"/>
      <c r="O710" s="738"/>
      <c r="P710" s="738"/>
      <c r="Q710" s="738"/>
      <c r="R710" s="738"/>
      <c r="S710" s="738"/>
      <c r="T710" s="738"/>
      <c r="U710" s="738"/>
      <c r="V710" s="738"/>
      <c r="W710" s="738"/>
      <c r="X710" s="738"/>
      <c r="Y710" s="738"/>
      <c r="Z710" s="738"/>
    </row>
    <row r="711">
      <c r="A711" s="738"/>
      <c r="B711" s="738"/>
      <c r="C711" s="738"/>
      <c r="D711" s="738"/>
      <c r="E711" s="738"/>
      <c r="F711" s="738"/>
      <c r="G711" s="738"/>
      <c r="H711" s="738"/>
      <c r="I711" s="738"/>
      <c r="J711" s="738"/>
      <c r="K711" s="738"/>
      <c r="L711" s="738"/>
      <c r="M711" s="738"/>
      <c r="N711" s="738"/>
      <c r="O711" s="738"/>
      <c r="P711" s="738"/>
      <c r="Q711" s="738"/>
      <c r="R711" s="738"/>
      <c r="S711" s="738"/>
      <c r="T711" s="738"/>
      <c r="U711" s="738"/>
      <c r="V711" s="738"/>
      <c r="W711" s="738"/>
      <c r="X711" s="738"/>
      <c r="Y711" s="738"/>
      <c r="Z711" s="738"/>
    </row>
    <row r="712">
      <c r="A712" s="738"/>
      <c r="B712" s="738"/>
      <c r="C712" s="738"/>
      <c r="D712" s="738"/>
      <c r="E712" s="738"/>
      <c r="F712" s="738"/>
      <c r="G712" s="738"/>
      <c r="H712" s="738"/>
      <c r="I712" s="738"/>
      <c r="J712" s="738"/>
      <c r="K712" s="738"/>
      <c r="L712" s="738"/>
      <c r="M712" s="738"/>
      <c r="N712" s="738"/>
      <c r="O712" s="738"/>
      <c r="P712" s="738"/>
      <c r="Q712" s="738"/>
      <c r="R712" s="738"/>
      <c r="S712" s="738"/>
      <c r="T712" s="738"/>
      <c r="U712" s="738"/>
      <c r="V712" s="738"/>
      <c r="W712" s="738"/>
      <c r="X712" s="738"/>
      <c r="Y712" s="738"/>
      <c r="Z712" s="738"/>
    </row>
    <row r="713">
      <c r="A713" s="738"/>
      <c r="B713" s="738"/>
      <c r="C713" s="738"/>
      <c r="D713" s="738"/>
      <c r="E713" s="738"/>
      <c r="F713" s="738"/>
      <c r="G713" s="738"/>
      <c r="H713" s="738"/>
      <c r="I713" s="738"/>
      <c r="J713" s="738"/>
      <c r="K713" s="738"/>
      <c r="L713" s="738"/>
      <c r="M713" s="738"/>
      <c r="N713" s="738"/>
      <c r="O713" s="738"/>
      <c r="P713" s="738"/>
      <c r="Q713" s="738"/>
      <c r="R713" s="738"/>
      <c r="S713" s="738"/>
      <c r="T713" s="738"/>
      <c r="U713" s="738"/>
      <c r="V713" s="738"/>
      <c r="W713" s="738"/>
      <c r="X713" s="738"/>
      <c r="Y713" s="738"/>
      <c r="Z713" s="738"/>
    </row>
    <row r="714">
      <c r="A714" s="738"/>
      <c r="B714" s="738"/>
      <c r="C714" s="738"/>
      <c r="D714" s="738"/>
      <c r="E714" s="738"/>
      <c r="F714" s="738"/>
      <c r="G714" s="738"/>
      <c r="H714" s="738"/>
      <c r="I714" s="738"/>
      <c r="J714" s="738"/>
      <c r="K714" s="738"/>
      <c r="L714" s="738"/>
      <c r="M714" s="738"/>
      <c r="N714" s="738"/>
      <c r="O714" s="738"/>
      <c r="P714" s="738"/>
      <c r="Q714" s="738"/>
      <c r="R714" s="738"/>
      <c r="S714" s="738"/>
      <c r="T714" s="738"/>
      <c r="U714" s="738"/>
      <c r="V714" s="738"/>
      <c r="W714" s="738"/>
      <c r="X714" s="738"/>
      <c r="Y714" s="738"/>
      <c r="Z714" s="738"/>
    </row>
    <row r="715">
      <c r="A715" s="738"/>
      <c r="B715" s="738"/>
      <c r="C715" s="738"/>
      <c r="D715" s="738"/>
      <c r="E715" s="738"/>
      <c r="F715" s="738"/>
      <c r="G715" s="738"/>
      <c r="H715" s="738"/>
      <c r="I715" s="738"/>
      <c r="J715" s="738"/>
      <c r="K715" s="738"/>
      <c r="L715" s="738"/>
      <c r="M715" s="738"/>
      <c r="N715" s="738"/>
      <c r="O715" s="738"/>
      <c r="P715" s="738"/>
      <c r="Q715" s="738"/>
      <c r="R715" s="738"/>
      <c r="S715" s="738"/>
      <c r="T715" s="738"/>
      <c r="U715" s="738"/>
      <c r="V715" s="738"/>
      <c r="W715" s="738"/>
      <c r="X715" s="738"/>
      <c r="Y715" s="738"/>
      <c r="Z715" s="738"/>
    </row>
    <row r="716">
      <c r="A716" s="738"/>
      <c r="B716" s="738"/>
      <c r="C716" s="738"/>
      <c r="D716" s="738"/>
      <c r="E716" s="738"/>
      <c r="F716" s="738"/>
      <c r="G716" s="738"/>
      <c r="H716" s="738"/>
      <c r="I716" s="738"/>
      <c r="J716" s="738"/>
      <c r="K716" s="738"/>
      <c r="L716" s="738"/>
      <c r="M716" s="738"/>
      <c r="N716" s="738"/>
      <c r="O716" s="738"/>
      <c r="P716" s="738"/>
      <c r="Q716" s="738"/>
      <c r="R716" s="738"/>
      <c r="S716" s="738"/>
      <c r="T716" s="738"/>
      <c r="U716" s="738"/>
      <c r="V716" s="738"/>
      <c r="W716" s="738"/>
      <c r="X716" s="738"/>
      <c r="Y716" s="738"/>
      <c r="Z716" s="738"/>
    </row>
    <row r="717">
      <c r="A717" s="738"/>
      <c r="B717" s="738"/>
      <c r="C717" s="738"/>
      <c r="D717" s="738"/>
      <c r="E717" s="738"/>
      <c r="F717" s="738"/>
      <c r="G717" s="738"/>
      <c r="H717" s="738"/>
      <c r="I717" s="738"/>
      <c r="J717" s="738"/>
      <c r="K717" s="738"/>
      <c r="L717" s="738"/>
      <c r="M717" s="738"/>
      <c r="N717" s="738"/>
      <c r="O717" s="738"/>
      <c r="P717" s="738"/>
      <c r="Q717" s="738"/>
      <c r="R717" s="738"/>
      <c r="S717" s="738"/>
      <c r="T717" s="738"/>
      <c r="U717" s="738"/>
      <c r="V717" s="738"/>
      <c r="W717" s="738"/>
      <c r="X717" s="738"/>
      <c r="Y717" s="738"/>
      <c r="Z717" s="738"/>
    </row>
    <row r="718">
      <c r="A718" s="738"/>
      <c r="B718" s="738"/>
      <c r="C718" s="738"/>
      <c r="D718" s="738"/>
      <c r="E718" s="738"/>
      <c r="F718" s="738"/>
      <c r="G718" s="738"/>
      <c r="H718" s="738"/>
      <c r="I718" s="738"/>
      <c r="J718" s="738"/>
      <c r="K718" s="738"/>
      <c r="L718" s="738"/>
      <c r="M718" s="738"/>
      <c r="N718" s="738"/>
      <c r="O718" s="738"/>
      <c r="P718" s="738"/>
      <c r="Q718" s="738"/>
      <c r="R718" s="738"/>
      <c r="S718" s="738"/>
      <c r="T718" s="738"/>
      <c r="U718" s="738"/>
      <c r="V718" s="738"/>
      <c r="W718" s="738"/>
      <c r="X718" s="738"/>
      <c r="Y718" s="738"/>
      <c r="Z718" s="738"/>
    </row>
    <row r="719">
      <c r="A719" s="738"/>
      <c r="B719" s="738"/>
      <c r="C719" s="738"/>
      <c r="D719" s="738"/>
      <c r="E719" s="738"/>
      <c r="F719" s="738"/>
      <c r="G719" s="738"/>
      <c r="H719" s="738"/>
      <c r="I719" s="738"/>
      <c r="J719" s="738"/>
      <c r="K719" s="738"/>
      <c r="L719" s="738"/>
      <c r="M719" s="738"/>
      <c r="N719" s="738"/>
      <c r="O719" s="738"/>
      <c r="P719" s="738"/>
      <c r="Q719" s="738"/>
      <c r="R719" s="738"/>
      <c r="S719" s="738"/>
      <c r="T719" s="738"/>
      <c r="U719" s="738"/>
      <c r="V719" s="738"/>
      <c r="W719" s="738"/>
      <c r="X719" s="738"/>
      <c r="Y719" s="738"/>
      <c r="Z719" s="738"/>
    </row>
    <row r="720">
      <c r="A720" s="738"/>
      <c r="B720" s="738"/>
      <c r="C720" s="738"/>
      <c r="D720" s="738"/>
      <c r="E720" s="738"/>
      <c r="F720" s="738"/>
      <c r="G720" s="738"/>
      <c r="H720" s="738"/>
      <c r="I720" s="738"/>
      <c r="J720" s="738"/>
      <c r="K720" s="738"/>
      <c r="L720" s="738"/>
      <c r="M720" s="738"/>
      <c r="N720" s="738"/>
      <c r="O720" s="738"/>
      <c r="P720" s="738"/>
      <c r="Q720" s="738"/>
      <c r="R720" s="738"/>
      <c r="S720" s="738"/>
      <c r="T720" s="738"/>
      <c r="U720" s="738"/>
      <c r="V720" s="738"/>
      <c r="W720" s="738"/>
      <c r="X720" s="738"/>
      <c r="Y720" s="738"/>
      <c r="Z720" s="738"/>
    </row>
    <row r="721">
      <c r="A721" s="738"/>
      <c r="B721" s="738"/>
      <c r="C721" s="738"/>
      <c r="D721" s="738"/>
      <c r="E721" s="738"/>
      <c r="F721" s="738"/>
      <c r="G721" s="738"/>
      <c r="H721" s="738"/>
      <c r="I721" s="738"/>
      <c r="J721" s="738"/>
      <c r="K721" s="738"/>
      <c r="L721" s="738"/>
      <c r="M721" s="738"/>
      <c r="N721" s="738"/>
      <c r="O721" s="738"/>
      <c r="P721" s="738"/>
      <c r="Q721" s="738"/>
      <c r="R721" s="738"/>
      <c r="S721" s="738"/>
      <c r="T721" s="738"/>
      <c r="U721" s="738"/>
      <c r="V721" s="738"/>
      <c r="W721" s="738"/>
      <c r="X721" s="738"/>
      <c r="Y721" s="738"/>
      <c r="Z721" s="738"/>
    </row>
    <row r="722">
      <c r="A722" s="738"/>
      <c r="B722" s="738"/>
      <c r="C722" s="738"/>
      <c r="D722" s="738"/>
      <c r="E722" s="738"/>
      <c r="F722" s="738"/>
      <c r="G722" s="738"/>
      <c r="H722" s="738"/>
      <c r="I722" s="738"/>
      <c r="J722" s="738"/>
      <c r="K722" s="738"/>
      <c r="L722" s="738"/>
      <c r="M722" s="738"/>
      <c r="N722" s="738"/>
      <c r="O722" s="738"/>
      <c r="P722" s="738"/>
      <c r="Q722" s="738"/>
      <c r="R722" s="738"/>
      <c r="S722" s="738"/>
      <c r="T722" s="738"/>
      <c r="U722" s="738"/>
      <c r="V722" s="738"/>
      <c r="W722" s="738"/>
      <c r="X722" s="738"/>
      <c r="Y722" s="738"/>
      <c r="Z722" s="738"/>
    </row>
    <row r="723">
      <c r="A723" s="738"/>
      <c r="B723" s="738"/>
      <c r="C723" s="738"/>
      <c r="D723" s="738"/>
      <c r="E723" s="738"/>
      <c r="F723" s="738"/>
      <c r="G723" s="738"/>
      <c r="H723" s="738"/>
      <c r="I723" s="738"/>
      <c r="J723" s="738"/>
      <c r="K723" s="738"/>
      <c r="L723" s="738"/>
      <c r="M723" s="738"/>
      <c r="N723" s="738"/>
      <c r="O723" s="738"/>
      <c r="P723" s="738"/>
      <c r="Q723" s="738"/>
      <c r="R723" s="738"/>
      <c r="S723" s="738"/>
      <c r="T723" s="738"/>
      <c r="U723" s="738"/>
      <c r="V723" s="738"/>
      <c r="W723" s="738"/>
      <c r="X723" s="738"/>
      <c r="Y723" s="738"/>
      <c r="Z723" s="738"/>
    </row>
    <row r="724">
      <c r="A724" s="738"/>
      <c r="B724" s="738"/>
      <c r="C724" s="738"/>
      <c r="D724" s="738"/>
      <c r="E724" s="738"/>
      <c r="F724" s="738"/>
      <c r="G724" s="738"/>
      <c r="H724" s="738"/>
      <c r="I724" s="738"/>
      <c r="J724" s="738"/>
      <c r="K724" s="738"/>
      <c r="L724" s="738"/>
      <c r="M724" s="738"/>
      <c r="N724" s="738"/>
      <c r="O724" s="738"/>
      <c r="P724" s="738"/>
      <c r="Q724" s="738"/>
      <c r="R724" s="738"/>
      <c r="S724" s="738"/>
      <c r="T724" s="738"/>
      <c r="U724" s="738"/>
      <c r="V724" s="738"/>
      <c r="W724" s="738"/>
      <c r="X724" s="738"/>
      <c r="Y724" s="738"/>
      <c r="Z724" s="738"/>
    </row>
    <row r="725">
      <c r="A725" s="738"/>
      <c r="B725" s="738"/>
      <c r="C725" s="738"/>
      <c r="D725" s="738"/>
      <c r="E725" s="738"/>
      <c r="F725" s="738"/>
      <c r="G725" s="738"/>
      <c r="H725" s="738"/>
      <c r="I725" s="738"/>
      <c r="J725" s="738"/>
      <c r="K725" s="738"/>
      <c r="L725" s="738"/>
      <c r="M725" s="738"/>
      <c r="N725" s="738"/>
      <c r="O725" s="738"/>
      <c r="P725" s="738"/>
      <c r="Q725" s="738"/>
      <c r="R725" s="738"/>
      <c r="S725" s="738"/>
      <c r="T725" s="738"/>
      <c r="U725" s="738"/>
      <c r="V725" s="738"/>
      <c r="W725" s="738"/>
      <c r="X725" s="738"/>
      <c r="Y725" s="738"/>
      <c r="Z725" s="738"/>
    </row>
    <row r="726">
      <c r="A726" s="738"/>
      <c r="B726" s="738"/>
      <c r="C726" s="738"/>
      <c r="D726" s="738"/>
      <c r="E726" s="738"/>
      <c r="F726" s="738"/>
      <c r="G726" s="738"/>
      <c r="H726" s="738"/>
      <c r="I726" s="738"/>
      <c r="J726" s="738"/>
      <c r="K726" s="738"/>
      <c r="L726" s="738"/>
      <c r="M726" s="738"/>
      <c r="N726" s="738"/>
      <c r="O726" s="738"/>
      <c r="P726" s="738"/>
      <c r="Q726" s="738"/>
      <c r="R726" s="738"/>
      <c r="S726" s="738"/>
      <c r="T726" s="738"/>
      <c r="U726" s="738"/>
      <c r="V726" s="738"/>
      <c r="W726" s="738"/>
      <c r="X726" s="738"/>
      <c r="Y726" s="738"/>
      <c r="Z726" s="738"/>
    </row>
    <row r="727">
      <c r="A727" s="738"/>
      <c r="B727" s="738"/>
      <c r="C727" s="738"/>
      <c r="D727" s="738"/>
      <c r="E727" s="738"/>
      <c r="F727" s="738"/>
      <c r="G727" s="738"/>
      <c r="H727" s="738"/>
      <c r="I727" s="738"/>
      <c r="J727" s="738"/>
      <c r="K727" s="738"/>
      <c r="L727" s="738"/>
      <c r="M727" s="738"/>
      <c r="N727" s="738"/>
      <c r="O727" s="738"/>
      <c r="P727" s="738"/>
      <c r="Q727" s="738"/>
      <c r="R727" s="738"/>
      <c r="S727" s="738"/>
      <c r="T727" s="738"/>
      <c r="U727" s="738"/>
      <c r="V727" s="738"/>
      <c r="W727" s="738"/>
      <c r="X727" s="738"/>
      <c r="Y727" s="738"/>
      <c r="Z727" s="738"/>
    </row>
    <row r="728">
      <c r="A728" s="738"/>
      <c r="B728" s="738"/>
      <c r="C728" s="738"/>
      <c r="D728" s="738"/>
      <c r="E728" s="738"/>
      <c r="F728" s="738"/>
      <c r="G728" s="738"/>
      <c r="H728" s="738"/>
      <c r="I728" s="738"/>
      <c r="J728" s="738"/>
      <c r="K728" s="738"/>
      <c r="L728" s="738"/>
      <c r="M728" s="738"/>
      <c r="N728" s="738"/>
      <c r="O728" s="738"/>
      <c r="P728" s="738"/>
      <c r="Q728" s="738"/>
      <c r="R728" s="738"/>
      <c r="S728" s="738"/>
      <c r="T728" s="738"/>
      <c r="U728" s="738"/>
      <c r="V728" s="738"/>
      <c r="W728" s="738"/>
      <c r="X728" s="738"/>
      <c r="Y728" s="738"/>
      <c r="Z728" s="738"/>
    </row>
    <row r="729">
      <c r="A729" s="738"/>
      <c r="B729" s="738"/>
      <c r="C729" s="738"/>
      <c r="D729" s="738"/>
      <c r="E729" s="738"/>
      <c r="F729" s="738"/>
      <c r="G729" s="738"/>
      <c r="H729" s="738"/>
      <c r="I729" s="738"/>
      <c r="J729" s="738"/>
      <c r="K729" s="738"/>
      <c r="L729" s="738"/>
      <c r="M729" s="738"/>
      <c r="N729" s="738"/>
      <c r="O729" s="738"/>
      <c r="P729" s="738"/>
      <c r="Q729" s="738"/>
      <c r="R729" s="738"/>
      <c r="S729" s="738"/>
      <c r="T729" s="738"/>
      <c r="U729" s="738"/>
      <c r="V729" s="738"/>
      <c r="W729" s="738"/>
      <c r="X729" s="738"/>
      <c r="Y729" s="738"/>
      <c r="Z729" s="738"/>
    </row>
    <row r="730">
      <c r="A730" s="738"/>
      <c r="B730" s="738"/>
      <c r="C730" s="738"/>
      <c r="D730" s="738"/>
      <c r="E730" s="738"/>
      <c r="F730" s="738"/>
      <c r="G730" s="738"/>
      <c r="H730" s="738"/>
      <c r="I730" s="738"/>
      <c r="J730" s="738"/>
      <c r="K730" s="738"/>
      <c r="L730" s="738"/>
      <c r="M730" s="738"/>
      <c r="N730" s="738"/>
      <c r="O730" s="738"/>
      <c r="P730" s="738"/>
      <c r="Q730" s="738"/>
      <c r="R730" s="738"/>
      <c r="S730" s="738"/>
      <c r="T730" s="738"/>
      <c r="U730" s="738"/>
      <c r="V730" s="738"/>
      <c r="W730" s="738"/>
      <c r="X730" s="738"/>
      <c r="Y730" s="738"/>
      <c r="Z730" s="738"/>
    </row>
    <row r="731">
      <c r="A731" s="738"/>
      <c r="B731" s="738"/>
      <c r="C731" s="738"/>
      <c r="D731" s="738"/>
      <c r="E731" s="738"/>
      <c r="F731" s="738"/>
      <c r="G731" s="738"/>
      <c r="H731" s="738"/>
      <c r="I731" s="738"/>
      <c r="J731" s="738"/>
      <c r="K731" s="738"/>
      <c r="L731" s="738"/>
      <c r="M731" s="738"/>
      <c r="N731" s="738"/>
      <c r="O731" s="738"/>
      <c r="P731" s="738"/>
      <c r="Q731" s="738"/>
      <c r="R731" s="738"/>
      <c r="S731" s="738"/>
      <c r="T731" s="738"/>
      <c r="U731" s="738"/>
      <c r="V731" s="738"/>
      <c r="W731" s="738"/>
      <c r="X731" s="738"/>
      <c r="Y731" s="738"/>
      <c r="Z731" s="738"/>
    </row>
    <row r="732">
      <c r="A732" s="738"/>
      <c r="B732" s="738"/>
      <c r="C732" s="738"/>
      <c r="D732" s="738"/>
      <c r="E732" s="738"/>
      <c r="F732" s="738"/>
      <c r="G732" s="738"/>
      <c r="H732" s="738"/>
      <c r="I732" s="738"/>
      <c r="J732" s="738"/>
      <c r="K732" s="738"/>
      <c r="L732" s="738"/>
      <c r="M732" s="738"/>
      <c r="N732" s="738"/>
      <c r="O732" s="738"/>
      <c r="P732" s="738"/>
      <c r="Q732" s="738"/>
      <c r="R732" s="738"/>
      <c r="S732" s="738"/>
      <c r="T732" s="738"/>
      <c r="U732" s="738"/>
      <c r="V732" s="738"/>
      <c r="W732" s="738"/>
      <c r="X732" s="738"/>
      <c r="Y732" s="738"/>
      <c r="Z732" s="738"/>
    </row>
    <row r="733">
      <c r="A733" s="738"/>
      <c r="B733" s="738"/>
      <c r="C733" s="738"/>
      <c r="D733" s="738"/>
      <c r="E733" s="738"/>
      <c r="F733" s="738"/>
      <c r="G733" s="738"/>
      <c r="H733" s="738"/>
      <c r="I733" s="738"/>
      <c r="J733" s="738"/>
      <c r="K733" s="738"/>
      <c r="L733" s="738"/>
      <c r="M733" s="738"/>
      <c r="N733" s="738"/>
      <c r="O733" s="738"/>
      <c r="P733" s="738"/>
      <c r="Q733" s="738"/>
      <c r="R733" s="738"/>
      <c r="S733" s="738"/>
      <c r="T733" s="738"/>
      <c r="U733" s="738"/>
      <c r="V733" s="738"/>
      <c r="W733" s="738"/>
      <c r="X733" s="738"/>
      <c r="Y733" s="738"/>
      <c r="Z733" s="738"/>
    </row>
    <row r="734">
      <c r="A734" s="738"/>
      <c r="B734" s="738"/>
      <c r="C734" s="738"/>
      <c r="D734" s="738"/>
      <c r="E734" s="738"/>
      <c r="F734" s="738"/>
      <c r="G734" s="738"/>
      <c r="H734" s="738"/>
      <c r="I734" s="738"/>
      <c r="J734" s="738"/>
      <c r="K734" s="738"/>
      <c r="L734" s="738"/>
      <c r="M734" s="738"/>
      <c r="N734" s="738"/>
      <c r="O734" s="738"/>
      <c r="P734" s="738"/>
      <c r="Q734" s="738"/>
      <c r="R734" s="738"/>
      <c r="S734" s="738"/>
      <c r="T734" s="738"/>
      <c r="U734" s="738"/>
      <c r="V734" s="738"/>
      <c r="W734" s="738"/>
      <c r="X734" s="738"/>
      <c r="Y734" s="738"/>
      <c r="Z734" s="738"/>
    </row>
    <row r="735">
      <c r="A735" s="738"/>
      <c r="B735" s="738"/>
      <c r="C735" s="738"/>
      <c r="D735" s="738"/>
      <c r="E735" s="738"/>
      <c r="F735" s="738"/>
      <c r="G735" s="738"/>
      <c r="H735" s="738"/>
      <c r="I735" s="738"/>
      <c r="J735" s="738"/>
      <c r="K735" s="738"/>
      <c r="L735" s="738"/>
      <c r="M735" s="738"/>
      <c r="N735" s="738"/>
      <c r="O735" s="738"/>
      <c r="P735" s="738"/>
      <c r="Q735" s="738"/>
      <c r="R735" s="738"/>
      <c r="S735" s="738"/>
      <c r="T735" s="738"/>
      <c r="U735" s="738"/>
      <c r="V735" s="738"/>
      <c r="W735" s="738"/>
      <c r="X735" s="738"/>
      <c r="Y735" s="738"/>
      <c r="Z735" s="738"/>
    </row>
    <row r="736">
      <c r="A736" s="738"/>
      <c r="B736" s="738"/>
      <c r="C736" s="738"/>
      <c r="D736" s="738"/>
      <c r="E736" s="738"/>
      <c r="F736" s="738"/>
      <c r="G736" s="738"/>
      <c r="H736" s="738"/>
      <c r="I736" s="738"/>
      <c r="J736" s="738"/>
      <c r="K736" s="738"/>
      <c r="L736" s="738"/>
      <c r="M736" s="738"/>
      <c r="N736" s="738"/>
      <c r="O736" s="738"/>
      <c r="P736" s="738"/>
      <c r="Q736" s="738"/>
      <c r="R736" s="738"/>
      <c r="S736" s="738"/>
      <c r="T736" s="738"/>
      <c r="U736" s="738"/>
      <c r="V736" s="738"/>
      <c r="W736" s="738"/>
      <c r="X736" s="738"/>
      <c r="Y736" s="738"/>
      <c r="Z736" s="738"/>
    </row>
    <row r="737">
      <c r="A737" s="738"/>
      <c r="B737" s="738"/>
      <c r="C737" s="738"/>
      <c r="D737" s="738"/>
      <c r="E737" s="738"/>
      <c r="F737" s="738"/>
      <c r="G737" s="738"/>
      <c r="H737" s="738"/>
      <c r="I737" s="738"/>
      <c r="J737" s="738"/>
      <c r="K737" s="738"/>
      <c r="L737" s="738"/>
      <c r="M737" s="738"/>
      <c r="N737" s="738"/>
      <c r="O737" s="738"/>
      <c r="P737" s="738"/>
      <c r="Q737" s="738"/>
      <c r="R737" s="738"/>
      <c r="S737" s="738"/>
      <c r="T737" s="738"/>
      <c r="U737" s="738"/>
      <c r="V737" s="738"/>
      <c r="W737" s="738"/>
      <c r="X737" s="738"/>
      <c r="Y737" s="738"/>
      <c r="Z737" s="738"/>
    </row>
    <row r="738">
      <c r="A738" s="738"/>
      <c r="B738" s="738"/>
      <c r="C738" s="738"/>
      <c r="D738" s="738"/>
      <c r="E738" s="738"/>
      <c r="F738" s="738"/>
      <c r="G738" s="738"/>
      <c r="H738" s="738"/>
      <c r="I738" s="738"/>
      <c r="J738" s="738"/>
      <c r="K738" s="738"/>
      <c r="L738" s="738"/>
      <c r="M738" s="738"/>
      <c r="N738" s="738"/>
      <c r="O738" s="738"/>
      <c r="P738" s="738"/>
      <c r="Q738" s="738"/>
      <c r="R738" s="738"/>
      <c r="S738" s="738"/>
      <c r="T738" s="738"/>
      <c r="U738" s="738"/>
      <c r="V738" s="738"/>
      <c r="W738" s="738"/>
      <c r="X738" s="738"/>
      <c r="Y738" s="738"/>
      <c r="Z738" s="738"/>
    </row>
    <row r="739">
      <c r="A739" s="738"/>
      <c r="B739" s="738"/>
      <c r="C739" s="738"/>
      <c r="D739" s="738"/>
      <c r="E739" s="738"/>
      <c r="F739" s="738"/>
      <c r="G739" s="738"/>
      <c r="H739" s="738"/>
      <c r="I739" s="738"/>
      <c r="J739" s="738"/>
      <c r="K739" s="738"/>
      <c r="L739" s="738"/>
      <c r="M739" s="738"/>
      <c r="N739" s="738"/>
      <c r="O739" s="738"/>
      <c r="P739" s="738"/>
      <c r="Q739" s="738"/>
      <c r="R739" s="738"/>
      <c r="S739" s="738"/>
      <c r="T739" s="738"/>
      <c r="U739" s="738"/>
      <c r="V739" s="738"/>
      <c r="W739" s="738"/>
      <c r="X739" s="738"/>
      <c r="Y739" s="738"/>
      <c r="Z739" s="738"/>
    </row>
    <row r="740">
      <c r="A740" s="738"/>
      <c r="B740" s="738"/>
      <c r="C740" s="738"/>
      <c r="D740" s="738"/>
      <c r="E740" s="738"/>
      <c r="F740" s="738"/>
      <c r="G740" s="738"/>
      <c r="H740" s="738"/>
      <c r="I740" s="738"/>
      <c r="J740" s="738"/>
      <c r="K740" s="738"/>
      <c r="L740" s="738"/>
      <c r="M740" s="738"/>
      <c r="N740" s="738"/>
      <c r="O740" s="738"/>
      <c r="P740" s="738"/>
      <c r="Q740" s="738"/>
      <c r="R740" s="738"/>
      <c r="S740" s="738"/>
      <c r="T740" s="738"/>
      <c r="U740" s="738"/>
      <c r="V740" s="738"/>
      <c r="W740" s="738"/>
      <c r="X740" s="738"/>
      <c r="Y740" s="738"/>
      <c r="Z740" s="738"/>
    </row>
    <row r="741">
      <c r="A741" s="738"/>
      <c r="B741" s="738"/>
      <c r="C741" s="738"/>
      <c r="D741" s="738"/>
      <c r="E741" s="738"/>
      <c r="F741" s="738"/>
      <c r="G741" s="738"/>
      <c r="H741" s="738"/>
      <c r="I741" s="738"/>
      <c r="J741" s="738"/>
      <c r="K741" s="738"/>
      <c r="L741" s="738"/>
      <c r="M741" s="738"/>
      <c r="N741" s="738"/>
      <c r="O741" s="738"/>
      <c r="P741" s="738"/>
      <c r="Q741" s="738"/>
      <c r="R741" s="738"/>
      <c r="S741" s="738"/>
      <c r="T741" s="738"/>
      <c r="U741" s="738"/>
      <c r="V741" s="738"/>
      <c r="W741" s="738"/>
      <c r="X741" s="738"/>
      <c r="Y741" s="738"/>
      <c r="Z741" s="738"/>
    </row>
    <row r="742">
      <c r="A742" s="738"/>
      <c r="B742" s="738"/>
      <c r="C742" s="738"/>
      <c r="D742" s="738"/>
      <c r="E742" s="738"/>
      <c r="F742" s="738"/>
      <c r="G742" s="738"/>
      <c r="H742" s="738"/>
      <c r="I742" s="738"/>
      <c r="J742" s="738"/>
      <c r="K742" s="738"/>
      <c r="L742" s="738"/>
      <c r="M742" s="738"/>
      <c r="N742" s="738"/>
      <c r="O742" s="738"/>
      <c r="P742" s="738"/>
      <c r="Q742" s="738"/>
      <c r="R742" s="738"/>
      <c r="S742" s="738"/>
      <c r="T742" s="738"/>
      <c r="U742" s="738"/>
      <c r="V742" s="738"/>
      <c r="W742" s="738"/>
      <c r="X742" s="738"/>
      <c r="Y742" s="738"/>
      <c r="Z742" s="738"/>
    </row>
    <row r="743">
      <c r="A743" s="738"/>
      <c r="B743" s="738"/>
      <c r="C743" s="738"/>
      <c r="D743" s="738"/>
      <c r="E743" s="738"/>
      <c r="F743" s="738"/>
      <c r="G743" s="738"/>
      <c r="H743" s="738"/>
      <c r="I743" s="738"/>
      <c r="J743" s="738"/>
      <c r="K743" s="738"/>
      <c r="L743" s="738"/>
      <c r="M743" s="738"/>
      <c r="N743" s="738"/>
      <c r="O743" s="738"/>
      <c r="P743" s="738"/>
      <c r="Q743" s="738"/>
      <c r="R743" s="738"/>
      <c r="S743" s="738"/>
      <c r="T743" s="738"/>
      <c r="U743" s="738"/>
      <c r="V743" s="738"/>
      <c r="W743" s="738"/>
      <c r="X743" s="738"/>
      <c r="Y743" s="738"/>
      <c r="Z743" s="738"/>
    </row>
    <row r="744">
      <c r="A744" s="738"/>
      <c r="B744" s="738"/>
      <c r="C744" s="738"/>
      <c r="D744" s="738"/>
      <c r="E744" s="738"/>
      <c r="F744" s="738"/>
      <c r="G744" s="738"/>
      <c r="H744" s="738"/>
      <c r="I744" s="738"/>
      <c r="J744" s="738"/>
      <c r="K744" s="738"/>
      <c r="L744" s="738"/>
      <c r="M744" s="738"/>
      <c r="N744" s="738"/>
      <c r="O744" s="738"/>
      <c r="P744" s="738"/>
      <c r="Q744" s="738"/>
      <c r="R744" s="738"/>
      <c r="S744" s="738"/>
      <c r="T744" s="738"/>
      <c r="U744" s="738"/>
      <c r="V744" s="738"/>
      <c r="W744" s="738"/>
      <c r="X744" s="738"/>
      <c r="Y744" s="738"/>
      <c r="Z744" s="738"/>
    </row>
    <row r="745">
      <c r="A745" s="738"/>
      <c r="B745" s="738"/>
      <c r="C745" s="738"/>
      <c r="D745" s="738"/>
      <c r="E745" s="738"/>
      <c r="F745" s="738"/>
      <c r="G745" s="738"/>
      <c r="H745" s="738"/>
      <c r="I745" s="738"/>
      <c r="J745" s="738"/>
      <c r="K745" s="738"/>
      <c r="L745" s="738"/>
      <c r="M745" s="738"/>
      <c r="N745" s="738"/>
      <c r="O745" s="738"/>
      <c r="P745" s="738"/>
      <c r="Q745" s="738"/>
      <c r="R745" s="738"/>
      <c r="S745" s="738"/>
      <c r="T745" s="738"/>
      <c r="U745" s="738"/>
      <c r="V745" s="738"/>
      <c r="W745" s="738"/>
      <c r="X745" s="738"/>
      <c r="Y745" s="738"/>
      <c r="Z745" s="738"/>
    </row>
    <row r="746">
      <c r="A746" s="738"/>
      <c r="B746" s="738"/>
      <c r="C746" s="738"/>
      <c r="D746" s="738"/>
      <c r="E746" s="738"/>
      <c r="F746" s="738"/>
      <c r="G746" s="738"/>
      <c r="H746" s="738"/>
      <c r="I746" s="738"/>
      <c r="J746" s="738"/>
      <c r="K746" s="738"/>
      <c r="L746" s="738"/>
      <c r="M746" s="738"/>
      <c r="N746" s="738"/>
      <c r="O746" s="738"/>
      <c r="P746" s="738"/>
      <c r="Q746" s="738"/>
      <c r="R746" s="738"/>
      <c r="S746" s="738"/>
      <c r="T746" s="738"/>
      <c r="U746" s="738"/>
      <c r="V746" s="738"/>
      <c r="W746" s="738"/>
      <c r="X746" s="738"/>
      <c r="Y746" s="738"/>
      <c r="Z746" s="738"/>
    </row>
    <row r="747">
      <c r="A747" s="738"/>
      <c r="B747" s="738"/>
      <c r="C747" s="738"/>
      <c r="D747" s="738"/>
      <c r="E747" s="738"/>
      <c r="F747" s="738"/>
      <c r="G747" s="738"/>
      <c r="H747" s="738"/>
      <c r="I747" s="738"/>
      <c r="J747" s="738"/>
      <c r="K747" s="738"/>
      <c r="L747" s="738"/>
      <c r="M747" s="738"/>
      <c r="N747" s="738"/>
      <c r="O747" s="738"/>
      <c r="P747" s="738"/>
      <c r="Q747" s="738"/>
      <c r="R747" s="738"/>
      <c r="S747" s="738"/>
      <c r="T747" s="738"/>
      <c r="U747" s="738"/>
      <c r="V747" s="738"/>
      <c r="W747" s="738"/>
      <c r="X747" s="738"/>
      <c r="Y747" s="738"/>
      <c r="Z747" s="738"/>
    </row>
    <row r="748">
      <c r="A748" s="738"/>
      <c r="B748" s="738"/>
      <c r="C748" s="738"/>
      <c r="D748" s="738"/>
      <c r="E748" s="738"/>
      <c r="F748" s="738"/>
      <c r="G748" s="738"/>
      <c r="H748" s="738"/>
      <c r="I748" s="738"/>
      <c r="J748" s="738"/>
      <c r="K748" s="738"/>
      <c r="L748" s="738"/>
      <c r="M748" s="738"/>
      <c r="N748" s="738"/>
      <c r="O748" s="738"/>
      <c r="P748" s="738"/>
      <c r="Q748" s="738"/>
      <c r="R748" s="738"/>
      <c r="S748" s="738"/>
      <c r="T748" s="738"/>
      <c r="U748" s="738"/>
      <c r="V748" s="738"/>
      <c r="W748" s="738"/>
      <c r="X748" s="738"/>
      <c r="Y748" s="738"/>
      <c r="Z748" s="738"/>
    </row>
    <row r="749">
      <c r="A749" s="738"/>
      <c r="B749" s="738"/>
      <c r="C749" s="738"/>
      <c r="D749" s="738"/>
      <c r="E749" s="738"/>
      <c r="F749" s="738"/>
      <c r="G749" s="738"/>
      <c r="H749" s="738"/>
      <c r="I749" s="738"/>
      <c r="J749" s="738"/>
      <c r="K749" s="738"/>
      <c r="L749" s="738"/>
      <c r="M749" s="738"/>
      <c r="N749" s="738"/>
      <c r="O749" s="738"/>
      <c r="P749" s="738"/>
      <c r="Q749" s="738"/>
      <c r="R749" s="738"/>
      <c r="S749" s="738"/>
      <c r="T749" s="738"/>
      <c r="U749" s="738"/>
      <c r="V749" s="738"/>
      <c r="W749" s="738"/>
      <c r="X749" s="738"/>
      <c r="Y749" s="738"/>
      <c r="Z749" s="738"/>
    </row>
    <row r="750">
      <c r="A750" s="738"/>
      <c r="B750" s="738"/>
      <c r="C750" s="738"/>
      <c r="D750" s="738"/>
      <c r="E750" s="738"/>
      <c r="F750" s="738"/>
      <c r="G750" s="738"/>
      <c r="H750" s="738"/>
      <c r="I750" s="738"/>
      <c r="J750" s="738"/>
      <c r="K750" s="738"/>
      <c r="L750" s="738"/>
      <c r="M750" s="738"/>
      <c r="N750" s="738"/>
      <c r="O750" s="738"/>
      <c r="P750" s="738"/>
      <c r="Q750" s="738"/>
      <c r="R750" s="738"/>
      <c r="S750" s="738"/>
      <c r="T750" s="738"/>
      <c r="U750" s="738"/>
      <c r="V750" s="738"/>
      <c r="W750" s="738"/>
      <c r="X750" s="738"/>
      <c r="Y750" s="738"/>
      <c r="Z750" s="738"/>
    </row>
    <row r="751">
      <c r="A751" s="738"/>
      <c r="B751" s="738"/>
      <c r="C751" s="738"/>
      <c r="D751" s="738"/>
      <c r="E751" s="738"/>
      <c r="F751" s="738"/>
      <c r="G751" s="738"/>
      <c r="H751" s="738"/>
      <c r="I751" s="738"/>
      <c r="J751" s="738"/>
      <c r="K751" s="738"/>
      <c r="L751" s="738"/>
      <c r="M751" s="738"/>
      <c r="N751" s="738"/>
      <c r="O751" s="738"/>
      <c r="P751" s="738"/>
      <c r="Q751" s="738"/>
      <c r="R751" s="738"/>
      <c r="S751" s="738"/>
      <c r="T751" s="738"/>
      <c r="U751" s="738"/>
      <c r="V751" s="738"/>
      <c r="W751" s="738"/>
      <c r="X751" s="738"/>
      <c r="Y751" s="738"/>
      <c r="Z751" s="738"/>
    </row>
    <row r="752">
      <c r="A752" s="738"/>
      <c r="B752" s="738"/>
      <c r="C752" s="738"/>
      <c r="D752" s="738"/>
      <c r="E752" s="738"/>
      <c r="F752" s="738"/>
      <c r="G752" s="738"/>
      <c r="H752" s="738"/>
      <c r="I752" s="738"/>
      <c r="J752" s="738"/>
      <c r="K752" s="738"/>
      <c r="L752" s="738"/>
      <c r="M752" s="738"/>
      <c r="N752" s="738"/>
      <c r="O752" s="738"/>
      <c r="P752" s="738"/>
      <c r="Q752" s="738"/>
      <c r="R752" s="738"/>
      <c r="S752" s="738"/>
      <c r="T752" s="738"/>
      <c r="U752" s="738"/>
      <c r="V752" s="738"/>
      <c r="W752" s="738"/>
      <c r="X752" s="738"/>
      <c r="Y752" s="738"/>
      <c r="Z752" s="738"/>
    </row>
    <row r="753">
      <c r="A753" s="738"/>
      <c r="B753" s="738"/>
      <c r="C753" s="738"/>
      <c r="D753" s="738"/>
      <c r="E753" s="738"/>
      <c r="F753" s="738"/>
      <c r="G753" s="738"/>
      <c r="H753" s="738"/>
      <c r="I753" s="738"/>
      <c r="J753" s="738"/>
      <c r="K753" s="738"/>
      <c r="L753" s="738"/>
      <c r="M753" s="738"/>
      <c r="N753" s="738"/>
      <c r="O753" s="738"/>
      <c r="P753" s="738"/>
      <c r="Q753" s="738"/>
      <c r="R753" s="738"/>
      <c r="S753" s="738"/>
      <c r="T753" s="738"/>
      <c r="U753" s="738"/>
      <c r="V753" s="738"/>
      <c r="W753" s="738"/>
      <c r="X753" s="738"/>
      <c r="Y753" s="738"/>
      <c r="Z753" s="738"/>
    </row>
    <row r="754">
      <c r="A754" s="738"/>
      <c r="B754" s="738"/>
      <c r="C754" s="738"/>
      <c r="D754" s="738"/>
      <c r="E754" s="738"/>
      <c r="F754" s="738"/>
      <c r="G754" s="738"/>
      <c r="H754" s="738"/>
      <c r="I754" s="738"/>
      <c r="J754" s="738"/>
      <c r="K754" s="738"/>
      <c r="L754" s="738"/>
      <c r="M754" s="738"/>
      <c r="N754" s="738"/>
      <c r="O754" s="738"/>
      <c r="P754" s="738"/>
      <c r="Q754" s="738"/>
      <c r="R754" s="738"/>
      <c r="S754" s="738"/>
      <c r="T754" s="738"/>
      <c r="U754" s="738"/>
      <c r="V754" s="738"/>
      <c r="W754" s="738"/>
      <c r="X754" s="738"/>
      <c r="Y754" s="738"/>
      <c r="Z754" s="738"/>
    </row>
    <row r="755">
      <c r="A755" s="738"/>
      <c r="B755" s="738"/>
      <c r="C755" s="738"/>
      <c r="D755" s="738"/>
      <c r="E755" s="738"/>
      <c r="F755" s="738"/>
      <c r="G755" s="738"/>
      <c r="H755" s="738"/>
      <c r="I755" s="738"/>
      <c r="J755" s="738"/>
      <c r="K755" s="738"/>
      <c r="L755" s="738"/>
      <c r="M755" s="738"/>
      <c r="N755" s="738"/>
      <c r="O755" s="738"/>
      <c r="P755" s="738"/>
      <c r="Q755" s="738"/>
      <c r="R755" s="738"/>
      <c r="S755" s="738"/>
      <c r="T755" s="738"/>
      <c r="U755" s="738"/>
      <c r="V755" s="738"/>
      <c r="W755" s="738"/>
      <c r="X755" s="738"/>
      <c r="Y755" s="738"/>
      <c r="Z755" s="738"/>
    </row>
    <row r="756">
      <c r="A756" s="738"/>
      <c r="B756" s="738"/>
      <c r="C756" s="738"/>
      <c r="D756" s="738"/>
      <c r="E756" s="738"/>
      <c r="F756" s="738"/>
      <c r="G756" s="738"/>
      <c r="H756" s="738"/>
      <c r="I756" s="738"/>
      <c r="J756" s="738"/>
      <c r="K756" s="738"/>
      <c r="L756" s="738"/>
      <c r="M756" s="738"/>
      <c r="N756" s="738"/>
      <c r="O756" s="738"/>
      <c r="P756" s="738"/>
      <c r="Q756" s="738"/>
      <c r="R756" s="738"/>
      <c r="S756" s="738"/>
      <c r="T756" s="738"/>
      <c r="U756" s="738"/>
      <c r="V756" s="738"/>
      <c r="W756" s="738"/>
      <c r="X756" s="738"/>
      <c r="Y756" s="738"/>
      <c r="Z756" s="738"/>
    </row>
    <row r="757">
      <c r="A757" s="738"/>
      <c r="B757" s="738"/>
      <c r="C757" s="738"/>
      <c r="D757" s="738"/>
      <c r="E757" s="738"/>
      <c r="F757" s="738"/>
      <c r="G757" s="738"/>
      <c r="H757" s="738"/>
      <c r="I757" s="738"/>
      <c r="J757" s="738"/>
      <c r="K757" s="738"/>
      <c r="L757" s="738"/>
      <c r="M757" s="738"/>
      <c r="N757" s="738"/>
      <c r="O757" s="738"/>
      <c r="P757" s="738"/>
      <c r="Q757" s="738"/>
      <c r="R757" s="738"/>
      <c r="S757" s="738"/>
      <c r="T757" s="738"/>
      <c r="U757" s="738"/>
      <c r="V757" s="738"/>
      <c r="W757" s="738"/>
      <c r="X757" s="738"/>
      <c r="Y757" s="738"/>
      <c r="Z757" s="738"/>
    </row>
    <row r="758">
      <c r="A758" s="738"/>
      <c r="B758" s="738"/>
      <c r="C758" s="738"/>
      <c r="D758" s="738"/>
      <c r="E758" s="738"/>
      <c r="F758" s="738"/>
      <c r="G758" s="738"/>
      <c r="H758" s="738"/>
      <c r="I758" s="738"/>
      <c r="J758" s="738"/>
      <c r="K758" s="738"/>
      <c r="L758" s="738"/>
      <c r="M758" s="738"/>
      <c r="N758" s="738"/>
      <c r="O758" s="738"/>
      <c r="P758" s="738"/>
      <c r="Q758" s="738"/>
      <c r="R758" s="738"/>
      <c r="S758" s="738"/>
      <c r="T758" s="738"/>
      <c r="U758" s="738"/>
      <c r="V758" s="738"/>
      <c r="W758" s="738"/>
      <c r="X758" s="738"/>
      <c r="Y758" s="738"/>
      <c r="Z758" s="738"/>
    </row>
    <row r="759">
      <c r="A759" s="738"/>
      <c r="B759" s="738"/>
      <c r="C759" s="738"/>
      <c r="D759" s="738"/>
      <c r="E759" s="738"/>
      <c r="F759" s="738"/>
      <c r="G759" s="738"/>
      <c r="H759" s="738"/>
      <c r="I759" s="738"/>
      <c r="J759" s="738"/>
      <c r="K759" s="738"/>
      <c r="L759" s="738"/>
      <c r="M759" s="738"/>
      <c r="N759" s="738"/>
      <c r="O759" s="738"/>
      <c r="P759" s="738"/>
      <c r="Q759" s="738"/>
      <c r="R759" s="738"/>
      <c r="S759" s="738"/>
      <c r="T759" s="738"/>
      <c r="U759" s="738"/>
      <c r="V759" s="738"/>
      <c r="W759" s="738"/>
      <c r="X759" s="738"/>
      <c r="Y759" s="738"/>
      <c r="Z759" s="738"/>
    </row>
    <row r="760">
      <c r="A760" s="738"/>
      <c r="B760" s="738"/>
      <c r="C760" s="738"/>
      <c r="D760" s="738"/>
      <c r="E760" s="738"/>
      <c r="F760" s="738"/>
      <c r="G760" s="738"/>
      <c r="H760" s="738"/>
      <c r="I760" s="738"/>
      <c r="J760" s="738"/>
      <c r="K760" s="738"/>
      <c r="L760" s="738"/>
      <c r="M760" s="738"/>
      <c r="N760" s="738"/>
      <c r="O760" s="738"/>
      <c r="P760" s="738"/>
      <c r="Q760" s="738"/>
      <c r="R760" s="738"/>
      <c r="S760" s="738"/>
      <c r="T760" s="738"/>
      <c r="U760" s="738"/>
      <c r="V760" s="738"/>
      <c r="W760" s="738"/>
      <c r="X760" s="738"/>
      <c r="Y760" s="738"/>
      <c r="Z760" s="738"/>
    </row>
    <row r="761">
      <c r="A761" s="738"/>
      <c r="B761" s="738"/>
      <c r="C761" s="738"/>
      <c r="D761" s="738"/>
      <c r="E761" s="738"/>
      <c r="F761" s="738"/>
      <c r="G761" s="738"/>
      <c r="H761" s="738"/>
      <c r="I761" s="738"/>
      <c r="J761" s="738"/>
      <c r="K761" s="738"/>
      <c r="L761" s="738"/>
      <c r="M761" s="738"/>
      <c r="N761" s="738"/>
      <c r="O761" s="738"/>
      <c r="P761" s="738"/>
      <c r="Q761" s="738"/>
      <c r="R761" s="738"/>
      <c r="S761" s="738"/>
      <c r="T761" s="738"/>
      <c r="U761" s="738"/>
      <c r="V761" s="738"/>
      <c r="W761" s="738"/>
      <c r="X761" s="738"/>
      <c r="Y761" s="738"/>
      <c r="Z761" s="738"/>
    </row>
    <row r="762">
      <c r="A762" s="738"/>
      <c r="B762" s="738"/>
      <c r="C762" s="738"/>
      <c r="D762" s="738"/>
      <c r="E762" s="738"/>
      <c r="F762" s="738"/>
      <c r="G762" s="738"/>
      <c r="H762" s="738"/>
      <c r="I762" s="738"/>
      <c r="J762" s="738"/>
      <c r="K762" s="738"/>
      <c r="L762" s="738"/>
      <c r="M762" s="738"/>
      <c r="N762" s="738"/>
      <c r="O762" s="738"/>
      <c r="P762" s="738"/>
      <c r="Q762" s="738"/>
      <c r="R762" s="738"/>
      <c r="S762" s="738"/>
      <c r="T762" s="738"/>
      <c r="U762" s="738"/>
      <c r="V762" s="738"/>
      <c r="W762" s="738"/>
      <c r="X762" s="738"/>
      <c r="Y762" s="738"/>
      <c r="Z762" s="738"/>
    </row>
    <row r="763">
      <c r="A763" s="738"/>
      <c r="B763" s="738"/>
      <c r="C763" s="738"/>
      <c r="D763" s="738"/>
      <c r="E763" s="738"/>
      <c r="F763" s="738"/>
      <c r="G763" s="738"/>
      <c r="H763" s="738"/>
      <c r="I763" s="738"/>
      <c r="J763" s="738"/>
      <c r="K763" s="738"/>
      <c r="L763" s="738"/>
      <c r="M763" s="738"/>
      <c r="N763" s="738"/>
      <c r="O763" s="738"/>
      <c r="P763" s="738"/>
      <c r="Q763" s="738"/>
      <c r="R763" s="738"/>
      <c r="S763" s="738"/>
      <c r="T763" s="738"/>
      <c r="U763" s="738"/>
      <c r="V763" s="738"/>
      <c r="W763" s="738"/>
      <c r="X763" s="738"/>
      <c r="Y763" s="738"/>
      <c r="Z763" s="738"/>
    </row>
    <row r="764">
      <c r="A764" s="738"/>
      <c r="B764" s="738"/>
      <c r="C764" s="738"/>
      <c r="D764" s="738"/>
      <c r="E764" s="738"/>
      <c r="F764" s="738"/>
      <c r="G764" s="738"/>
      <c r="H764" s="738"/>
      <c r="I764" s="738"/>
      <c r="J764" s="738"/>
      <c r="K764" s="738"/>
      <c r="L764" s="738"/>
      <c r="M764" s="738"/>
      <c r="N764" s="738"/>
      <c r="O764" s="738"/>
      <c r="P764" s="738"/>
      <c r="Q764" s="738"/>
      <c r="R764" s="738"/>
      <c r="S764" s="738"/>
      <c r="T764" s="738"/>
      <c r="U764" s="738"/>
      <c r="V764" s="738"/>
      <c r="W764" s="738"/>
      <c r="X764" s="738"/>
      <c r="Y764" s="738"/>
      <c r="Z764" s="738"/>
    </row>
    <row r="765">
      <c r="A765" s="738"/>
      <c r="B765" s="738"/>
      <c r="C765" s="738"/>
      <c r="D765" s="738"/>
      <c r="E765" s="738"/>
      <c r="F765" s="738"/>
      <c r="G765" s="738"/>
      <c r="H765" s="738"/>
      <c r="I765" s="738"/>
      <c r="J765" s="738"/>
      <c r="K765" s="738"/>
      <c r="L765" s="738"/>
      <c r="M765" s="738"/>
      <c r="N765" s="738"/>
      <c r="O765" s="738"/>
      <c r="P765" s="738"/>
      <c r="Q765" s="738"/>
      <c r="R765" s="738"/>
      <c r="S765" s="738"/>
      <c r="T765" s="738"/>
      <c r="U765" s="738"/>
      <c r="V765" s="738"/>
      <c r="W765" s="738"/>
      <c r="X765" s="738"/>
      <c r="Y765" s="738"/>
      <c r="Z765" s="738"/>
    </row>
    <row r="766">
      <c r="A766" s="738"/>
      <c r="B766" s="738"/>
      <c r="C766" s="738"/>
      <c r="D766" s="738"/>
      <c r="E766" s="738"/>
      <c r="F766" s="738"/>
      <c r="G766" s="738"/>
      <c r="H766" s="738"/>
      <c r="I766" s="738"/>
      <c r="J766" s="738"/>
      <c r="K766" s="738"/>
      <c r="L766" s="738"/>
      <c r="M766" s="738"/>
      <c r="N766" s="738"/>
      <c r="O766" s="738"/>
      <c r="P766" s="738"/>
      <c r="Q766" s="738"/>
      <c r="R766" s="738"/>
      <c r="S766" s="738"/>
      <c r="T766" s="738"/>
      <c r="U766" s="738"/>
      <c r="V766" s="738"/>
      <c r="W766" s="738"/>
      <c r="X766" s="738"/>
      <c r="Y766" s="738"/>
      <c r="Z766" s="738"/>
    </row>
    <row r="767">
      <c r="A767" s="738"/>
      <c r="B767" s="738"/>
      <c r="C767" s="738"/>
      <c r="D767" s="738"/>
      <c r="E767" s="738"/>
      <c r="F767" s="738"/>
      <c r="G767" s="738"/>
      <c r="H767" s="738"/>
      <c r="I767" s="738"/>
      <c r="J767" s="738"/>
      <c r="K767" s="738"/>
      <c r="L767" s="738"/>
      <c r="M767" s="738"/>
      <c r="N767" s="738"/>
      <c r="O767" s="738"/>
      <c r="P767" s="738"/>
      <c r="Q767" s="738"/>
      <c r="R767" s="738"/>
      <c r="S767" s="738"/>
      <c r="T767" s="738"/>
      <c r="U767" s="738"/>
      <c r="V767" s="738"/>
      <c r="W767" s="738"/>
      <c r="X767" s="738"/>
      <c r="Y767" s="738"/>
      <c r="Z767" s="738"/>
    </row>
    <row r="768">
      <c r="A768" s="738"/>
      <c r="B768" s="738"/>
      <c r="C768" s="738"/>
      <c r="D768" s="738"/>
      <c r="E768" s="738"/>
      <c r="F768" s="738"/>
      <c r="G768" s="738"/>
      <c r="H768" s="738"/>
      <c r="I768" s="738"/>
      <c r="J768" s="738"/>
      <c r="K768" s="738"/>
      <c r="L768" s="738"/>
      <c r="M768" s="738"/>
      <c r="N768" s="738"/>
      <c r="O768" s="738"/>
      <c r="P768" s="738"/>
      <c r="Q768" s="738"/>
      <c r="R768" s="738"/>
      <c r="S768" s="738"/>
      <c r="T768" s="738"/>
      <c r="U768" s="738"/>
      <c r="V768" s="738"/>
      <c r="W768" s="738"/>
      <c r="X768" s="738"/>
      <c r="Y768" s="738"/>
      <c r="Z768" s="738"/>
    </row>
    <row r="769">
      <c r="A769" s="738"/>
      <c r="B769" s="738"/>
      <c r="C769" s="738"/>
      <c r="D769" s="738"/>
      <c r="E769" s="738"/>
      <c r="F769" s="738"/>
      <c r="G769" s="738"/>
      <c r="H769" s="738"/>
      <c r="I769" s="738"/>
      <c r="J769" s="738"/>
      <c r="K769" s="738"/>
      <c r="L769" s="738"/>
      <c r="M769" s="738"/>
      <c r="N769" s="738"/>
      <c r="O769" s="738"/>
      <c r="P769" s="738"/>
      <c r="Q769" s="738"/>
      <c r="R769" s="738"/>
      <c r="S769" s="738"/>
      <c r="T769" s="738"/>
      <c r="U769" s="738"/>
      <c r="V769" s="738"/>
      <c r="W769" s="738"/>
      <c r="X769" s="738"/>
      <c r="Y769" s="738"/>
      <c r="Z769" s="738"/>
    </row>
    <row r="770">
      <c r="A770" s="738"/>
      <c r="B770" s="738"/>
      <c r="C770" s="738"/>
      <c r="D770" s="738"/>
      <c r="E770" s="738"/>
      <c r="F770" s="738"/>
      <c r="G770" s="738"/>
      <c r="H770" s="738"/>
      <c r="I770" s="738"/>
      <c r="J770" s="738"/>
      <c r="K770" s="738"/>
      <c r="L770" s="738"/>
      <c r="M770" s="738"/>
      <c r="N770" s="738"/>
      <c r="O770" s="738"/>
      <c r="P770" s="738"/>
      <c r="Q770" s="738"/>
      <c r="R770" s="738"/>
      <c r="S770" s="738"/>
      <c r="T770" s="738"/>
      <c r="U770" s="738"/>
      <c r="V770" s="738"/>
      <c r="W770" s="738"/>
      <c r="X770" s="738"/>
      <c r="Y770" s="738"/>
      <c r="Z770" s="738"/>
    </row>
    <row r="771">
      <c r="A771" s="738"/>
      <c r="B771" s="738"/>
      <c r="C771" s="738"/>
      <c r="D771" s="738"/>
      <c r="E771" s="738"/>
      <c r="F771" s="738"/>
      <c r="G771" s="738"/>
      <c r="H771" s="738"/>
      <c r="I771" s="738"/>
      <c r="J771" s="738"/>
      <c r="K771" s="738"/>
      <c r="L771" s="738"/>
      <c r="M771" s="738"/>
      <c r="N771" s="738"/>
      <c r="O771" s="738"/>
      <c r="P771" s="738"/>
      <c r="Q771" s="738"/>
      <c r="R771" s="738"/>
      <c r="S771" s="738"/>
      <c r="T771" s="738"/>
      <c r="U771" s="738"/>
      <c r="V771" s="738"/>
      <c r="W771" s="738"/>
      <c r="X771" s="738"/>
      <c r="Y771" s="738"/>
      <c r="Z771" s="738"/>
    </row>
    <row r="772">
      <c r="A772" s="738"/>
      <c r="B772" s="738"/>
      <c r="C772" s="738"/>
      <c r="D772" s="738"/>
      <c r="E772" s="738"/>
      <c r="F772" s="738"/>
      <c r="G772" s="738"/>
      <c r="H772" s="738"/>
      <c r="I772" s="738"/>
      <c r="J772" s="738"/>
      <c r="K772" s="738"/>
      <c r="L772" s="738"/>
      <c r="M772" s="738"/>
      <c r="N772" s="738"/>
      <c r="O772" s="738"/>
      <c r="P772" s="738"/>
      <c r="Q772" s="738"/>
      <c r="R772" s="738"/>
      <c r="S772" s="738"/>
      <c r="T772" s="738"/>
      <c r="U772" s="738"/>
      <c r="V772" s="738"/>
      <c r="W772" s="738"/>
      <c r="X772" s="738"/>
      <c r="Y772" s="738"/>
      <c r="Z772" s="738"/>
    </row>
    <row r="773">
      <c r="A773" s="738"/>
      <c r="B773" s="738"/>
      <c r="C773" s="738"/>
      <c r="D773" s="738"/>
      <c r="E773" s="738"/>
      <c r="F773" s="738"/>
      <c r="G773" s="738"/>
      <c r="H773" s="738"/>
      <c r="I773" s="738"/>
      <c r="J773" s="738"/>
      <c r="K773" s="738"/>
      <c r="L773" s="738"/>
      <c r="M773" s="738"/>
      <c r="N773" s="738"/>
      <c r="O773" s="738"/>
      <c r="P773" s="738"/>
      <c r="Q773" s="738"/>
      <c r="R773" s="738"/>
      <c r="S773" s="738"/>
      <c r="T773" s="738"/>
      <c r="U773" s="738"/>
      <c r="V773" s="738"/>
      <c r="W773" s="738"/>
      <c r="X773" s="738"/>
      <c r="Y773" s="738"/>
      <c r="Z773" s="738"/>
    </row>
    <row r="774">
      <c r="A774" s="738"/>
      <c r="B774" s="738"/>
      <c r="C774" s="738"/>
      <c r="D774" s="738"/>
      <c r="E774" s="738"/>
      <c r="F774" s="738"/>
      <c r="G774" s="738"/>
      <c r="H774" s="738"/>
      <c r="I774" s="738"/>
      <c r="J774" s="738"/>
      <c r="K774" s="738"/>
      <c r="L774" s="738"/>
      <c r="M774" s="738"/>
      <c r="N774" s="738"/>
      <c r="O774" s="738"/>
      <c r="P774" s="738"/>
      <c r="Q774" s="738"/>
      <c r="R774" s="738"/>
      <c r="S774" s="738"/>
      <c r="T774" s="738"/>
      <c r="U774" s="738"/>
      <c r="V774" s="738"/>
      <c r="W774" s="738"/>
      <c r="X774" s="738"/>
      <c r="Y774" s="738"/>
      <c r="Z774" s="738"/>
    </row>
    <row r="775">
      <c r="A775" s="738"/>
      <c r="B775" s="738"/>
      <c r="C775" s="738"/>
      <c r="D775" s="738"/>
      <c r="E775" s="738"/>
      <c r="F775" s="738"/>
      <c r="G775" s="738"/>
      <c r="H775" s="738"/>
      <c r="I775" s="738"/>
      <c r="J775" s="738"/>
      <c r="K775" s="738"/>
      <c r="L775" s="738"/>
      <c r="M775" s="738"/>
      <c r="N775" s="738"/>
      <c r="O775" s="738"/>
      <c r="P775" s="738"/>
      <c r="Q775" s="738"/>
      <c r="R775" s="738"/>
      <c r="S775" s="738"/>
      <c r="T775" s="738"/>
      <c r="U775" s="738"/>
      <c r="V775" s="738"/>
      <c r="W775" s="738"/>
      <c r="X775" s="738"/>
      <c r="Y775" s="738"/>
      <c r="Z775" s="738"/>
    </row>
    <row r="776">
      <c r="A776" s="738"/>
      <c r="B776" s="738"/>
      <c r="C776" s="738"/>
      <c r="D776" s="738"/>
      <c r="E776" s="738"/>
      <c r="F776" s="738"/>
      <c r="G776" s="738"/>
      <c r="H776" s="738"/>
      <c r="I776" s="738"/>
      <c r="J776" s="738"/>
      <c r="K776" s="738"/>
      <c r="L776" s="738"/>
      <c r="M776" s="738"/>
      <c r="N776" s="738"/>
      <c r="O776" s="738"/>
      <c r="P776" s="738"/>
      <c r="Q776" s="738"/>
      <c r="R776" s="738"/>
      <c r="S776" s="738"/>
      <c r="T776" s="738"/>
      <c r="U776" s="738"/>
      <c r="V776" s="738"/>
      <c r="W776" s="738"/>
      <c r="X776" s="738"/>
      <c r="Y776" s="738"/>
      <c r="Z776" s="738"/>
    </row>
    <row r="777">
      <c r="A777" s="738"/>
      <c r="B777" s="738"/>
      <c r="C777" s="738"/>
      <c r="D777" s="738"/>
      <c r="E777" s="738"/>
      <c r="F777" s="738"/>
      <c r="G777" s="738"/>
      <c r="H777" s="738"/>
      <c r="I777" s="738"/>
      <c r="J777" s="738"/>
      <c r="K777" s="738"/>
      <c r="L777" s="738"/>
      <c r="M777" s="738"/>
      <c r="N777" s="738"/>
      <c r="O777" s="738"/>
      <c r="P777" s="738"/>
      <c r="Q777" s="738"/>
      <c r="R777" s="738"/>
      <c r="S777" s="738"/>
      <c r="T777" s="738"/>
      <c r="U777" s="738"/>
      <c r="V777" s="738"/>
      <c r="W777" s="738"/>
      <c r="X777" s="738"/>
      <c r="Y777" s="738"/>
      <c r="Z777" s="738"/>
    </row>
    <row r="778">
      <c r="A778" s="738"/>
      <c r="B778" s="738"/>
      <c r="C778" s="738"/>
      <c r="D778" s="738"/>
      <c r="E778" s="738"/>
      <c r="F778" s="738"/>
      <c r="G778" s="738"/>
      <c r="H778" s="738"/>
      <c r="I778" s="738"/>
      <c r="J778" s="738"/>
      <c r="K778" s="738"/>
      <c r="L778" s="738"/>
      <c r="M778" s="738"/>
      <c r="N778" s="738"/>
      <c r="O778" s="738"/>
      <c r="P778" s="738"/>
      <c r="Q778" s="738"/>
      <c r="R778" s="738"/>
      <c r="S778" s="738"/>
      <c r="T778" s="738"/>
      <c r="U778" s="738"/>
      <c r="V778" s="738"/>
      <c r="W778" s="738"/>
      <c r="X778" s="738"/>
      <c r="Y778" s="738"/>
      <c r="Z778" s="738"/>
    </row>
    <row r="779">
      <c r="A779" s="738"/>
      <c r="B779" s="738"/>
      <c r="C779" s="738"/>
      <c r="D779" s="738"/>
      <c r="E779" s="738"/>
      <c r="F779" s="738"/>
      <c r="G779" s="738"/>
      <c r="H779" s="738"/>
      <c r="I779" s="738"/>
      <c r="J779" s="738"/>
      <c r="K779" s="738"/>
      <c r="L779" s="738"/>
      <c r="M779" s="738"/>
      <c r="N779" s="738"/>
      <c r="O779" s="738"/>
      <c r="P779" s="738"/>
      <c r="Q779" s="738"/>
      <c r="R779" s="738"/>
      <c r="S779" s="738"/>
      <c r="T779" s="738"/>
      <c r="U779" s="738"/>
      <c r="V779" s="738"/>
      <c r="W779" s="738"/>
      <c r="X779" s="738"/>
      <c r="Y779" s="738"/>
      <c r="Z779" s="738"/>
    </row>
    <row r="780">
      <c r="A780" s="738"/>
      <c r="B780" s="738"/>
      <c r="C780" s="738"/>
      <c r="D780" s="738"/>
      <c r="E780" s="738"/>
      <c r="F780" s="738"/>
      <c r="G780" s="738"/>
      <c r="H780" s="738"/>
      <c r="I780" s="738"/>
      <c r="J780" s="738"/>
      <c r="K780" s="738"/>
      <c r="L780" s="738"/>
      <c r="M780" s="738"/>
      <c r="N780" s="738"/>
      <c r="O780" s="738"/>
      <c r="P780" s="738"/>
      <c r="Q780" s="738"/>
      <c r="R780" s="738"/>
      <c r="S780" s="738"/>
      <c r="T780" s="738"/>
      <c r="U780" s="738"/>
      <c r="V780" s="738"/>
      <c r="W780" s="738"/>
      <c r="X780" s="738"/>
      <c r="Y780" s="738"/>
      <c r="Z780" s="738"/>
    </row>
    <row r="781">
      <c r="A781" s="738"/>
      <c r="B781" s="738"/>
      <c r="C781" s="738"/>
      <c r="D781" s="738"/>
      <c r="E781" s="738"/>
      <c r="F781" s="738"/>
      <c r="G781" s="738"/>
      <c r="H781" s="738"/>
      <c r="I781" s="738"/>
      <c r="J781" s="738"/>
      <c r="K781" s="738"/>
      <c r="L781" s="738"/>
      <c r="M781" s="738"/>
      <c r="N781" s="738"/>
      <c r="O781" s="738"/>
      <c r="P781" s="738"/>
      <c r="Q781" s="738"/>
      <c r="R781" s="738"/>
      <c r="S781" s="738"/>
      <c r="T781" s="738"/>
      <c r="U781" s="738"/>
      <c r="V781" s="738"/>
      <c r="W781" s="738"/>
      <c r="X781" s="738"/>
      <c r="Y781" s="738"/>
      <c r="Z781" s="738"/>
    </row>
    <row r="782">
      <c r="A782" s="738"/>
      <c r="B782" s="738"/>
      <c r="C782" s="738"/>
      <c r="D782" s="738"/>
      <c r="E782" s="738"/>
      <c r="F782" s="738"/>
      <c r="G782" s="738"/>
      <c r="H782" s="738"/>
      <c r="I782" s="738"/>
      <c r="J782" s="738"/>
      <c r="K782" s="738"/>
      <c r="L782" s="738"/>
      <c r="M782" s="738"/>
      <c r="N782" s="738"/>
      <c r="O782" s="738"/>
      <c r="P782" s="738"/>
      <c r="Q782" s="738"/>
      <c r="R782" s="738"/>
      <c r="S782" s="738"/>
      <c r="T782" s="738"/>
      <c r="U782" s="738"/>
      <c r="V782" s="738"/>
      <c r="W782" s="738"/>
      <c r="X782" s="738"/>
      <c r="Y782" s="738"/>
      <c r="Z782" s="738"/>
    </row>
    <row r="783">
      <c r="A783" s="738"/>
      <c r="B783" s="738"/>
      <c r="C783" s="738"/>
      <c r="D783" s="738"/>
      <c r="E783" s="738"/>
      <c r="F783" s="738"/>
      <c r="G783" s="738"/>
      <c r="H783" s="738"/>
      <c r="I783" s="738"/>
      <c r="J783" s="738"/>
      <c r="K783" s="738"/>
      <c r="L783" s="738"/>
      <c r="M783" s="738"/>
      <c r="N783" s="738"/>
      <c r="O783" s="738"/>
      <c r="P783" s="738"/>
      <c r="Q783" s="738"/>
      <c r="R783" s="738"/>
      <c r="S783" s="738"/>
      <c r="T783" s="738"/>
      <c r="U783" s="738"/>
      <c r="V783" s="738"/>
      <c r="W783" s="738"/>
      <c r="X783" s="738"/>
      <c r="Y783" s="738"/>
      <c r="Z783" s="738"/>
    </row>
    <row r="784">
      <c r="A784" s="738"/>
      <c r="B784" s="738"/>
      <c r="C784" s="738"/>
      <c r="D784" s="738"/>
      <c r="E784" s="738"/>
      <c r="F784" s="738"/>
      <c r="G784" s="738"/>
      <c r="H784" s="738"/>
      <c r="I784" s="738"/>
      <c r="J784" s="738"/>
      <c r="K784" s="738"/>
      <c r="L784" s="738"/>
      <c r="M784" s="738"/>
      <c r="N784" s="738"/>
      <c r="O784" s="738"/>
      <c r="P784" s="738"/>
      <c r="Q784" s="738"/>
      <c r="R784" s="738"/>
      <c r="S784" s="738"/>
      <c r="T784" s="738"/>
      <c r="U784" s="738"/>
      <c r="V784" s="738"/>
      <c r="W784" s="738"/>
      <c r="X784" s="738"/>
      <c r="Y784" s="738"/>
      <c r="Z784" s="738"/>
    </row>
    <row r="785">
      <c r="A785" s="738"/>
      <c r="B785" s="738"/>
      <c r="C785" s="738"/>
      <c r="D785" s="738"/>
      <c r="E785" s="738"/>
      <c r="F785" s="738"/>
      <c r="G785" s="738"/>
      <c r="H785" s="738"/>
      <c r="I785" s="738"/>
      <c r="J785" s="738"/>
      <c r="K785" s="738"/>
      <c r="L785" s="738"/>
      <c r="M785" s="738"/>
      <c r="N785" s="738"/>
      <c r="O785" s="738"/>
      <c r="P785" s="738"/>
      <c r="Q785" s="738"/>
      <c r="R785" s="738"/>
      <c r="S785" s="738"/>
      <c r="T785" s="738"/>
      <c r="U785" s="738"/>
      <c r="V785" s="738"/>
      <c r="W785" s="738"/>
      <c r="X785" s="738"/>
      <c r="Y785" s="738"/>
      <c r="Z785" s="738"/>
    </row>
    <row r="786">
      <c r="A786" s="738"/>
      <c r="B786" s="738"/>
      <c r="C786" s="738"/>
      <c r="D786" s="738"/>
      <c r="E786" s="738"/>
      <c r="F786" s="738"/>
      <c r="G786" s="738"/>
      <c r="H786" s="738"/>
      <c r="I786" s="738"/>
      <c r="J786" s="738"/>
      <c r="K786" s="738"/>
      <c r="L786" s="738"/>
      <c r="M786" s="738"/>
      <c r="N786" s="738"/>
      <c r="O786" s="738"/>
      <c r="P786" s="738"/>
      <c r="Q786" s="738"/>
      <c r="R786" s="738"/>
      <c r="S786" s="738"/>
      <c r="T786" s="738"/>
      <c r="U786" s="738"/>
      <c r="V786" s="738"/>
      <c r="W786" s="738"/>
      <c r="X786" s="738"/>
      <c r="Y786" s="738"/>
      <c r="Z786" s="738"/>
    </row>
    <row r="787">
      <c r="A787" s="738"/>
      <c r="B787" s="738"/>
      <c r="C787" s="738"/>
      <c r="D787" s="738"/>
      <c r="E787" s="738"/>
      <c r="F787" s="738"/>
      <c r="G787" s="738"/>
      <c r="H787" s="738"/>
      <c r="I787" s="738"/>
      <c r="J787" s="738"/>
      <c r="K787" s="738"/>
      <c r="L787" s="738"/>
      <c r="M787" s="738"/>
      <c r="N787" s="738"/>
      <c r="O787" s="738"/>
      <c r="P787" s="738"/>
      <c r="Q787" s="738"/>
      <c r="R787" s="738"/>
      <c r="S787" s="738"/>
      <c r="T787" s="738"/>
      <c r="U787" s="738"/>
      <c r="V787" s="738"/>
      <c r="W787" s="738"/>
      <c r="X787" s="738"/>
      <c r="Y787" s="738"/>
      <c r="Z787" s="738"/>
    </row>
    <row r="788">
      <c r="A788" s="738"/>
      <c r="B788" s="738"/>
      <c r="C788" s="738"/>
      <c r="D788" s="738"/>
      <c r="E788" s="738"/>
      <c r="F788" s="738"/>
      <c r="G788" s="738"/>
      <c r="H788" s="738"/>
      <c r="I788" s="738"/>
      <c r="J788" s="738"/>
      <c r="K788" s="738"/>
      <c r="L788" s="738"/>
      <c r="M788" s="738"/>
      <c r="N788" s="738"/>
      <c r="O788" s="738"/>
      <c r="P788" s="738"/>
      <c r="Q788" s="738"/>
      <c r="R788" s="738"/>
      <c r="S788" s="738"/>
      <c r="T788" s="738"/>
      <c r="U788" s="738"/>
      <c r="V788" s="738"/>
      <c r="W788" s="738"/>
      <c r="X788" s="738"/>
      <c r="Y788" s="738"/>
      <c r="Z788" s="738"/>
    </row>
    <row r="789">
      <c r="A789" s="738"/>
      <c r="B789" s="738"/>
      <c r="C789" s="738"/>
      <c r="D789" s="738"/>
      <c r="E789" s="738"/>
      <c r="F789" s="738"/>
      <c r="G789" s="738"/>
      <c r="H789" s="738"/>
      <c r="I789" s="738"/>
      <c r="J789" s="738"/>
      <c r="K789" s="738"/>
      <c r="L789" s="738"/>
      <c r="M789" s="738"/>
      <c r="N789" s="738"/>
      <c r="O789" s="738"/>
      <c r="P789" s="738"/>
      <c r="Q789" s="738"/>
      <c r="R789" s="738"/>
      <c r="S789" s="738"/>
      <c r="T789" s="738"/>
      <c r="U789" s="738"/>
      <c r="V789" s="738"/>
      <c r="W789" s="738"/>
      <c r="X789" s="738"/>
      <c r="Y789" s="738"/>
      <c r="Z789" s="738"/>
    </row>
    <row r="790">
      <c r="A790" s="738"/>
      <c r="B790" s="738"/>
      <c r="C790" s="738"/>
      <c r="D790" s="738"/>
      <c r="E790" s="738"/>
      <c r="F790" s="738"/>
      <c r="G790" s="738"/>
      <c r="H790" s="738"/>
      <c r="I790" s="738"/>
      <c r="J790" s="738"/>
      <c r="K790" s="738"/>
      <c r="L790" s="738"/>
      <c r="M790" s="738"/>
      <c r="N790" s="738"/>
      <c r="O790" s="738"/>
      <c r="P790" s="738"/>
      <c r="Q790" s="738"/>
      <c r="R790" s="738"/>
      <c r="S790" s="738"/>
      <c r="T790" s="738"/>
      <c r="U790" s="738"/>
      <c r="V790" s="738"/>
      <c r="W790" s="738"/>
      <c r="X790" s="738"/>
      <c r="Y790" s="738"/>
      <c r="Z790" s="738"/>
    </row>
    <row r="791">
      <c r="A791" s="738"/>
      <c r="B791" s="738"/>
      <c r="C791" s="738"/>
      <c r="D791" s="738"/>
      <c r="E791" s="738"/>
      <c r="F791" s="738"/>
      <c r="G791" s="738"/>
      <c r="H791" s="738"/>
      <c r="I791" s="738"/>
      <c r="J791" s="738"/>
      <c r="K791" s="738"/>
      <c r="L791" s="738"/>
      <c r="M791" s="738"/>
      <c r="N791" s="738"/>
      <c r="O791" s="738"/>
      <c r="P791" s="738"/>
      <c r="Q791" s="738"/>
      <c r="R791" s="738"/>
      <c r="S791" s="738"/>
      <c r="T791" s="738"/>
      <c r="U791" s="738"/>
      <c r="V791" s="738"/>
      <c r="W791" s="738"/>
      <c r="X791" s="738"/>
      <c r="Y791" s="738"/>
      <c r="Z791" s="738"/>
    </row>
    <row r="792">
      <c r="A792" s="738"/>
      <c r="B792" s="738"/>
      <c r="C792" s="738"/>
      <c r="D792" s="738"/>
      <c r="E792" s="738"/>
      <c r="F792" s="738"/>
      <c r="G792" s="738"/>
      <c r="H792" s="738"/>
      <c r="I792" s="738"/>
      <c r="J792" s="738"/>
      <c r="K792" s="738"/>
      <c r="L792" s="738"/>
      <c r="M792" s="738"/>
      <c r="N792" s="738"/>
      <c r="O792" s="738"/>
      <c r="P792" s="738"/>
      <c r="Q792" s="738"/>
      <c r="R792" s="738"/>
      <c r="S792" s="738"/>
      <c r="T792" s="738"/>
      <c r="U792" s="738"/>
      <c r="V792" s="738"/>
      <c r="W792" s="738"/>
      <c r="X792" s="738"/>
      <c r="Y792" s="738"/>
      <c r="Z792" s="738"/>
    </row>
    <row r="793">
      <c r="A793" s="738"/>
      <c r="B793" s="738"/>
      <c r="C793" s="738"/>
      <c r="D793" s="738"/>
      <c r="E793" s="738"/>
      <c r="F793" s="738"/>
      <c r="G793" s="738"/>
      <c r="H793" s="738"/>
      <c r="I793" s="738"/>
      <c r="J793" s="738"/>
      <c r="K793" s="738"/>
      <c r="L793" s="738"/>
      <c r="M793" s="738"/>
      <c r="N793" s="738"/>
      <c r="O793" s="738"/>
      <c r="P793" s="738"/>
      <c r="Q793" s="738"/>
      <c r="R793" s="738"/>
      <c r="S793" s="738"/>
      <c r="T793" s="738"/>
      <c r="U793" s="738"/>
      <c r="V793" s="738"/>
      <c r="W793" s="738"/>
      <c r="X793" s="738"/>
      <c r="Y793" s="738"/>
      <c r="Z793" s="738"/>
    </row>
    <row r="794">
      <c r="A794" s="738"/>
      <c r="B794" s="738"/>
      <c r="C794" s="738"/>
      <c r="D794" s="738"/>
      <c r="E794" s="738"/>
      <c r="F794" s="738"/>
      <c r="G794" s="738"/>
      <c r="H794" s="738"/>
      <c r="I794" s="738"/>
      <c r="J794" s="738"/>
      <c r="K794" s="738"/>
      <c r="L794" s="738"/>
      <c r="M794" s="738"/>
      <c r="N794" s="738"/>
      <c r="O794" s="738"/>
      <c r="P794" s="738"/>
      <c r="Q794" s="738"/>
      <c r="R794" s="738"/>
      <c r="S794" s="738"/>
      <c r="T794" s="738"/>
      <c r="U794" s="738"/>
      <c r="V794" s="738"/>
      <c r="W794" s="738"/>
      <c r="X794" s="738"/>
      <c r="Y794" s="738"/>
      <c r="Z794" s="738"/>
    </row>
    <row r="795">
      <c r="A795" s="738"/>
      <c r="B795" s="738"/>
      <c r="C795" s="738"/>
      <c r="D795" s="738"/>
      <c r="E795" s="738"/>
      <c r="F795" s="738"/>
      <c r="G795" s="738"/>
      <c r="H795" s="738"/>
      <c r="I795" s="738"/>
      <c r="J795" s="738"/>
      <c r="K795" s="738"/>
      <c r="L795" s="738"/>
      <c r="M795" s="738"/>
      <c r="N795" s="738"/>
      <c r="O795" s="738"/>
      <c r="P795" s="738"/>
      <c r="Q795" s="738"/>
      <c r="R795" s="738"/>
      <c r="S795" s="738"/>
      <c r="T795" s="738"/>
      <c r="U795" s="738"/>
      <c r="V795" s="738"/>
      <c r="W795" s="738"/>
      <c r="X795" s="738"/>
      <c r="Y795" s="738"/>
      <c r="Z795" s="738"/>
    </row>
    <row r="796">
      <c r="A796" s="738"/>
      <c r="B796" s="738"/>
      <c r="C796" s="738"/>
      <c r="D796" s="738"/>
      <c r="E796" s="738"/>
      <c r="F796" s="738"/>
      <c r="G796" s="738"/>
      <c r="H796" s="738"/>
      <c r="I796" s="738"/>
      <c r="J796" s="738"/>
      <c r="K796" s="738"/>
      <c r="L796" s="738"/>
      <c r="M796" s="738"/>
      <c r="N796" s="738"/>
      <c r="O796" s="738"/>
      <c r="P796" s="738"/>
      <c r="Q796" s="738"/>
      <c r="R796" s="738"/>
      <c r="S796" s="738"/>
      <c r="T796" s="738"/>
      <c r="U796" s="738"/>
      <c r="V796" s="738"/>
      <c r="W796" s="738"/>
      <c r="X796" s="738"/>
      <c r="Y796" s="738"/>
      <c r="Z796" s="738"/>
    </row>
    <row r="797">
      <c r="A797" s="738"/>
      <c r="B797" s="738"/>
      <c r="C797" s="738"/>
      <c r="D797" s="738"/>
      <c r="E797" s="738"/>
      <c r="F797" s="738"/>
      <c r="G797" s="738"/>
      <c r="H797" s="738"/>
      <c r="I797" s="738"/>
      <c r="J797" s="738"/>
      <c r="K797" s="738"/>
      <c r="L797" s="738"/>
      <c r="M797" s="738"/>
      <c r="N797" s="738"/>
      <c r="O797" s="738"/>
      <c r="P797" s="738"/>
      <c r="Q797" s="738"/>
      <c r="R797" s="738"/>
      <c r="S797" s="738"/>
      <c r="T797" s="738"/>
      <c r="U797" s="738"/>
      <c r="V797" s="738"/>
      <c r="W797" s="738"/>
      <c r="X797" s="738"/>
      <c r="Y797" s="738"/>
      <c r="Z797" s="738"/>
    </row>
    <row r="798">
      <c r="A798" s="738"/>
      <c r="B798" s="738"/>
      <c r="C798" s="738"/>
      <c r="D798" s="738"/>
      <c r="E798" s="738"/>
      <c r="F798" s="738"/>
      <c r="G798" s="738"/>
      <c r="H798" s="738"/>
      <c r="I798" s="738"/>
      <c r="J798" s="738"/>
      <c r="K798" s="738"/>
      <c r="L798" s="738"/>
      <c r="M798" s="738"/>
      <c r="N798" s="738"/>
      <c r="O798" s="738"/>
      <c r="P798" s="738"/>
      <c r="Q798" s="738"/>
      <c r="R798" s="738"/>
      <c r="S798" s="738"/>
      <c r="T798" s="738"/>
      <c r="U798" s="738"/>
      <c r="V798" s="738"/>
      <c r="W798" s="738"/>
      <c r="X798" s="738"/>
      <c r="Y798" s="738"/>
      <c r="Z798" s="738"/>
    </row>
    <row r="799">
      <c r="A799" s="738"/>
      <c r="B799" s="738"/>
      <c r="C799" s="738"/>
      <c r="D799" s="738"/>
      <c r="E799" s="738"/>
      <c r="F799" s="738"/>
      <c r="G799" s="738"/>
      <c r="H799" s="738"/>
      <c r="I799" s="738"/>
      <c r="J799" s="738"/>
      <c r="K799" s="738"/>
      <c r="L799" s="738"/>
      <c r="M799" s="738"/>
      <c r="N799" s="738"/>
      <c r="O799" s="738"/>
      <c r="P799" s="738"/>
      <c r="Q799" s="738"/>
      <c r="R799" s="738"/>
      <c r="S799" s="738"/>
      <c r="T799" s="738"/>
      <c r="U799" s="738"/>
      <c r="V799" s="738"/>
      <c r="W799" s="738"/>
      <c r="X799" s="738"/>
      <c r="Y799" s="738"/>
      <c r="Z799" s="738"/>
    </row>
    <row r="800">
      <c r="A800" s="738"/>
      <c r="B800" s="738"/>
      <c r="C800" s="738"/>
      <c r="D800" s="738"/>
      <c r="E800" s="738"/>
      <c r="F800" s="738"/>
      <c r="G800" s="738"/>
      <c r="H800" s="738"/>
      <c r="I800" s="738"/>
      <c r="J800" s="738"/>
      <c r="K800" s="738"/>
      <c r="L800" s="738"/>
      <c r="M800" s="738"/>
      <c r="N800" s="738"/>
      <c r="O800" s="738"/>
      <c r="P800" s="738"/>
      <c r="Q800" s="738"/>
      <c r="R800" s="738"/>
      <c r="S800" s="738"/>
      <c r="T800" s="738"/>
      <c r="U800" s="738"/>
      <c r="V800" s="738"/>
      <c r="W800" s="738"/>
      <c r="X800" s="738"/>
      <c r="Y800" s="738"/>
      <c r="Z800" s="738"/>
    </row>
    <row r="801">
      <c r="A801" s="738"/>
      <c r="B801" s="738"/>
      <c r="C801" s="738"/>
      <c r="D801" s="738"/>
      <c r="E801" s="738"/>
      <c r="F801" s="738"/>
      <c r="G801" s="738"/>
      <c r="H801" s="738"/>
      <c r="I801" s="738"/>
      <c r="J801" s="738"/>
      <c r="K801" s="738"/>
      <c r="L801" s="738"/>
      <c r="M801" s="738"/>
      <c r="N801" s="738"/>
      <c r="O801" s="738"/>
      <c r="P801" s="738"/>
      <c r="Q801" s="738"/>
      <c r="R801" s="738"/>
      <c r="S801" s="738"/>
      <c r="T801" s="738"/>
      <c r="U801" s="738"/>
      <c r="V801" s="738"/>
      <c r="W801" s="738"/>
      <c r="X801" s="738"/>
      <c r="Y801" s="738"/>
      <c r="Z801" s="738"/>
    </row>
    <row r="802">
      <c r="A802" s="738"/>
      <c r="B802" s="738"/>
      <c r="C802" s="738"/>
      <c r="D802" s="738"/>
      <c r="E802" s="738"/>
      <c r="F802" s="738"/>
      <c r="G802" s="738"/>
      <c r="H802" s="738"/>
      <c r="I802" s="738"/>
      <c r="J802" s="738"/>
      <c r="K802" s="738"/>
      <c r="L802" s="738"/>
      <c r="M802" s="738"/>
      <c r="N802" s="738"/>
      <c r="O802" s="738"/>
      <c r="P802" s="738"/>
      <c r="Q802" s="738"/>
      <c r="R802" s="738"/>
      <c r="S802" s="738"/>
      <c r="T802" s="738"/>
      <c r="U802" s="738"/>
      <c r="V802" s="738"/>
      <c r="W802" s="738"/>
      <c r="X802" s="738"/>
      <c r="Y802" s="738"/>
      <c r="Z802" s="738"/>
    </row>
    <row r="803">
      <c r="A803" s="738"/>
      <c r="B803" s="738"/>
      <c r="C803" s="738"/>
      <c r="D803" s="738"/>
      <c r="E803" s="738"/>
      <c r="F803" s="738"/>
      <c r="G803" s="738"/>
      <c r="H803" s="738"/>
      <c r="I803" s="738"/>
      <c r="J803" s="738"/>
      <c r="K803" s="738"/>
      <c r="L803" s="738"/>
      <c r="M803" s="738"/>
      <c r="N803" s="738"/>
      <c r="O803" s="738"/>
      <c r="P803" s="738"/>
      <c r="Q803" s="738"/>
      <c r="R803" s="738"/>
      <c r="S803" s="738"/>
      <c r="T803" s="738"/>
      <c r="U803" s="738"/>
      <c r="V803" s="738"/>
      <c r="W803" s="738"/>
      <c r="X803" s="738"/>
      <c r="Y803" s="738"/>
      <c r="Z803" s="738"/>
    </row>
    <row r="804">
      <c r="A804" s="738"/>
      <c r="B804" s="738"/>
      <c r="C804" s="738"/>
      <c r="D804" s="738"/>
      <c r="E804" s="738"/>
      <c r="F804" s="738"/>
      <c r="G804" s="738"/>
      <c r="H804" s="738"/>
      <c r="I804" s="738"/>
      <c r="J804" s="738"/>
      <c r="K804" s="738"/>
      <c r="L804" s="738"/>
      <c r="M804" s="738"/>
      <c r="N804" s="738"/>
      <c r="O804" s="738"/>
      <c r="P804" s="738"/>
      <c r="Q804" s="738"/>
      <c r="R804" s="738"/>
      <c r="S804" s="738"/>
      <c r="T804" s="738"/>
      <c r="U804" s="738"/>
      <c r="V804" s="738"/>
      <c r="W804" s="738"/>
      <c r="X804" s="738"/>
      <c r="Y804" s="738"/>
      <c r="Z804" s="738"/>
    </row>
    <row r="805">
      <c r="A805" s="738"/>
      <c r="B805" s="738"/>
      <c r="C805" s="738"/>
      <c r="D805" s="738"/>
      <c r="E805" s="738"/>
      <c r="F805" s="738"/>
      <c r="G805" s="738"/>
      <c r="H805" s="738"/>
      <c r="I805" s="738"/>
      <c r="J805" s="738"/>
      <c r="K805" s="738"/>
      <c r="L805" s="738"/>
      <c r="M805" s="738"/>
      <c r="N805" s="738"/>
      <c r="O805" s="738"/>
      <c r="P805" s="738"/>
      <c r="Q805" s="738"/>
      <c r="R805" s="738"/>
      <c r="S805" s="738"/>
      <c r="T805" s="738"/>
      <c r="U805" s="738"/>
      <c r="V805" s="738"/>
      <c r="W805" s="738"/>
      <c r="X805" s="738"/>
      <c r="Y805" s="738"/>
      <c r="Z805" s="738"/>
    </row>
    <row r="806">
      <c r="A806" s="738"/>
      <c r="B806" s="738"/>
      <c r="C806" s="738"/>
      <c r="D806" s="738"/>
      <c r="E806" s="738"/>
      <c r="F806" s="738"/>
      <c r="G806" s="738"/>
      <c r="H806" s="738"/>
      <c r="I806" s="738"/>
      <c r="J806" s="738"/>
      <c r="K806" s="738"/>
      <c r="L806" s="738"/>
      <c r="M806" s="738"/>
      <c r="N806" s="738"/>
      <c r="O806" s="738"/>
      <c r="P806" s="738"/>
      <c r="Q806" s="738"/>
      <c r="R806" s="738"/>
      <c r="S806" s="738"/>
      <c r="T806" s="738"/>
      <c r="U806" s="738"/>
      <c r="V806" s="738"/>
      <c r="W806" s="738"/>
      <c r="X806" s="738"/>
      <c r="Y806" s="738"/>
      <c r="Z806" s="738"/>
    </row>
    <row r="807">
      <c r="A807" s="738"/>
      <c r="B807" s="738"/>
      <c r="C807" s="738"/>
      <c r="D807" s="738"/>
      <c r="E807" s="738"/>
      <c r="F807" s="738"/>
      <c r="G807" s="738"/>
      <c r="H807" s="738"/>
      <c r="I807" s="738"/>
      <c r="J807" s="738"/>
      <c r="K807" s="738"/>
      <c r="L807" s="738"/>
      <c r="M807" s="738"/>
      <c r="N807" s="738"/>
      <c r="O807" s="738"/>
      <c r="P807" s="738"/>
      <c r="Q807" s="738"/>
      <c r="R807" s="738"/>
      <c r="S807" s="738"/>
      <c r="T807" s="738"/>
      <c r="U807" s="738"/>
      <c r="V807" s="738"/>
      <c r="W807" s="738"/>
      <c r="X807" s="738"/>
      <c r="Y807" s="738"/>
      <c r="Z807" s="738"/>
    </row>
    <row r="808">
      <c r="A808" s="738"/>
      <c r="B808" s="738"/>
      <c r="C808" s="738"/>
      <c r="D808" s="738"/>
      <c r="E808" s="738"/>
      <c r="F808" s="738"/>
      <c r="G808" s="738"/>
      <c r="H808" s="738"/>
      <c r="I808" s="738"/>
      <c r="J808" s="738"/>
      <c r="K808" s="738"/>
      <c r="L808" s="738"/>
      <c r="M808" s="738"/>
      <c r="N808" s="738"/>
      <c r="O808" s="738"/>
      <c r="P808" s="738"/>
      <c r="Q808" s="738"/>
      <c r="R808" s="738"/>
      <c r="S808" s="738"/>
      <c r="T808" s="738"/>
      <c r="U808" s="738"/>
      <c r="V808" s="738"/>
      <c r="W808" s="738"/>
      <c r="X808" s="738"/>
      <c r="Y808" s="738"/>
      <c r="Z808" s="738"/>
    </row>
    <row r="809">
      <c r="A809" s="738"/>
      <c r="B809" s="738"/>
      <c r="C809" s="738"/>
      <c r="D809" s="738"/>
      <c r="E809" s="738"/>
      <c r="F809" s="738"/>
      <c r="G809" s="738"/>
      <c r="H809" s="738"/>
      <c r="I809" s="738"/>
      <c r="J809" s="738"/>
      <c r="K809" s="738"/>
      <c r="L809" s="738"/>
      <c r="M809" s="738"/>
      <c r="N809" s="738"/>
      <c r="O809" s="738"/>
      <c r="P809" s="738"/>
      <c r="Q809" s="738"/>
      <c r="R809" s="738"/>
      <c r="S809" s="738"/>
      <c r="T809" s="738"/>
      <c r="U809" s="738"/>
      <c r="V809" s="738"/>
      <c r="W809" s="738"/>
      <c r="X809" s="738"/>
      <c r="Y809" s="738"/>
      <c r="Z809" s="738"/>
    </row>
    <row r="810">
      <c r="A810" s="738"/>
      <c r="B810" s="738"/>
      <c r="C810" s="738"/>
      <c r="D810" s="738"/>
      <c r="E810" s="738"/>
      <c r="F810" s="738"/>
      <c r="G810" s="738"/>
      <c r="H810" s="738"/>
      <c r="I810" s="738"/>
      <c r="J810" s="738"/>
      <c r="K810" s="738"/>
      <c r="L810" s="738"/>
      <c r="M810" s="738"/>
      <c r="N810" s="738"/>
      <c r="O810" s="738"/>
      <c r="P810" s="738"/>
      <c r="Q810" s="738"/>
      <c r="R810" s="738"/>
      <c r="S810" s="738"/>
      <c r="T810" s="738"/>
      <c r="U810" s="738"/>
      <c r="V810" s="738"/>
      <c r="W810" s="738"/>
      <c r="X810" s="738"/>
      <c r="Y810" s="738"/>
      <c r="Z810" s="738"/>
    </row>
    <row r="811">
      <c r="A811" s="738"/>
      <c r="B811" s="738"/>
      <c r="C811" s="738"/>
      <c r="D811" s="738"/>
      <c r="E811" s="738"/>
      <c r="F811" s="738"/>
      <c r="G811" s="738"/>
      <c r="H811" s="738"/>
      <c r="I811" s="738"/>
      <c r="J811" s="738"/>
      <c r="K811" s="738"/>
      <c r="L811" s="738"/>
      <c r="M811" s="738"/>
      <c r="N811" s="738"/>
      <c r="O811" s="738"/>
      <c r="P811" s="738"/>
      <c r="Q811" s="738"/>
      <c r="R811" s="738"/>
      <c r="S811" s="738"/>
      <c r="T811" s="738"/>
      <c r="U811" s="738"/>
      <c r="V811" s="738"/>
      <c r="W811" s="738"/>
      <c r="X811" s="738"/>
      <c r="Y811" s="738"/>
      <c r="Z811" s="738"/>
    </row>
    <row r="812">
      <c r="A812" s="738"/>
      <c r="B812" s="738"/>
      <c r="C812" s="738"/>
      <c r="D812" s="738"/>
      <c r="E812" s="738"/>
      <c r="F812" s="738"/>
      <c r="G812" s="738"/>
      <c r="H812" s="738"/>
      <c r="I812" s="738"/>
      <c r="J812" s="738"/>
      <c r="K812" s="738"/>
      <c r="L812" s="738"/>
      <c r="M812" s="738"/>
      <c r="N812" s="738"/>
      <c r="O812" s="738"/>
      <c r="P812" s="738"/>
      <c r="Q812" s="738"/>
      <c r="R812" s="738"/>
      <c r="S812" s="738"/>
      <c r="T812" s="738"/>
      <c r="U812" s="738"/>
      <c r="V812" s="738"/>
      <c r="W812" s="738"/>
      <c r="X812" s="738"/>
      <c r="Y812" s="738"/>
      <c r="Z812" s="738"/>
    </row>
    <row r="813">
      <c r="A813" s="738"/>
      <c r="B813" s="738"/>
      <c r="C813" s="738"/>
      <c r="D813" s="738"/>
      <c r="E813" s="738"/>
      <c r="F813" s="738"/>
      <c r="G813" s="738"/>
      <c r="H813" s="738"/>
      <c r="I813" s="738"/>
      <c r="J813" s="738"/>
      <c r="K813" s="738"/>
      <c r="L813" s="738"/>
      <c r="M813" s="738"/>
      <c r="N813" s="738"/>
      <c r="O813" s="738"/>
      <c r="P813" s="738"/>
      <c r="Q813" s="738"/>
      <c r="R813" s="738"/>
      <c r="S813" s="738"/>
      <c r="T813" s="738"/>
      <c r="U813" s="738"/>
      <c r="V813" s="738"/>
      <c r="W813" s="738"/>
      <c r="X813" s="738"/>
      <c r="Y813" s="738"/>
      <c r="Z813" s="738"/>
    </row>
    <row r="814">
      <c r="A814" s="738"/>
      <c r="B814" s="738"/>
      <c r="C814" s="738"/>
      <c r="D814" s="738"/>
      <c r="E814" s="738"/>
      <c r="F814" s="738"/>
      <c r="G814" s="738"/>
      <c r="H814" s="738"/>
      <c r="I814" s="738"/>
      <c r="J814" s="738"/>
      <c r="K814" s="738"/>
      <c r="L814" s="738"/>
      <c r="M814" s="738"/>
      <c r="N814" s="738"/>
      <c r="O814" s="738"/>
      <c r="P814" s="738"/>
      <c r="Q814" s="738"/>
      <c r="R814" s="738"/>
      <c r="S814" s="738"/>
      <c r="T814" s="738"/>
      <c r="U814" s="738"/>
      <c r="V814" s="738"/>
      <c r="W814" s="738"/>
      <c r="X814" s="738"/>
      <c r="Y814" s="738"/>
      <c r="Z814" s="738"/>
    </row>
    <row r="815">
      <c r="A815" s="738"/>
      <c r="B815" s="738"/>
      <c r="C815" s="738"/>
      <c r="D815" s="738"/>
      <c r="E815" s="738"/>
      <c r="F815" s="738"/>
      <c r="G815" s="738"/>
      <c r="H815" s="738"/>
      <c r="I815" s="738"/>
      <c r="J815" s="738"/>
      <c r="K815" s="738"/>
      <c r="L815" s="738"/>
      <c r="M815" s="738"/>
      <c r="N815" s="738"/>
      <c r="O815" s="738"/>
      <c r="P815" s="738"/>
      <c r="Q815" s="738"/>
      <c r="R815" s="738"/>
      <c r="S815" s="738"/>
      <c r="T815" s="738"/>
      <c r="U815" s="738"/>
      <c r="V815" s="738"/>
      <c r="W815" s="738"/>
      <c r="X815" s="738"/>
      <c r="Y815" s="738"/>
      <c r="Z815" s="738"/>
    </row>
    <row r="816">
      <c r="A816" s="738"/>
      <c r="B816" s="738"/>
      <c r="C816" s="738"/>
      <c r="D816" s="738"/>
      <c r="E816" s="738"/>
      <c r="F816" s="738"/>
      <c r="G816" s="738"/>
      <c r="H816" s="738"/>
      <c r="I816" s="738"/>
      <c r="J816" s="738"/>
      <c r="K816" s="738"/>
      <c r="L816" s="738"/>
      <c r="M816" s="738"/>
      <c r="N816" s="738"/>
      <c r="O816" s="738"/>
      <c r="P816" s="738"/>
      <c r="Q816" s="738"/>
      <c r="R816" s="738"/>
      <c r="S816" s="738"/>
      <c r="T816" s="738"/>
      <c r="U816" s="738"/>
      <c r="V816" s="738"/>
      <c r="W816" s="738"/>
      <c r="X816" s="738"/>
      <c r="Y816" s="738"/>
      <c r="Z816" s="738"/>
    </row>
    <row r="817">
      <c r="A817" s="738"/>
      <c r="B817" s="738"/>
      <c r="C817" s="738"/>
      <c r="D817" s="738"/>
      <c r="E817" s="738"/>
      <c r="F817" s="738"/>
      <c r="G817" s="738"/>
      <c r="H817" s="738"/>
      <c r="I817" s="738"/>
      <c r="J817" s="738"/>
      <c r="K817" s="738"/>
      <c r="L817" s="738"/>
      <c r="M817" s="738"/>
      <c r="N817" s="738"/>
      <c r="O817" s="738"/>
      <c r="P817" s="738"/>
      <c r="Q817" s="738"/>
      <c r="R817" s="738"/>
      <c r="S817" s="738"/>
      <c r="T817" s="738"/>
      <c r="U817" s="738"/>
      <c r="V817" s="738"/>
      <c r="W817" s="738"/>
      <c r="X817" s="738"/>
      <c r="Y817" s="738"/>
      <c r="Z817" s="738"/>
    </row>
    <row r="818">
      <c r="A818" s="738"/>
      <c r="B818" s="738"/>
      <c r="C818" s="738"/>
      <c r="D818" s="738"/>
      <c r="E818" s="738"/>
      <c r="F818" s="738"/>
      <c r="G818" s="738"/>
      <c r="H818" s="738"/>
      <c r="I818" s="738"/>
      <c r="J818" s="738"/>
      <c r="K818" s="738"/>
      <c r="L818" s="738"/>
      <c r="M818" s="738"/>
      <c r="N818" s="738"/>
      <c r="O818" s="738"/>
      <c r="P818" s="738"/>
      <c r="Q818" s="738"/>
      <c r="R818" s="738"/>
      <c r="S818" s="738"/>
      <c r="T818" s="738"/>
      <c r="U818" s="738"/>
      <c r="V818" s="738"/>
      <c r="W818" s="738"/>
      <c r="X818" s="738"/>
      <c r="Y818" s="738"/>
      <c r="Z818" s="738"/>
    </row>
    <row r="819">
      <c r="A819" s="738"/>
      <c r="B819" s="738"/>
      <c r="C819" s="738"/>
      <c r="D819" s="738"/>
      <c r="E819" s="738"/>
      <c r="F819" s="738"/>
      <c r="G819" s="738"/>
      <c r="H819" s="738"/>
      <c r="I819" s="738"/>
      <c r="J819" s="738"/>
      <c r="K819" s="738"/>
      <c r="L819" s="738"/>
      <c r="M819" s="738"/>
      <c r="N819" s="738"/>
      <c r="O819" s="738"/>
      <c r="P819" s="738"/>
      <c r="Q819" s="738"/>
      <c r="R819" s="738"/>
      <c r="S819" s="738"/>
      <c r="T819" s="738"/>
      <c r="U819" s="738"/>
      <c r="V819" s="738"/>
      <c r="W819" s="738"/>
      <c r="X819" s="738"/>
      <c r="Y819" s="738"/>
      <c r="Z819" s="738"/>
    </row>
    <row r="820">
      <c r="A820" s="738"/>
      <c r="B820" s="738"/>
      <c r="C820" s="738"/>
      <c r="D820" s="738"/>
      <c r="E820" s="738"/>
      <c r="F820" s="738"/>
      <c r="G820" s="738"/>
      <c r="H820" s="738"/>
      <c r="I820" s="738"/>
      <c r="J820" s="738"/>
      <c r="K820" s="738"/>
      <c r="L820" s="738"/>
      <c r="M820" s="738"/>
      <c r="N820" s="738"/>
      <c r="O820" s="738"/>
      <c r="P820" s="738"/>
      <c r="Q820" s="738"/>
      <c r="R820" s="738"/>
      <c r="S820" s="738"/>
      <c r="T820" s="738"/>
      <c r="U820" s="738"/>
      <c r="V820" s="738"/>
      <c r="W820" s="738"/>
      <c r="X820" s="738"/>
      <c r="Y820" s="738"/>
      <c r="Z820" s="738"/>
    </row>
    <row r="821">
      <c r="A821" s="738"/>
      <c r="B821" s="738"/>
      <c r="C821" s="738"/>
      <c r="D821" s="738"/>
      <c r="E821" s="738"/>
      <c r="F821" s="738"/>
      <c r="G821" s="738"/>
      <c r="H821" s="738"/>
      <c r="I821" s="738"/>
      <c r="J821" s="738"/>
      <c r="K821" s="738"/>
      <c r="L821" s="738"/>
      <c r="M821" s="738"/>
      <c r="N821" s="738"/>
      <c r="O821" s="738"/>
      <c r="P821" s="738"/>
      <c r="Q821" s="738"/>
      <c r="R821" s="738"/>
      <c r="S821" s="738"/>
      <c r="T821" s="738"/>
      <c r="U821" s="738"/>
      <c r="V821" s="738"/>
      <c r="W821" s="738"/>
      <c r="X821" s="738"/>
      <c r="Y821" s="738"/>
      <c r="Z821" s="738"/>
    </row>
    <row r="822">
      <c r="A822" s="738"/>
      <c r="B822" s="738"/>
      <c r="C822" s="738"/>
      <c r="D822" s="738"/>
      <c r="E822" s="738"/>
      <c r="F822" s="738"/>
      <c r="G822" s="738"/>
      <c r="H822" s="738"/>
      <c r="I822" s="738"/>
      <c r="J822" s="738"/>
      <c r="K822" s="738"/>
      <c r="L822" s="738"/>
      <c r="M822" s="738"/>
      <c r="N822" s="738"/>
      <c r="O822" s="738"/>
      <c r="P822" s="738"/>
      <c r="Q822" s="738"/>
      <c r="R822" s="738"/>
      <c r="S822" s="738"/>
      <c r="T822" s="738"/>
      <c r="U822" s="738"/>
      <c r="V822" s="738"/>
      <c r="W822" s="738"/>
      <c r="X822" s="738"/>
      <c r="Y822" s="738"/>
      <c r="Z822" s="738"/>
    </row>
    <row r="823">
      <c r="A823" s="738"/>
      <c r="B823" s="738"/>
      <c r="C823" s="738"/>
      <c r="D823" s="738"/>
      <c r="E823" s="738"/>
      <c r="F823" s="738"/>
      <c r="G823" s="738"/>
      <c r="H823" s="738"/>
      <c r="I823" s="738"/>
      <c r="J823" s="738"/>
      <c r="K823" s="738"/>
      <c r="L823" s="738"/>
      <c r="M823" s="738"/>
      <c r="N823" s="738"/>
      <c r="O823" s="738"/>
      <c r="P823" s="738"/>
      <c r="Q823" s="738"/>
      <c r="R823" s="738"/>
      <c r="S823" s="738"/>
      <c r="T823" s="738"/>
      <c r="U823" s="738"/>
      <c r="V823" s="738"/>
      <c r="W823" s="738"/>
      <c r="X823" s="738"/>
      <c r="Y823" s="738"/>
      <c r="Z823" s="738"/>
    </row>
    <row r="824">
      <c r="A824" s="738"/>
      <c r="B824" s="738"/>
      <c r="C824" s="738"/>
      <c r="D824" s="738"/>
      <c r="E824" s="738"/>
      <c r="F824" s="738"/>
      <c r="G824" s="738"/>
      <c r="H824" s="738"/>
      <c r="I824" s="738"/>
      <c r="J824" s="738"/>
      <c r="K824" s="738"/>
      <c r="L824" s="738"/>
      <c r="M824" s="738"/>
      <c r="N824" s="738"/>
      <c r="O824" s="738"/>
      <c r="P824" s="738"/>
      <c r="Q824" s="738"/>
      <c r="R824" s="738"/>
      <c r="S824" s="738"/>
      <c r="T824" s="738"/>
      <c r="U824" s="738"/>
      <c r="V824" s="738"/>
      <c r="W824" s="738"/>
      <c r="X824" s="738"/>
      <c r="Y824" s="738"/>
      <c r="Z824" s="738"/>
    </row>
    <row r="825">
      <c r="A825" s="738"/>
      <c r="B825" s="738"/>
      <c r="C825" s="738"/>
      <c r="D825" s="738"/>
      <c r="E825" s="738"/>
      <c r="F825" s="738"/>
      <c r="G825" s="738"/>
      <c r="H825" s="738"/>
      <c r="I825" s="738"/>
      <c r="J825" s="738"/>
      <c r="K825" s="738"/>
      <c r="L825" s="738"/>
      <c r="M825" s="738"/>
      <c r="N825" s="738"/>
      <c r="O825" s="738"/>
      <c r="P825" s="738"/>
      <c r="Q825" s="738"/>
      <c r="R825" s="738"/>
      <c r="S825" s="738"/>
      <c r="T825" s="738"/>
      <c r="U825" s="738"/>
      <c r="V825" s="738"/>
      <c r="W825" s="738"/>
      <c r="X825" s="738"/>
      <c r="Y825" s="738"/>
      <c r="Z825" s="738"/>
    </row>
    <row r="826">
      <c r="A826" s="738"/>
      <c r="B826" s="738"/>
      <c r="C826" s="738"/>
      <c r="D826" s="738"/>
      <c r="E826" s="738"/>
      <c r="F826" s="738"/>
      <c r="G826" s="738"/>
      <c r="H826" s="738"/>
      <c r="I826" s="738"/>
      <c r="J826" s="738"/>
      <c r="K826" s="738"/>
      <c r="L826" s="738"/>
      <c r="M826" s="738"/>
      <c r="N826" s="738"/>
      <c r="O826" s="738"/>
      <c r="P826" s="738"/>
      <c r="Q826" s="738"/>
      <c r="R826" s="738"/>
      <c r="S826" s="738"/>
      <c r="T826" s="738"/>
      <c r="U826" s="738"/>
      <c r="V826" s="738"/>
      <c r="W826" s="738"/>
      <c r="X826" s="738"/>
      <c r="Y826" s="738"/>
      <c r="Z826" s="738"/>
    </row>
    <row r="827">
      <c r="A827" s="738"/>
      <c r="B827" s="738"/>
      <c r="C827" s="738"/>
      <c r="D827" s="738"/>
      <c r="E827" s="738"/>
      <c r="F827" s="738"/>
      <c r="G827" s="738"/>
      <c r="H827" s="738"/>
      <c r="I827" s="738"/>
      <c r="J827" s="738"/>
      <c r="K827" s="738"/>
      <c r="L827" s="738"/>
      <c r="M827" s="738"/>
      <c r="N827" s="738"/>
      <c r="O827" s="738"/>
      <c r="P827" s="738"/>
      <c r="Q827" s="738"/>
      <c r="R827" s="738"/>
      <c r="S827" s="738"/>
      <c r="T827" s="738"/>
      <c r="U827" s="738"/>
      <c r="V827" s="738"/>
      <c r="W827" s="738"/>
      <c r="X827" s="738"/>
      <c r="Y827" s="738"/>
      <c r="Z827" s="738"/>
    </row>
    <row r="828">
      <c r="A828" s="738"/>
      <c r="B828" s="738"/>
      <c r="C828" s="738"/>
      <c r="D828" s="738"/>
      <c r="E828" s="738"/>
      <c r="F828" s="738"/>
      <c r="G828" s="738"/>
      <c r="H828" s="738"/>
      <c r="I828" s="738"/>
      <c r="J828" s="738"/>
      <c r="K828" s="738"/>
      <c r="L828" s="738"/>
      <c r="M828" s="738"/>
      <c r="N828" s="738"/>
      <c r="O828" s="738"/>
      <c r="P828" s="738"/>
      <c r="Q828" s="738"/>
      <c r="R828" s="738"/>
      <c r="S828" s="738"/>
      <c r="T828" s="738"/>
      <c r="U828" s="738"/>
      <c r="V828" s="738"/>
      <c r="W828" s="738"/>
      <c r="X828" s="738"/>
      <c r="Y828" s="738"/>
      <c r="Z828" s="738"/>
    </row>
    <row r="829">
      <c r="A829" s="738"/>
      <c r="B829" s="738"/>
      <c r="C829" s="738"/>
      <c r="D829" s="738"/>
      <c r="E829" s="738"/>
      <c r="F829" s="738"/>
      <c r="G829" s="738"/>
      <c r="H829" s="738"/>
      <c r="I829" s="738"/>
      <c r="J829" s="738"/>
      <c r="K829" s="738"/>
      <c r="L829" s="738"/>
      <c r="M829" s="738"/>
      <c r="N829" s="738"/>
      <c r="O829" s="738"/>
      <c r="P829" s="738"/>
      <c r="Q829" s="738"/>
      <c r="R829" s="738"/>
      <c r="S829" s="738"/>
      <c r="T829" s="738"/>
      <c r="U829" s="738"/>
      <c r="V829" s="738"/>
      <c r="W829" s="738"/>
      <c r="X829" s="738"/>
      <c r="Y829" s="738"/>
      <c r="Z829" s="738"/>
    </row>
    <row r="830">
      <c r="A830" s="738"/>
      <c r="B830" s="738"/>
      <c r="C830" s="738"/>
      <c r="D830" s="738"/>
      <c r="E830" s="738"/>
      <c r="F830" s="738"/>
      <c r="G830" s="738"/>
      <c r="H830" s="738"/>
      <c r="I830" s="738"/>
      <c r="J830" s="738"/>
      <c r="K830" s="738"/>
      <c r="L830" s="738"/>
      <c r="M830" s="738"/>
      <c r="N830" s="738"/>
      <c r="O830" s="738"/>
      <c r="P830" s="738"/>
      <c r="Q830" s="738"/>
      <c r="R830" s="738"/>
      <c r="S830" s="738"/>
      <c r="T830" s="738"/>
      <c r="U830" s="738"/>
      <c r="V830" s="738"/>
      <c r="W830" s="738"/>
      <c r="X830" s="738"/>
      <c r="Y830" s="738"/>
      <c r="Z830" s="738"/>
    </row>
    <row r="831">
      <c r="A831" s="738"/>
      <c r="B831" s="738"/>
      <c r="C831" s="738"/>
      <c r="D831" s="738"/>
      <c r="E831" s="738"/>
      <c r="F831" s="738"/>
      <c r="G831" s="738"/>
      <c r="H831" s="738"/>
      <c r="I831" s="738"/>
      <c r="J831" s="738"/>
      <c r="K831" s="738"/>
      <c r="L831" s="738"/>
      <c r="M831" s="738"/>
      <c r="N831" s="738"/>
      <c r="O831" s="738"/>
      <c r="P831" s="738"/>
      <c r="Q831" s="738"/>
      <c r="R831" s="738"/>
      <c r="S831" s="738"/>
      <c r="T831" s="738"/>
      <c r="U831" s="738"/>
      <c r="V831" s="738"/>
      <c r="W831" s="738"/>
      <c r="X831" s="738"/>
      <c r="Y831" s="738"/>
      <c r="Z831" s="738"/>
    </row>
    <row r="832">
      <c r="A832" s="738"/>
      <c r="B832" s="738"/>
      <c r="C832" s="738"/>
      <c r="D832" s="738"/>
      <c r="E832" s="738"/>
      <c r="F832" s="738"/>
      <c r="G832" s="738"/>
      <c r="H832" s="738"/>
      <c r="I832" s="738"/>
      <c r="J832" s="738"/>
      <c r="K832" s="738"/>
      <c r="L832" s="738"/>
      <c r="M832" s="738"/>
      <c r="N832" s="738"/>
      <c r="O832" s="738"/>
      <c r="P832" s="738"/>
      <c r="Q832" s="738"/>
      <c r="R832" s="738"/>
      <c r="S832" s="738"/>
      <c r="T832" s="738"/>
      <c r="U832" s="738"/>
      <c r="V832" s="738"/>
      <c r="W832" s="738"/>
      <c r="X832" s="738"/>
      <c r="Y832" s="738"/>
      <c r="Z832" s="738"/>
    </row>
    <row r="833">
      <c r="A833" s="738"/>
      <c r="B833" s="738"/>
      <c r="C833" s="738"/>
      <c r="D833" s="738"/>
      <c r="E833" s="738"/>
      <c r="F833" s="738"/>
      <c r="G833" s="738"/>
      <c r="H833" s="738"/>
      <c r="I833" s="738"/>
      <c r="J833" s="738"/>
      <c r="K833" s="738"/>
      <c r="L833" s="738"/>
      <c r="M833" s="738"/>
      <c r="N833" s="738"/>
      <c r="O833" s="738"/>
      <c r="P833" s="738"/>
      <c r="Q833" s="738"/>
      <c r="R833" s="738"/>
      <c r="S833" s="738"/>
      <c r="T833" s="738"/>
      <c r="U833" s="738"/>
      <c r="V833" s="738"/>
      <c r="W833" s="738"/>
      <c r="X833" s="738"/>
      <c r="Y833" s="738"/>
      <c r="Z833" s="738"/>
    </row>
    <row r="834">
      <c r="A834" s="738"/>
      <c r="B834" s="738"/>
      <c r="C834" s="738"/>
      <c r="D834" s="738"/>
      <c r="E834" s="738"/>
      <c r="F834" s="738"/>
      <c r="G834" s="738"/>
      <c r="H834" s="738"/>
      <c r="I834" s="738"/>
      <c r="J834" s="738"/>
      <c r="K834" s="738"/>
      <c r="L834" s="738"/>
      <c r="M834" s="738"/>
      <c r="N834" s="738"/>
      <c r="O834" s="738"/>
      <c r="P834" s="738"/>
      <c r="Q834" s="738"/>
      <c r="R834" s="738"/>
      <c r="S834" s="738"/>
      <c r="T834" s="738"/>
      <c r="U834" s="738"/>
      <c r="V834" s="738"/>
      <c r="W834" s="738"/>
      <c r="X834" s="738"/>
      <c r="Y834" s="738"/>
      <c r="Z834" s="738"/>
    </row>
    <row r="835">
      <c r="A835" s="738"/>
      <c r="B835" s="738"/>
      <c r="C835" s="738"/>
      <c r="D835" s="738"/>
      <c r="E835" s="738"/>
      <c r="F835" s="738"/>
      <c r="G835" s="738"/>
      <c r="H835" s="738"/>
      <c r="I835" s="738"/>
      <c r="J835" s="738"/>
      <c r="K835" s="738"/>
      <c r="L835" s="738"/>
      <c r="M835" s="738"/>
      <c r="N835" s="738"/>
      <c r="O835" s="738"/>
      <c r="P835" s="738"/>
      <c r="Q835" s="738"/>
      <c r="R835" s="738"/>
      <c r="S835" s="738"/>
      <c r="T835" s="738"/>
      <c r="U835" s="738"/>
      <c r="V835" s="738"/>
      <c r="W835" s="738"/>
      <c r="X835" s="738"/>
      <c r="Y835" s="738"/>
      <c r="Z835" s="738"/>
    </row>
    <row r="836">
      <c r="A836" s="738"/>
      <c r="B836" s="738"/>
      <c r="C836" s="738"/>
      <c r="D836" s="738"/>
      <c r="E836" s="738"/>
      <c r="F836" s="738"/>
      <c r="G836" s="738"/>
      <c r="H836" s="738"/>
      <c r="I836" s="738"/>
      <c r="J836" s="738"/>
      <c r="K836" s="738"/>
      <c r="L836" s="738"/>
      <c r="M836" s="738"/>
      <c r="N836" s="738"/>
      <c r="O836" s="738"/>
      <c r="P836" s="738"/>
      <c r="Q836" s="738"/>
      <c r="R836" s="738"/>
      <c r="S836" s="738"/>
      <c r="T836" s="738"/>
      <c r="U836" s="738"/>
      <c r="V836" s="738"/>
      <c r="W836" s="738"/>
      <c r="X836" s="738"/>
      <c r="Y836" s="738"/>
      <c r="Z836" s="738"/>
    </row>
    <row r="837">
      <c r="A837" s="738"/>
      <c r="B837" s="738"/>
      <c r="C837" s="738"/>
      <c r="D837" s="738"/>
      <c r="E837" s="738"/>
      <c r="F837" s="738"/>
      <c r="G837" s="738"/>
      <c r="H837" s="738"/>
      <c r="I837" s="738"/>
      <c r="J837" s="738"/>
      <c r="K837" s="738"/>
      <c r="L837" s="738"/>
      <c r="M837" s="738"/>
      <c r="N837" s="738"/>
      <c r="O837" s="738"/>
      <c r="P837" s="738"/>
      <c r="Q837" s="738"/>
      <c r="R837" s="738"/>
      <c r="S837" s="738"/>
      <c r="T837" s="738"/>
      <c r="U837" s="738"/>
      <c r="V837" s="738"/>
      <c r="W837" s="738"/>
      <c r="X837" s="738"/>
      <c r="Y837" s="738"/>
      <c r="Z837" s="738"/>
    </row>
    <row r="838">
      <c r="A838" s="738"/>
      <c r="B838" s="738"/>
      <c r="C838" s="738"/>
      <c r="D838" s="738"/>
      <c r="E838" s="738"/>
      <c r="F838" s="738"/>
      <c r="G838" s="738"/>
      <c r="H838" s="738"/>
      <c r="I838" s="738"/>
      <c r="J838" s="738"/>
      <c r="K838" s="738"/>
      <c r="L838" s="738"/>
      <c r="M838" s="738"/>
      <c r="N838" s="738"/>
      <c r="O838" s="738"/>
      <c r="P838" s="738"/>
      <c r="Q838" s="738"/>
      <c r="R838" s="738"/>
      <c r="S838" s="738"/>
      <c r="T838" s="738"/>
      <c r="U838" s="738"/>
      <c r="V838" s="738"/>
      <c r="W838" s="738"/>
      <c r="X838" s="738"/>
      <c r="Y838" s="738"/>
      <c r="Z838" s="738"/>
    </row>
    <row r="839">
      <c r="A839" s="738"/>
      <c r="B839" s="738"/>
      <c r="C839" s="738"/>
      <c r="D839" s="738"/>
      <c r="E839" s="738"/>
      <c r="F839" s="738"/>
      <c r="G839" s="738"/>
      <c r="H839" s="738"/>
      <c r="I839" s="738"/>
      <c r="J839" s="738"/>
      <c r="K839" s="738"/>
      <c r="L839" s="738"/>
      <c r="M839" s="738"/>
      <c r="N839" s="738"/>
      <c r="O839" s="738"/>
      <c r="P839" s="738"/>
      <c r="Q839" s="738"/>
      <c r="R839" s="738"/>
      <c r="S839" s="738"/>
      <c r="T839" s="738"/>
      <c r="U839" s="738"/>
      <c r="V839" s="738"/>
      <c r="W839" s="738"/>
      <c r="X839" s="738"/>
      <c r="Y839" s="738"/>
      <c r="Z839" s="738"/>
    </row>
    <row r="840">
      <c r="A840" s="738"/>
      <c r="B840" s="738"/>
      <c r="C840" s="738"/>
      <c r="D840" s="738"/>
      <c r="E840" s="738"/>
      <c r="F840" s="738"/>
      <c r="G840" s="738"/>
      <c r="H840" s="738"/>
      <c r="I840" s="738"/>
      <c r="J840" s="738"/>
      <c r="K840" s="738"/>
      <c r="L840" s="738"/>
      <c r="M840" s="738"/>
      <c r="N840" s="738"/>
      <c r="O840" s="738"/>
      <c r="P840" s="738"/>
      <c r="Q840" s="738"/>
      <c r="R840" s="738"/>
      <c r="S840" s="738"/>
      <c r="T840" s="738"/>
      <c r="U840" s="738"/>
      <c r="V840" s="738"/>
      <c r="W840" s="738"/>
      <c r="X840" s="738"/>
      <c r="Y840" s="738"/>
      <c r="Z840" s="738"/>
    </row>
    <row r="841">
      <c r="A841" s="738"/>
      <c r="B841" s="738"/>
      <c r="C841" s="738"/>
      <c r="D841" s="738"/>
      <c r="E841" s="738"/>
      <c r="F841" s="738"/>
      <c r="G841" s="738"/>
      <c r="H841" s="738"/>
      <c r="I841" s="738"/>
      <c r="J841" s="738"/>
      <c r="K841" s="738"/>
      <c r="L841" s="738"/>
      <c r="M841" s="738"/>
      <c r="N841" s="738"/>
      <c r="O841" s="738"/>
      <c r="P841" s="738"/>
      <c r="Q841" s="738"/>
      <c r="R841" s="738"/>
      <c r="S841" s="738"/>
      <c r="T841" s="738"/>
      <c r="U841" s="738"/>
      <c r="V841" s="738"/>
      <c r="W841" s="738"/>
      <c r="X841" s="738"/>
      <c r="Y841" s="738"/>
      <c r="Z841" s="738"/>
    </row>
    <row r="842">
      <c r="A842" s="738"/>
      <c r="B842" s="738"/>
      <c r="C842" s="738"/>
      <c r="D842" s="738"/>
      <c r="E842" s="738"/>
      <c r="F842" s="738"/>
      <c r="G842" s="738"/>
      <c r="H842" s="738"/>
      <c r="I842" s="738"/>
      <c r="J842" s="738"/>
      <c r="K842" s="738"/>
      <c r="L842" s="738"/>
      <c r="M842" s="738"/>
      <c r="N842" s="738"/>
      <c r="O842" s="738"/>
      <c r="P842" s="738"/>
      <c r="Q842" s="738"/>
      <c r="R842" s="738"/>
      <c r="S842" s="738"/>
      <c r="T842" s="738"/>
      <c r="U842" s="738"/>
      <c r="V842" s="738"/>
      <c r="W842" s="738"/>
      <c r="X842" s="738"/>
      <c r="Y842" s="738"/>
      <c r="Z842" s="738"/>
    </row>
    <row r="843">
      <c r="A843" s="738"/>
      <c r="B843" s="738"/>
      <c r="C843" s="738"/>
      <c r="D843" s="738"/>
      <c r="E843" s="738"/>
      <c r="F843" s="738"/>
      <c r="G843" s="738"/>
      <c r="H843" s="738"/>
      <c r="I843" s="738"/>
      <c r="J843" s="738"/>
      <c r="K843" s="738"/>
      <c r="L843" s="738"/>
      <c r="M843" s="738"/>
      <c r="N843" s="738"/>
      <c r="O843" s="738"/>
      <c r="P843" s="738"/>
      <c r="Q843" s="738"/>
      <c r="R843" s="738"/>
      <c r="S843" s="738"/>
      <c r="T843" s="738"/>
      <c r="U843" s="738"/>
      <c r="V843" s="738"/>
      <c r="W843" s="738"/>
      <c r="X843" s="738"/>
      <c r="Y843" s="738"/>
      <c r="Z843" s="738"/>
    </row>
    <row r="844">
      <c r="A844" s="738"/>
      <c r="B844" s="738"/>
      <c r="C844" s="738"/>
      <c r="D844" s="738"/>
      <c r="E844" s="738"/>
      <c r="F844" s="738"/>
      <c r="G844" s="738"/>
      <c r="H844" s="738"/>
      <c r="I844" s="738"/>
      <c r="J844" s="738"/>
      <c r="K844" s="738"/>
      <c r="L844" s="738"/>
      <c r="M844" s="738"/>
      <c r="N844" s="738"/>
      <c r="O844" s="738"/>
      <c r="P844" s="738"/>
      <c r="Q844" s="738"/>
      <c r="R844" s="738"/>
      <c r="S844" s="738"/>
      <c r="T844" s="738"/>
      <c r="U844" s="738"/>
      <c r="V844" s="738"/>
      <c r="W844" s="738"/>
      <c r="X844" s="738"/>
      <c r="Y844" s="738"/>
      <c r="Z844" s="738"/>
    </row>
    <row r="845">
      <c r="A845" s="738"/>
      <c r="B845" s="738"/>
      <c r="C845" s="738"/>
      <c r="D845" s="738"/>
      <c r="E845" s="738"/>
      <c r="F845" s="738"/>
      <c r="G845" s="738"/>
      <c r="H845" s="738"/>
      <c r="I845" s="738"/>
      <c r="J845" s="738"/>
      <c r="K845" s="738"/>
      <c r="L845" s="738"/>
      <c r="M845" s="738"/>
      <c r="N845" s="738"/>
      <c r="O845" s="738"/>
      <c r="P845" s="738"/>
      <c r="Q845" s="738"/>
      <c r="R845" s="738"/>
      <c r="S845" s="738"/>
      <c r="T845" s="738"/>
      <c r="U845" s="738"/>
      <c r="V845" s="738"/>
      <c r="W845" s="738"/>
      <c r="X845" s="738"/>
      <c r="Y845" s="738"/>
      <c r="Z845" s="738"/>
    </row>
    <row r="846">
      <c r="A846" s="738"/>
      <c r="B846" s="738"/>
      <c r="C846" s="738"/>
      <c r="D846" s="738"/>
      <c r="E846" s="738"/>
      <c r="F846" s="738"/>
      <c r="G846" s="738"/>
      <c r="H846" s="738"/>
      <c r="I846" s="738"/>
      <c r="J846" s="738"/>
      <c r="K846" s="738"/>
      <c r="L846" s="738"/>
      <c r="M846" s="738"/>
      <c r="N846" s="738"/>
      <c r="O846" s="738"/>
      <c r="P846" s="738"/>
      <c r="Q846" s="738"/>
      <c r="R846" s="738"/>
      <c r="S846" s="738"/>
      <c r="T846" s="738"/>
      <c r="U846" s="738"/>
      <c r="V846" s="738"/>
      <c r="W846" s="738"/>
      <c r="X846" s="738"/>
      <c r="Y846" s="738"/>
      <c r="Z846" s="738"/>
    </row>
    <row r="847">
      <c r="A847" s="738"/>
      <c r="B847" s="738"/>
      <c r="C847" s="738"/>
      <c r="D847" s="738"/>
      <c r="E847" s="738"/>
      <c r="F847" s="738"/>
      <c r="G847" s="738"/>
      <c r="H847" s="738"/>
      <c r="I847" s="738"/>
      <c r="J847" s="738"/>
      <c r="K847" s="738"/>
      <c r="L847" s="738"/>
      <c r="M847" s="738"/>
      <c r="N847" s="738"/>
      <c r="O847" s="738"/>
      <c r="P847" s="738"/>
      <c r="Q847" s="738"/>
      <c r="R847" s="738"/>
      <c r="S847" s="738"/>
      <c r="T847" s="738"/>
      <c r="U847" s="738"/>
      <c r="V847" s="738"/>
      <c r="W847" s="738"/>
      <c r="X847" s="738"/>
      <c r="Y847" s="738"/>
      <c r="Z847" s="738"/>
    </row>
    <row r="848">
      <c r="A848" s="738"/>
      <c r="B848" s="738"/>
      <c r="C848" s="738"/>
      <c r="D848" s="738"/>
      <c r="E848" s="738"/>
      <c r="F848" s="738"/>
      <c r="G848" s="738"/>
      <c r="H848" s="738"/>
      <c r="I848" s="738"/>
      <c r="J848" s="738"/>
      <c r="K848" s="738"/>
      <c r="L848" s="738"/>
      <c r="M848" s="738"/>
      <c r="N848" s="738"/>
      <c r="O848" s="738"/>
      <c r="P848" s="738"/>
      <c r="Q848" s="738"/>
      <c r="R848" s="738"/>
      <c r="S848" s="738"/>
      <c r="T848" s="738"/>
      <c r="U848" s="738"/>
      <c r="V848" s="738"/>
      <c r="W848" s="738"/>
      <c r="X848" s="738"/>
      <c r="Y848" s="738"/>
      <c r="Z848" s="738"/>
    </row>
    <row r="849">
      <c r="A849" s="738"/>
      <c r="B849" s="738"/>
      <c r="C849" s="738"/>
      <c r="D849" s="738"/>
      <c r="E849" s="738"/>
      <c r="F849" s="738"/>
      <c r="G849" s="738"/>
      <c r="H849" s="738"/>
      <c r="I849" s="738"/>
      <c r="J849" s="738"/>
      <c r="K849" s="738"/>
      <c r="L849" s="738"/>
      <c r="M849" s="738"/>
      <c r="N849" s="738"/>
      <c r="O849" s="738"/>
      <c r="P849" s="738"/>
      <c r="Q849" s="738"/>
      <c r="R849" s="738"/>
      <c r="S849" s="738"/>
      <c r="T849" s="738"/>
      <c r="U849" s="738"/>
      <c r="V849" s="738"/>
      <c r="W849" s="738"/>
      <c r="X849" s="738"/>
      <c r="Y849" s="738"/>
      <c r="Z849" s="738"/>
    </row>
    <row r="850">
      <c r="A850" s="738"/>
      <c r="B850" s="738"/>
      <c r="C850" s="738"/>
      <c r="D850" s="738"/>
      <c r="E850" s="738"/>
      <c r="F850" s="738"/>
      <c r="G850" s="738"/>
      <c r="H850" s="738"/>
      <c r="I850" s="738"/>
      <c r="J850" s="738"/>
      <c r="K850" s="738"/>
      <c r="L850" s="738"/>
      <c r="M850" s="738"/>
      <c r="N850" s="738"/>
      <c r="O850" s="738"/>
      <c r="P850" s="738"/>
      <c r="Q850" s="738"/>
      <c r="R850" s="738"/>
      <c r="S850" s="738"/>
      <c r="T850" s="738"/>
      <c r="U850" s="738"/>
      <c r="V850" s="738"/>
      <c r="W850" s="738"/>
      <c r="X850" s="738"/>
      <c r="Y850" s="738"/>
      <c r="Z850" s="738"/>
    </row>
    <row r="851">
      <c r="A851" s="738"/>
      <c r="B851" s="738"/>
      <c r="C851" s="738"/>
      <c r="D851" s="738"/>
      <c r="E851" s="738"/>
      <c r="F851" s="738"/>
      <c r="G851" s="738"/>
      <c r="H851" s="738"/>
      <c r="I851" s="738"/>
      <c r="J851" s="738"/>
      <c r="K851" s="738"/>
      <c r="L851" s="738"/>
      <c r="M851" s="738"/>
      <c r="N851" s="738"/>
      <c r="O851" s="738"/>
      <c r="P851" s="738"/>
      <c r="Q851" s="738"/>
      <c r="R851" s="738"/>
      <c r="S851" s="738"/>
      <c r="T851" s="738"/>
      <c r="U851" s="738"/>
      <c r="V851" s="738"/>
      <c r="W851" s="738"/>
      <c r="X851" s="738"/>
      <c r="Y851" s="738"/>
      <c r="Z851" s="738"/>
    </row>
    <row r="852">
      <c r="A852" s="738"/>
      <c r="B852" s="738"/>
      <c r="C852" s="738"/>
      <c r="D852" s="738"/>
      <c r="E852" s="738"/>
      <c r="F852" s="738"/>
      <c r="G852" s="738"/>
      <c r="H852" s="738"/>
      <c r="I852" s="738"/>
      <c r="J852" s="738"/>
      <c r="K852" s="738"/>
      <c r="L852" s="738"/>
      <c r="M852" s="738"/>
      <c r="N852" s="738"/>
      <c r="O852" s="738"/>
      <c r="P852" s="738"/>
      <c r="Q852" s="738"/>
      <c r="R852" s="738"/>
      <c r="S852" s="738"/>
      <c r="T852" s="738"/>
      <c r="U852" s="738"/>
      <c r="V852" s="738"/>
      <c r="W852" s="738"/>
      <c r="X852" s="738"/>
      <c r="Y852" s="738"/>
      <c r="Z852" s="738"/>
    </row>
    <row r="853">
      <c r="A853" s="738"/>
      <c r="B853" s="738"/>
      <c r="C853" s="738"/>
      <c r="D853" s="738"/>
      <c r="E853" s="738"/>
      <c r="F853" s="738"/>
      <c r="G853" s="738"/>
      <c r="H853" s="738"/>
      <c r="I853" s="738"/>
      <c r="J853" s="738"/>
      <c r="K853" s="738"/>
      <c r="L853" s="738"/>
      <c r="M853" s="738"/>
      <c r="N853" s="738"/>
      <c r="O853" s="738"/>
      <c r="P853" s="738"/>
      <c r="Q853" s="738"/>
      <c r="R853" s="738"/>
      <c r="S853" s="738"/>
      <c r="T853" s="738"/>
      <c r="U853" s="738"/>
      <c r="V853" s="738"/>
      <c r="W853" s="738"/>
      <c r="X853" s="738"/>
      <c r="Y853" s="738"/>
      <c r="Z853" s="738"/>
    </row>
    <row r="854">
      <c r="A854" s="738"/>
      <c r="B854" s="738"/>
      <c r="C854" s="738"/>
      <c r="D854" s="738"/>
      <c r="E854" s="738"/>
      <c r="F854" s="738"/>
      <c r="G854" s="738"/>
      <c r="H854" s="738"/>
      <c r="I854" s="738"/>
      <c r="J854" s="738"/>
      <c r="K854" s="738"/>
      <c r="L854" s="738"/>
      <c r="M854" s="738"/>
      <c r="N854" s="738"/>
      <c r="O854" s="738"/>
      <c r="P854" s="738"/>
      <c r="Q854" s="738"/>
      <c r="R854" s="738"/>
      <c r="S854" s="738"/>
      <c r="T854" s="738"/>
      <c r="U854" s="738"/>
      <c r="V854" s="738"/>
      <c r="W854" s="738"/>
      <c r="X854" s="738"/>
      <c r="Y854" s="738"/>
      <c r="Z854" s="738"/>
    </row>
    <row r="855">
      <c r="A855" s="738"/>
      <c r="B855" s="738"/>
      <c r="C855" s="738"/>
      <c r="D855" s="738"/>
      <c r="E855" s="738"/>
      <c r="F855" s="738"/>
      <c r="G855" s="738"/>
      <c r="H855" s="738"/>
      <c r="I855" s="738"/>
      <c r="J855" s="738"/>
      <c r="K855" s="738"/>
      <c r="L855" s="738"/>
      <c r="M855" s="738"/>
      <c r="N855" s="738"/>
      <c r="O855" s="738"/>
      <c r="P855" s="738"/>
      <c r="Q855" s="738"/>
      <c r="R855" s="738"/>
      <c r="S855" s="738"/>
      <c r="T855" s="738"/>
      <c r="U855" s="738"/>
      <c r="V855" s="738"/>
      <c r="W855" s="738"/>
      <c r="X855" s="738"/>
      <c r="Y855" s="738"/>
      <c r="Z855" s="738"/>
    </row>
    <row r="856">
      <c r="A856" s="738"/>
      <c r="B856" s="738"/>
      <c r="C856" s="738"/>
      <c r="D856" s="738"/>
      <c r="E856" s="738"/>
      <c r="F856" s="738"/>
      <c r="G856" s="738"/>
      <c r="H856" s="738"/>
      <c r="I856" s="738"/>
      <c r="J856" s="738"/>
      <c r="K856" s="738"/>
      <c r="L856" s="738"/>
      <c r="M856" s="738"/>
      <c r="N856" s="738"/>
      <c r="O856" s="738"/>
      <c r="P856" s="738"/>
      <c r="Q856" s="738"/>
      <c r="R856" s="738"/>
      <c r="S856" s="738"/>
      <c r="T856" s="738"/>
      <c r="U856" s="738"/>
      <c r="V856" s="738"/>
      <c r="W856" s="738"/>
      <c r="X856" s="738"/>
      <c r="Y856" s="738"/>
      <c r="Z856" s="738"/>
    </row>
    <row r="857">
      <c r="A857" s="738"/>
      <c r="B857" s="738"/>
      <c r="C857" s="738"/>
      <c r="D857" s="738"/>
      <c r="E857" s="738"/>
      <c r="F857" s="738"/>
      <c r="G857" s="738"/>
      <c r="H857" s="738"/>
      <c r="I857" s="738"/>
      <c r="J857" s="738"/>
      <c r="K857" s="738"/>
      <c r="L857" s="738"/>
      <c r="M857" s="738"/>
      <c r="N857" s="738"/>
      <c r="O857" s="738"/>
      <c r="P857" s="738"/>
      <c r="Q857" s="738"/>
      <c r="R857" s="738"/>
      <c r="S857" s="738"/>
      <c r="T857" s="738"/>
      <c r="U857" s="738"/>
      <c r="V857" s="738"/>
      <c r="W857" s="738"/>
      <c r="X857" s="738"/>
      <c r="Y857" s="738"/>
      <c r="Z857" s="738"/>
    </row>
    <row r="858">
      <c r="A858" s="738"/>
      <c r="B858" s="738"/>
      <c r="C858" s="738"/>
      <c r="D858" s="738"/>
      <c r="E858" s="738"/>
      <c r="F858" s="738"/>
      <c r="G858" s="738"/>
      <c r="H858" s="738"/>
      <c r="I858" s="738"/>
      <c r="J858" s="738"/>
      <c r="K858" s="738"/>
      <c r="L858" s="738"/>
      <c r="M858" s="738"/>
      <c r="N858" s="738"/>
      <c r="O858" s="738"/>
      <c r="P858" s="738"/>
      <c r="Q858" s="738"/>
      <c r="R858" s="738"/>
      <c r="S858" s="738"/>
      <c r="T858" s="738"/>
      <c r="U858" s="738"/>
      <c r="V858" s="738"/>
      <c r="W858" s="738"/>
      <c r="X858" s="738"/>
      <c r="Y858" s="738"/>
      <c r="Z858" s="738"/>
    </row>
    <row r="859">
      <c r="A859" s="738"/>
      <c r="B859" s="738"/>
      <c r="C859" s="738"/>
      <c r="D859" s="738"/>
      <c r="E859" s="738"/>
      <c r="F859" s="738"/>
      <c r="G859" s="738"/>
      <c r="H859" s="738"/>
      <c r="I859" s="738"/>
      <c r="J859" s="738"/>
      <c r="K859" s="738"/>
      <c r="L859" s="738"/>
      <c r="M859" s="738"/>
      <c r="N859" s="738"/>
      <c r="O859" s="738"/>
      <c r="P859" s="738"/>
      <c r="Q859" s="738"/>
      <c r="R859" s="738"/>
      <c r="S859" s="738"/>
      <c r="T859" s="738"/>
      <c r="U859" s="738"/>
      <c r="V859" s="738"/>
      <c r="W859" s="738"/>
      <c r="X859" s="738"/>
      <c r="Y859" s="738"/>
      <c r="Z859" s="738"/>
    </row>
    <row r="860">
      <c r="A860" s="738"/>
      <c r="B860" s="738"/>
      <c r="C860" s="738"/>
      <c r="D860" s="738"/>
      <c r="E860" s="738"/>
      <c r="F860" s="738"/>
      <c r="G860" s="738"/>
      <c r="H860" s="738"/>
      <c r="I860" s="738"/>
      <c r="J860" s="738"/>
      <c r="K860" s="738"/>
      <c r="L860" s="738"/>
      <c r="M860" s="738"/>
      <c r="N860" s="738"/>
      <c r="O860" s="738"/>
      <c r="P860" s="738"/>
      <c r="Q860" s="738"/>
      <c r="R860" s="738"/>
      <c r="S860" s="738"/>
      <c r="T860" s="738"/>
      <c r="U860" s="738"/>
      <c r="V860" s="738"/>
      <c r="W860" s="738"/>
      <c r="X860" s="738"/>
      <c r="Y860" s="738"/>
      <c r="Z860" s="738"/>
    </row>
    <row r="861">
      <c r="A861" s="738"/>
      <c r="B861" s="738"/>
      <c r="C861" s="738"/>
      <c r="D861" s="738"/>
      <c r="E861" s="738"/>
      <c r="F861" s="738"/>
      <c r="G861" s="738"/>
      <c r="H861" s="738"/>
      <c r="I861" s="738"/>
      <c r="J861" s="738"/>
      <c r="K861" s="738"/>
      <c r="L861" s="738"/>
      <c r="M861" s="738"/>
      <c r="N861" s="738"/>
      <c r="O861" s="738"/>
      <c r="P861" s="738"/>
      <c r="Q861" s="738"/>
      <c r="R861" s="738"/>
      <c r="S861" s="738"/>
      <c r="T861" s="738"/>
      <c r="U861" s="738"/>
      <c r="V861" s="738"/>
      <c r="W861" s="738"/>
      <c r="X861" s="738"/>
      <c r="Y861" s="738"/>
      <c r="Z861" s="738"/>
    </row>
    <row r="862">
      <c r="A862" s="738"/>
      <c r="B862" s="738"/>
      <c r="C862" s="738"/>
      <c r="D862" s="738"/>
      <c r="E862" s="738"/>
      <c r="F862" s="738"/>
      <c r="G862" s="738"/>
      <c r="H862" s="738"/>
      <c r="I862" s="738"/>
      <c r="J862" s="738"/>
      <c r="K862" s="738"/>
      <c r="L862" s="738"/>
      <c r="M862" s="738"/>
      <c r="N862" s="738"/>
      <c r="O862" s="738"/>
      <c r="P862" s="738"/>
      <c r="Q862" s="738"/>
      <c r="R862" s="738"/>
      <c r="S862" s="738"/>
      <c r="T862" s="738"/>
      <c r="U862" s="738"/>
      <c r="V862" s="738"/>
      <c r="W862" s="738"/>
      <c r="X862" s="738"/>
      <c r="Y862" s="738"/>
      <c r="Z862" s="738"/>
    </row>
    <row r="863">
      <c r="A863" s="738"/>
      <c r="B863" s="738"/>
      <c r="C863" s="738"/>
      <c r="D863" s="738"/>
      <c r="E863" s="738"/>
      <c r="F863" s="738"/>
      <c r="G863" s="738"/>
      <c r="H863" s="738"/>
      <c r="I863" s="738"/>
      <c r="J863" s="738"/>
      <c r="K863" s="738"/>
      <c r="L863" s="738"/>
      <c r="M863" s="738"/>
      <c r="N863" s="738"/>
      <c r="O863" s="738"/>
      <c r="P863" s="738"/>
      <c r="Q863" s="738"/>
      <c r="R863" s="738"/>
      <c r="S863" s="738"/>
      <c r="T863" s="738"/>
      <c r="U863" s="738"/>
      <c r="V863" s="738"/>
      <c r="W863" s="738"/>
      <c r="X863" s="738"/>
      <c r="Y863" s="738"/>
      <c r="Z863" s="738"/>
    </row>
    <row r="864">
      <c r="A864" s="738"/>
      <c r="B864" s="738"/>
      <c r="C864" s="738"/>
      <c r="D864" s="738"/>
      <c r="E864" s="738"/>
      <c r="F864" s="738"/>
      <c r="G864" s="738"/>
      <c r="H864" s="738"/>
      <c r="I864" s="738"/>
      <c r="J864" s="738"/>
      <c r="K864" s="738"/>
      <c r="L864" s="738"/>
      <c r="M864" s="738"/>
      <c r="N864" s="738"/>
      <c r="O864" s="738"/>
      <c r="P864" s="738"/>
      <c r="Q864" s="738"/>
      <c r="R864" s="738"/>
      <c r="S864" s="738"/>
      <c r="T864" s="738"/>
      <c r="U864" s="738"/>
      <c r="V864" s="738"/>
      <c r="W864" s="738"/>
      <c r="X864" s="738"/>
      <c r="Y864" s="738"/>
      <c r="Z864" s="738"/>
    </row>
    <row r="865">
      <c r="A865" s="738"/>
      <c r="B865" s="738"/>
      <c r="C865" s="738"/>
      <c r="D865" s="738"/>
      <c r="E865" s="738"/>
      <c r="F865" s="738"/>
      <c r="G865" s="738"/>
      <c r="H865" s="738"/>
      <c r="I865" s="738"/>
      <c r="J865" s="738"/>
      <c r="K865" s="738"/>
      <c r="L865" s="738"/>
      <c r="M865" s="738"/>
      <c r="N865" s="738"/>
      <c r="O865" s="738"/>
      <c r="P865" s="738"/>
      <c r="Q865" s="738"/>
      <c r="R865" s="738"/>
      <c r="S865" s="738"/>
      <c r="T865" s="738"/>
      <c r="U865" s="738"/>
      <c r="V865" s="738"/>
      <c r="W865" s="738"/>
      <c r="X865" s="738"/>
      <c r="Y865" s="738"/>
      <c r="Z865" s="738"/>
    </row>
    <row r="866">
      <c r="A866" s="738"/>
      <c r="B866" s="738"/>
      <c r="C866" s="738"/>
      <c r="D866" s="738"/>
      <c r="E866" s="738"/>
      <c r="F866" s="738"/>
      <c r="G866" s="738"/>
      <c r="H866" s="738"/>
      <c r="I866" s="738"/>
      <c r="J866" s="738"/>
      <c r="K866" s="738"/>
      <c r="L866" s="738"/>
      <c r="M866" s="738"/>
      <c r="N866" s="738"/>
      <c r="O866" s="738"/>
      <c r="P866" s="738"/>
      <c r="Q866" s="738"/>
      <c r="R866" s="738"/>
      <c r="S866" s="738"/>
      <c r="T866" s="738"/>
      <c r="U866" s="738"/>
      <c r="V866" s="738"/>
      <c r="W866" s="738"/>
      <c r="X866" s="738"/>
      <c r="Y866" s="738"/>
      <c r="Z866" s="738"/>
    </row>
    <row r="867">
      <c r="A867" s="738"/>
      <c r="B867" s="738"/>
      <c r="C867" s="738"/>
      <c r="D867" s="738"/>
      <c r="E867" s="738"/>
      <c r="F867" s="738"/>
      <c r="G867" s="738"/>
      <c r="H867" s="738"/>
      <c r="I867" s="738"/>
      <c r="J867" s="738"/>
      <c r="K867" s="738"/>
      <c r="L867" s="738"/>
      <c r="M867" s="738"/>
      <c r="N867" s="738"/>
      <c r="O867" s="738"/>
      <c r="P867" s="738"/>
      <c r="Q867" s="738"/>
      <c r="R867" s="738"/>
      <c r="S867" s="738"/>
      <c r="T867" s="738"/>
      <c r="U867" s="738"/>
      <c r="V867" s="738"/>
      <c r="W867" s="738"/>
      <c r="X867" s="738"/>
      <c r="Y867" s="738"/>
      <c r="Z867" s="738"/>
    </row>
    <row r="868">
      <c r="A868" s="738"/>
      <c r="B868" s="738"/>
      <c r="C868" s="738"/>
      <c r="D868" s="738"/>
      <c r="E868" s="738"/>
      <c r="F868" s="738"/>
      <c r="G868" s="738"/>
      <c r="H868" s="738"/>
      <c r="I868" s="738"/>
      <c r="J868" s="738"/>
      <c r="K868" s="738"/>
      <c r="L868" s="738"/>
      <c r="M868" s="738"/>
      <c r="N868" s="738"/>
      <c r="O868" s="738"/>
      <c r="P868" s="738"/>
      <c r="Q868" s="738"/>
      <c r="R868" s="738"/>
      <c r="S868" s="738"/>
      <c r="T868" s="738"/>
      <c r="U868" s="738"/>
      <c r="V868" s="738"/>
      <c r="W868" s="738"/>
      <c r="X868" s="738"/>
      <c r="Y868" s="738"/>
      <c r="Z868" s="738"/>
    </row>
    <row r="869">
      <c r="A869" s="738"/>
      <c r="B869" s="738"/>
      <c r="C869" s="738"/>
      <c r="D869" s="738"/>
      <c r="E869" s="738"/>
      <c r="F869" s="738"/>
      <c r="G869" s="738"/>
      <c r="H869" s="738"/>
      <c r="I869" s="738"/>
      <c r="J869" s="738"/>
      <c r="K869" s="738"/>
      <c r="L869" s="738"/>
      <c r="M869" s="738"/>
      <c r="N869" s="738"/>
      <c r="O869" s="738"/>
      <c r="P869" s="738"/>
      <c r="Q869" s="738"/>
      <c r="R869" s="738"/>
      <c r="S869" s="738"/>
      <c r="T869" s="738"/>
      <c r="U869" s="738"/>
      <c r="V869" s="738"/>
      <c r="W869" s="738"/>
      <c r="X869" s="738"/>
      <c r="Y869" s="738"/>
      <c r="Z869" s="738"/>
    </row>
    <row r="870">
      <c r="A870" s="738"/>
      <c r="B870" s="738"/>
      <c r="C870" s="738"/>
      <c r="D870" s="738"/>
      <c r="E870" s="738"/>
      <c r="F870" s="738"/>
      <c r="G870" s="738"/>
      <c r="H870" s="738"/>
      <c r="I870" s="738"/>
      <c r="J870" s="738"/>
      <c r="K870" s="738"/>
      <c r="L870" s="738"/>
      <c r="M870" s="738"/>
      <c r="N870" s="738"/>
      <c r="O870" s="738"/>
      <c r="P870" s="738"/>
      <c r="Q870" s="738"/>
      <c r="R870" s="738"/>
      <c r="S870" s="738"/>
      <c r="T870" s="738"/>
      <c r="U870" s="738"/>
      <c r="V870" s="738"/>
      <c r="W870" s="738"/>
      <c r="X870" s="738"/>
      <c r="Y870" s="738"/>
      <c r="Z870" s="738"/>
    </row>
    <row r="871">
      <c r="A871" s="738"/>
      <c r="B871" s="738"/>
      <c r="C871" s="738"/>
      <c r="D871" s="738"/>
      <c r="E871" s="738"/>
      <c r="F871" s="738"/>
      <c r="G871" s="738"/>
      <c r="H871" s="738"/>
      <c r="I871" s="738"/>
      <c r="J871" s="738"/>
      <c r="K871" s="738"/>
      <c r="L871" s="738"/>
      <c r="M871" s="738"/>
      <c r="N871" s="738"/>
      <c r="O871" s="738"/>
      <c r="P871" s="738"/>
      <c r="Q871" s="738"/>
      <c r="R871" s="738"/>
      <c r="S871" s="738"/>
      <c r="T871" s="738"/>
      <c r="U871" s="738"/>
      <c r="V871" s="738"/>
      <c r="W871" s="738"/>
      <c r="X871" s="738"/>
      <c r="Y871" s="738"/>
      <c r="Z871" s="738"/>
    </row>
    <row r="872">
      <c r="A872" s="738"/>
      <c r="B872" s="738"/>
      <c r="C872" s="738"/>
      <c r="D872" s="738"/>
      <c r="E872" s="738"/>
      <c r="F872" s="738"/>
      <c r="G872" s="738"/>
      <c r="H872" s="738"/>
      <c r="I872" s="738"/>
      <c r="J872" s="738"/>
      <c r="K872" s="738"/>
      <c r="L872" s="738"/>
      <c r="M872" s="738"/>
      <c r="N872" s="738"/>
      <c r="O872" s="738"/>
      <c r="P872" s="738"/>
      <c r="Q872" s="738"/>
      <c r="R872" s="738"/>
      <c r="S872" s="738"/>
      <c r="T872" s="738"/>
      <c r="U872" s="738"/>
      <c r="V872" s="738"/>
      <c r="W872" s="738"/>
      <c r="X872" s="738"/>
      <c r="Y872" s="738"/>
      <c r="Z872" s="738"/>
    </row>
    <row r="873">
      <c r="A873" s="738"/>
      <c r="B873" s="738"/>
      <c r="C873" s="738"/>
      <c r="D873" s="738"/>
      <c r="E873" s="738"/>
      <c r="F873" s="738"/>
      <c r="G873" s="738"/>
      <c r="H873" s="738"/>
      <c r="I873" s="738"/>
      <c r="J873" s="738"/>
      <c r="K873" s="738"/>
      <c r="L873" s="738"/>
      <c r="M873" s="738"/>
      <c r="N873" s="738"/>
      <c r="O873" s="738"/>
      <c r="P873" s="738"/>
      <c r="Q873" s="738"/>
      <c r="R873" s="738"/>
      <c r="S873" s="738"/>
      <c r="T873" s="738"/>
      <c r="U873" s="738"/>
      <c r="V873" s="738"/>
      <c r="W873" s="738"/>
      <c r="X873" s="738"/>
      <c r="Y873" s="738"/>
      <c r="Z873" s="738"/>
    </row>
    <row r="874">
      <c r="A874" s="738"/>
      <c r="B874" s="738"/>
      <c r="C874" s="738"/>
      <c r="D874" s="738"/>
      <c r="E874" s="738"/>
      <c r="F874" s="738"/>
      <c r="G874" s="738"/>
      <c r="H874" s="738"/>
      <c r="I874" s="738"/>
      <c r="J874" s="738"/>
      <c r="K874" s="738"/>
      <c r="L874" s="738"/>
      <c r="M874" s="738"/>
      <c r="N874" s="738"/>
      <c r="O874" s="738"/>
      <c r="P874" s="738"/>
      <c r="Q874" s="738"/>
      <c r="R874" s="738"/>
      <c r="S874" s="738"/>
      <c r="T874" s="738"/>
      <c r="U874" s="738"/>
      <c r="V874" s="738"/>
      <c r="W874" s="738"/>
      <c r="X874" s="738"/>
      <c r="Y874" s="738"/>
      <c r="Z874" s="738"/>
    </row>
    <row r="875">
      <c r="A875" s="738"/>
      <c r="B875" s="738"/>
      <c r="C875" s="738"/>
      <c r="D875" s="738"/>
      <c r="E875" s="738"/>
      <c r="F875" s="738"/>
      <c r="G875" s="738"/>
      <c r="H875" s="738"/>
      <c r="I875" s="738"/>
      <c r="J875" s="738"/>
      <c r="K875" s="738"/>
      <c r="L875" s="738"/>
      <c r="M875" s="738"/>
      <c r="N875" s="738"/>
      <c r="O875" s="738"/>
      <c r="P875" s="738"/>
      <c r="Q875" s="738"/>
      <c r="R875" s="738"/>
      <c r="S875" s="738"/>
      <c r="T875" s="738"/>
      <c r="U875" s="738"/>
      <c r="V875" s="738"/>
      <c r="W875" s="738"/>
      <c r="X875" s="738"/>
      <c r="Y875" s="738"/>
      <c r="Z875" s="738"/>
    </row>
    <row r="876">
      <c r="A876" s="738"/>
      <c r="B876" s="738"/>
      <c r="C876" s="738"/>
      <c r="D876" s="738"/>
      <c r="E876" s="738"/>
      <c r="F876" s="738"/>
      <c r="G876" s="738"/>
      <c r="H876" s="738"/>
      <c r="I876" s="738"/>
      <c r="J876" s="738"/>
      <c r="K876" s="738"/>
      <c r="L876" s="738"/>
      <c r="M876" s="738"/>
      <c r="N876" s="738"/>
      <c r="O876" s="738"/>
      <c r="P876" s="738"/>
      <c r="Q876" s="738"/>
      <c r="R876" s="738"/>
      <c r="S876" s="738"/>
      <c r="T876" s="738"/>
      <c r="U876" s="738"/>
      <c r="V876" s="738"/>
      <c r="W876" s="738"/>
      <c r="X876" s="738"/>
      <c r="Y876" s="738"/>
      <c r="Z876" s="738"/>
    </row>
    <row r="877">
      <c r="A877" s="738"/>
      <c r="B877" s="738"/>
      <c r="C877" s="738"/>
      <c r="D877" s="738"/>
      <c r="E877" s="738"/>
      <c r="F877" s="738"/>
      <c r="G877" s="738"/>
      <c r="H877" s="738"/>
      <c r="I877" s="738"/>
      <c r="J877" s="738"/>
      <c r="K877" s="738"/>
      <c r="L877" s="738"/>
      <c r="M877" s="738"/>
      <c r="N877" s="738"/>
      <c r="O877" s="738"/>
      <c r="P877" s="738"/>
      <c r="Q877" s="738"/>
      <c r="R877" s="738"/>
      <c r="S877" s="738"/>
      <c r="T877" s="738"/>
      <c r="U877" s="738"/>
      <c r="V877" s="738"/>
      <c r="W877" s="738"/>
      <c r="X877" s="738"/>
      <c r="Y877" s="738"/>
      <c r="Z877" s="738"/>
    </row>
    <row r="878">
      <c r="A878" s="738"/>
      <c r="B878" s="738"/>
      <c r="C878" s="738"/>
      <c r="D878" s="738"/>
      <c r="E878" s="738"/>
      <c r="F878" s="738"/>
      <c r="G878" s="738"/>
      <c r="H878" s="738"/>
      <c r="I878" s="738"/>
      <c r="J878" s="738"/>
      <c r="K878" s="738"/>
      <c r="L878" s="738"/>
      <c r="M878" s="738"/>
      <c r="N878" s="738"/>
      <c r="O878" s="738"/>
      <c r="P878" s="738"/>
      <c r="Q878" s="738"/>
      <c r="R878" s="738"/>
      <c r="S878" s="738"/>
      <c r="T878" s="738"/>
      <c r="U878" s="738"/>
      <c r="V878" s="738"/>
      <c r="W878" s="738"/>
      <c r="X878" s="738"/>
      <c r="Y878" s="738"/>
      <c r="Z878" s="738"/>
    </row>
    <row r="879">
      <c r="A879" s="738"/>
      <c r="B879" s="738"/>
      <c r="C879" s="738"/>
      <c r="D879" s="738"/>
      <c r="E879" s="738"/>
      <c r="F879" s="738"/>
      <c r="G879" s="738"/>
      <c r="H879" s="738"/>
      <c r="I879" s="738"/>
      <c r="J879" s="738"/>
      <c r="K879" s="738"/>
      <c r="L879" s="738"/>
      <c r="M879" s="738"/>
      <c r="N879" s="738"/>
      <c r="O879" s="738"/>
      <c r="P879" s="738"/>
      <c r="Q879" s="738"/>
      <c r="R879" s="738"/>
      <c r="S879" s="738"/>
      <c r="T879" s="738"/>
      <c r="U879" s="738"/>
      <c r="V879" s="738"/>
      <c r="W879" s="738"/>
      <c r="X879" s="738"/>
      <c r="Y879" s="738"/>
      <c r="Z879" s="738"/>
    </row>
    <row r="880">
      <c r="A880" s="738"/>
      <c r="B880" s="738"/>
      <c r="C880" s="738"/>
      <c r="D880" s="738"/>
      <c r="E880" s="738"/>
      <c r="F880" s="738"/>
      <c r="G880" s="738"/>
      <c r="H880" s="738"/>
      <c r="I880" s="738"/>
      <c r="J880" s="738"/>
      <c r="K880" s="738"/>
      <c r="L880" s="738"/>
      <c r="M880" s="738"/>
      <c r="N880" s="738"/>
      <c r="O880" s="738"/>
      <c r="P880" s="738"/>
      <c r="Q880" s="738"/>
      <c r="R880" s="738"/>
      <c r="S880" s="738"/>
      <c r="T880" s="738"/>
      <c r="U880" s="738"/>
      <c r="V880" s="738"/>
      <c r="W880" s="738"/>
      <c r="X880" s="738"/>
      <c r="Y880" s="738"/>
      <c r="Z880" s="738"/>
    </row>
    <row r="881">
      <c r="A881" s="738"/>
      <c r="B881" s="738"/>
      <c r="C881" s="738"/>
      <c r="D881" s="738"/>
      <c r="E881" s="738"/>
      <c r="F881" s="738"/>
      <c r="G881" s="738"/>
      <c r="H881" s="738"/>
      <c r="I881" s="738"/>
      <c r="J881" s="738"/>
      <c r="K881" s="738"/>
      <c r="L881" s="738"/>
      <c r="M881" s="738"/>
      <c r="N881" s="738"/>
      <c r="O881" s="738"/>
      <c r="P881" s="738"/>
      <c r="Q881" s="738"/>
      <c r="R881" s="738"/>
      <c r="S881" s="738"/>
      <c r="T881" s="738"/>
      <c r="U881" s="738"/>
      <c r="V881" s="738"/>
      <c r="W881" s="738"/>
      <c r="X881" s="738"/>
      <c r="Y881" s="738"/>
      <c r="Z881" s="738"/>
    </row>
    <row r="882">
      <c r="A882" s="738"/>
      <c r="B882" s="738"/>
      <c r="C882" s="738"/>
      <c r="D882" s="738"/>
      <c r="E882" s="738"/>
      <c r="F882" s="738"/>
      <c r="G882" s="738"/>
      <c r="H882" s="738"/>
      <c r="I882" s="738"/>
      <c r="J882" s="738"/>
      <c r="K882" s="738"/>
      <c r="L882" s="738"/>
      <c r="M882" s="738"/>
      <c r="N882" s="738"/>
      <c r="O882" s="738"/>
      <c r="P882" s="738"/>
      <c r="Q882" s="738"/>
      <c r="R882" s="738"/>
      <c r="S882" s="738"/>
      <c r="T882" s="738"/>
      <c r="U882" s="738"/>
      <c r="V882" s="738"/>
      <c r="W882" s="738"/>
      <c r="X882" s="738"/>
      <c r="Y882" s="738"/>
      <c r="Z882" s="738"/>
    </row>
    <row r="883">
      <c r="A883" s="738"/>
      <c r="B883" s="738"/>
      <c r="C883" s="738"/>
      <c r="D883" s="738"/>
      <c r="E883" s="738"/>
      <c r="F883" s="738"/>
      <c r="G883" s="738"/>
      <c r="H883" s="738"/>
      <c r="I883" s="738"/>
      <c r="J883" s="738"/>
      <c r="K883" s="738"/>
      <c r="L883" s="738"/>
      <c r="M883" s="738"/>
      <c r="N883" s="738"/>
      <c r="O883" s="738"/>
      <c r="P883" s="738"/>
      <c r="Q883" s="738"/>
      <c r="R883" s="738"/>
      <c r="S883" s="738"/>
      <c r="T883" s="738"/>
      <c r="U883" s="738"/>
      <c r="V883" s="738"/>
      <c r="W883" s="738"/>
      <c r="X883" s="738"/>
      <c r="Y883" s="738"/>
      <c r="Z883" s="738"/>
    </row>
    <row r="884">
      <c r="A884" s="738"/>
      <c r="B884" s="738"/>
      <c r="C884" s="738"/>
      <c r="D884" s="738"/>
      <c r="E884" s="738"/>
      <c r="F884" s="738"/>
      <c r="G884" s="738"/>
      <c r="H884" s="738"/>
      <c r="I884" s="738"/>
      <c r="J884" s="738"/>
      <c r="K884" s="738"/>
      <c r="L884" s="738"/>
      <c r="M884" s="738"/>
      <c r="N884" s="738"/>
      <c r="O884" s="738"/>
      <c r="P884" s="738"/>
      <c r="Q884" s="738"/>
      <c r="R884" s="738"/>
      <c r="S884" s="738"/>
      <c r="T884" s="738"/>
      <c r="U884" s="738"/>
      <c r="V884" s="738"/>
      <c r="W884" s="738"/>
      <c r="X884" s="738"/>
      <c r="Y884" s="738"/>
      <c r="Z884" s="738"/>
    </row>
    <row r="885">
      <c r="A885" s="738"/>
      <c r="B885" s="738"/>
      <c r="C885" s="738"/>
      <c r="D885" s="738"/>
      <c r="E885" s="738"/>
      <c r="F885" s="738"/>
      <c r="G885" s="738"/>
      <c r="H885" s="738"/>
      <c r="I885" s="738"/>
      <c r="J885" s="738"/>
      <c r="K885" s="738"/>
      <c r="L885" s="738"/>
      <c r="M885" s="738"/>
      <c r="N885" s="738"/>
      <c r="O885" s="738"/>
      <c r="P885" s="738"/>
      <c r="Q885" s="738"/>
      <c r="R885" s="738"/>
      <c r="S885" s="738"/>
      <c r="T885" s="738"/>
      <c r="U885" s="738"/>
      <c r="V885" s="738"/>
      <c r="W885" s="738"/>
      <c r="X885" s="738"/>
      <c r="Y885" s="738"/>
      <c r="Z885" s="738"/>
    </row>
    <row r="886">
      <c r="A886" s="738"/>
      <c r="B886" s="738"/>
      <c r="C886" s="738"/>
      <c r="D886" s="738"/>
      <c r="E886" s="738"/>
      <c r="F886" s="738"/>
      <c r="G886" s="738"/>
      <c r="H886" s="738"/>
      <c r="I886" s="738"/>
      <c r="J886" s="738"/>
      <c r="K886" s="738"/>
      <c r="L886" s="738"/>
      <c r="M886" s="738"/>
      <c r="N886" s="738"/>
      <c r="O886" s="738"/>
      <c r="P886" s="738"/>
      <c r="Q886" s="738"/>
      <c r="R886" s="738"/>
      <c r="S886" s="738"/>
      <c r="T886" s="738"/>
      <c r="U886" s="738"/>
      <c r="V886" s="738"/>
      <c r="W886" s="738"/>
      <c r="X886" s="738"/>
      <c r="Y886" s="738"/>
      <c r="Z886" s="738"/>
    </row>
    <row r="887">
      <c r="A887" s="738"/>
      <c r="B887" s="738"/>
      <c r="C887" s="738"/>
      <c r="D887" s="738"/>
      <c r="E887" s="738"/>
      <c r="F887" s="738"/>
      <c r="G887" s="738"/>
      <c r="H887" s="738"/>
      <c r="I887" s="738"/>
      <c r="J887" s="738"/>
      <c r="K887" s="738"/>
      <c r="L887" s="738"/>
      <c r="M887" s="738"/>
      <c r="N887" s="738"/>
      <c r="O887" s="738"/>
      <c r="P887" s="738"/>
      <c r="Q887" s="738"/>
      <c r="R887" s="738"/>
      <c r="S887" s="738"/>
      <c r="T887" s="738"/>
      <c r="U887" s="738"/>
      <c r="V887" s="738"/>
      <c r="W887" s="738"/>
      <c r="X887" s="738"/>
      <c r="Y887" s="738"/>
      <c r="Z887" s="738"/>
    </row>
    <row r="888">
      <c r="A888" s="738"/>
      <c r="B888" s="738"/>
      <c r="C888" s="738"/>
      <c r="D888" s="738"/>
      <c r="E888" s="738"/>
      <c r="F888" s="738"/>
      <c r="G888" s="738"/>
      <c r="H888" s="738"/>
      <c r="I888" s="738"/>
      <c r="J888" s="738"/>
      <c r="K888" s="738"/>
      <c r="L888" s="738"/>
      <c r="M888" s="738"/>
      <c r="N888" s="738"/>
      <c r="O888" s="738"/>
      <c r="P888" s="738"/>
      <c r="Q888" s="738"/>
      <c r="R888" s="738"/>
      <c r="S888" s="738"/>
      <c r="T888" s="738"/>
      <c r="U888" s="738"/>
      <c r="V888" s="738"/>
      <c r="W888" s="738"/>
      <c r="X888" s="738"/>
      <c r="Y888" s="738"/>
      <c r="Z888" s="738"/>
    </row>
    <row r="889">
      <c r="A889" s="738"/>
      <c r="B889" s="738"/>
      <c r="C889" s="738"/>
      <c r="D889" s="738"/>
      <c r="E889" s="738"/>
      <c r="F889" s="738"/>
      <c r="G889" s="738"/>
      <c r="H889" s="738"/>
      <c r="I889" s="738"/>
      <c r="J889" s="738"/>
      <c r="K889" s="738"/>
      <c r="L889" s="738"/>
      <c r="M889" s="738"/>
      <c r="N889" s="738"/>
      <c r="O889" s="738"/>
      <c r="P889" s="738"/>
      <c r="Q889" s="738"/>
      <c r="R889" s="738"/>
      <c r="S889" s="738"/>
      <c r="T889" s="738"/>
      <c r="U889" s="738"/>
      <c r="V889" s="738"/>
      <c r="W889" s="738"/>
      <c r="X889" s="738"/>
      <c r="Y889" s="738"/>
      <c r="Z889" s="738"/>
    </row>
    <row r="890">
      <c r="A890" s="738"/>
      <c r="B890" s="738"/>
      <c r="C890" s="738"/>
      <c r="D890" s="738"/>
      <c r="E890" s="738"/>
      <c r="F890" s="738"/>
      <c r="G890" s="738"/>
      <c r="H890" s="738"/>
      <c r="I890" s="738"/>
      <c r="J890" s="738"/>
      <c r="K890" s="738"/>
      <c r="L890" s="738"/>
      <c r="M890" s="738"/>
      <c r="N890" s="738"/>
      <c r="O890" s="738"/>
      <c r="P890" s="738"/>
      <c r="Q890" s="738"/>
      <c r="R890" s="738"/>
      <c r="S890" s="738"/>
      <c r="T890" s="738"/>
      <c r="U890" s="738"/>
      <c r="V890" s="738"/>
      <c r="W890" s="738"/>
      <c r="X890" s="738"/>
      <c r="Y890" s="738"/>
      <c r="Z890" s="738"/>
    </row>
    <row r="891">
      <c r="A891" s="738"/>
      <c r="B891" s="738"/>
      <c r="C891" s="738"/>
      <c r="D891" s="738"/>
      <c r="E891" s="738"/>
      <c r="F891" s="738"/>
      <c r="G891" s="738"/>
      <c r="H891" s="738"/>
      <c r="I891" s="738"/>
      <c r="J891" s="738"/>
      <c r="K891" s="738"/>
      <c r="L891" s="738"/>
      <c r="M891" s="738"/>
      <c r="N891" s="738"/>
      <c r="O891" s="738"/>
      <c r="P891" s="738"/>
      <c r="Q891" s="738"/>
      <c r="R891" s="738"/>
      <c r="S891" s="738"/>
      <c r="T891" s="738"/>
      <c r="U891" s="738"/>
      <c r="V891" s="738"/>
      <c r="W891" s="738"/>
      <c r="X891" s="738"/>
      <c r="Y891" s="738"/>
      <c r="Z891" s="738"/>
    </row>
    <row r="892">
      <c r="A892" s="738"/>
      <c r="B892" s="738"/>
      <c r="C892" s="738"/>
      <c r="D892" s="738"/>
      <c r="E892" s="738"/>
      <c r="F892" s="738"/>
      <c r="G892" s="738"/>
      <c r="H892" s="738"/>
      <c r="I892" s="738"/>
      <c r="J892" s="738"/>
      <c r="K892" s="738"/>
      <c r="L892" s="738"/>
      <c r="M892" s="738"/>
      <c r="N892" s="738"/>
      <c r="O892" s="738"/>
      <c r="P892" s="738"/>
      <c r="Q892" s="738"/>
      <c r="R892" s="738"/>
      <c r="S892" s="738"/>
      <c r="T892" s="738"/>
      <c r="U892" s="738"/>
      <c r="V892" s="738"/>
      <c r="W892" s="738"/>
      <c r="X892" s="738"/>
      <c r="Y892" s="738"/>
      <c r="Z892" s="738"/>
    </row>
    <row r="893">
      <c r="A893" s="738"/>
      <c r="B893" s="738"/>
      <c r="C893" s="738"/>
      <c r="D893" s="738"/>
      <c r="E893" s="738"/>
      <c r="F893" s="738"/>
      <c r="G893" s="738"/>
      <c r="H893" s="738"/>
      <c r="I893" s="738"/>
      <c r="J893" s="738"/>
      <c r="K893" s="738"/>
      <c r="L893" s="738"/>
      <c r="M893" s="738"/>
      <c r="N893" s="738"/>
      <c r="O893" s="738"/>
      <c r="P893" s="738"/>
      <c r="Q893" s="738"/>
      <c r="R893" s="738"/>
      <c r="S893" s="738"/>
      <c r="T893" s="738"/>
      <c r="U893" s="738"/>
      <c r="V893" s="738"/>
      <c r="W893" s="738"/>
      <c r="X893" s="738"/>
      <c r="Y893" s="738"/>
      <c r="Z893" s="738"/>
    </row>
    <row r="894">
      <c r="A894" s="738"/>
      <c r="B894" s="738"/>
      <c r="C894" s="738"/>
      <c r="D894" s="738"/>
      <c r="E894" s="738"/>
      <c r="F894" s="738"/>
      <c r="G894" s="738"/>
      <c r="H894" s="738"/>
      <c r="I894" s="738"/>
      <c r="J894" s="738"/>
      <c r="K894" s="738"/>
      <c r="L894" s="738"/>
      <c r="M894" s="738"/>
      <c r="N894" s="738"/>
      <c r="O894" s="738"/>
      <c r="P894" s="738"/>
      <c r="Q894" s="738"/>
      <c r="R894" s="738"/>
      <c r="S894" s="738"/>
      <c r="T894" s="738"/>
      <c r="U894" s="738"/>
      <c r="V894" s="738"/>
      <c r="W894" s="738"/>
      <c r="X894" s="738"/>
      <c r="Y894" s="738"/>
      <c r="Z894" s="738"/>
    </row>
    <row r="895">
      <c r="A895" s="738"/>
      <c r="B895" s="738"/>
      <c r="C895" s="738"/>
      <c r="D895" s="738"/>
      <c r="E895" s="738"/>
      <c r="F895" s="738"/>
      <c r="G895" s="738"/>
      <c r="H895" s="738"/>
      <c r="I895" s="738"/>
      <c r="J895" s="738"/>
      <c r="K895" s="738"/>
      <c r="L895" s="738"/>
      <c r="M895" s="738"/>
      <c r="N895" s="738"/>
      <c r="O895" s="738"/>
      <c r="P895" s="738"/>
      <c r="Q895" s="738"/>
      <c r="R895" s="738"/>
      <c r="S895" s="738"/>
      <c r="T895" s="738"/>
      <c r="U895" s="738"/>
      <c r="V895" s="738"/>
      <c r="W895" s="738"/>
      <c r="X895" s="738"/>
      <c r="Y895" s="738"/>
      <c r="Z895" s="738"/>
    </row>
    <row r="896">
      <c r="A896" s="738"/>
      <c r="B896" s="738"/>
      <c r="C896" s="738"/>
      <c r="D896" s="738"/>
      <c r="E896" s="738"/>
      <c r="F896" s="738"/>
      <c r="G896" s="738"/>
      <c r="H896" s="738"/>
      <c r="I896" s="738"/>
      <c r="J896" s="738"/>
      <c r="K896" s="738"/>
      <c r="L896" s="738"/>
      <c r="M896" s="738"/>
      <c r="N896" s="738"/>
      <c r="O896" s="738"/>
      <c r="P896" s="738"/>
      <c r="Q896" s="738"/>
      <c r="R896" s="738"/>
      <c r="S896" s="738"/>
      <c r="T896" s="738"/>
      <c r="U896" s="738"/>
      <c r="V896" s="738"/>
      <c r="W896" s="738"/>
      <c r="X896" s="738"/>
      <c r="Y896" s="738"/>
      <c r="Z896" s="738"/>
    </row>
    <row r="897">
      <c r="A897" s="738"/>
      <c r="B897" s="738"/>
      <c r="C897" s="738"/>
      <c r="D897" s="738"/>
      <c r="E897" s="738"/>
      <c r="F897" s="738"/>
      <c r="G897" s="738"/>
      <c r="H897" s="738"/>
      <c r="I897" s="738"/>
      <c r="J897" s="738"/>
      <c r="K897" s="738"/>
      <c r="L897" s="738"/>
      <c r="M897" s="738"/>
      <c r="N897" s="738"/>
      <c r="O897" s="738"/>
      <c r="P897" s="738"/>
      <c r="Q897" s="738"/>
      <c r="R897" s="738"/>
      <c r="S897" s="738"/>
      <c r="T897" s="738"/>
      <c r="U897" s="738"/>
      <c r="V897" s="738"/>
      <c r="W897" s="738"/>
      <c r="X897" s="738"/>
      <c r="Y897" s="738"/>
      <c r="Z897" s="738"/>
    </row>
    <row r="898">
      <c r="A898" s="738"/>
      <c r="B898" s="738"/>
      <c r="C898" s="738"/>
      <c r="D898" s="738"/>
      <c r="E898" s="738"/>
      <c r="F898" s="738"/>
      <c r="G898" s="738"/>
      <c r="H898" s="738"/>
      <c r="I898" s="738"/>
      <c r="J898" s="738"/>
      <c r="K898" s="738"/>
      <c r="L898" s="738"/>
      <c r="M898" s="738"/>
      <c r="N898" s="738"/>
      <c r="O898" s="738"/>
      <c r="P898" s="738"/>
      <c r="Q898" s="738"/>
      <c r="R898" s="738"/>
      <c r="S898" s="738"/>
      <c r="T898" s="738"/>
      <c r="U898" s="738"/>
      <c r="V898" s="738"/>
      <c r="W898" s="738"/>
      <c r="X898" s="738"/>
      <c r="Y898" s="738"/>
      <c r="Z898" s="738"/>
    </row>
    <row r="899">
      <c r="A899" s="738"/>
      <c r="B899" s="738"/>
      <c r="C899" s="738"/>
      <c r="D899" s="738"/>
      <c r="E899" s="738"/>
      <c r="F899" s="738"/>
      <c r="G899" s="738"/>
      <c r="H899" s="738"/>
      <c r="I899" s="738"/>
      <c r="J899" s="738"/>
      <c r="K899" s="738"/>
      <c r="L899" s="738"/>
      <c r="M899" s="738"/>
      <c r="N899" s="738"/>
      <c r="O899" s="738"/>
      <c r="P899" s="738"/>
      <c r="Q899" s="738"/>
      <c r="R899" s="738"/>
      <c r="S899" s="738"/>
      <c r="T899" s="738"/>
      <c r="U899" s="738"/>
      <c r="V899" s="738"/>
      <c r="W899" s="738"/>
      <c r="X899" s="738"/>
      <c r="Y899" s="738"/>
      <c r="Z899" s="738"/>
    </row>
    <row r="900">
      <c r="A900" s="738"/>
      <c r="B900" s="738"/>
      <c r="C900" s="738"/>
      <c r="D900" s="738"/>
      <c r="E900" s="738"/>
      <c r="F900" s="738"/>
      <c r="G900" s="738"/>
      <c r="H900" s="738"/>
      <c r="I900" s="738"/>
      <c r="J900" s="738"/>
      <c r="K900" s="738"/>
      <c r="L900" s="738"/>
      <c r="M900" s="738"/>
      <c r="N900" s="738"/>
      <c r="O900" s="738"/>
      <c r="P900" s="738"/>
      <c r="Q900" s="738"/>
      <c r="R900" s="738"/>
      <c r="S900" s="738"/>
      <c r="T900" s="738"/>
      <c r="U900" s="738"/>
      <c r="V900" s="738"/>
      <c r="W900" s="738"/>
      <c r="X900" s="738"/>
      <c r="Y900" s="738"/>
      <c r="Z900" s="738"/>
    </row>
    <row r="901">
      <c r="A901" s="738"/>
      <c r="B901" s="738"/>
      <c r="C901" s="738"/>
      <c r="D901" s="738"/>
      <c r="E901" s="738"/>
      <c r="F901" s="738"/>
      <c r="G901" s="738"/>
      <c r="H901" s="738"/>
      <c r="I901" s="738"/>
      <c r="J901" s="738"/>
      <c r="K901" s="738"/>
      <c r="L901" s="738"/>
      <c r="M901" s="738"/>
      <c r="N901" s="738"/>
      <c r="O901" s="738"/>
      <c r="P901" s="738"/>
      <c r="Q901" s="738"/>
      <c r="R901" s="738"/>
      <c r="S901" s="738"/>
      <c r="T901" s="738"/>
      <c r="U901" s="738"/>
      <c r="V901" s="738"/>
      <c r="W901" s="738"/>
      <c r="X901" s="738"/>
      <c r="Y901" s="738"/>
      <c r="Z901" s="738"/>
    </row>
    <row r="902">
      <c r="A902" s="738"/>
      <c r="B902" s="738"/>
      <c r="C902" s="738"/>
      <c r="D902" s="738"/>
      <c r="E902" s="738"/>
      <c r="F902" s="738"/>
      <c r="G902" s="738"/>
      <c r="H902" s="738"/>
      <c r="I902" s="738"/>
      <c r="J902" s="738"/>
      <c r="K902" s="738"/>
      <c r="L902" s="738"/>
      <c r="M902" s="738"/>
      <c r="N902" s="738"/>
      <c r="O902" s="738"/>
      <c r="P902" s="738"/>
      <c r="Q902" s="738"/>
      <c r="R902" s="738"/>
      <c r="S902" s="738"/>
      <c r="T902" s="738"/>
      <c r="U902" s="738"/>
      <c r="V902" s="738"/>
      <c r="W902" s="738"/>
      <c r="X902" s="738"/>
      <c r="Y902" s="738"/>
      <c r="Z902" s="738"/>
    </row>
    <row r="903">
      <c r="A903" s="738"/>
      <c r="B903" s="738"/>
      <c r="C903" s="738"/>
      <c r="D903" s="738"/>
      <c r="E903" s="738"/>
      <c r="F903" s="738"/>
      <c r="G903" s="738"/>
      <c r="H903" s="738"/>
      <c r="I903" s="738"/>
      <c r="J903" s="738"/>
      <c r="K903" s="738"/>
      <c r="L903" s="738"/>
      <c r="M903" s="738"/>
      <c r="N903" s="738"/>
      <c r="O903" s="738"/>
      <c r="P903" s="738"/>
      <c r="Q903" s="738"/>
      <c r="R903" s="738"/>
      <c r="S903" s="738"/>
      <c r="T903" s="738"/>
      <c r="U903" s="738"/>
      <c r="V903" s="738"/>
      <c r="W903" s="738"/>
      <c r="X903" s="738"/>
      <c r="Y903" s="738"/>
      <c r="Z903" s="738"/>
    </row>
    <row r="904">
      <c r="A904" s="738"/>
      <c r="B904" s="738"/>
      <c r="C904" s="738"/>
      <c r="D904" s="738"/>
      <c r="E904" s="738"/>
      <c r="F904" s="738"/>
      <c r="G904" s="738"/>
      <c r="H904" s="738"/>
      <c r="I904" s="738"/>
      <c r="J904" s="738"/>
      <c r="K904" s="738"/>
      <c r="L904" s="738"/>
      <c r="M904" s="738"/>
      <c r="N904" s="738"/>
      <c r="O904" s="738"/>
      <c r="P904" s="738"/>
      <c r="Q904" s="738"/>
      <c r="R904" s="738"/>
      <c r="S904" s="738"/>
      <c r="T904" s="738"/>
      <c r="U904" s="738"/>
      <c r="V904" s="738"/>
      <c r="W904" s="738"/>
      <c r="X904" s="738"/>
      <c r="Y904" s="738"/>
      <c r="Z904" s="738"/>
    </row>
    <row r="905">
      <c r="A905" s="738"/>
      <c r="B905" s="738"/>
      <c r="C905" s="738"/>
      <c r="D905" s="738"/>
      <c r="E905" s="738"/>
      <c r="F905" s="738"/>
      <c r="G905" s="738"/>
      <c r="H905" s="738"/>
      <c r="I905" s="738"/>
      <c r="J905" s="738"/>
      <c r="K905" s="738"/>
      <c r="L905" s="738"/>
      <c r="M905" s="738"/>
      <c r="N905" s="738"/>
      <c r="O905" s="738"/>
      <c r="P905" s="738"/>
      <c r="Q905" s="738"/>
      <c r="R905" s="738"/>
      <c r="S905" s="738"/>
      <c r="T905" s="738"/>
      <c r="U905" s="738"/>
      <c r="V905" s="738"/>
      <c r="W905" s="738"/>
      <c r="X905" s="738"/>
      <c r="Y905" s="738"/>
      <c r="Z905" s="738"/>
    </row>
    <row r="906">
      <c r="A906" s="738"/>
      <c r="B906" s="738"/>
      <c r="C906" s="738"/>
      <c r="D906" s="738"/>
      <c r="E906" s="738"/>
      <c r="F906" s="738"/>
      <c r="G906" s="738"/>
      <c r="H906" s="738"/>
      <c r="I906" s="738"/>
      <c r="J906" s="738"/>
      <c r="K906" s="738"/>
      <c r="L906" s="738"/>
      <c r="M906" s="738"/>
      <c r="N906" s="738"/>
      <c r="O906" s="738"/>
      <c r="P906" s="738"/>
      <c r="Q906" s="738"/>
      <c r="R906" s="738"/>
      <c r="S906" s="738"/>
      <c r="T906" s="738"/>
      <c r="U906" s="738"/>
      <c r="V906" s="738"/>
      <c r="W906" s="738"/>
      <c r="X906" s="738"/>
      <c r="Y906" s="738"/>
      <c r="Z906" s="738"/>
    </row>
    <row r="907">
      <c r="A907" s="738"/>
      <c r="B907" s="738"/>
      <c r="C907" s="738"/>
      <c r="D907" s="738"/>
      <c r="E907" s="738"/>
      <c r="F907" s="738"/>
      <c r="G907" s="738"/>
      <c r="H907" s="738"/>
      <c r="I907" s="738"/>
      <c r="J907" s="738"/>
      <c r="K907" s="738"/>
      <c r="L907" s="738"/>
      <c r="M907" s="738"/>
      <c r="N907" s="738"/>
      <c r="O907" s="738"/>
      <c r="P907" s="738"/>
      <c r="Q907" s="738"/>
      <c r="R907" s="738"/>
      <c r="S907" s="738"/>
      <c r="T907" s="738"/>
      <c r="U907" s="738"/>
      <c r="V907" s="738"/>
      <c r="W907" s="738"/>
      <c r="X907" s="738"/>
      <c r="Y907" s="738"/>
      <c r="Z907" s="738"/>
    </row>
    <row r="908">
      <c r="A908" s="738"/>
      <c r="B908" s="738"/>
      <c r="C908" s="738"/>
      <c r="D908" s="738"/>
      <c r="E908" s="738"/>
      <c r="F908" s="738"/>
      <c r="G908" s="738"/>
      <c r="H908" s="738"/>
      <c r="I908" s="738"/>
      <c r="J908" s="738"/>
      <c r="K908" s="738"/>
      <c r="L908" s="738"/>
      <c r="M908" s="738"/>
      <c r="N908" s="738"/>
      <c r="O908" s="738"/>
      <c r="P908" s="738"/>
      <c r="Q908" s="738"/>
      <c r="R908" s="738"/>
      <c r="S908" s="738"/>
      <c r="T908" s="738"/>
      <c r="U908" s="738"/>
      <c r="V908" s="738"/>
      <c r="W908" s="738"/>
      <c r="X908" s="738"/>
      <c r="Y908" s="738"/>
      <c r="Z908" s="738"/>
    </row>
    <row r="909">
      <c r="A909" s="738"/>
      <c r="B909" s="738"/>
      <c r="C909" s="738"/>
      <c r="D909" s="738"/>
      <c r="E909" s="738"/>
      <c r="F909" s="738"/>
      <c r="G909" s="738"/>
      <c r="H909" s="738"/>
      <c r="I909" s="738"/>
      <c r="J909" s="738"/>
      <c r="K909" s="738"/>
      <c r="L909" s="738"/>
      <c r="M909" s="738"/>
      <c r="N909" s="738"/>
      <c r="O909" s="738"/>
      <c r="P909" s="738"/>
      <c r="Q909" s="738"/>
      <c r="R909" s="738"/>
      <c r="S909" s="738"/>
      <c r="T909" s="738"/>
      <c r="U909" s="738"/>
      <c r="V909" s="738"/>
      <c r="W909" s="738"/>
      <c r="X909" s="738"/>
      <c r="Y909" s="738"/>
      <c r="Z909" s="738"/>
    </row>
    <row r="910">
      <c r="A910" s="738"/>
      <c r="B910" s="738"/>
      <c r="C910" s="738"/>
      <c r="D910" s="738"/>
      <c r="E910" s="738"/>
      <c r="F910" s="738"/>
      <c r="G910" s="738"/>
      <c r="H910" s="738"/>
      <c r="I910" s="738"/>
      <c r="J910" s="738"/>
      <c r="K910" s="738"/>
      <c r="L910" s="738"/>
      <c r="M910" s="738"/>
      <c r="N910" s="738"/>
      <c r="O910" s="738"/>
      <c r="P910" s="738"/>
      <c r="Q910" s="738"/>
      <c r="R910" s="738"/>
      <c r="S910" s="738"/>
      <c r="T910" s="738"/>
      <c r="U910" s="738"/>
      <c r="V910" s="738"/>
      <c r="W910" s="738"/>
      <c r="X910" s="738"/>
      <c r="Y910" s="738"/>
      <c r="Z910" s="738"/>
    </row>
    <row r="911">
      <c r="A911" s="738"/>
      <c r="B911" s="738"/>
      <c r="C911" s="738"/>
      <c r="D911" s="738"/>
      <c r="E911" s="738"/>
      <c r="F911" s="738"/>
      <c r="G911" s="738"/>
      <c r="H911" s="738"/>
      <c r="I911" s="738"/>
      <c r="J911" s="738"/>
      <c r="K911" s="738"/>
      <c r="L911" s="738"/>
      <c r="M911" s="738"/>
      <c r="N911" s="738"/>
      <c r="O911" s="738"/>
      <c r="P911" s="738"/>
      <c r="Q911" s="738"/>
      <c r="R911" s="738"/>
      <c r="S911" s="738"/>
      <c r="T911" s="738"/>
      <c r="U911" s="738"/>
      <c r="V911" s="738"/>
      <c r="W911" s="738"/>
      <c r="X911" s="738"/>
      <c r="Y911" s="738"/>
      <c r="Z911" s="738"/>
    </row>
    <row r="912">
      <c r="A912" s="738"/>
      <c r="B912" s="738"/>
      <c r="C912" s="738"/>
      <c r="D912" s="738"/>
      <c r="E912" s="738"/>
      <c r="F912" s="738"/>
      <c r="G912" s="738"/>
      <c r="H912" s="738"/>
      <c r="I912" s="738"/>
      <c r="J912" s="738"/>
      <c r="K912" s="738"/>
      <c r="L912" s="738"/>
      <c r="M912" s="738"/>
      <c r="N912" s="738"/>
      <c r="O912" s="738"/>
      <c r="P912" s="738"/>
      <c r="Q912" s="738"/>
      <c r="R912" s="738"/>
      <c r="S912" s="738"/>
      <c r="T912" s="738"/>
      <c r="U912" s="738"/>
      <c r="V912" s="738"/>
      <c r="W912" s="738"/>
      <c r="X912" s="738"/>
      <c r="Y912" s="738"/>
      <c r="Z912" s="738"/>
    </row>
    <row r="913">
      <c r="A913" s="738"/>
      <c r="B913" s="738"/>
      <c r="C913" s="738"/>
      <c r="D913" s="738"/>
      <c r="E913" s="738"/>
      <c r="F913" s="738"/>
      <c r="G913" s="738"/>
      <c r="H913" s="738"/>
      <c r="I913" s="738"/>
      <c r="J913" s="738"/>
      <c r="K913" s="738"/>
      <c r="L913" s="738"/>
      <c r="M913" s="738"/>
      <c r="N913" s="738"/>
      <c r="O913" s="738"/>
      <c r="P913" s="738"/>
      <c r="Q913" s="738"/>
      <c r="R913" s="738"/>
      <c r="S913" s="738"/>
      <c r="T913" s="738"/>
      <c r="U913" s="738"/>
      <c r="V913" s="738"/>
      <c r="W913" s="738"/>
      <c r="X913" s="738"/>
      <c r="Y913" s="738"/>
      <c r="Z913" s="738"/>
    </row>
    <row r="914">
      <c r="A914" s="738"/>
      <c r="B914" s="738"/>
      <c r="C914" s="738"/>
      <c r="D914" s="738"/>
      <c r="E914" s="738"/>
      <c r="F914" s="738"/>
      <c r="G914" s="738"/>
      <c r="H914" s="738"/>
      <c r="I914" s="738"/>
      <c r="J914" s="738"/>
      <c r="K914" s="738"/>
      <c r="L914" s="738"/>
      <c r="M914" s="738"/>
      <c r="N914" s="738"/>
      <c r="O914" s="738"/>
      <c r="P914" s="738"/>
      <c r="Q914" s="738"/>
      <c r="R914" s="738"/>
      <c r="S914" s="738"/>
      <c r="T914" s="738"/>
      <c r="U914" s="738"/>
      <c r="V914" s="738"/>
      <c r="W914" s="738"/>
      <c r="X914" s="738"/>
      <c r="Y914" s="738"/>
      <c r="Z914" s="738"/>
    </row>
    <row r="915">
      <c r="A915" s="738"/>
      <c r="B915" s="738"/>
      <c r="C915" s="738"/>
      <c r="D915" s="738"/>
      <c r="E915" s="738"/>
      <c r="F915" s="738"/>
      <c r="G915" s="738"/>
      <c r="H915" s="738"/>
      <c r="I915" s="738"/>
      <c r="J915" s="738"/>
      <c r="K915" s="738"/>
      <c r="L915" s="738"/>
      <c r="M915" s="738"/>
      <c r="N915" s="738"/>
      <c r="O915" s="738"/>
      <c r="P915" s="738"/>
      <c r="Q915" s="738"/>
      <c r="R915" s="738"/>
      <c r="S915" s="738"/>
      <c r="T915" s="738"/>
      <c r="U915" s="738"/>
      <c r="V915" s="738"/>
      <c r="W915" s="738"/>
      <c r="X915" s="738"/>
      <c r="Y915" s="738"/>
      <c r="Z915" s="738"/>
    </row>
    <row r="916">
      <c r="A916" s="738"/>
      <c r="B916" s="738"/>
      <c r="C916" s="738"/>
      <c r="D916" s="738"/>
      <c r="E916" s="738"/>
      <c r="F916" s="738"/>
      <c r="G916" s="738"/>
      <c r="H916" s="738"/>
      <c r="I916" s="738"/>
      <c r="J916" s="738"/>
      <c r="K916" s="738"/>
      <c r="L916" s="738"/>
      <c r="M916" s="738"/>
      <c r="N916" s="738"/>
      <c r="O916" s="738"/>
      <c r="P916" s="738"/>
      <c r="Q916" s="738"/>
      <c r="R916" s="738"/>
      <c r="S916" s="738"/>
      <c r="T916" s="738"/>
      <c r="U916" s="738"/>
      <c r="V916" s="738"/>
      <c r="W916" s="738"/>
      <c r="X916" s="738"/>
      <c r="Y916" s="738"/>
      <c r="Z916" s="738"/>
    </row>
    <row r="917">
      <c r="A917" s="738"/>
      <c r="B917" s="738"/>
      <c r="C917" s="738"/>
      <c r="D917" s="738"/>
      <c r="E917" s="738"/>
      <c r="F917" s="738"/>
      <c r="G917" s="738"/>
      <c r="H917" s="738"/>
      <c r="I917" s="738"/>
      <c r="J917" s="738"/>
      <c r="K917" s="738"/>
      <c r="L917" s="738"/>
      <c r="M917" s="738"/>
      <c r="N917" s="738"/>
      <c r="O917" s="738"/>
      <c r="P917" s="738"/>
      <c r="Q917" s="738"/>
      <c r="R917" s="738"/>
      <c r="S917" s="738"/>
      <c r="T917" s="738"/>
      <c r="U917" s="738"/>
      <c r="V917" s="738"/>
      <c r="W917" s="738"/>
      <c r="X917" s="738"/>
      <c r="Y917" s="738"/>
      <c r="Z917" s="738"/>
    </row>
    <row r="918">
      <c r="A918" s="738"/>
      <c r="B918" s="738"/>
      <c r="C918" s="738"/>
      <c r="D918" s="738"/>
      <c r="E918" s="738"/>
      <c r="F918" s="738"/>
      <c r="G918" s="738"/>
      <c r="H918" s="738"/>
      <c r="I918" s="738"/>
      <c r="J918" s="738"/>
      <c r="K918" s="738"/>
      <c r="L918" s="738"/>
      <c r="M918" s="738"/>
      <c r="N918" s="738"/>
      <c r="O918" s="738"/>
      <c r="P918" s="738"/>
      <c r="Q918" s="738"/>
      <c r="R918" s="738"/>
      <c r="S918" s="738"/>
      <c r="T918" s="738"/>
      <c r="U918" s="738"/>
      <c r="V918" s="738"/>
      <c r="W918" s="738"/>
      <c r="X918" s="738"/>
      <c r="Y918" s="738"/>
      <c r="Z918" s="738"/>
    </row>
    <row r="919">
      <c r="A919" s="738"/>
      <c r="B919" s="738"/>
      <c r="C919" s="738"/>
      <c r="D919" s="738"/>
      <c r="E919" s="738"/>
      <c r="F919" s="738"/>
      <c r="G919" s="738"/>
      <c r="H919" s="738"/>
      <c r="I919" s="738"/>
      <c r="J919" s="738"/>
      <c r="K919" s="738"/>
      <c r="L919" s="738"/>
      <c r="M919" s="738"/>
      <c r="N919" s="738"/>
      <c r="O919" s="738"/>
      <c r="P919" s="738"/>
      <c r="Q919" s="738"/>
      <c r="R919" s="738"/>
      <c r="S919" s="738"/>
      <c r="T919" s="738"/>
      <c r="U919" s="738"/>
      <c r="V919" s="738"/>
      <c r="W919" s="738"/>
      <c r="X919" s="738"/>
      <c r="Y919" s="738"/>
      <c r="Z919" s="738"/>
    </row>
    <row r="920">
      <c r="A920" s="738"/>
      <c r="B920" s="738"/>
      <c r="C920" s="738"/>
      <c r="D920" s="738"/>
      <c r="E920" s="738"/>
      <c r="F920" s="738"/>
      <c r="G920" s="738"/>
      <c r="H920" s="738"/>
      <c r="I920" s="738"/>
      <c r="J920" s="738"/>
      <c r="K920" s="738"/>
      <c r="L920" s="738"/>
      <c r="M920" s="738"/>
      <c r="N920" s="738"/>
      <c r="O920" s="738"/>
      <c r="P920" s="738"/>
      <c r="Q920" s="738"/>
      <c r="R920" s="738"/>
      <c r="S920" s="738"/>
      <c r="T920" s="738"/>
      <c r="U920" s="738"/>
      <c r="V920" s="738"/>
      <c r="W920" s="738"/>
      <c r="X920" s="738"/>
      <c r="Y920" s="738"/>
      <c r="Z920" s="738"/>
    </row>
    <row r="921">
      <c r="A921" s="738"/>
      <c r="B921" s="738"/>
      <c r="C921" s="738"/>
      <c r="D921" s="738"/>
      <c r="E921" s="738"/>
      <c r="F921" s="738"/>
      <c r="G921" s="738"/>
      <c r="H921" s="738"/>
      <c r="I921" s="738"/>
      <c r="J921" s="738"/>
      <c r="K921" s="738"/>
      <c r="L921" s="738"/>
      <c r="M921" s="738"/>
      <c r="N921" s="738"/>
      <c r="O921" s="738"/>
      <c r="P921" s="738"/>
      <c r="Q921" s="738"/>
      <c r="R921" s="738"/>
      <c r="S921" s="738"/>
      <c r="T921" s="738"/>
      <c r="U921" s="738"/>
      <c r="V921" s="738"/>
      <c r="W921" s="738"/>
      <c r="X921" s="738"/>
      <c r="Y921" s="738"/>
      <c r="Z921" s="738"/>
    </row>
    <row r="922">
      <c r="A922" s="738"/>
      <c r="B922" s="738"/>
      <c r="C922" s="738"/>
      <c r="D922" s="738"/>
      <c r="E922" s="738"/>
      <c r="F922" s="738"/>
      <c r="G922" s="738"/>
      <c r="H922" s="738"/>
      <c r="I922" s="738"/>
      <c r="J922" s="738"/>
      <c r="K922" s="738"/>
      <c r="L922" s="738"/>
      <c r="M922" s="738"/>
      <c r="N922" s="738"/>
      <c r="O922" s="738"/>
      <c r="P922" s="738"/>
      <c r="Q922" s="738"/>
      <c r="R922" s="738"/>
      <c r="S922" s="738"/>
      <c r="T922" s="738"/>
      <c r="U922" s="738"/>
      <c r="V922" s="738"/>
      <c r="W922" s="738"/>
      <c r="X922" s="738"/>
      <c r="Y922" s="738"/>
      <c r="Z922" s="738"/>
    </row>
    <row r="923">
      <c r="A923" s="738"/>
      <c r="B923" s="738"/>
      <c r="C923" s="738"/>
      <c r="D923" s="738"/>
      <c r="E923" s="738"/>
      <c r="F923" s="738"/>
      <c r="G923" s="738"/>
      <c r="H923" s="738"/>
      <c r="I923" s="738"/>
      <c r="J923" s="738"/>
      <c r="K923" s="738"/>
      <c r="L923" s="738"/>
      <c r="M923" s="738"/>
      <c r="N923" s="738"/>
      <c r="O923" s="738"/>
      <c r="P923" s="738"/>
      <c r="Q923" s="738"/>
      <c r="R923" s="738"/>
      <c r="S923" s="738"/>
      <c r="T923" s="738"/>
      <c r="U923" s="738"/>
      <c r="V923" s="738"/>
      <c r="W923" s="738"/>
      <c r="X923" s="738"/>
      <c r="Y923" s="738"/>
      <c r="Z923" s="738"/>
    </row>
    <row r="924">
      <c r="A924" s="738"/>
      <c r="B924" s="738"/>
      <c r="C924" s="738"/>
      <c r="D924" s="738"/>
      <c r="E924" s="738"/>
      <c r="F924" s="738"/>
      <c r="G924" s="738"/>
      <c r="H924" s="738"/>
      <c r="I924" s="738"/>
      <c r="J924" s="738"/>
      <c r="K924" s="738"/>
      <c r="L924" s="738"/>
      <c r="M924" s="738"/>
      <c r="N924" s="738"/>
      <c r="O924" s="738"/>
      <c r="P924" s="738"/>
      <c r="Q924" s="738"/>
      <c r="R924" s="738"/>
      <c r="S924" s="738"/>
      <c r="T924" s="738"/>
      <c r="U924" s="738"/>
      <c r="V924" s="738"/>
      <c r="W924" s="738"/>
      <c r="X924" s="738"/>
      <c r="Y924" s="738"/>
      <c r="Z924" s="738"/>
    </row>
    <row r="925">
      <c r="A925" s="738"/>
      <c r="B925" s="738"/>
      <c r="C925" s="738"/>
      <c r="D925" s="738"/>
      <c r="E925" s="738"/>
      <c r="F925" s="738"/>
      <c r="G925" s="738"/>
      <c r="H925" s="738"/>
      <c r="I925" s="738"/>
      <c r="J925" s="738"/>
      <c r="K925" s="738"/>
      <c r="L925" s="738"/>
      <c r="M925" s="738"/>
      <c r="N925" s="738"/>
      <c r="O925" s="738"/>
      <c r="P925" s="738"/>
      <c r="Q925" s="738"/>
      <c r="R925" s="738"/>
      <c r="S925" s="738"/>
      <c r="T925" s="738"/>
      <c r="U925" s="738"/>
      <c r="V925" s="738"/>
      <c r="W925" s="738"/>
      <c r="X925" s="738"/>
      <c r="Y925" s="738"/>
      <c r="Z925" s="738"/>
    </row>
    <row r="926">
      <c r="A926" s="738"/>
      <c r="B926" s="738"/>
      <c r="C926" s="738"/>
      <c r="D926" s="738"/>
      <c r="E926" s="738"/>
      <c r="F926" s="738"/>
      <c r="G926" s="738"/>
      <c r="H926" s="738"/>
      <c r="I926" s="738"/>
      <c r="J926" s="738"/>
      <c r="K926" s="738"/>
      <c r="L926" s="738"/>
      <c r="M926" s="738"/>
      <c r="N926" s="738"/>
      <c r="O926" s="738"/>
      <c r="P926" s="738"/>
      <c r="Q926" s="738"/>
      <c r="R926" s="738"/>
      <c r="S926" s="738"/>
      <c r="T926" s="738"/>
      <c r="U926" s="738"/>
      <c r="V926" s="738"/>
      <c r="W926" s="738"/>
      <c r="X926" s="738"/>
      <c r="Y926" s="738"/>
      <c r="Z926" s="738"/>
    </row>
    <row r="927">
      <c r="A927" s="738"/>
      <c r="B927" s="738"/>
      <c r="C927" s="738"/>
      <c r="D927" s="738"/>
      <c r="E927" s="738"/>
      <c r="F927" s="738"/>
      <c r="G927" s="738"/>
      <c r="H927" s="738"/>
      <c r="I927" s="738"/>
      <c r="J927" s="738"/>
      <c r="K927" s="738"/>
      <c r="L927" s="738"/>
      <c r="M927" s="738"/>
      <c r="N927" s="738"/>
      <c r="O927" s="738"/>
      <c r="P927" s="738"/>
      <c r="Q927" s="738"/>
      <c r="R927" s="738"/>
      <c r="S927" s="738"/>
      <c r="T927" s="738"/>
      <c r="U927" s="738"/>
      <c r="V927" s="738"/>
      <c r="W927" s="738"/>
      <c r="X927" s="738"/>
      <c r="Y927" s="738"/>
      <c r="Z927" s="738"/>
    </row>
    <row r="928">
      <c r="A928" s="738"/>
      <c r="B928" s="738"/>
      <c r="C928" s="738"/>
      <c r="D928" s="738"/>
      <c r="E928" s="738"/>
      <c r="F928" s="738"/>
      <c r="G928" s="738"/>
      <c r="H928" s="738"/>
      <c r="I928" s="738"/>
      <c r="J928" s="738"/>
      <c r="K928" s="738"/>
      <c r="L928" s="738"/>
      <c r="M928" s="738"/>
      <c r="N928" s="738"/>
      <c r="O928" s="738"/>
      <c r="P928" s="738"/>
      <c r="Q928" s="738"/>
      <c r="R928" s="738"/>
      <c r="S928" s="738"/>
      <c r="T928" s="738"/>
      <c r="U928" s="738"/>
      <c r="V928" s="738"/>
      <c r="W928" s="738"/>
      <c r="X928" s="738"/>
      <c r="Y928" s="738"/>
      <c r="Z928" s="738"/>
    </row>
    <row r="929">
      <c r="A929" s="738"/>
      <c r="B929" s="738"/>
      <c r="C929" s="738"/>
      <c r="D929" s="738"/>
      <c r="E929" s="738"/>
      <c r="F929" s="738"/>
      <c r="G929" s="738"/>
      <c r="H929" s="738"/>
      <c r="I929" s="738"/>
      <c r="J929" s="738"/>
      <c r="K929" s="738"/>
      <c r="L929" s="738"/>
      <c r="M929" s="738"/>
      <c r="N929" s="738"/>
      <c r="O929" s="738"/>
      <c r="P929" s="738"/>
      <c r="Q929" s="738"/>
      <c r="R929" s="738"/>
      <c r="S929" s="738"/>
      <c r="T929" s="738"/>
      <c r="U929" s="738"/>
      <c r="V929" s="738"/>
      <c r="W929" s="738"/>
      <c r="X929" s="738"/>
      <c r="Y929" s="738"/>
      <c r="Z929" s="738"/>
    </row>
    <row r="930">
      <c r="A930" s="738"/>
      <c r="B930" s="738"/>
      <c r="C930" s="738"/>
      <c r="D930" s="738"/>
      <c r="E930" s="738"/>
      <c r="F930" s="738"/>
      <c r="G930" s="738"/>
      <c r="H930" s="738"/>
      <c r="I930" s="738"/>
      <c r="J930" s="738"/>
      <c r="K930" s="738"/>
      <c r="L930" s="738"/>
      <c r="M930" s="738"/>
      <c r="N930" s="738"/>
      <c r="O930" s="738"/>
      <c r="P930" s="738"/>
      <c r="Q930" s="738"/>
      <c r="R930" s="738"/>
      <c r="S930" s="738"/>
      <c r="T930" s="738"/>
      <c r="U930" s="738"/>
      <c r="V930" s="738"/>
      <c r="W930" s="738"/>
      <c r="X930" s="738"/>
      <c r="Y930" s="738"/>
      <c r="Z930" s="738"/>
    </row>
    <row r="931">
      <c r="A931" s="738"/>
      <c r="B931" s="738"/>
      <c r="C931" s="738"/>
      <c r="D931" s="738"/>
      <c r="E931" s="738"/>
      <c r="F931" s="738"/>
      <c r="G931" s="738"/>
      <c r="H931" s="738"/>
      <c r="I931" s="738"/>
      <c r="J931" s="738"/>
      <c r="K931" s="738"/>
      <c r="L931" s="738"/>
      <c r="M931" s="738"/>
      <c r="N931" s="738"/>
      <c r="O931" s="738"/>
      <c r="P931" s="738"/>
      <c r="Q931" s="738"/>
      <c r="R931" s="738"/>
      <c r="S931" s="738"/>
      <c r="T931" s="738"/>
      <c r="U931" s="738"/>
      <c r="V931" s="738"/>
      <c r="W931" s="738"/>
      <c r="X931" s="738"/>
      <c r="Y931" s="738"/>
      <c r="Z931" s="738"/>
    </row>
    <row r="932">
      <c r="A932" s="738"/>
      <c r="B932" s="738"/>
      <c r="C932" s="738"/>
      <c r="D932" s="738"/>
      <c r="E932" s="738"/>
      <c r="F932" s="738"/>
      <c r="G932" s="738"/>
      <c r="H932" s="738"/>
      <c r="I932" s="738"/>
      <c r="J932" s="738"/>
      <c r="K932" s="738"/>
      <c r="L932" s="738"/>
      <c r="M932" s="738"/>
      <c r="N932" s="738"/>
      <c r="O932" s="738"/>
      <c r="P932" s="738"/>
      <c r="Q932" s="738"/>
      <c r="R932" s="738"/>
      <c r="S932" s="738"/>
      <c r="T932" s="738"/>
      <c r="U932" s="738"/>
      <c r="V932" s="738"/>
      <c r="W932" s="738"/>
      <c r="X932" s="738"/>
      <c r="Y932" s="738"/>
      <c r="Z932" s="738"/>
    </row>
    <row r="933">
      <c r="A933" s="738"/>
      <c r="B933" s="738"/>
      <c r="C933" s="738"/>
      <c r="D933" s="738"/>
      <c r="E933" s="738"/>
      <c r="F933" s="738"/>
      <c r="G933" s="738"/>
      <c r="H933" s="738"/>
      <c r="I933" s="738"/>
      <c r="J933" s="738"/>
      <c r="K933" s="738"/>
      <c r="L933" s="738"/>
      <c r="M933" s="738"/>
      <c r="N933" s="738"/>
      <c r="O933" s="738"/>
      <c r="P933" s="738"/>
      <c r="Q933" s="738"/>
      <c r="R933" s="738"/>
      <c r="S933" s="738"/>
      <c r="T933" s="738"/>
      <c r="U933" s="738"/>
      <c r="V933" s="738"/>
      <c r="W933" s="738"/>
      <c r="X933" s="738"/>
      <c r="Y933" s="738"/>
      <c r="Z933" s="738"/>
    </row>
    <row r="934">
      <c r="A934" s="738"/>
      <c r="B934" s="738"/>
      <c r="C934" s="738"/>
      <c r="D934" s="738"/>
      <c r="E934" s="738"/>
      <c r="F934" s="738"/>
      <c r="G934" s="738"/>
      <c r="H934" s="738"/>
      <c r="I934" s="738"/>
      <c r="J934" s="738"/>
      <c r="K934" s="738"/>
      <c r="L934" s="738"/>
      <c r="M934" s="738"/>
      <c r="N934" s="738"/>
      <c r="O934" s="738"/>
      <c r="P934" s="738"/>
      <c r="Q934" s="738"/>
      <c r="R934" s="738"/>
      <c r="S934" s="738"/>
      <c r="T934" s="738"/>
      <c r="U934" s="738"/>
      <c r="V934" s="738"/>
      <c r="W934" s="738"/>
      <c r="X934" s="738"/>
      <c r="Y934" s="738"/>
      <c r="Z934" s="738"/>
    </row>
    <row r="935">
      <c r="A935" s="738"/>
      <c r="B935" s="738"/>
      <c r="C935" s="738"/>
      <c r="D935" s="738"/>
      <c r="E935" s="738"/>
      <c r="F935" s="738"/>
      <c r="G935" s="738"/>
      <c r="H935" s="738"/>
      <c r="I935" s="738"/>
      <c r="J935" s="738"/>
      <c r="K935" s="738"/>
      <c r="L935" s="738"/>
      <c r="M935" s="738"/>
      <c r="N935" s="738"/>
      <c r="O935" s="738"/>
      <c r="P935" s="738"/>
      <c r="Q935" s="738"/>
      <c r="R935" s="738"/>
      <c r="S935" s="738"/>
      <c r="T935" s="738"/>
      <c r="U935" s="738"/>
      <c r="V935" s="738"/>
      <c r="W935" s="738"/>
      <c r="X935" s="738"/>
      <c r="Y935" s="738"/>
      <c r="Z935" s="738"/>
    </row>
    <row r="936">
      <c r="A936" s="738"/>
      <c r="B936" s="738"/>
      <c r="C936" s="738"/>
      <c r="D936" s="738"/>
      <c r="E936" s="738"/>
      <c r="F936" s="738"/>
      <c r="G936" s="738"/>
      <c r="H936" s="738"/>
      <c r="I936" s="738"/>
      <c r="J936" s="738"/>
      <c r="K936" s="738"/>
      <c r="L936" s="738"/>
      <c r="M936" s="738"/>
      <c r="N936" s="738"/>
      <c r="O936" s="738"/>
      <c r="P936" s="738"/>
      <c r="Q936" s="738"/>
      <c r="R936" s="738"/>
      <c r="S936" s="738"/>
      <c r="T936" s="738"/>
      <c r="U936" s="738"/>
      <c r="V936" s="738"/>
      <c r="W936" s="738"/>
      <c r="X936" s="738"/>
      <c r="Y936" s="738"/>
      <c r="Z936" s="738"/>
    </row>
    <row r="937">
      <c r="A937" s="738"/>
      <c r="B937" s="738"/>
      <c r="C937" s="738"/>
      <c r="D937" s="738"/>
      <c r="E937" s="738"/>
      <c r="F937" s="738"/>
      <c r="G937" s="738"/>
      <c r="H937" s="738"/>
      <c r="I937" s="738"/>
      <c r="J937" s="738"/>
      <c r="K937" s="738"/>
      <c r="L937" s="738"/>
      <c r="M937" s="738"/>
      <c r="N937" s="738"/>
      <c r="O937" s="738"/>
      <c r="P937" s="738"/>
      <c r="Q937" s="738"/>
      <c r="R937" s="738"/>
      <c r="S937" s="738"/>
      <c r="T937" s="738"/>
      <c r="U937" s="738"/>
      <c r="V937" s="738"/>
      <c r="W937" s="738"/>
      <c r="X937" s="738"/>
      <c r="Y937" s="738"/>
      <c r="Z937" s="738"/>
    </row>
    <row r="938">
      <c r="A938" s="738"/>
      <c r="B938" s="738"/>
      <c r="C938" s="738"/>
      <c r="D938" s="738"/>
      <c r="E938" s="738"/>
      <c r="F938" s="738"/>
      <c r="G938" s="738"/>
      <c r="H938" s="738"/>
      <c r="I938" s="738"/>
      <c r="J938" s="738"/>
      <c r="K938" s="738"/>
      <c r="L938" s="738"/>
      <c r="M938" s="738"/>
      <c r="N938" s="738"/>
      <c r="O938" s="738"/>
      <c r="P938" s="738"/>
      <c r="Q938" s="738"/>
      <c r="R938" s="738"/>
      <c r="S938" s="738"/>
      <c r="T938" s="738"/>
      <c r="U938" s="738"/>
      <c r="V938" s="738"/>
      <c r="W938" s="738"/>
      <c r="X938" s="738"/>
      <c r="Y938" s="738"/>
      <c r="Z938" s="738"/>
    </row>
    <row r="939">
      <c r="A939" s="738"/>
      <c r="B939" s="738"/>
      <c r="C939" s="738"/>
      <c r="D939" s="738"/>
      <c r="E939" s="738"/>
      <c r="F939" s="738"/>
      <c r="G939" s="738"/>
      <c r="H939" s="738"/>
      <c r="I939" s="738"/>
      <c r="J939" s="738"/>
      <c r="K939" s="738"/>
      <c r="L939" s="738"/>
      <c r="M939" s="738"/>
      <c r="N939" s="738"/>
      <c r="O939" s="738"/>
      <c r="P939" s="738"/>
      <c r="Q939" s="738"/>
      <c r="R939" s="738"/>
      <c r="S939" s="738"/>
      <c r="T939" s="738"/>
      <c r="U939" s="738"/>
      <c r="V939" s="738"/>
      <c r="W939" s="738"/>
      <c r="X939" s="738"/>
      <c r="Y939" s="738"/>
      <c r="Z939" s="738"/>
    </row>
    <row r="940">
      <c r="A940" s="738"/>
      <c r="B940" s="738"/>
      <c r="C940" s="738"/>
      <c r="D940" s="738"/>
      <c r="E940" s="738"/>
      <c r="F940" s="738"/>
      <c r="G940" s="738"/>
      <c r="H940" s="738"/>
      <c r="I940" s="738"/>
      <c r="J940" s="738"/>
      <c r="K940" s="738"/>
      <c r="L940" s="738"/>
      <c r="M940" s="738"/>
      <c r="N940" s="738"/>
      <c r="O940" s="738"/>
      <c r="P940" s="738"/>
      <c r="Q940" s="738"/>
      <c r="R940" s="738"/>
      <c r="S940" s="738"/>
      <c r="T940" s="738"/>
      <c r="U940" s="738"/>
      <c r="V940" s="738"/>
      <c r="W940" s="738"/>
      <c r="X940" s="738"/>
      <c r="Y940" s="738"/>
      <c r="Z940" s="738"/>
    </row>
    <row r="941">
      <c r="A941" s="738"/>
      <c r="B941" s="738"/>
      <c r="C941" s="738"/>
      <c r="D941" s="738"/>
      <c r="E941" s="738"/>
      <c r="F941" s="738"/>
      <c r="G941" s="738"/>
      <c r="H941" s="738"/>
      <c r="I941" s="738"/>
      <c r="J941" s="738"/>
      <c r="K941" s="738"/>
      <c r="L941" s="738"/>
      <c r="M941" s="738"/>
      <c r="N941" s="738"/>
      <c r="O941" s="738"/>
      <c r="P941" s="738"/>
      <c r="Q941" s="738"/>
      <c r="R941" s="738"/>
      <c r="S941" s="738"/>
      <c r="T941" s="738"/>
      <c r="U941" s="738"/>
      <c r="V941" s="738"/>
      <c r="W941" s="738"/>
      <c r="X941" s="738"/>
      <c r="Y941" s="738"/>
      <c r="Z941" s="738"/>
    </row>
    <row r="942">
      <c r="A942" s="738"/>
      <c r="B942" s="738"/>
      <c r="C942" s="738"/>
      <c r="D942" s="738"/>
      <c r="E942" s="738"/>
      <c r="F942" s="738"/>
      <c r="G942" s="738"/>
      <c r="H942" s="738"/>
      <c r="I942" s="738"/>
      <c r="J942" s="738"/>
      <c r="K942" s="738"/>
      <c r="L942" s="738"/>
      <c r="M942" s="738"/>
      <c r="N942" s="738"/>
      <c r="O942" s="738"/>
      <c r="P942" s="738"/>
      <c r="Q942" s="738"/>
      <c r="R942" s="738"/>
      <c r="S942" s="738"/>
      <c r="T942" s="738"/>
      <c r="U942" s="738"/>
      <c r="V942" s="738"/>
      <c r="W942" s="738"/>
      <c r="X942" s="738"/>
      <c r="Y942" s="738"/>
      <c r="Z942" s="738"/>
    </row>
    <row r="943">
      <c r="A943" s="738"/>
      <c r="B943" s="738"/>
      <c r="C943" s="738"/>
      <c r="D943" s="738"/>
      <c r="E943" s="738"/>
      <c r="F943" s="738"/>
      <c r="G943" s="738"/>
      <c r="H943" s="738"/>
      <c r="I943" s="738"/>
      <c r="J943" s="738"/>
      <c r="K943" s="738"/>
      <c r="L943" s="738"/>
      <c r="M943" s="738"/>
      <c r="N943" s="738"/>
      <c r="O943" s="738"/>
      <c r="P943" s="738"/>
      <c r="Q943" s="738"/>
      <c r="R943" s="738"/>
      <c r="S943" s="738"/>
      <c r="T943" s="738"/>
      <c r="U943" s="738"/>
      <c r="V943" s="738"/>
      <c r="W943" s="738"/>
      <c r="X943" s="738"/>
      <c r="Y943" s="738"/>
      <c r="Z943" s="738"/>
    </row>
    <row r="944">
      <c r="A944" s="738"/>
      <c r="B944" s="738"/>
      <c r="C944" s="738"/>
      <c r="D944" s="738"/>
      <c r="E944" s="738"/>
      <c r="F944" s="738"/>
      <c r="G944" s="738"/>
      <c r="H944" s="738"/>
      <c r="I944" s="738"/>
      <c r="J944" s="738"/>
      <c r="K944" s="738"/>
      <c r="L944" s="738"/>
      <c r="M944" s="738"/>
      <c r="N944" s="738"/>
      <c r="O944" s="738"/>
      <c r="P944" s="738"/>
      <c r="Q944" s="738"/>
      <c r="R944" s="738"/>
      <c r="S944" s="738"/>
      <c r="T944" s="738"/>
      <c r="U944" s="738"/>
      <c r="V944" s="738"/>
      <c r="W944" s="738"/>
      <c r="X944" s="738"/>
      <c r="Y944" s="738"/>
      <c r="Z944" s="738"/>
    </row>
    <row r="945">
      <c r="A945" s="738"/>
      <c r="B945" s="738"/>
      <c r="C945" s="738"/>
      <c r="D945" s="738"/>
      <c r="E945" s="738"/>
      <c r="F945" s="738"/>
      <c r="G945" s="738"/>
      <c r="H945" s="738"/>
      <c r="I945" s="738"/>
      <c r="J945" s="738"/>
      <c r="K945" s="738"/>
      <c r="L945" s="738"/>
      <c r="M945" s="738"/>
      <c r="N945" s="738"/>
      <c r="O945" s="738"/>
      <c r="P945" s="738"/>
      <c r="Q945" s="738"/>
      <c r="R945" s="738"/>
      <c r="S945" s="738"/>
      <c r="T945" s="738"/>
      <c r="U945" s="738"/>
      <c r="V945" s="738"/>
      <c r="W945" s="738"/>
      <c r="X945" s="738"/>
      <c r="Y945" s="738"/>
      <c r="Z945" s="738"/>
    </row>
    <row r="946">
      <c r="A946" s="738"/>
      <c r="B946" s="738"/>
      <c r="C946" s="738"/>
      <c r="D946" s="738"/>
      <c r="E946" s="738"/>
      <c r="F946" s="738"/>
      <c r="G946" s="738"/>
      <c r="H946" s="738"/>
      <c r="I946" s="738"/>
      <c r="J946" s="738"/>
      <c r="K946" s="738"/>
      <c r="L946" s="738"/>
      <c r="M946" s="738"/>
      <c r="N946" s="738"/>
      <c r="O946" s="738"/>
      <c r="P946" s="738"/>
      <c r="Q946" s="738"/>
      <c r="R946" s="738"/>
      <c r="S946" s="738"/>
      <c r="T946" s="738"/>
      <c r="U946" s="738"/>
      <c r="V946" s="738"/>
      <c r="W946" s="738"/>
      <c r="X946" s="738"/>
      <c r="Y946" s="738"/>
      <c r="Z946" s="738"/>
    </row>
    <row r="947">
      <c r="A947" s="738"/>
      <c r="B947" s="738"/>
      <c r="C947" s="738"/>
      <c r="D947" s="738"/>
      <c r="E947" s="738"/>
      <c r="F947" s="738"/>
      <c r="G947" s="738"/>
      <c r="H947" s="738"/>
      <c r="I947" s="738"/>
      <c r="J947" s="738"/>
      <c r="K947" s="738"/>
      <c r="L947" s="738"/>
      <c r="M947" s="738"/>
      <c r="N947" s="738"/>
      <c r="O947" s="738"/>
      <c r="P947" s="738"/>
      <c r="Q947" s="738"/>
      <c r="R947" s="738"/>
      <c r="S947" s="738"/>
      <c r="T947" s="738"/>
      <c r="U947" s="738"/>
      <c r="V947" s="738"/>
      <c r="W947" s="738"/>
      <c r="X947" s="738"/>
      <c r="Y947" s="738"/>
      <c r="Z947" s="738"/>
    </row>
    <row r="948">
      <c r="A948" s="738"/>
      <c r="B948" s="738"/>
      <c r="C948" s="738"/>
      <c r="D948" s="738"/>
      <c r="E948" s="738"/>
      <c r="F948" s="738"/>
      <c r="G948" s="738"/>
      <c r="H948" s="738"/>
      <c r="I948" s="738"/>
      <c r="J948" s="738"/>
      <c r="K948" s="738"/>
      <c r="L948" s="738"/>
      <c r="M948" s="738"/>
      <c r="N948" s="738"/>
      <c r="O948" s="738"/>
      <c r="P948" s="738"/>
      <c r="Q948" s="738"/>
      <c r="R948" s="738"/>
      <c r="S948" s="738"/>
      <c r="T948" s="738"/>
      <c r="U948" s="738"/>
      <c r="V948" s="738"/>
      <c r="W948" s="738"/>
      <c r="X948" s="738"/>
      <c r="Y948" s="738"/>
      <c r="Z948" s="738"/>
    </row>
    <row r="949">
      <c r="A949" s="738"/>
      <c r="B949" s="738"/>
      <c r="C949" s="738"/>
      <c r="D949" s="738"/>
      <c r="E949" s="738"/>
      <c r="F949" s="738"/>
      <c r="G949" s="738"/>
      <c r="H949" s="738"/>
      <c r="I949" s="738"/>
      <c r="J949" s="738"/>
      <c r="K949" s="738"/>
      <c r="L949" s="738"/>
      <c r="M949" s="738"/>
      <c r="N949" s="738"/>
      <c r="O949" s="738"/>
      <c r="P949" s="738"/>
      <c r="Q949" s="738"/>
      <c r="R949" s="738"/>
      <c r="S949" s="738"/>
      <c r="T949" s="738"/>
      <c r="U949" s="738"/>
      <c r="V949" s="738"/>
      <c r="W949" s="738"/>
      <c r="X949" s="738"/>
      <c r="Y949" s="738"/>
      <c r="Z949" s="738"/>
    </row>
    <row r="950">
      <c r="A950" s="738"/>
      <c r="B950" s="738"/>
      <c r="C950" s="738"/>
      <c r="D950" s="738"/>
      <c r="E950" s="738"/>
      <c r="F950" s="738"/>
      <c r="G950" s="738"/>
      <c r="H950" s="738"/>
      <c r="I950" s="738"/>
      <c r="J950" s="738"/>
      <c r="K950" s="738"/>
      <c r="L950" s="738"/>
      <c r="M950" s="738"/>
      <c r="N950" s="738"/>
      <c r="O950" s="738"/>
      <c r="P950" s="738"/>
      <c r="Q950" s="738"/>
      <c r="R950" s="738"/>
      <c r="S950" s="738"/>
      <c r="T950" s="738"/>
      <c r="U950" s="738"/>
      <c r="V950" s="738"/>
      <c r="W950" s="738"/>
      <c r="X950" s="738"/>
      <c r="Y950" s="738"/>
      <c r="Z950" s="738"/>
    </row>
    <row r="951">
      <c r="A951" s="738"/>
      <c r="B951" s="738"/>
      <c r="C951" s="738"/>
      <c r="D951" s="738"/>
      <c r="E951" s="738"/>
      <c r="F951" s="738"/>
      <c r="G951" s="738"/>
      <c r="H951" s="738"/>
      <c r="I951" s="738"/>
      <c r="J951" s="738"/>
      <c r="K951" s="738"/>
      <c r="L951" s="738"/>
      <c r="M951" s="738"/>
      <c r="N951" s="738"/>
      <c r="O951" s="738"/>
      <c r="P951" s="738"/>
      <c r="Q951" s="738"/>
      <c r="R951" s="738"/>
      <c r="S951" s="738"/>
      <c r="T951" s="738"/>
      <c r="U951" s="738"/>
      <c r="V951" s="738"/>
      <c r="W951" s="738"/>
      <c r="X951" s="738"/>
      <c r="Y951" s="738"/>
      <c r="Z951" s="738"/>
    </row>
    <row r="952">
      <c r="A952" s="738"/>
      <c r="B952" s="738"/>
      <c r="C952" s="738"/>
      <c r="D952" s="738"/>
      <c r="E952" s="738"/>
      <c r="F952" s="738"/>
      <c r="G952" s="738"/>
      <c r="H952" s="738"/>
      <c r="I952" s="738"/>
      <c r="J952" s="738"/>
      <c r="K952" s="738"/>
      <c r="L952" s="738"/>
      <c r="M952" s="738"/>
      <c r="N952" s="738"/>
      <c r="O952" s="738"/>
      <c r="P952" s="738"/>
      <c r="Q952" s="738"/>
      <c r="R952" s="738"/>
      <c r="S952" s="738"/>
      <c r="T952" s="738"/>
      <c r="U952" s="738"/>
      <c r="V952" s="738"/>
      <c r="W952" s="738"/>
      <c r="X952" s="738"/>
      <c r="Y952" s="738"/>
      <c r="Z952" s="738"/>
    </row>
    <row r="953">
      <c r="A953" s="738"/>
      <c r="B953" s="738"/>
      <c r="C953" s="738"/>
      <c r="D953" s="738"/>
      <c r="E953" s="738"/>
      <c r="F953" s="738"/>
      <c r="G953" s="738"/>
      <c r="H953" s="738"/>
      <c r="I953" s="738"/>
      <c r="J953" s="738"/>
      <c r="K953" s="738"/>
      <c r="L953" s="738"/>
      <c r="M953" s="738"/>
      <c r="N953" s="738"/>
      <c r="O953" s="738"/>
      <c r="P953" s="738"/>
      <c r="Q953" s="738"/>
      <c r="R953" s="738"/>
      <c r="S953" s="738"/>
      <c r="T953" s="738"/>
      <c r="U953" s="738"/>
      <c r="V953" s="738"/>
      <c r="W953" s="738"/>
      <c r="X953" s="738"/>
      <c r="Y953" s="738"/>
      <c r="Z953" s="738"/>
    </row>
    <row r="954">
      <c r="A954" s="738"/>
      <c r="B954" s="738"/>
      <c r="C954" s="738"/>
      <c r="D954" s="738"/>
      <c r="E954" s="738"/>
      <c r="F954" s="738"/>
      <c r="G954" s="738"/>
      <c r="H954" s="738"/>
      <c r="I954" s="738"/>
      <c r="J954" s="738"/>
      <c r="K954" s="738"/>
      <c r="L954" s="738"/>
      <c r="M954" s="738"/>
      <c r="N954" s="738"/>
      <c r="O954" s="738"/>
      <c r="P954" s="738"/>
      <c r="Q954" s="738"/>
      <c r="R954" s="738"/>
      <c r="S954" s="738"/>
      <c r="T954" s="738"/>
      <c r="U954" s="738"/>
      <c r="V954" s="738"/>
      <c r="W954" s="738"/>
      <c r="X954" s="738"/>
      <c r="Y954" s="738"/>
      <c r="Z954" s="738"/>
    </row>
    <row r="955">
      <c r="A955" s="738"/>
      <c r="B955" s="738"/>
      <c r="C955" s="738"/>
      <c r="D955" s="738"/>
      <c r="E955" s="738"/>
      <c r="F955" s="738"/>
      <c r="G955" s="738"/>
      <c r="H955" s="738"/>
      <c r="I955" s="738"/>
      <c r="J955" s="738"/>
      <c r="K955" s="738"/>
      <c r="L955" s="738"/>
      <c r="M955" s="738"/>
      <c r="N955" s="738"/>
      <c r="O955" s="738"/>
      <c r="P955" s="738"/>
      <c r="Q955" s="738"/>
      <c r="R955" s="738"/>
      <c r="S955" s="738"/>
      <c r="T955" s="738"/>
      <c r="U955" s="738"/>
      <c r="V955" s="738"/>
      <c r="W955" s="738"/>
      <c r="X955" s="738"/>
      <c r="Y955" s="738"/>
      <c r="Z955" s="738"/>
    </row>
    <row r="956">
      <c r="A956" s="738"/>
      <c r="B956" s="738"/>
      <c r="C956" s="738"/>
      <c r="D956" s="738"/>
      <c r="E956" s="738"/>
      <c r="F956" s="738"/>
      <c r="G956" s="738"/>
      <c r="H956" s="738"/>
      <c r="I956" s="738"/>
      <c r="J956" s="738"/>
      <c r="K956" s="738"/>
      <c r="L956" s="738"/>
      <c r="M956" s="738"/>
      <c r="N956" s="738"/>
      <c r="O956" s="738"/>
      <c r="P956" s="738"/>
      <c r="Q956" s="738"/>
      <c r="R956" s="738"/>
      <c r="S956" s="738"/>
      <c r="T956" s="738"/>
      <c r="U956" s="738"/>
      <c r="V956" s="738"/>
      <c r="W956" s="738"/>
      <c r="X956" s="738"/>
      <c r="Y956" s="738"/>
      <c r="Z956" s="738"/>
    </row>
    <row r="957">
      <c r="A957" s="738"/>
      <c r="B957" s="738"/>
      <c r="C957" s="738"/>
      <c r="D957" s="738"/>
      <c r="E957" s="738"/>
      <c r="F957" s="738"/>
      <c r="G957" s="738"/>
      <c r="H957" s="738"/>
      <c r="I957" s="738"/>
      <c r="J957" s="738"/>
      <c r="K957" s="738"/>
      <c r="L957" s="738"/>
      <c r="M957" s="738"/>
      <c r="N957" s="738"/>
      <c r="O957" s="738"/>
      <c r="P957" s="738"/>
      <c r="Q957" s="738"/>
      <c r="R957" s="738"/>
      <c r="S957" s="738"/>
      <c r="T957" s="738"/>
      <c r="U957" s="738"/>
      <c r="V957" s="738"/>
      <c r="W957" s="738"/>
      <c r="X957" s="738"/>
      <c r="Y957" s="738"/>
      <c r="Z957" s="738"/>
    </row>
    <row r="958">
      <c r="A958" s="738"/>
      <c r="B958" s="738"/>
      <c r="C958" s="738"/>
      <c r="D958" s="738"/>
      <c r="E958" s="738"/>
      <c r="F958" s="738"/>
      <c r="G958" s="738"/>
      <c r="H958" s="738"/>
      <c r="I958" s="738"/>
      <c r="J958" s="738"/>
      <c r="K958" s="738"/>
      <c r="L958" s="738"/>
      <c r="M958" s="738"/>
      <c r="N958" s="738"/>
      <c r="O958" s="738"/>
      <c r="P958" s="738"/>
      <c r="Q958" s="738"/>
      <c r="R958" s="738"/>
      <c r="S958" s="738"/>
      <c r="T958" s="738"/>
      <c r="U958" s="738"/>
      <c r="V958" s="738"/>
      <c r="W958" s="738"/>
      <c r="X958" s="738"/>
      <c r="Y958" s="738"/>
      <c r="Z958" s="738"/>
    </row>
    <row r="959">
      <c r="A959" s="738"/>
      <c r="B959" s="738"/>
      <c r="C959" s="738"/>
      <c r="D959" s="738"/>
      <c r="E959" s="738"/>
      <c r="F959" s="738"/>
      <c r="G959" s="738"/>
      <c r="H959" s="738"/>
      <c r="I959" s="738"/>
      <c r="J959" s="738"/>
      <c r="K959" s="738"/>
      <c r="L959" s="738"/>
      <c r="M959" s="738"/>
      <c r="N959" s="738"/>
      <c r="O959" s="738"/>
      <c r="P959" s="738"/>
      <c r="Q959" s="738"/>
      <c r="R959" s="738"/>
      <c r="S959" s="738"/>
      <c r="T959" s="738"/>
      <c r="U959" s="738"/>
      <c r="V959" s="738"/>
      <c r="W959" s="738"/>
      <c r="X959" s="738"/>
      <c r="Y959" s="738"/>
      <c r="Z959" s="738"/>
    </row>
    <row r="960">
      <c r="A960" s="738"/>
      <c r="B960" s="738"/>
      <c r="C960" s="738"/>
      <c r="D960" s="738"/>
      <c r="E960" s="738"/>
      <c r="F960" s="738"/>
      <c r="G960" s="738"/>
      <c r="H960" s="738"/>
      <c r="I960" s="738"/>
      <c r="J960" s="738"/>
      <c r="K960" s="738"/>
      <c r="L960" s="738"/>
      <c r="M960" s="738"/>
      <c r="N960" s="738"/>
      <c r="O960" s="738"/>
      <c r="P960" s="738"/>
      <c r="Q960" s="738"/>
      <c r="R960" s="738"/>
      <c r="S960" s="738"/>
      <c r="T960" s="738"/>
      <c r="U960" s="738"/>
      <c r="V960" s="738"/>
      <c r="W960" s="738"/>
      <c r="X960" s="738"/>
      <c r="Y960" s="738"/>
      <c r="Z960" s="738"/>
    </row>
    <row r="961">
      <c r="A961" s="738"/>
      <c r="B961" s="738"/>
      <c r="C961" s="738"/>
      <c r="D961" s="738"/>
      <c r="E961" s="738"/>
      <c r="F961" s="738"/>
      <c r="G961" s="738"/>
      <c r="H961" s="738"/>
      <c r="I961" s="738"/>
      <c r="J961" s="738"/>
      <c r="K961" s="738"/>
      <c r="L961" s="738"/>
      <c r="M961" s="738"/>
      <c r="N961" s="738"/>
      <c r="O961" s="738"/>
      <c r="P961" s="738"/>
      <c r="Q961" s="738"/>
      <c r="R961" s="738"/>
      <c r="S961" s="738"/>
      <c r="T961" s="738"/>
      <c r="U961" s="738"/>
      <c r="V961" s="738"/>
      <c r="W961" s="738"/>
      <c r="X961" s="738"/>
      <c r="Y961" s="738"/>
      <c r="Z961" s="738"/>
    </row>
    <row r="962">
      <c r="A962" s="738"/>
      <c r="B962" s="738"/>
      <c r="C962" s="738"/>
      <c r="D962" s="738"/>
      <c r="E962" s="738"/>
      <c r="F962" s="738"/>
      <c r="G962" s="738"/>
      <c r="H962" s="738"/>
      <c r="I962" s="738"/>
      <c r="J962" s="738"/>
      <c r="K962" s="738"/>
      <c r="L962" s="738"/>
      <c r="M962" s="738"/>
      <c r="N962" s="738"/>
      <c r="O962" s="738"/>
      <c r="P962" s="738"/>
      <c r="Q962" s="738"/>
      <c r="R962" s="738"/>
      <c r="S962" s="738"/>
      <c r="T962" s="738"/>
      <c r="U962" s="738"/>
      <c r="V962" s="738"/>
      <c r="W962" s="738"/>
      <c r="X962" s="738"/>
      <c r="Y962" s="738"/>
      <c r="Z962" s="738"/>
    </row>
    <row r="963">
      <c r="A963" s="738"/>
      <c r="B963" s="738"/>
      <c r="C963" s="738"/>
      <c r="D963" s="738"/>
      <c r="E963" s="738"/>
      <c r="F963" s="738"/>
      <c r="G963" s="738"/>
      <c r="H963" s="738"/>
      <c r="I963" s="738"/>
      <c r="J963" s="738"/>
      <c r="K963" s="738"/>
      <c r="L963" s="738"/>
      <c r="M963" s="738"/>
      <c r="N963" s="738"/>
      <c r="O963" s="738"/>
      <c r="P963" s="738"/>
      <c r="Q963" s="738"/>
      <c r="R963" s="738"/>
      <c r="S963" s="738"/>
      <c r="T963" s="738"/>
      <c r="U963" s="738"/>
      <c r="V963" s="738"/>
      <c r="W963" s="738"/>
      <c r="X963" s="738"/>
      <c r="Y963" s="738"/>
      <c r="Z963" s="738"/>
    </row>
    <row r="964">
      <c r="A964" s="738"/>
      <c r="B964" s="738"/>
      <c r="C964" s="738"/>
      <c r="D964" s="738"/>
      <c r="E964" s="738"/>
      <c r="F964" s="738"/>
      <c r="G964" s="738"/>
      <c r="H964" s="738"/>
      <c r="I964" s="738"/>
      <c r="J964" s="738"/>
      <c r="K964" s="738"/>
      <c r="L964" s="738"/>
      <c r="M964" s="738"/>
      <c r="N964" s="738"/>
      <c r="O964" s="738"/>
      <c r="P964" s="738"/>
      <c r="Q964" s="738"/>
      <c r="R964" s="738"/>
      <c r="S964" s="738"/>
      <c r="T964" s="738"/>
      <c r="U964" s="738"/>
      <c r="V964" s="738"/>
      <c r="W964" s="738"/>
      <c r="X964" s="738"/>
      <c r="Y964" s="738"/>
      <c r="Z964" s="738"/>
    </row>
    <row r="965">
      <c r="A965" s="738"/>
      <c r="B965" s="738"/>
      <c r="C965" s="738"/>
      <c r="D965" s="738"/>
      <c r="E965" s="738"/>
      <c r="F965" s="738"/>
      <c r="G965" s="738"/>
      <c r="H965" s="738"/>
      <c r="I965" s="738"/>
      <c r="J965" s="738"/>
      <c r="K965" s="738"/>
      <c r="L965" s="738"/>
      <c r="M965" s="738"/>
      <c r="N965" s="738"/>
      <c r="O965" s="738"/>
      <c r="P965" s="738"/>
      <c r="Q965" s="738"/>
      <c r="R965" s="738"/>
      <c r="S965" s="738"/>
      <c r="T965" s="738"/>
      <c r="U965" s="738"/>
      <c r="V965" s="738"/>
      <c r="W965" s="738"/>
      <c r="X965" s="738"/>
      <c r="Y965" s="738"/>
      <c r="Z965" s="738"/>
    </row>
    <row r="966">
      <c r="A966" s="738"/>
      <c r="B966" s="738"/>
      <c r="C966" s="738"/>
      <c r="D966" s="738"/>
      <c r="E966" s="738"/>
      <c r="F966" s="738"/>
      <c r="G966" s="738"/>
      <c r="H966" s="738"/>
      <c r="I966" s="738"/>
      <c r="J966" s="738"/>
      <c r="K966" s="738"/>
      <c r="L966" s="738"/>
      <c r="M966" s="738"/>
      <c r="N966" s="738"/>
      <c r="O966" s="738"/>
      <c r="P966" s="738"/>
      <c r="Q966" s="738"/>
      <c r="R966" s="738"/>
      <c r="S966" s="738"/>
      <c r="T966" s="738"/>
      <c r="U966" s="738"/>
      <c r="V966" s="738"/>
      <c r="W966" s="738"/>
      <c r="X966" s="738"/>
      <c r="Y966" s="738"/>
      <c r="Z966" s="738"/>
    </row>
    <row r="967">
      <c r="A967" s="738"/>
      <c r="B967" s="738"/>
      <c r="C967" s="738"/>
      <c r="D967" s="738"/>
      <c r="E967" s="738"/>
      <c r="F967" s="738"/>
      <c r="G967" s="738"/>
      <c r="H967" s="738"/>
      <c r="I967" s="738"/>
      <c r="J967" s="738"/>
      <c r="K967" s="738"/>
      <c r="L967" s="738"/>
      <c r="M967" s="738"/>
      <c r="N967" s="738"/>
      <c r="O967" s="738"/>
      <c r="P967" s="738"/>
      <c r="Q967" s="738"/>
      <c r="R967" s="738"/>
      <c r="S967" s="738"/>
      <c r="T967" s="738"/>
      <c r="U967" s="738"/>
      <c r="V967" s="738"/>
      <c r="W967" s="738"/>
      <c r="X967" s="738"/>
      <c r="Y967" s="738"/>
      <c r="Z967" s="738"/>
    </row>
    <row r="968">
      <c r="A968" s="738"/>
      <c r="B968" s="738"/>
      <c r="C968" s="738"/>
      <c r="D968" s="738"/>
      <c r="E968" s="738"/>
      <c r="F968" s="738"/>
      <c r="G968" s="738"/>
      <c r="H968" s="738"/>
      <c r="I968" s="738"/>
      <c r="J968" s="738"/>
      <c r="K968" s="738"/>
      <c r="L968" s="738"/>
      <c r="M968" s="738"/>
      <c r="N968" s="738"/>
      <c r="O968" s="738"/>
      <c r="P968" s="738"/>
      <c r="Q968" s="738"/>
      <c r="R968" s="738"/>
      <c r="S968" s="738"/>
      <c r="T968" s="738"/>
      <c r="U968" s="738"/>
      <c r="V968" s="738"/>
      <c r="W968" s="738"/>
      <c r="X968" s="738"/>
      <c r="Y968" s="738"/>
      <c r="Z968" s="738"/>
    </row>
    <row r="969">
      <c r="A969" s="738"/>
      <c r="B969" s="738"/>
      <c r="C969" s="738"/>
      <c r="D969" s="738"/>
      <c r="E969" s="738"/>
      <c r="F969" s="738"/>
      <c r="G969" s="738"/>
      <c r="H969" s="738"/>
      <c r="I969" s="738"/>
      <c r="J969" s="738"/>
      <c r="K969" s="738"/>
      <c r="L969" s="738"/>
      <c r="M969" s="738"/>
      <c r="N969" s="738"/>
      <c r="O969" s="738"/>
      <c r="P969" s="738"/>
      <c r="Q969" s="738"/>
      <c r="R969" s="738"/>
      <c r="S969" s="738"/>
      <c r="T969" s="738"/>
      <c r="U969" s="738"/>
      <c r="V969" s="738"/>
      <c r="W969" s="738"/>
      <c r="X969" s="738"/>
      <c r="Y969" s="738"/>
      <c r="Z969" s="738"/>
    </row>
    <row r="970">
      <c r="A970" s="738"/>
      <c r="B970" s="738"/>
      <c r="C970" s="738"/>
      <c r="D970" s="738"/>
      <c r="E970" s="738"/>
      <c r="F970" s="738"/>
      <c r="G970" s="738"/>
      <c r="H970" s="738"/>
      <c r="I970" s="738"/>
      <c r="J970" s="738"/>
      <c r="K970" s="738"/>
      <c r="L970" s="738"/>
      <c r="M970" s="738"/>
      <c r="N970" s="738"/>
      <c r="O970" s="738"/>
      <c r="P970" s="738"/>
      <c r="Q970" s="738"/>
      <c r="R970" s="738"/>
      <c r="S970" s="738"/>
      <c r="T970" s="738"/>
      <c r="U970" s="738"/>
      <c r="V970" s="738"/>
      <c r="W970" s="738"/>
      <c r="X970" s="738"/>
      <c r="Y970" s="738"/>
      <c r="Z970" s="738"/>
    </row>
    <row r="971">
      <c r="A971" s="738"/>
      <c r="B971" s="738"/>
      <c r="C971" s="738"/>
      <c r="D971" s="738"/>
      <c r="E971" s="738"/>
      <c r="F971" s="738"/>
      <c r="G971" s="738"/>
      <c r="H971" s="738"/>
      <c r="I971" s="738"/>
      <c r="J971" s="738"/>
      <c r="K971" s="738"/>
      <c r="L971" s="738"/>
      <c r="M971" s="738"/>
      <c r="N971" s="738"/>
      <c r="O971" s="738"/>
      <c r="P971" s="738"/>
      <c r="Q971" s="738"/>
      <c r="R971" s="738"/>
      <c r="S971" s="738"/>
      <c r="T971" s="738"/>
      <c r="U971" s="738"/>
      <c r="V971" s="738"/>
      <c r="W971" s="738"/>
      <c r="X971" s="738"/>
      <c r="Y971" s="738"/>
      <c r="Z971" s="738"/>
    </row>
    <row r="972">
      <c r="A972" s="738"/>
      <c r="B972" s="738"/>
      <c r="C972" s="738"/>
      <c r="D972" s="738"/>
      <c r="E972" s="738"/>
      <c r="F972" s="738"/>
      <c r="G972" s="738"/>
      <c r="H972" s="738"/>
      <c r="I972" s="738"/>
      <c r="J972" s="738"/>
      <c r="K972" s="738"/>
      <c r="L972" s="738"/>
      <c r="M972" s="738"/>
      <c r="N972" s="738"/>
      <c r="O972" s="738"/>
      <c r="P972" s="738"/>
      <c r="Q972" s="738"/>
      <c r="R972" s="738"/>
      <c r="S972" s="738"/>
      <c r="T972" s="738"/>
      <c r="U972" s="738"/>
      <c r="V972" s="738"/>
      <c r="W972" s="738"/>
      <c r="X972" s="738"/>
      <c r="Y972" s="738"/>
      <c r="Z972" s="738"/>
    </row>
    <row r="973">
      <c r="A973" s="738"/>
      <c r="B973" s="738"/>
      <c r="C973" s="738"/>
      <c r="D973" s="738"/>
      <c r="E973" s="738"/>
      <c r="F973" s="738"/>
      <c r="G973" s="738"/>
      <c r="H973" s="738"/>
      <c r="I973" s="738"/>
      <c r="J973" s="738"/>
      <c r="K973" s="738"/>
      <c r="L973" s="738"/>
      <c r="M973" s="738"/>
      <c r="N973" s="738"/>
      <c r="O973" s="738"/>
      <c r="P973" s="738"/>
      <c r="Q973" s="738"/>
      <c r="R973" s="738"/>
      <c r="S973" s="738"/>
      <c r="T973" s="738"/>
      <c r="U973" s="738"/>
      <c r="V973" s="738"/>
      <c r="W973" s="738"/>
      <c r="X973" s="738"/>
      <c r="Y973" s="738"/>
      <c r="Z973" s="738"/>
    </row>
    <row r="974">
      <c r="A974" s="738"/>
      <c r="B974" s="738"/>
      <c r="C974" s="738"/>
      <c r="D974" s="738"/>
      <c r="E974" s="738"/>
      <c r="F974" s="738"/>
      <c r="G974" s="738"/>
      <c r="H974" s="738"/>
      <c r="I974" s="738"/>
      <c r="J974" s="738"/>
      <c r="K974" s="738"/>
      <c r="L974" s="738"/>
      <c r="M974" s="738"/>
      <c r="N974" s="738"/>
      <c r="O974" s="738"/>
      <c r="P974" s="738"/>
      <c r="Q974" s="738"/>
      <c r="R974" s="738"/>
      <c r="S974" s="738"/>
      <c r="T974" s="738"/>
      <c r="U974" s="738"/>
      <c r="V974" s="738"/>
      <c r="W974" s="738"/>
      <c r="X974" s="738"/>
      <c r="Y974" s="738"/>
      <c r="Z974" s="738"/>
    </row>
    <row r="975">
      <c r="A975" s="738"/>
      <c r="B975" s="738"/>
      <c r="C975" s="738"/>
      <c r="D975" s="738"/>
      <c r="E975" s="738"/>
      <c r="F975" s="738"/>
      <c r="G975" s="738"/>
      <c r="H975" s="738"/>
      <c r="I975" s="738"/>
      <c r="J975" s="738"/>
      <c r="K975" s="738"/>
      <c r="L975" s="738"/>
      <c r="M975" s="738"/>
      <c r="N975" s="738"/>
      <c r="O975" s="738"/>
      <c r="P975" s="738"/>
      <c r="Q975" s="738"/>
      <c r="R975" s="738"/>
      <c r="S975" s="738"/>
      <c r="T975" s="738"/>
      <c r="U975" s="738"/>
      <c r="V975" s="738"/>
      <c r="W975" s="738"/>
      <c r="X975" s="738"/>
      <c r="Y975" s="738"/>
      <c r="Z975" s="738"/>
    </row>
    <row r="976">
      <c r="A976" s="738"/>
      <c r="B976" s="738"/>
      <c r="C976" s="738"/>
      <c r="D976" s="738"/>
      <c r="E976" s="738"/>
      <c r="F976" s="738"/>
      <c r="G976" s="738"/>
      <c r="H976" s="738"/>
      <c r="I976" s="738"/>
      <c r="J976" s="738"/>
      <c r="K976" s="738"/>
      <c r="L976" s="738"/>
      <c r="M976" s="738"/>
      <c r="N976" s="738"/>
      <c r="O976" s="738"/>
      <c r="P976" s="738"/>
      <c r="Q976" s="738"/>
      <c r="R976" s="738"/>
      <c r="S976" s="738"/>
      <c r="T976" s="738"/>
      <c r="U976" s="738"/>
      <c r="V976" s="738"/>
      <c r="W976" s="738"/>
      <c r="X976" s="738"/>
      <c r="Y976" s="738"/>
      <c r="Z976" s="738"/>
    </row>
    <row r="977">
      <c r="A977" s="738"/>
      <c r="B977" s="738"/>
      <c r="C977" s="738"/>
      <c r="D977" s="738"/>
      <c r="E977" s="738"/>
      <c r="F977" s="738"/>
      <c r="G977" s="738"/>
      <c r="H977" s="738"/>
      <c r="I977" s="738"/>
      <c r="J977" s="738"/>
      <c r="K977" s="738"/>
      <c r="L977" s="738"/>
      <c r="M977" s="738"/>
      <c r="N977" s="738"/>
      <c r="O977" s="738"/>
      <c r="P977" s="738"/>
      <c r="Q977" s="738"/>
      <c r="R977" s="738"/>
      <c r="S977" s="738"/>
      <c r="T977" s="738"/>
      <c r="U977" s="738"/>
      <c r="V977" s="738"/>
      <c r="W977" s="738"/>
      <c r="X977" s="738"/>
      <c r="Y977" s="738"/>
      <c r="Z977" s="738"/>
    </row>
    <row r="978">
      <c r="A978" s="738"/>
      <c r="B978" s="738"/>
      <c r="C978" s="738"/>
      <c r="D978" s="738"/>
      <c r="E978" s="738"/>
      <c r="F978" s="738"/>
      <c r="G978" s="738"/>
      <c r="H978" s="738"/>
      <c r="I978" s="738"/>
      <c r="J978" s="738"/>
      <c r="K978" s="738"/>
      <c r="L978" s="738"/>
      <c r="M978" s="738"/>
      <c r="N978" s="738"/>
      <c r="O978" s="738"/>
      <c r="P978" s="738"/>
      <c r="Q978" s="738"/>
      <c r="R978" s="738"/>
      <c r="S978" s="738"/>
      <c r="T978" s="738"/>
      <c r="U978" s="738"/>
      <c r="V978" s="738"/>
      <c r="W978" s="738"/>
      <c r="X978" s="738"/>
      <c r="Y978" s="738"/>
      <c r="Z978" s="738"/>
    </row>
    <row r="979">
      <c r="A979" s="738"/>
      <c r="B979" s="738"/>
      <c r="C979" s="738"/>
      <c r="D979" s="738"/>
      <c r="E979" s="738"/>
      <c r="F979" s="738"/>
      <c r="G979" s="738"/>
      <c r="H979" s="738"/>
      <c r="I979" s="738"/>
      <c r="J979" s="738"/>
      <c r="K979" s="738"/>
      <c r="L979" s="738"/>
      <c r="M979" s="738"/>
      <c r="N979" s="738"/>
      <c r="O979" s="738"/>
      <c r="P979" s="738"/>
      <c r="Q979" s="738"/>
      <c r="R979" s="738"/>
      <c r="S979" s="738"/>
      <c r="T979" s="738"/>
      <c r="U979" s="738"/>
      <c r="V979" s="738"/>
      <c r="W979" s="738"/>
      <c r="X979" s="738"/>
      <c r="Y979" s="738"/>
      <c r="Z979" s="738"/>
    </row>
    <row r="980">
      <c r="A980" s="738"/>
      <c r="B980" s="738"/>
      <c r="C980" s="738"/>
      <c r="D980" s="738"/>
      <c r="E980" s="738"/>
      <c r="F980" s="738"/>
      <c r="G980" s="738"/>
      <c r="H980" s="738"/>
      <c r="I980" s="738"/>
      <c r="J980" s="738"/>
      <c r="K980" s="738"/>
      <c r="L980" s="738"/>
      <c r="M980" s="738"/>
      <c r="N980" s="738"/>
      <c r="O980" s="738"/>
      <c r="P980" s="738"/>
      <c r="Q980" s="738"/>
      <c r="R980" s="738"/>
      <c r="S980" s="738"/>
      <c r="T980" s="738"/>
      <c r="U980" s="738"/>
      <c r="V980" s="738"/>
      <c r="W980" s="738"/>
      <c r="X980" s="738"/>
      <c r="Y980" s="738"/>
      <c r="Z980" s="738"/>
    </row>
    <row r="981">
      <c r="A981" s="738"/>
      <c r="B981" s="738"/>
      <c r="C981" s="738"/>
      <c r="D981" s="738"/>
      <c r="E981" s="738"/>
      <c r="F981" s="738"/>
      <c r="G981" s="738"/>
      <c r="H981" s="738"/>
      <c r="I981" s="738"/>
      <c r="J981" s="738"/>
      <c r="K981" s="738"/>
      <c r="L981" s="738"/>
      <c r="M981" s="738"/>
      <c r="N981" s="738"/>
      <c r="O981" s="738"/>
      <c r="P981" s="738"/>
      <c r="Q981" s="738"/>
      <c r="R981" s="738"/>
      <c r="S981" s="738"/>
      <c r="T981" s="738"/>
      <c r="U981" s="738"/>
      <c r="V981" s="738"/>
      <c r="W981" s="738"/>
      <c r="X981" s="738"/>
      <c r="Y981" s="738"/>
      <c r="Z981" s="738"/>
    </row>
    <row r="982">
      <c r="A982" s="738"/>
      <c r="B982" s="738"/>
      <c r="C982" s="738"/>
      <c r="D982" s="738"/>
      <c r="E982" s="738"/>
      <c r="F982" s="738"/>
      <c r="G982" s="738"/>
      <c r="H982" s="738"/>
      <c r="I982" s="738"/>
      <c r="J982" s="738"/>
      <c r="K982" s="738"/>
      <c r="L982" s="738"/>
      <c r="M982" s="738"/>
      <c r="N982" s="738"/>
      <c r="O982" s="738"/>
      <c r="P982" s="738"/>
      <c r="Q982" s="738"/>
      <c r="R982" s="738"/>
      <c r="S982" s="738"/>
      <c r="T982" s="738"/>
      <c r="U982" s="738"/>
      <c r="V982" s="738"/>
      <c r="W982" s="738"/>
      <c r="X982" s="738"/>
      <c r="Y982" s="738"/>
      <c r="Z982" s="738"/>
    </row>
    <row r="983">
      <c r="A983" s="738"/>
      <c r="B983" s="738"/>
      <c r="C983" s="738"/>
      <c r="D983" s="738"/>
      <c r="E983" s="738"/>
      <c r="F983" s="738"/>
      <c r="G983" s="738"/>
      <c r="H983" s="738"/>
      <c r="I983" s="738"/>
      <c r="J983" s="738"/>
      <c r="K983" s="738"/>
      <c r="L983" s="738"/>
      <c r="M983" s="738"/>
      <c r="N983" s="738"/>
      <c r="O983" s="738"/>
      <c r="P983" s="738"/>
      <c r="Q983" s="738"/>
      <c r="R983" s="738"/>
      <c r="S983" s="738"/>
      <c r="T983" s="738"/>
      <c r="U983" s="738"/>
      <c r="V983" s="738"/>
      <c r="W983" s="738"/>
      <c r="X983" s="738"/>
      <c r="Y983" s="738"/>
      <c r="Z983" s="738"/>
    </row>
    <row r="984">
      <c r="A984" s="738"/>
      <c r="B984" s="738"/>
      <c r="C984" s="738"/>
      <c r="D984" s="738"/>
      <c r="E984" s="738"/>
      <c r="F984" s="738"/>
      <c r="G984" s="738"/>
      <c r="H984" s="738"/>
      <c r="I984" s="738"/>
      <c r="J984" s="738"/>
      <c r="K984" s="738"/>
      <c r="L984" s="738"/>
      <c r="M984" s="738"/>
      <c r="N984" s="738"/>
      <c r="O984" s="738"/>
      <c r="P984" s="738"/>
      <c r="Q984" s="738"/>
      <c r="R984" s="738"/>
      <c r="S984" s="738"/>
      <c r="T984" s="738"/>
      <c r="U984" s="738"/>
      <c r="V984" s="738"/>
      <c r="W984" s="738"/>
      <c r="X984" s="738"/>
      <c r="Y984" s="738"/>
      <c r="Z984" s="738"/>
    </row>
    <row r="985">
      <c r="A985" s="738"/>
      <c r="B985" s="738"/>
      <c r="C985" s="738"/>
      <c r="D985" s="738"/>
      <c r="E985" s="738"/>
      <c r="F985" s="738"/>
      <c r="G985" s="738"/>
      <c r="H985" s="738"/>
      <c r="I985" s="738"/>
      <c r="J985" s="738"/>
      <c r="K985" s="738"/>
      <c r="L985" s="738"/>
      <c r="M985" s="738"/>
      <c r="N985" s="738"/>
      <c r="O985" s="738"/>
      <c r="P985" s="738"/>
      <c r="Q985" s="738"/>
      <c r="R985" s="738"/>
      <c r="S985" s="738"/>
      <c r="T985" s="738"/>
      <c r="U985" s="738"/>
      <c r="V985" s="738"/>
      <c r="W985" s="738"/>
      <c r="X985" s="738"/>
      <c r="Y985" s="738"/>
      <c r="Z985" s="738"/>
    </row>
    <row r="986">
      <c r="A986" s="738"/>
      <c r="B986" s="738"/>
      <c r="C986" s="738"/>
      <c r="D986" s="738"/>
      <c r="E986" s="738"/>
      <c r="F986" s="738"/>
      <c r="G986" s="738"/>
      <c r="H986" s="738"/>
      <c r="I986" s="738"/>
      <c r="J986" s="738"/>
      <c r="K986" s="738"/>
      <c r="L986" s="738"/>
      <c r="M986" s="738"/>
      <c r="N986" s="738"/>
      <c r="O986" s="738"/>
      <c r="P986" s="738"/>
      <c r="Q986" s="738"/>
      <c r="R986" s="738"/>
      <c r="S986" s="738"/>
      <c r="T986" s="738"/>
      <c r="U986" s="738"/>
      <c r="V986" s="738"/>
      <c r="W986" s="738"/>
      <c r="X986" s="738"/>
      <c r="Y986" s="738"/>
      <c r="Z986" s="738"/>
    </row>
    <row r="987">
      <c r="A987" s="738"/>
      <c r="B987" s="738"/>
      <c r="C987" s="738"/>
      <c r="D987" s="738"/>
      <c r="E987" s="738"/>
      <c r="F987" s="738"/>
      <c r="G987" s="738"/>
      <c r="H987" s="738"/>
      <c r="I987" s="738"/>
      <c r="J987" s="738"/>
      <c r="K987" s="738"/>
      <c r="L987" s="738"/>
      <c r="M987" s="738"/>
      <c r="N987" s="738"/>
      <c r="O987" s="738"/>
      <c r="P987" s="738"/>
      <c r="Q987" s="738"/>
      <c r="R987" s="738"/>
      <c r="S987" s="738"/>
      <c r="T987" s="738"/>
      <c r="U987" s="738"/>
      <c r="V987" s="738"/>
      <c r="W987" s="738"/>
      <c r="X987" s="738"/>
      <c r="Y987" s="738"/>
      <c r="Z987" s="738"/>
    </row>
    <row r="988">
      <c r="A988" s="738"/>
      <c r="B988" s="738"/>
      <c r="C988" s="738"/>
      <c r="D988" s="738"/>
      <c r="E988" s="738"/>
      <c r="F988" s="738"/>
      <c r="G988" s="738"/>
      <c r="H988" s="738"/>
      <c r="I988" s="738"/>
      <c r="J988" s="738"/>
      <c r="K988" s="738"/>
      <c r="L988" s="738"/>
      <c r="M988" s="738"/>
      <c r="N988" s="738"/>
      <c r="O988" s="738"/>
      <c r="P988" s="738"/>
      <c r="Q988" s="738"/>
      <c r="R988" s="738"/>
      <c r="S988" s="738"/>
      <c r="T988" s="738"/>
      <c r="U988" s="738"/>
      <c r="V988" s="738"/>
      <c r="W988" s="738"/>
      <c r="X988" s="738"/>
      <c r="Y988" s="738"/>
      <c r="Z988" s="738"/>
    </row>
    <row r="989">
      <c r="A989" s="738"/>
      <c r="B989" s="738"/>
      <c r="C989" s="738"/>
      <c r="D989" s="738"/>
      <c r="E989" s="738"/>
      <c r="F989" s="738"/>
      <c r="G989" s="738"/>
      <c r="H989" s="738"/>
      <c r="I989" s="738"/>
      <c r="J989" s="738"/>
      <c r="K989" s="738"/>
      <c r="L989" s="738"/>
      <c r="M989" s="738"/>
      <c r="N989" s="738"/>
      <c r="O989" s="738"/>
      <c r="P989" s="738"/>
      <c r="Q989" s="738"/>
      <c r="R989" s="738"/>
      <c r="S989" s="738"/>
      <c r="T989" s="738"/>
      <c r="U989" s="738"/>
      <c r="V989" s="738"/>
      <c r="W989" s="738"/>
      <c r="X989" s="738"/>
      <c r="Y989" s="738"/>
      <c r="Z989" s="738"/>
    </row>
    <row r="990">
      <c r="A990" s="738"/>
      <c r="B990" s="738"/>
      <c r="C990" s="738"/>
      <c r="D990" s="738"/>
      <c r="E990" s="738"/>
      <c r="F990" s="738"/>
      <c r="G990" s="738"/>
      <c r="H990" s="738"/>
      <c r="I990" s="738"/>
      <c r="J990" s="738"/>
      <c r="K990" s="738"/>
      <c r="L990" s="738"/>
      <c r="M990" s="738"/>
      <c r="N990" s="738"/>
      <c r="O990" s="738"/>
      <c r="P990" s="738"/>
      <c r="Q990" s="738"/>
      <c r="R990" s="738"/>
      <c r="S990" s="738"/>
      <c r="T990" s="738"/>
      <c r="U990" s="738"/>
      <c r="V990" s="738"/>
      <c r="W990" s="738"/>
      <c r="X990" s="738"/>
      <c r="Y990" s="738"/>
      <c r="Z990" s="738"/>
    </row>
    <row r="991">
      <c r="A991" s="738"/>
      <c r="B991" s="738"/>
      <c r="C991" s="738"/>
      <c r="D991" s="738"/>
      <c r="E991" s="738"/>
      <c r="F991" s="738"/>
      <c r="G991" s="738"/>
      <c r="H991" s="738"/>
      <c r="I991" s="738"/>
      <c r="J991" s="738"/>
      <c r="K991" s="738"/>
      <c r="L991" s="738"/>
      <c r="M991" s="738"/>
      <c r="N991" s="738"/>
      <c r="O991" s="738"/>
      <c r="P991" s="738"/>
      <c r="Q991" s="738"/>
      <c r="R991" s="738"/>
      <c r="S991" s="738"/>
      <c r="T991" s="738"/>
      <c r="U991" s="738"/>
      <c r="V991" s="738"/>
      <c r="W991" s="738"/>
      <c r="X991" s="738"/>
      <c r="Y991" s="738"/>
      <c r="Z991" s="738"/>
    </row>
    <row r="992">
      <c r="A992" s="738"/>
      <c r="B992" s="738"/>
      <c r="C992" s="738"/>
      <c r="D992" s="738"/>
      <c r="E992" s="738"/>
      <c r="F992" s="738"/>
      <c r="G992" s="738"/>
      <c r="H992" s="738"/>
      <c r="I992" s="738"/>
      <c r="J992" s="738"/>
      <c r="K992" s="738"/>
      <c r="L992" s="738"/>
      <c r="M992" s="738"/>
      <c r="N992" s="738"/>
      <c r="O992" s="738"/>
      <c r="P992" s="738"/>
      <c r="Q992" s="738"/>
      <c r="R992" s="738"/>
      <c r="S992" s="738"/>
      <c r="T992" s="738"/>
      <c r="U992" s="738"/>
      <c r="V992" s="738"/>
      <c r="W992" s="738"/>
      <c r="X992" s="738"/>
      <c r="Y992" s="738"/>
      <c r="Z992" s="738"/>
    </row>
    <row r="993">
      <c r="A993" s="738"/>
      <c r="B993" s="738"/>
      <c r="C993" s="738"/>
      <c r="D993" s="738"/>
      <c r="E993" s="738"/>
      <c r="F993" s="738"/>
      <c r="G993" s="738"/>
      <c r="H993" s="738"/>
      <c r="I993" s="738"/>
      <c r="J993" s="738"/>
      <c r="K993" s="738"/>
      <c r="L993" s="738"/>
      <c r="M993" s="738"/>
      <c r="N993" s="738"/>
      <c r="O993" s="738"/>
      <c r="P993" s="738"/>
      <c r="Q993" s="738"/>
      <c r="R993" s="738"/>
      <c r="S993" s="738"/>
      <c r="T993" s="738"/>
      <c r="U993" s="738"/>
      <c r="V993" s="738"/>
      <c r="W993" s="738"/>
      <c r="X993" s="738"/>
      <c r="Y993" s="738"/>
      <c r="Z993" s="738"/>
    </row>
    <row r="994">
      <c r="A994" s="738"/>
      <c r="B994" s="738"/>
      <c r="C994" s="738"/>
      <c r="D994" s="738"/>
      <c r="E994" s="738"/>
      <c r="F994" s="738"/>
      <c r="G994" s="738"/>
      <c r="H994" s="738"/>
      <c r="I994" s="738"/>
      <c r="J994" s="738"/>
      <c r="K994" s="738"/>
      <c r="L994" s="738"/>
      <c r="M994" s="738"/>
      <c r="N994" s="738"/>
      <c r="O994" s="738"/>
      <c r="P994" s="738"/>
      <c r="Q994" s="738"/>
      <c r="R994" s="738"/>
      <c r="S994" s="738"/>
      <c r="T994" s="738"/>
      <c r="U994" s="738"/>
      <c r="V994" s="738"/>
      <c r="W994" s="738"/>
      <c r="X994" s="738"/>
      <c r="Y994" s="738"/>
      <c r="Z994" s="738"/>
    </row>
    <row r="995">
      <c r="A995" s="738"/>
      <c r="B995" s="738"/>
      <c r="C995" s="738"/>
      <c r="D995" s="738"/>
      <c r="E995" s="738"/>
      <c r="F995" s="738"/>
      <c r="G995" s="738"/>
      <c r="H995" s="738"/>
      <c r="I995" s="738"/>
      <c r="J995" s="738"/>
      <c r="K995" s="738"/>
      <c r="L995" s="738"/>
      <c r="M995" s="738"/>
      <c r="N995" s="738"/>
      <c r="O995" s="738"/>
      <c r="P995" s="738"/>
      <c r="Q995" s="738"/>
      <c r="R995" s="738"/>
      <c r="S995" s="738"/>
      <c r="T995" s="738"/>
      <c r="U995" s="738"/>
      <c r="V995" s="738"/>
      <c r="W995" s="738"/>
      <c r="X995" s="738"/>
      <c r="Y995" s="738"/>
      <c r="Z995" s="738"/>
    </row>
    <row r="996">
      <c r="A996" s="738"/>
      <c r="B996" s="738"/>
      <c r="C996" s="738"/>
      <c r="D996" s="738"/>
      <c r="E996" s="738"/>
      <c r="F996" s="738"/>
      <c r="G996" s="738"/>
      <c r="H996" s="738"/>
      <c r="I996" s="738"/>
      <c r="J996" s="738"/>
      <c r="K996" s="738"/>
      <c r="L996" s="738"/>
      <c r="M996" s="738"/>
      <c r="N996" s="738"/>
      <c r="O996" s="738"/>
      <c r="P996" s="738"/>
      <c r="Q996" s="738"/>
      <c r="R996" s="738"/>
      <c r="S996" s="738"/>
      <c r="T996" s="738"/>
      <c r="U996" s="738"/>
      <c r="V996" s="738"/>
      <c r="W996" s="738"/>
      <c r="X996" s="738"/>
      <c r="Y996" s="738"/>
      <c r="Z996" s="738"/>
    </row>
    <row r="997">
      <c r="A997" s="738"/>
      <c r="B997" s="738"/>
      <c r="C997" s="738"/>
      <c r="D997" s="738"/>
      <c r="E997" s="738"/>
      <c r="F997" s="738"/>
      <c r="G997" s="738"/>
      <c r="H997" s="738"/>
      <c r="I997" s="738"/>
      <c r="J997" s="738"/>
      <c r="K997" s="738"/>
      <c r="L997" s="738"/>
      <c r="M997" s="738"/>
      <c r="N997" s="738"/>
      <c r="O997" s="738"/>
      <c r="P997" s="738"/>
      <c r="Q997" s="738"/>
      <c r="R997" s="738"/>
      <c r="S997" s="738"/>
      <c r="T997" s="738"/>
      <c r="U997" s="738"/>
      <c r="V997" s="738"/>
      <c r="W997" s="738"/>
      <c r="X997" s="738"/>
      <c r="Y997" s="738"/>
      <c r="Z997" s="738"/>
    </row>
    <row r="998">
      <c r="A998" s="738"/>
      <c r="B998" s="738"/>
      <c r="C998" s="738"/>
      <c r="D998" s="738"/>
      <c r="E998" s="738"/>
      <c r="F998" s="738"/>
      <c r="G998" s="738"/>
      <c r="H998" s="738"/>
      <c r="I998" s="738"/>
      <c r="J998" s="738"/>
      <c r="K998" s="738"/>
      <c r="L998" s="738"/>
      <c r="M998" s="738"/>
      <c r="N998" s="738"/>
      <c r="O998" s="738"/>
      <c r="P998" s="738"/>
      <c r="Q998" s="738"/>
      <c r="R998" s="738"/>
      <c r="S998" s="738"/>
      <c r="T998" s="738"/>
      <c r="U998" s="738"/>
      <c r="V998" s="738"/>
      <c r="W998" s="738"/>
      <c r="X998" s="738"/>
      <c r="Y998" s="738"/>
      <c r="Z998" s="738"/>
    </row>
    <row r="999">
      <c r="A999" s="738"/>
      <c r="B999" s="738"/>
      <c r="C999" s="738"/>
      <c r="D999" s="738"/>
      <c r="E999" s="738"/>
      <c r="F999" s="738"/>
      <c r="G999" s="738"/>
      <c r="H999" s="738"/>
      <c r="I999" s="738"/>
      <c r="J999" s="738"/>
      <c r="K999" s="738"/>
      <c r="L999" s="738"/>
      <c r="M999" s="738"/>
      <c r="N999" s="738"/>
      <c r="O999" s="738"/>
      <c r="P999" s="738"/>
      <c r="Q999" s="738"/>
      <c r="R999" s="738"/>
      <c r="S999" s="738"/>
      <c r="T999" s="738"/>
      <c r="U999" s="738"/>
      <c r="V999" s="738"/>
      <c r="W999" s="738"/>
      <c r="X999" s="738"/>
      <c r="Y999" s="738"/>
      <c r="Z999" s="738"/>
    </row>
    <row r="1000">
      <c r="A1000" s="738"/>
      <c r="B1000" s="738"/>
      <c r="C1000" s="738"/>
      <c r="D1000" s="738"/>
      <c r="E1000" s="738"/>
      <c r="F1000" s="738"/>
      <c r="G1000" s="738"/>
      <c r="H1000" s="738"/>
      <c r="I1000" s="738"/>
      <c r="J1000" s="738"/>
      <c r="K1000" s="738"/>
      <c r="L1000" s="738"/>
      <c r="M1000" s="738"/>
      <c r="N1000" s="738"/>
      <c r="O1000" s="738"/>
      <c r="P1000" s="738"/>
      <c r="Q1000" s="738"/>
      <c r="R1000" s="738"/>
      <c r="S1000" s="738"/>
      <c r="T1000" s="738"/>
      <c r="U1000" s="738"/>
      <c r="V1000" s="738"/>
      <c r="W1000" s="738"/>
      <c r="X1000" s="738"/>
      <c r="Y1000" s="738"/>
      <c r="Z1000" s="738"/>
    </row>
    <row r="1001">
      <c r="A1001" s="738"/>
      <c r="B1001" s="738"/>
      <c r="C1001" s="738"/>
      <c r="D1001" s="738"/>
      <c r="E1001" s="738"/>
      <c r="F1001" s="738"/>
      <c r="G1001" s="738"/>
      <c r="H1001" s="738"/>
      <c r="I1001" s="738"/>
      <c r="J1001" s="738"/>
      <c r="K1001" s="738"/>
      <c r="L1001" s="738"/>
      <c r="M1001" s="738"/>
      <c r="N1001" s="738"/>
      <c r="O1001" s="738"/>
      <c r="P1001" s="738"/>
      <c r="Q1001" s="738"/>
      <c r="R1001" s="738"/>
      <c r="S1001" s="738"/>
      <c r="T1001" s="738"/>
      <c r="U1001" s="738"/>
      <c r="V1001" s="738"/>
      <c r="W1001" s="738"/>
      <c r="X1001" s="738"/>
      <c r="Y1001" s="738"/>
      <c r="Z1001" s="738"/>
    </row>
    <row r="1002">
      <c r="A1002" s="738"/>
      <c r="B1002" s="738"/>
      <c r="C1002" s="738"/>
      <c r="D1002" s="738"/>
      <c r="E1002" s="738"/>
      <c r="F1002" s="738"/>
      <c r="G1002" s="738"/>
      <c r="H1002" s="738"/>
      <c r="I1002" s="738"/>
      <c r="J1002" s="738"/>
      <c r="K1002" s="738"/>
      <c r="L1002" s="738"/>
      <c r="M1002" s="738"/>
      <c r="N1002" s="738"/>
      <c r="O1002" s="738"/>
      <c r="P1002" s="738"/>
      <c r="Q1002" s="738"/>
      <c r="R1002" s="738"/>
      <c r="S1002" s="738"/>
      <c r="T1002" s="738"/>
      <c r="U1002" s="738"/>
      <c r="V1002" s="738"/>
      <c r="W1002" s="738"/>
      <c r="X1002" s="738"/>
      <c r="Y1002" s="738"/>
      <c r="Z1002" s="738"/>
    </row>
    <row r="1003">
      <c r="A1003" s="738"/>
      <c r="B1003" s="738"/>
      <c r="C1003" s="738"/>
      <c r="D1003" s="738"/>
      <c r="E1003" s="738"/>
      <c r="F1003" s="738"/>
      <c r="G1003" s="738"/>
      <c r="H1003" s="738"/>
      <c r="I1003" s="738"/>
      <c r="J1003" s="738"/>
      <c r="K1003" s="738"/>
      <c r="L1003" s="738"/>
      <c r="M1003" s="738"/>
      <c r="N1003" s="738"/>
      <c r="O1003" s="738"/>
      <c r="P1003" s="738"/>
      <c r="Q1003" s="738"/>
      <c r="R1003" s="738"/>
      <c r="S1003" s="738"/>
      <c r="T1003" s="738"/>
      <c r="U1003" s="738"/>
      <c r="V1003" s="738"/>
      <c r="W1003" s="738"/>
      <c r="X1003" s="738"/>
      <c r="Y1003" s="738"/>
      <c r="Z1003" s="738"/>
    </row>
    <row r="1004">
      <c r="A1004" s="738"/>
      <c r="B1004" s="738"/>
      <c r="C1004" s="738"/>
      <c r="D1004" s="738"/>
      <c r="E1004" s="738"/>
      <c r="F1004" s="738"/>
      <c r="G1004" s="738"/>
      <c r="H1004" s="738"/>
      <c r="I1004" s="738"/>
      <c r="J1004" s="738"/>
      <c r="K1004" s="738"/>
      <c r="L1004" s="738"/>
      <c r="M1004" s="738"/>
      <c r="N1004" s="738"/>
      <c r="O1004" s="738"/>
      <c r="P1004" s="738"/>
      <c r="Q1004" s="738"/>
      <c r="R1004" s="738"/>
      <c r="S1004" s="738"/>
      <c r="T1004" s="738"/>
      <c r="U1004" s="738"/>
      <c r="V1004" s="738"/>
      <c r="W1004" s="738"/>
      <c r="X1004" s="738"/>
      <c r="Y1004" s="738"/>
      <c r="Z1004" s="738"/>
    </row>
    <row r="1005">
      <c r="A1005" s="738"/>
      <c r="B1005" s="738"/>
      <c r="C1005" s="738"/>
      <c r="D1005" s="738"/>
      <c r="E1005" s="738"/>
      <c r="F1005" s="738"/>
      <c r="G1005" s="738"/>
      <c r="H1005" s="738"/>
      <c r="I1005" s="738"/>
      <c r="J1005" s="738"/>
      <c r="K1005" s="738"/>
      <c r="L1005" s="738"/>
      <c r="M1005" s="738"/>
      <c r="N1005" s="738"/>
      <c r="O1005" s="738"/>
      <c r="P1005" s="738"/>
      <c r="Q1005" s="738"/>
      <c r="R1005" s="738"/>
      <c r="S1005" s="738"/>
      <c r="T1005" s="738"/>
      <c r="U1005" s="738"/>
      <c r="V1005" s="738"/>
      <c r="W1005" s="738"/>
      <c r="X1005" s="738"/>
      <c r="Y1005" s="738"/>
      <c r="Z1005" s="738"/>
    </row>
    <row r="1006">
      <c r="A1006" s="738"/>
      <c r="B1006" s="738"/>
      <c r="C1006" s="738"/>
      <c r="D1006" s="738"/>
      <c r="E1006" s="738"/>
      <c r="F1006" s="738"/>
      <c r="G1006" s="738"/>
      <c r="H1006" s="738"/>
      <c r="I1006" s="738"/>
      <c r="J1006" s="738"/>
      <c r="K1006" s="738"/>
      <c r="L1006" s="738"/>
      <c r="M1006" s="738"/>
      <c r="N1006" s="738"/>
      <c r="O1006" s="738"/>
      <c r="P1006" s="738"/>
      <c r="Q1006" s="738"/>
      <c r="R1006" s="738"/>
      <c r="S1006" s="738"/>
      <c r="T1006" s="738"/>
      <c r="U1006" s="738"/>
      <c r="V1006" s="738"/>
      <c r="W1006" s="738"/>
      <c r="X1006" s="738"/>
      <c r="Y1006" s="738"/>
      <c r="Z1006" s="738"/>
    </row>
    <row r="1007">
      <c r="A1007" s="738"/>
      <c r="B1007" s="738"/>
      <c r="C1007" s="738"/>
      <c r="D1007" s="738"/>
      <c r="E1007" s="738"/>
      <c r="F1007" s="738"/>
      <c r="G1007" s="738"/>
      <c r="H1007" s="738"/>
      <c r="I1007" s="738"/>
      <c r="J1007" s="738"/>
      <c r="K1007" s="738"/>
      <c r="L1007" s="738"/>
      <c r="M1007" s="738"/>
      <c r="N1007" s="738"/>
      <c r="O1007" s="738"/>
      <c r="P1007" s="738"/>
      <c r="Q1007" s="738"/>
      <c r="R1007" s="738"/>
      <c r="S1007" s="738"/>
      <c r="T1007" s="738"/>
      <c r="U1007" s="738"/>
      <c r="V1007" s="738"/>
      <c r="W1007" s="738"/>
      <c r="X1007" s="738"/>
      <c r="Y1007" s="738"/>
      <c r="Z1007" s="738"/>
    </row>
    <row r="1008">
      <c r="A1008" s="738"/>
      <c r="B1008" s="738"/>
      <c r="C1008" s="738"/>
      <c r="D1008" s="738"/>
      <c r="E1008" s="738"/>
      <c r="F1008" s="738"/>
      <c r="G1008" s="738"/>
      <c r="H1008" s="738"/>
      <c r="I1008" s="738"/>
      <c r="J1008" s="738"/>
      <c r="K1008" s="738"/>
      <c r="L1008" s="738"/>
      <c r="M1008" s="738"/>
      <c r="N1008" s="738"/>
      <c r="O1008" s="738"/>
      <c r="P1008" s="738"/>
      <c r="Q1008" s="738"/>
      <c r="R1008" s="738"/>
      <c r="S1008" s="738"/>
      <c r="T1008" s="738"/>
      <c r="U1008" s="738"/>
      <c r="V1008" s="738"/>
      <c r="W1008" s="738"/>
      <c r="X1008" s="738"/>
      <c r="Y1008" s="738"/>
      <c r="Z1008" s="738"/>
    </row>
    <row r="1009">
      <c r="A1009" s="738"/>
      <c r="B1009" s="738"/>
      <c r="C1009" s="738"/>
      <c r="D1009" s="738"/>
      <c r="E1009" s="738"/>
      <c r="F1009" s="738"/>
      <c r="G1009" s="738"/>
      <c r="H1009" s="738"/>
      <c r="I1009" s="738"/>
      <c r="J1009" s="738"/>
      <c r="K1009" s="738"/>
      <c r="L1009" s="738"/>
      <c r="M1009" s="738"/>
      <c r="N1009" s="738"/>
      <c r="O1009" s="738"/>
      <c r="P1009" s="738"/>
      <c r="Q1009" s="738"/>
      <c r="R1009" s="738"/>
      <c r="S1009" s="738"/>
      <c r="T1009" s="738"/>
      <c r="U1009" s="738"/>
      <c r="V1009" s="738"/>
      <c r="W1009" s="738"/>
      <c r="X1009" s="738"/>
      <c r="Y1009" s="738"/>
      <c r="Z1009" s="738"/>
    </row>
    <row r="1010">
      <c r="A1010" s="738"/>
      <c r="B1010" s="738"/>
      <c r="C1010" s="738"/>
      <c r="D1010" s="738"/>
      <c r="E1010" s="738"/>
      <c r="F1010" s="738"/>
      <c r="G1010" s="738"/>
      <c r="H1010" s="738"/>
      <c r="I1010" s="738"/>
      <c r="J1010" s="738"/>
      <c r="K1010" s="738"/>
      <c r="L1010" s="738"/>
      <c r="M1010" s="738"/>
      <c r="N1010" s="738"/>
      <c r="O1010" s="738"/>
      <c r="P1010" s="738"/>
      <c r="Q1010" s="738"/>
      <c r="R1010" s="738"/>
      <c r="S1010" s="738"/>
      <c r="T1010" s="738"/>
      <c r="U1010" s="738"/>
      <c r="V1010" s="738"/>
      <c r="W1010" s="738"/>
      <c r="X1010" s="738"/>
      <c r="Y1010" s="738"/>
      <c r="Z1010" s="738"/>
    </row>
    <row r="1011">
      <c r="A1011" s="738"/>
      <c r="B1011" s="738"/>
      <c r="C1011" s="738"/>
      <c r="D1011" s="738"/>
      <c r="E1011" s="738"/>
      <c r="F1011" s="738"/>
      <c r="G1011" s="738"/>
      <c r="H1011" s="738"/>
      <c r="I1011" s="738"/>
      <c r="J1011" s="738"/>
      <c r="K1011" s="738"/>
      <c r="L1011" s="738"/>
      <c r="M1011" s="738"/>
      <c r="N1011" s="738"/>
      <c r="O1011" s="738"/>
      <c r="P1011" s="738"/>
      <c r="Q1011" s="738"/>
      <c r="R1011" s="738"/>
      <c r="S1011" s="738"/>
      <c r="T1011" s="738"/>
      <c r="U1011" s="738"/>
      <c r="V1011" s="738"/>
      <c r="W1011" s="738"/>
      <c r="X1011" s="738"/>
      <c r="Y1011" s="738"/>
      <c r="Z1011" s="738"/>
    </row>
    <row r="1012">
      <c r="A1012" s="738"/>
      <c r="B1012" s="738"/>
      <c r="C1012" s="738"/>
      <c r="D1012" s="738"/>
      <c r="E1012" s="738"/>
      <c r="F1012" s="738"/>
      <c r="G1012" s="738"/>
      <c r="H1012" s="738"/>
      <c r="I1012" s="738"/>
      <c r="J1012" s="738"/>
      <c r="K1012" s="738"/>
      <c r="L1012" s="738"/>
      <c r="M1012" s="738"/>
      <c r="N1012" s="738"/>
      <c r="O1012" s="738"/>
      <c r="P1012" s="738"/>
      <c r="Q1012" s="738"/>
      <c r="R1012" s="738"/>
      <c r="S1012" s="738"/>
      <c r="T1012" s="738"/>
      <c r="U1012" s="738"/>
      <c r="V1012" s="738"/>
      <c r="W1012" s="738"/>
      <c r="X1012" s="738"/>
      <c r="Y1012" s="738"/>
      <c r="Z1012" s="738"/>
    </row>
  </sheetData>
  <mergeCells count="9">
    <mergeCell ref="R10:T10"/>
    <mergeCell ref="U10:W10"/>
    <mergeCell ref="A10:A11"/>
    <mergeCell ref="B10:B11"/>
    <mergeCell ref="C10:E10"/>
    <mergeCell ref="F10:H10"/>
    <mergeCell ref="I10:K10"/>
    <mergeCell ref="L10:N10"/>
    <mergeCell ref="O10:Q10"/>
  </mergeCells>
  <hyperlinks>
    <hyperlink r:id="rId1" location="/report/bi?report_id=52442" ref="H3"/>
  </hyperlinks>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sheetData>
    <row r="1">
      <c r="G1" s="205" t="s">
        <v>133</v>
      </c>
    </row>
    <row r="2">
      <c r="G2" s="205" t="s">
        <v>408</v>
      </c>
    </row>
    <row r="3">
      <c r="G3" s="205" t="s">
        <v>343</v>
      </c>
      <c r="H3" s="775" t="s">
        <v>409</v>
      </c>
    </row>
    <row r="4">
      <c r="H4" s="776" t="s">
        <v>410</v>
      </c>
    </row>
    <row r="5">
      <c r="H5" s="776" t="s">
        <v>411</v>
      </c>
    </row>
    <row r="10">
      <c r="A10" s="150"/>
      <c r="B10" s="150"/>
      <c r="C10" s="777" t="s">
        <v>412</v>
      </c>
      <c r="D10" s="778" t="s">
        <v>413</v>
      </c>
      <c r="E10" s="629"/>
      <c r="F10" s="629"/>
      <c r="G10" s="629"/>
      <c r="H10" s="629"/>
      <c r="I10" s="629"/>
      <c r="J10" s="629"/>
      <c r="K10" s="629"/>
      <c r="L10" s="630"/>
      <c r="M10" s="780" t="s">
        <v>414</v>
      </c>
      <c r="N10" s="629"/>
      <c r="O10" s="629"/>
      <c r="P10" s="629"/>
      <c r="Q10" s="629"/>
      <c r="R10" s="629"/>
      <c r="S10" s="629"/>
      <c r="T10" s="629"/>
      <c r="U10" s="630"/>
      <c r="V10" s="780" t="s">
        <v>389</v>
      </c>
      <c r="W10" s="629"/>
      <c r="X10" s="629"/>
      <c r="Y10" s="629"/>
      <c r="Z10" s="629"/>
      <c r="AA10" s="629"/>
      <c r="AB10" s="629"/>
      <c r="AC10" s="629"/>
      <c r="AD10" s="630"/>
      <c r="AE10" s="780" t="s">
        <v>390</v>
      </c>
      <c r="AF10" s="629"/>
      <c r="AG10" s="629"/>
      <c r="AH10" s="629"/>
      <c r="AI10" s="629"/>
      <c r="AJ10" s="629"/>
      <c r="AK10" s="629"/>
      <c r="AL10" s="629"/>
      <c r="AM10" s="630"/>
      <c r="AN10" s="778" t="s">
        <v>391</v>
      </c>
      <c r="AO10" s="629"/>
      <c r="AP10" s="629"/>
      <c r="AQ10" s="629"/>
      <c r="AR10" s="629"/>
      <c r="AS10" s="629"/>
      <c r="AT10" s="629"/>
      <c r="AU10" s="629"/>
      <c r="AV10" s="630"/>
      <c r="AW10" s="786" t="s">
        <v>348</v>
      </c>
      <c r="AX10" s="7"/>
      <c r="AY10" s="7"/>
      <c r="AZ10" s="7"/>
      <c r="BA10" s="7"/>
      <c r="BB10" s="7"/>
      <c r="BC10" s="7"/>
      <c r="BD10" s="7"/>
      <c r="BE10" s="9"/>
      <c r="BF10" s="787" t="s">
        <v>349</v>
      </c>
      <c r="BG10" s="7"/>
      <c r="BH10" s="7"/>
      <c r="BI10" s="7"/>
      <c r="BJ10" s="7"/>
      <c r="BK10" s="7"/>
      <c r="BL10" s="7"/>
      <c r="BM10" s="7"/>
      <c r="BN10" s="9"/>
      <c r="BO10" s="787" t="s">
        <v>350</v>
      </c>
      <c r="BP10" s="7"/>
      <c r="BQ10" s="7"/>
      <c r="BR10" s="7"/>
      <c r="BS10" s="7"/>
      <c r="BT10" s="7"/>
      <c r="BU10" s="7"/>
      <c r="BV10" s="7"/>
      <c r="BW10" s="9"/>
      <c r="BX10" s="788" t="s">
        <v>351</v>
      </c>
      <c r="BY10" s="7"/>
      <c r="BZ10" s="7"/>
      <c r="CA10" s="7"/>
      <c r="CB10" s="7"/>
      <c r="CC10" s="7"/>
      <c r="CD10" s="7"/>
      <c r="CE10" s="7"/>
      <c r="CF10" s="9"/>
      <c r="CG10" s="787" t="s">
        <v>352</v>
      </c>
      <c r="CH10" s="7"/>
      <c r="CI10" s="7"/>
      <c r="CJ10" s="7"/>
      <c r="CK10" s="7"/>
      <c r="CL10" s="7"/>
      <c r="CM10" s="7"/>
      <c r="CN10" s="7"/>
      <c r="CO10" s="9"/>
    </row>
    <row r="11">
      <c r="A11" s="789" t="s">
        <v>28</v>
      </c>
      <c r="B11" s="790"/>
      <c r="C11" s="789" t="s">
        <v>415</v>
      </c>
      <c r="D11" s="791" t="s">
        <v>416</v>
      </c>
      <c r="E11" s="7"/>
      <c r="F11" s="9"/>
      <c r="G11" s="792" t="s">
        <v>417</v>
      </c>
      <c r="H11" s="7"/>
      <c r="I11" s="9"/>
      <c r="J11" s="793" t="s">
        <v>418</v>
      </c>
      <c r="K11" s="7"/>
      <c r="L11" s="794"/>
      <c r="M11" s="795" t="s">
        <v>416</v>
      </c>
      <c r="N11" s="7"/>
      <c r="O11" s="9"/>
      <c r="P11" s="796" t="s">
        <v>417</v>
      </c>
      <c r="Q11" s="7"/>
      <c r="R11" s="9"/>
      <c r="S11" s="797" t="s">
        <v>418</v>
      </c>
      <c r="T11" s="7"/>
      <c r="U11" s="794"/>
      <c r="V11" s="795" t="s">
        <v>416</v>
      </c>
      <c r="W11" s="7"/>
      <c r="X11" s="9"/>
      <c r="Y11" s="796" t="s">
        <v>417</v>
      </c>
      <c r="Z11" s="7"/>
      <c r="AA11" s="9"/>
      <c r="AB11" s="797" t="s">
        <v>418</v>
      </c>
      <c r="AC11" s="7"/>
      <c r="AD11" s="794"/>
      <c r="AE11" s="795" t="s">
        <v>416</v>
      </c>
      <c r="AF11" s="7"/>
      <c r="AG11" s="9"/>
      <c r="AH11" s="796" t="s">
        <v>417</v>
      </c>
      <c r="AI11" s="7"/>
      <c r="AJ11" s="9"/>
      <c r="AK11" s="797" t="s">
        <v>418</v>
      </c>
      <c r="AL11" s="7"/>
      <c r="AM11" s="794"/>
      <c r="AN11" s="798" t="s">
        <v>416</v>
      </c>
      <c r="AO11" s="7"/>
      <c r="AP11" s="9"/>
      <c r="AQ11" s="799" t="s">
        <v>417</v>
      </c>
      <c r="AR11" s="7"/>
      <c r="AS11" s="9"/>
      <c r="AT11" s="800" t="s">
        <v>418</v>
      </c>
      <c r="AU11" s="7"/>
      <c r="AV11" s="794"/>
      <c r="AW11" s="801" t="s">
        <v>416</v>
      </c>
      <c r="AX11" s="7"/>
      <c r="AY11" s="9"/>
      <c r="AZ11" s="796" t="s">
        <v>417</v>
      </c>
      <c r="BA11" s="7"/>
      <c r="BB11" s="9"/>
      <c r="BC11" s="797" t="s">
        <v>418</v>
      </c>
      <c r="BD11" s="7"/>
      <c r="BE11" s="9"/>
      <c r="BF11" s="802" t="s">
        <v>416</v>
      </c>
      <c r="BG11" s="7"/>
      <c r="BH11" s="9"/>
      <c r="BI11" s="799" t="s">
        <v>417</v>
      </c>
      <c r="BJ11" s="7"/>
      <c r="BK11" s="9"/>
      <c r="BL11" s="800" t="s">
        <v>418</v>
      </c>
      <c r="BM11" s="7"/>
      <c r="BN11" s="9"/>
      <c r="BO11" s="802" t="s">
        <v>416</v>
      </c>
      <c r="BP11" s="7"/>
      <c r="BQ11" s="9"/>
      <c r="BR11" s="799" t="s">
        <v>417</v>
      </c>
      <c r="BS11" s="7"/>
      <c r="BT11" s="9"/>
      <c r="BU11" s="800" t="s">
        <v>418</v>
      </c>
      <c r="BV11" s="7"/>
      <c r="BW11" s="9"/>
      <c r="BX11" s="803" t="s">
        <v>416</v>
      </c>
      <c r="BY11" s="7"/>
      <c r="BZ11" s="9"/>
      <c r="CA11" s="796" t="s">
        <v>417</v>
      </c>
      <c r="CB11" s="7"/>
      <c r="CC11" s="9"/>
      <c r="CD11" s="797" t="s">
        <v>418</v>
      </c>
      <c r="CE11" s="7"/>
      <c r="CF11" s="9"/>
      <c r="CG11" s="802" t="s">
        <v>416</v>
      </c>
      <c r="CH11" s="7"/>
      <c r="CI11" s="9"/>
      <c r="CJ11" s="799" t="s">
        <v>417</v>
      </c>
      <c r="CK11" s="7"/>
      <c r="CL11" s="9"/>
      <c r="CM11" s="800" t="s">
        <v>418</v>
      </c>
      <c r="CN11" s="7"/>
      <c r="CO11" s="9"/>
    </row>
    <row r="12">
      <c r="A12" s="746"/>
      <c r="B12" s="804"/>
      <c r="C12" s="746"/>
      <c r="D12" s="805" t="s">
        <v>419</v>
      </c>
      <c r="E12" s="806" t="s">
        <v>420</v>
      </c>
      <c r="F12" s="806" t="s">
        <v>421</v>
      </c>
      <c r="G12" s="807" t="s">
        <v>419</v>
      </c>
      <c r="H12" s="807" t="s">
        <v>420</v>
      </c>
      <c r="I12" s="807" t="s">
        <v>421</v>
      </c>
      <c r="J12" s="808" t="s">
        <v>419</v>
      </c>
      <c r="K12" s="808" t="s">
        <v>420</v>
      </c>
      <c r="L12" s="809" t="s">
        <v>421</v>
      </c>
      <c r="M12" s="810" t="s">
        <v>419</v>
      </c>
      <c r="N12" s="811" t="s">
        <v>420</v>
      </c>
      <c r="O12" s="811" t="s">
        <v>421</v>
      </c>
      <c r="P12" s="812" t="s">
        <v>419</v>
      </c>
      <c r="Q12" s="812" t="s">
        <v>420</v>
      </c>
      <c r="R12" s="812" t="s">
        <v>421</v>
      </c>
      <c r="S12" s="813" t="s">
        <v>419</v>
      </c>
      <c r="T12" s="813" t="s">
        <v>420</v>
      </c>
      <c r="U12" s="814" t="s">
        <v>421</v>
      </c>
      <c r="V12" s="810" t="s">
        <v>419</v>
      </c>
      <c r="W12" s="811" t="s">
        <v>420</v>
      </c>
      <c r="X12" s="811" t="s">
        <v>421</v>
      </c>
      <c r="Y12" s="812" t="s">
        <v>419</v>
      </c>
      <c r="Z12" s="812" t="s">
        <v>420</v>
      </c>
      <c r="AA12" s="812" t="s">
        <v>421</v>
      </c>
      <c r="AB12" s="813" t="s">
        <v>419</v>
      </c>
      <c r="AC12" s="813" t="s">
        <v>420</v>
      </c>
      <c r="AD12" s="814" t="s">
        <v>421</v>
      </c>
      <c r="AE12" s="810" t="s">
        <v>419</v>
      </c>
      <c r="AF12" s="811" t="s">
        <v>420</v>
      </c>
      <c r="AG12" s="811" t="s">
        <v>421</v>
      </c>
      <c r="AH12" s="812" t="s">
        <v>419</v>
      </c>
      <c r="AI12" s="812" t="s">
        <v>420</v>
      </c>
      <c r="AJ12" s="812" t="s">
        <v>421</v>
      </c>
      <c r="AK12" s="813" t="s">
        <v>419</v>
      </c>
      <c r="AL12" s="813" t="s">
        <v>420</v>
      </c>
      <c r="AM12" s="814" t="s">
        <v>421</v>
      </c>
      <c r="AN12" s="815" t="s">
        <v>419</v>
      </c>
      <c r="AO12" s="816" t="s">
        <v>420</v>
      </c>
      <c r="AP12" s="816" t="s">
        <v>421</v>
      </c>
      <c r="AQ12" s="817" t="s">
        <v>419</v>
      </c>
      <c r="AR12" s="817" t="s">
        <v>420</v>
      </c>
      <c r="AS12" s="817" t="s">
        <v>421</v>
      </c>
      <c r="AT12" s="818" t="s">
        <v>419</v>
      </c>
      <c r="AU12" s="818" t="s">
        <v>420</v>
      </c>
      <c r="AV12" s="819" t="s">
        <v>421</v>
      </c>
      <c r="AW12" s="820" t="s">
        <v>419</v>
      </c>
      <c r="AX12" s="811" t="s">
        <v>420</v>
      </c>
      <c r="AY12" s="811" t="s">
        <v>421</v>
      </c>
      <c r="AZ12" s="812" t="s">
        <v>419</v>
      </c>
      <c r="BA12" s="812" t="s">
        <v>420</v>
      </c>
      <c r="BB12" s="812" t="s">
        <v>421</v>
      </c>
      <c r="BC12" s="813" t="s">
        <v>419</v>
      </c>
      <c r="BD12" s="813" t="s">
        <v>420</v>
      </c>
      <c r="BE12" s="813" t="s">
        <v>421</v>
      </c>
      <c r="BF12" s="816" t="s">
        <v>419</v>
      </c>
      <c r="BG12" s="816" t="s">
        <v>420</v>
      </c>
      <c r="BH12" s="816" t="s">
        <v>421</v>
      </c>
      <c r="BI12" s="817" t="s">
        <v>419</v>
      </c>
      <c r="BJ12" s="817" t="s">
        <v>420</v>
      </c>
      <c r="BK12" s="817" t="s">
        <v>421</v>
      </c>
      <c r="BL12" s="818" t="s">
        <v>419</v>
      </c>
      <c r="BM12" s="818" t="s">
        <v>420</v>
      </c>
      <c r="BN12" s="818" t="s">
        <v>421</v>
      </c>
      <c r="BO12" s="816" t="s">
        <v>419</v>
      </c>
      <c r="BP12" s="816" t="s">
        <v>420</v>
      </c>
      <c r="BQ12" s="816" t="s">
        <v>421</v>
      </c>
      <c r="BR12" s="817" t="s">
        <v>419</v>
      </c>
      <c r="BS12" s="817" t="s">
        <v>420</v>
      </c>
      <c r="BT12" s="817" t="s">
        <v>421</v>
      </c>
      <c r="BU12" s="818" t="s">
        <v>419</v>
      </c>
      <c r="BV12" s="818" t="s">
        <v>420</v>
      </c>
      <c r="BW12" s="818" t="s">
        <v>421</v>
      </c>
      <c r="BX12" s="811" t="s">
        <v>419</v>
      </c>
      <c r="BY12" s="811" t="s">
        <v>420</v>
      </c>
      <c r="BZ12" s="811" t="s">
        <v>421</v>
      </c>
      <c r="CA12" s="812" t="s">
        <v>419</v>
      </c>
      <c r="CB12" s="812" t="s">
        <v>420</v>
      </c>
      <c r="CC12" s="812" t="s">
        <v>421</v>
      </c>
      <c r="CD12" s="813" t="s">
        <v>419</v>
      </c>
      <c r="CE12" s="813" t="s">
        <v>420</v>
      </c>
      <c r="CF12" s="813" t="s">
        <v>421</v>
      </c>
      <c r="CG12" s="816" t="s">
        <v>419</v>
      </c>
      <c r="CH12" s="816" t="s">
        <v>420</v>
      </c>
      <c r="CI12" s="816" t="s">
        <v>421</v>
      </c>
      <c r="CJ12" s="817" t="s">
        <v>419</v>
      </c>
      <c r="CK12" s="817" t="s">
        <v>420</v>
      </c>
      <c r="CL12" s="817" t="s">
        <v>421</v>
      </c>
      <c r="CM12" s="818" t="s">
        <v>419</v>
      </c>
      <c r="CN12" s="818" t="s">
        <v>420</v>
      </c>
      <c r="CO12" s="818" t="s">
        <v>421</v>
      </c>
    </row>
    <row r="13">
      <c r="A13" s="821">
        <v>1.0</v>
      </c>
      <c r="B13" s="9"/>
      <c r="C13" s="822" t="s">
        <v>42</v>
      </c>
      <c r="D13" s="823">
        <v>97.62</v>
      </c>
      <c r="E13" s="824">
        <v>98.15</v>
      </c>
      <c r="F13" s="824">
        <v>97.88</v>
      </c>
      <c r="G13" s="824">
        <v>99.1</v>
      </c>
      <c r="H13" s="824">
        <v>99.52</v>
      </c>
      <c r="I13" s="824">
        <v>99.31</v>
      </c>
      <c r="J13" s="824">
        <v>99.92</v>
      </c>
      <c r="K13" s="824">
        <v>100.0</v>
      </c>
      <c r="L13" s="825">
        <f t="shared" ref="L13:L20" si="1">(J13+K13)/2</f>
        <v>99.96</v>
      </c>
      <c r="M13" s="826">
        <v>97.69</v>
      </c>
      <c r="N13" s="827">
        <v>98.22</v>
      </c>
      <c r="O13" s="828">
        <v>97.96</v>
      </c>
      <c r="P13" s="827">
        <v>98.93</v>
      </c>
      <c r="Q13" s="827">
        <v>99.42</v>
      </c>
      <c r="R13" s="828">
        <v>99.18</v>
      </c>
      <c r="S13" s="829">
        <v>99.58</v>
      </c>
      <c r="T13" s="829">
        <v>100.0</v>
      </c>
      <c r="U13" s="692">
        <f t="shared" ref="U13:U20" si="2">(S13+T13)/2</f>
        <v>99.79</v>
      </c>
      <c r="V13" s="830">
        <v>97.62</v>
      </c>
      <c r="W13" s="831">
        <v>98.17</v>
      </c>
      <c r="X13" s="832">
        <v>97.9</v>
      </c>
      <c r="Y13" s="831">
        <v>98.64</v>
      </c>
      <c r="Z13" s="831">
        <v>99.48</v>
      </c>
      <c r="AA13" s="832">
        <v>99.06</v>
      </c>
      <c r="AB13" s="829">
        <v>99.4</v>
      </c>
      <c r="AC13" s="829">
        <v>100.0</v>
      </c>
      <c r="AD13" s="692">
        <f t="shared" ref="AD13:AD20" si="3">(AB13+AC13)/2</f>
        <v>99.7</v>
      </c>
      <c r="AE13" s="830">
        <v>97.57</v>
      </c>
      <c r="AF13" s="831">
        <v>98.06</v>
      </c>
      <c r="AG13" s="832">
        <f t="shared" ref="AG13:AG20" si="4">AVERAGE(AE13:AF13)</f>
        <v>97.815</v>
      </c>
      <c r="AH13" s="831">
        <v>98.41</v>
      </c>
      <c r="AI13" s="831">
        <v>99.32</v>
      </c>
      <c r="AJ13" s="832">
        <f t="shared" ref="AJ13:AJ20" si="5">AVERAGE((AH13:AI13))</f>
        <v>98.865</v>
      </c>
      <c r="AK13" s="829">
        <v>98.18</v>
      </c>
      <c r="AL13" s="829">
        <v>100.0</v>
      </c>
      <c r="AM13" s="833">
        <f t="shared" ref="AM13:AM20" si="6">AVERAGE(AK13:AL13)</f>
        <v>99.09</v>
      </c>
      <c r="AN13" s="823">
        <v>97.56</v>
      </c>
      <c r="AO13" s="824">
        <v>98.1</v>
      </c>
      <c r="AP13" s="834">
        <f t="shared" ref="AP13:AP20" si="7">AVERAGE(AN13:AO13)</f>
        <v>97.83</v>
      </c>
      <c r="AQ13" s="824">
        <v>98.31</v>
      </c>
      <c r="AR13" s="824">
        <v>99.47</v>
      </c>
      <c r="AS13" s="834">
        <f t="shared" ref="AS13:AS20" si="8">AVERAGE(AQ13:AR13)</f>
        <v>98.89</v>
      </c>
      <c r="AT13" s="824">
        <v>99.14</v>
      </c>
      <c r="AU13" s="824">
        <v>100.0</v>
      </c>
      <c r="AV13" s="835">
        <f t="shared" ref="AV13:AV20" si="9">(AT13+AU13)/2</f>
        <v>99.57</v>
      </c>
      <c r="AW13" s="836"/>
      <c r="AX13" s="831"/>
      <c r="AY13" s="832"/>
      <c r="AZ13" s="831"/>
      <c r="BA13" s="831"/>
      <c r="BB13" s="832"/>
      <c r="BC13" s="829"/>
      <c r="BD13" s="829"/>
      <c r="BE13" s="688"/>
      <c r="BF13" s="834"/>
      <c r="BG13" s="834"/>
      <c r="BH13" s="834"/>
      <c r="BI13" s="834"/>
      <c r="BJ13" s="834"/>
      <c r="BK13" s="834"/>
      <c r="BL13" s="834"/>
      <c r="BM13" s="834"/>
      <c r="BN13" s="837">
        <f t="shared" ref="BN13:BN20" si="10">(BL13+BM13)/2</f>
        <v>0</v>
      </c>
      <c r="BO13" s="834"/>
      <c r="BP13" s="834"/>
      <c r="BQ13" s="834"/>
      <c r="BR13" s="834"/>
      <c r="BS13" s="834"/>
      <c r="BT13" s="834"/>
      <c r="BU13" s="834"/>
      <c r="BV13" s="834"/>
      <c r="BW13" s="837">
        <f t="shared" ref="BW13:BW20" si="11">(BU13+BV13)/2</f>
        <v>0</v>
      </c>
      <c r="BX13" s="831"/>
      <c r="BY13" s="831"/>
      <c r="BZ13" s="832"/>
      <c r="CA13" s="831"/>
      <c r="CB13" s="831"/>
      <c r="CC13" s="832"/>
      <c r="CD13" s="829"/>
      <c r="CE13" s="829"/>
      <c r="CF13" s="688"/>
      <c r="CG13" s="834"/>
      <c r="CH13" s="834"/>
      <c r="CI13" s="834"/>
      <c r="CJ13" s="834"/>
      <c r="CK13" s="834"/>
      <c r="CL13" s="834"/>
      <c r="CM13" s="834"/>
      <c r="CN13" s="834"/>
      <c r="CO13" s="837">
        <f t="shared" ref="CO13:CO20" si="12">(CM13+CN13)/2</f>
        <v>0</v>
      </c>
    </row>
    <row r="14">
      <c r="A14" s="821">
        <v>2.0</v>
      </c>
      <c r="B14" s="9"/>
      <c r="C14" s="822" t="s">
        <v>43</v>
      </c>
      <c r="D14" s="823">
        <v>97.93</v>
      </c>
      <c r="E14" s="838">
        <v>97.77</v>
      </c>
      <c r="F14" s="824">
        <v>97.85</v>
      </c>
      <c r="G14" s="824">
        <v>98.66</v>
      </c>
      <c r="H14" s="824">
        <v>99.17</v>
      </c>
      <c r="I14" s="824">
        <v>98.91</v>
      </c>
      <c r="J14" s="824">
        <v>99.92</v>
      </c>
      <c r="K14" s="824">
        <v>100.0</v>
      </c>
      <c r="L14" s="825">
        <f t="shared" si="1"/>
        <v>99.96</v>
      </c>
      <c r="M14" s="826">
        <v>97.95</v>
      </c>
      <c r="N14" s="827">
        <v>97.86</v>
      </c>
      <c r="O14" s="828">
        <v>97.91</v>
      </c>
      <c r="P14" s="827">
        <v>98.71</v>
      </c>
      <c r="Q14" s="827">
        <v>99.36</v>
      </c>
      <c r="R14" s="828">
        <v>99.03</v>
      </c>
      <c r="S14" s="829">
        <v>99.58</v>
      </c>
      <c r="T14" s="829">
        <v>100.0</v>
      </c>
      <c r="U14" s="692">
        <f t="shared" si="2"/>
        <v>99.79</v>
      </c>
      <c r="V14" s="830">
        <v>97.94</v>
      </c>
      <c r="W14" s="839">
        <v>97.81</v>
      </c>
      <c r="X14" s="832">
        <v>97.87</v>
      </c>
      <c r="Y14" s="831">
        <v>98.13</v>
      </c>
      <c r="Z14" s="831">
        <v>99.42</v>
      </c>
      <c r="AA14" s="832">
        <v>98.78</v>
      </c>
      <c r="AB14" s="829">
        <v>99.4</v>
      </c>
      <c r="AC14" s="829">
        <v>100.0</v>
      </c>
      <c r="AD14" s="692">
        <f t="shared" si="3"/>
        <v>99.7</v>
      </c>
      <c r="AE14" s="830">
        <v>97.85</v>
      </c>
      <c r="AF14" s="839">
        <v>97.77</v>
      </c>
      <c r="AG14" s="832">
        <f t="shared" si="4"/>
        <v>97.81</v>
      </c>
      <c r="AH14" s="831">
        <v>97.96</v>
      </c>
      <c r="AI14" s="831">
        <v>99.28</v>
      </c>
      <c r="AJ14" s="832">
        <f t="shared" si="5"/>
        <v>98.62</v>
      </c>
      <c r="AK14" s="829">
        <v>98.18</v>
      </c>
      <c r="AL14" s="829">
        <v>100.0</v>
      </c>
      <c r="AM14" s="833">
        <f t="shared" si="6"/>
        <v>99.09</v>
      </c>
      <c r="AN14" s="823">
        <v>97.81</v>
      </c>
      <c r="AO14" s="838">
        <v>97.82</v>
      </c>
      <c r="AP14" s="834">
        <f t="shared" si="7"/>
        <v>97.815</v>
      </c>
      <c r="AQ14" s="824">
        <v>97.93</v>
      </c>
      <c r="AR14" s="824">
        <v>99.4</v>
      </c>
      <c r="AS14" s="834">
        <f t="shared" si="8"/>
        <v>98.665</v>
      </c>
      <c r="AT14" s="824">
        <v>99.15</v>
      </c>
      <c r="AU14" s="824">
        <v>100.0</v>
      </c>
      <c r="AV14" s="835">
        <f t="shared" si="9"/>
        <v>99.575</v>
      </c>
      <c r="AW14" s="836"/>
      <c r="AX14" s="839"/>
      <c r="AY14" s="832"/>
      <c r="AZ14" s="831"/>
      <c r="BA14" s="831"/>
      <c r="BB14" s="832"/>
      <c r="BC14" s="829"/>
      <c r="BD14" s="829"/>
      <c r="BE14" s="688"/>
      <c r="BF14" s="834"/>
      <c r="BG14" s="840"/>
      <c r="BH14" s="834"/>
      <c r="BI14" s="834"/>
      <c r="BJ14" s="834"/>
      <c r="BK14" s="834"/>
      <c r="BL14" s="834"/>
      <c r="BM14" s="834"/>
      <c r="BN14" s="837">
        <f t="shared" si="10"/>
        <v>0</v>
      </c>
      <c r="BO14" s="834"/>
      <c r="BP14" s="840"/>
      <c r="BQ14" s="834"/>
      <c r="BR14" s="834"/>
      <c r="BS14" s="834"/>
      <c r="BT14" s="834"/>
      <c r="BU14" s="834"/>
      <c r="BV14" s="834"/>
      <c r="BW14" s="837">
        <f t="shared" si="11"/>
        <v>0</v>
      </c>
      <c r="BX14" s="831"/>
      <c r="BY14" s="839"/>
      <c r="BZ14" s="832"/>
      <c r="CA14" s="831"/>
      <c r="CB14" s="831"/>
      <c r="CC14" s="832"/>
      <c r="CD14" s="829"/>
      <c r="CE14" s="829"/>
      <c r="CF14" s="688"/>
      <c r="CG14" s="834"/>
      <c r="CH14" s="840"/>
      <c r="CI14" s="834"/>
      <c r="CJ14" s="834"/>
      <c r="CK14" s="834"/>
      <c r="CL14" s="834"/>
      <c r="CM14" s="834"/>
      <c r="CN14" s="834"/>
      <c r="CO14" s="837">
        <f t="shared" si="12"/>
        <v>0</v>
      </c>
    </row>
    <row r="15">
      <c r="A15" s="821">
        <v>3.0</v>
      </c>
      <c r="B15" s="9"/>
      <c r="C15" s="822" t="s">
        <v>44</v>
      </c>
      <c r="D15" s="823">
        <v>97.99</v>
      </c>
      <c r="E15" s="824">
        <v>98.8</v>
      </c>
      <c r="F15" s="824">
        <v>98.4</v>
      </c>
      <c r="G15" s="824">
        <v>97.78</v>
      </c>
      <c r="H15" s="824">
        <v>99.45</v>
      </c>
      <c r="I15" s="824">
        <v>98.61</v>
      </c>
      <c r="J15" s="824">
        <v>99.92</v>
      </c>
      <c r="K15" s="824">
        <v>100.0</v>
      </c>
      <c r="L15" s="825">
        <f t="shared" si="1"/>
        <v>99.96</v>
      </c>
      <c r="M15" s="826">
        <v>98.0</v>
      </c>
      <c r="N15" s="827">
        <v>98.77</v>
      </c>
      <c r="O15" s="828">
        <v>98.38</v>
      </c>
      <c r="P15" s="827">
        <v>97.87</v>
      </c>
      <c r="Q15" s="827">
        <v>99.38</v>
      </c>
      <c r="R15" s="828">
        <v>98.63</v>
      </c>
      <c r="S15" s="829">
        <v>99.58</v>
      </c>
      <c r="T15" s="829">
        <v>100.0</v>
      </c>
      <c r="U15" s="692">
        <f t="shared" si="2"/>
        <v>99.79</v>
      </c>
      <c r="V15" s="830">
        <v>97.95</v>
      </c>
      <c r="W15" s="831">
        <v>98.76</v>
      </c>
      <c r="X15" s="832">
        <v>98.35</v>
      </c>
      <c r="Y15" s="831">
        <v>97.97</v>
      </c>
      <c r="Z15" s="831">
        <v>99.37</v>
      </c>
      <c r="AA15" s="832">
        <v>98.67</v>
      </c>
      <c r="AB15" s="829">
        <v>99.4</v>
      </c>
      <c r="AC15" s="829">
        <v>100.0</v>
      </c>
      <c r="AD15" s="692">
        <f t="shared" si="3"/>
        <v>99.7</v>
      </c>
      <c r="AE15" s="830">
        <v>97.86</v>
      </c>
      <c r="AF15" s="831">
        <v>98.73</v>
      </c>
      <c r="AG15" s="832">
        <f t="shared" si="4"/>
        <v>98.295</v>
      </c>
      <c r="AH15" s="831">
        <v>97.3</v>
      </c>
      <c r="AI15" s="831">
        <v>99.17</v>
      </c>
      <c r="AJ15" s="832">
        <f t="shared" si="5"/>
        <v>98.235</v>
      </c>
      <c r="AK15" s="829">
        <v>98.18</v>
      </c>
      <c r="AL15" s="829">
        <v>100.0</v>
      </c>
      <c r="AM15" s="833">
        <f t="shared" si="6"/>
        <v>99.09</v>
      </c>
      <c r="AN15" s="823">
        <v>97.86</v>
      </c>
      <c r="AO15" s="824">
        <v>98.66</v>
      </c>
      <c r="AP15" s="834">
        <f t="shared" si="7"/>
        <v>98.26</v>
      </c>
      <c r="AQ15" s="824">
        <v>97.14</v>
      </c>
      <c r="AR15" s="824">
        <v>99.34</v>
      </c>
      <c r="AS15" s="834">
        <f t="shared" si="8"/>
        <v>98.24</v>
      </c>
      <c r="AT15" s="824">
        <v>99.16</v>
      </c>
      <c r="AU15" s="824">
        <v>100.0</v>
      </c>
      <c r="AV15" s="835">
        <f t="shared" si="9"/>
        <v>99.58</v>
      </c>
      <c r="AW15" s="836"/>
      <c r="AX15" s="831"/>
      <c r="AY15" s="832"/>
      <c r="AZ15" s="831"/>
      <c r="BA15" s="831"/>
      <c r="BB15" s="832"/>
      <c r="BC15" s="829"/>
      <c r="BD15" s="829"/>
      <c r="BE15" s="688"/>
      <c r="BF15" s="834"/>
      <c r="BG15" s="834"/>
      <c r="BH15" s="834"/>
      <c r="BI15" s="834"/>
      <c r="BJ15" s="834"/>
      <c r="BK15" s="834"/>
      <c r="BL15" s="834"/>
      <c r="BM15" s="834"/>
      <c r="BN15" s="837">
        <f t="shared" si="10"/>
        <v>0</v>
      </c>
      <c r="BO15" s="834"/>
      <c r="BP15" s="834"/>
      <c r="BQ15" s="834"/>
      <c r="BR15" s="834"/>
      <c r="BS15" s="834"/>
      <c r="BT15" s="834"/>
      <c r="BU15" s="834"/>
      <c r="BV15" s="834"/>
      <c r="BW15" s="837">
        <f t="shared" si="11"/>
        <v>0</v>
      </c>
      <c r="BX15" s="831"/>
      <c r="BY15" s="831"/>
      <c r="BZ15" s="832"/>
      <c r="CA15" s="831"/>
      <c r="CB15" s="831"/>
      <c r="CC15" s="832"/>
      <c r="CD15" s="829"/>
      <c r="CE15" s="829"/>
      <c r="CF15" s="688"/>
      <c r="CG15" s="834"/>
      <c r="CH15" s="834"/>
      <c r="CI15" s="834"/>
      <c r="CJ15" s="834"/>
      <c r="CK15" s="834"/>
      <c r="CL15" s="834"/>
      <c r="CM15" s="834"/>
      <c r="CN15" s="834"/>
      <c r="CO15" s="837">
        <f t="shared" si="12"/>
        <v>0</v>
      </c>
    </row>
    <row r="16">
      <c r="A16" s="821">
        <v>4.0</v>
      </c>
      <c r="B16" s="9"/>
      <c r="C16" s="822" t="s">
        <v>45</v>
      </c>
      <c r="D16" s="823">
        <v>97.6</v>
      </c>
      <c r="E16" s="824">
        <v>97.48</v>
      </c>
      <c r="F16" s="824">
        <v>97.54</v>
      </c>
      <c r="G16" s="824">
        <v>98.96</v>
      </c>
      <c r="H16" s="824">
        <v>99.34</v>
      </c>
      <c r="I16" s="824">
        <v>99.15</v>
      </c>
      <c r="J16" s="824">
        <v>99.92</v>
      </c>
      <c r="K16" s="824">
        <v>100.0</v>
      </c>
      <c r="L16" s="825">
        <f t="shared" si="1"/>
        <v>99.96</v>
      </c>
      <c r="M16" s="826">
        <v>97.64</v>
      </c>
      <c r="N16" s="827">
        <v>97.66</v>
      </c>
      <c r="O16" s="828">
        <v>97.65</v>
      </c>
      <c r="P16" s="827">
        <v>98.96</v>
      </c>
      <c r="Q16" s="827">
        <v>99.14</v>
      </c>
      <c r="R16" s="828">
        <v>99.05</v>
      </c>
      <c r="S16" s="829">
        <v>99.58</v>
      </c>
      <c r="T16" s="829">
        <v>100.0</v>
      </c>
      <c r="U16" s="692">
        <f t="shared" si="2"/>
        <v>99.79</v>
      </c>
      <c r="V16" s="830">
        <v>97.61</v>
      </c>
      <c r="W16" s="831">
        <v>97.63</v>
      </c>
      <c r="X16" s="832">
        <v>97.62</v>
      </c>
      <c r="Y16" s="831">
        <v>98.47</v>
      </c>
      <c r="Z16" s="831">
        <v>99.06</v>
      </c>
      <c r="AA16" s="832">
        <v>98.76</v>
      </c>
      <c r="AB16" s="829">
        <v>99.4</v>
      </c>
      <c r="AC16" s="829">
        <v>100.0</v>
      </c>
      <c r="AD16" s="692">
        <f t="shared" si="3"/>
        <v>99.7</v>
      </c>
      <c r="AE16" s="830">
        <v>97.55</v>
      </c>
      <c r="AF16" s="831">
        <v>97.66</v>
      </c>
      <c r="AG16" s="832">
        <f t="shared" si="4"/>
        <v>97.605</v>
      </c>
      <c r="AH16" s="831">
        <v>98.23</v>
      </c>
      <c r="AI16" s="831">
        <v>97.75</v>
      </c>
      <c r="AJ16" s="832">
        <f t="shared" si="5"/>
        <v>97.99</v>
      </c>
      <c r="AK16" s="829">
        <v>98.18</v>
      </c>
      <c r="AL16" s="829">
        <v>100.0</v>
      </c>
      <c r="AM16" s="833">
        <f t="shared" si="6"/>
        <v>99.09</v>
      </c>
      <c r="AN16" s="823">
        <v>97.61</v>
      </c>
      <c r="AO16" s="824">
        <v>97.79</v>
      </c>
      <c r="AP16" s="834">
        <f t="shared" si="7"/>
        <v>97.7</v>
      </c>
      <c r="AQ16" s="824">
        <v>98.35</v>
      </c>
      <c r="AR16" s="824">
        <v>99.33</v>
      </c>
      <c r="AS16" s="834">
        <f t="shared" si="8"/>
        <v>98.84</v>
      </c>
      <c r="AT16" s="824">
        <v>99.17</v>
      </c>
      <c r="AU16" s="824">
        <v>100.0</v>
      </c>
      <c r="AV16" s="835">
        <f t="shared" si="9"/>
        <v>99.585</v>
      </c>
      <c r="AW16" s="836"/>
      <c r="AX16" s="831"/>
      <c r="AY16" s="832"/>
      <c r="AZ16" s="831"/>
      <c r="BA16" s="831"/>
      <c r="BB16" s="832"/>
      <c r="BC16" s="829"/>
      <c r="BD16" s="829"/>
      <c r="BE16" s="688"/>
      <c r="BF16" s="834"/>
      <c r="BG16" s="834"/>
      <c r="BH16" s="834"/>
      <c r="BI16" s="834"/>
      <c r="BJ16" s="834"/>
      <c r="BK16" s="834"/>
      <c r="BL16" s="834"/>
      <c r="BM16" s="834"/>
      <c r="BN16" s="837">
        <f t="shared" si="10"/>
        <v>0</v>
      </c>
      <c r="BO16" s="834"/>
      <c r="BP16" s="834"/>
      <c r="BQ16" s="834"/>
      <c r="BR16" s="834"/>
      <c r="BS16" s="834"/>
      <c r="BT16" s="834"/>
      <c r="BU16" s="834"/>
      <c r="BV16" s="834"/>
      <c r="BW16" s="837">
        <f t="shared" si="11"/>
        <v>0</v>
      </c>
      <c r="BX16" s="831"/>
      <c r="BY16" s="831"/>
      <c r="BZ16" s="832"/>
      <c r="CA16" s="831"/>
      <c r="CB16" s="831"/>
      <c r="CC16" s="832"/>
      <c r="CD16" s="829"/>
      <c r="CE16" s="829"/>
      <c r="CF16" s="688"/>
      <c r="CG16" s="834"/>
      <c r="CH16" s="834"/>
      <c r="CI16" s="834"/>
      <c r="CJ16" s="834"/>
      <c r="CK16" s="834"/>
      <c r="CL16" s="834"/>
      <c r="CM16" s="834"/>
      <c r="CN16" s="834"/>
      <c r="CO16" s="837">
        <f t="shared" si="12"/>
        <v>0</v>
      </c>
    </row>
    <row r="17">
      <c r="A17" s="821">
        <v>5.0</v>
      </c>
      <c r="B17" s="9"/>
      <c r="C17" s="822" t="s">
        <v>47</v>
      </c>
      <c r="D17" s="823">
        <v>97.75</v>
      </c>
      <c r="E17" s="824">
        <v>97.92</v>
      </c>
      <c r="F17" s="824">
        <v>97.84</v>
      </c>
      <c r="G17" s="824">
        <v>99.28</v>
      </c>
      <c r="H17" s="824">
        <v>99.24</v>
      </c>
      <c r="I17" s="824">
        <v>99.26</v>
      </c>
      <c r="J17" s="824">
        <v>99.92</v>
      </c>
      <c r="K17" s="824">
        <v>100.0</v>
      </c>
      <c r="L17" s="825">
        <f t="shared" si="1"/>
        <v>99.96</v>
      </c>
      <c r="M17" s="826">
        <v>97.76</v>
      </c>
      <c r="N17" s="827">
        <v>98.01</v>
      </c>
      <c r="O17" s="828">
        <v>97.88</v>
      </c>
      <c r="P17" s="827">
        <v>99.01</v>
      </c>
      <c r="Q17" s="827">
        <v>99.24</v>
      </c>
      <c r="R17" s="828">
        <v>99.12</v>
      </c>
      <c r="S17" s="829">
        <v>99.58</v>
      </c>
      <c r="T17" s="829">
        <v>100.0</v>
      </c>
      <c r="U17" s="692">
        <f t="shared" si="2"/>
        <v>99.79</v>
      </c>
      <c r="V17" s="830">
        <v>97.71</v>
      </c>
      <c r="W17" s="831">
        <v>97.95</v>
      </c>
      <c r="X17" s="832">
        <v>97.83</v>
      </c>
      <c r="Y17" s="831">
        <v>98.56</v>
      </c>
      <c r="Z17" s="831">
        <v>99.48</v>
      </c>
      <c r="AA17" s="832">
        <v>99.02</v>
      </c>
      <c r="AB17" s="829">
        <v>99.4</v>
      </c>
      <c r="AC17" s="829">
        <v>100.0</v>
      </c>
      <c r="AD17" s="692">
        <f t="shared" si="3"/>
        <v>99.7</v>
      </c>
      <c r="AE17" s="830">
        <v>97.61</v>
      </c>
      <c r="AF17" s="831">
        <v>97.94</v>
      </c>
      <c r="AG17" s="832">
        <f t="shared" si="4"/>
        <v>97.775</v>
      </c>
      <c r="AH17" s="831">
        <v>98.5</v>
      </c>
      <c r="AI17" s="831">
        <v>99.26</v>
      </c>
      <c r="AJ17" s="832">
        <f t="shared" si="5"/>
        <v>98.88</v>
      </c>
      <c r="AK17" s="829">
        <v>98.18</v>
      </c>
      <c r="AL17" s="829">
        <v>100.0</v>
      </c>
      <c r="AM17" s="833">
        <f t="shared" si="6"/>
        <v>99.09</v>
      </c>
      <c r="AN17" s="823">
        <v>97.62</v>
      </c>
      <c r="AO17" s="824">
        <v>97.99</v>
      </c>
      <c r="AP17" s="834">
        <f t="shared" si="7"/>
        <v>97.805</v>
      </c>
      <c r="AQ17" s="824">
        <v>98.35</v>
      </c>
      <c r="AR17" s="824">
        <v>99.13</v>
      </c>
      <c r="AS17" s="834">
        <f t="shared" si="8"/>
        <v>98.74</v>
      </c>
      <c r="AT17" s="824">
        <v>99.18</v>
      </c>
      <c r="AU17" s="824">
        <v>100.0</v>
      </c>
      <c r="AV17" s="835">
        <f t="shared" si="9"/>
        <v>99.59</v>
      </c>
      <c r="AW17" s="836"/>
      <c r="AX17" s="831"/>
      <c r="AY17" s="832"/>
      <c r="AZ17" s="831"/>
      <c r="BA17" s="831"/>
      <c r="BB17" s="832"/>
      <c r="BC17" s="829"/>
      <c r="BD17" s="829"/>
      <c r="BE17" s="688"/>
      <c r="BF17" s="834"/>
      <c r="BG17" s="834"/>
      <c r="BH17" s="834"/>
      <c r="BI17" s="834"/>
      <c r="BJ17" s="834"/>
      <c r="BK17" s="834"/>
      <c r="BL17" s="834"/>
      <c r="BM17" s="834"/>
      <c r="BN17" s="837">
        <f t="shared" si="10"/>
        <v>0</v>
      </c>
      <c r="BO17" s="834"/>
      <c r="BP17" s="834"/>
      <c r="BQ17" s="834"/>
      <c r="BR17" s="834"/>
      <c r="BS17" s="834"/>
      <c r="BT17" s="834"/>
      <c r="BU17" s="834"/>
      <c r="BV17" s="834"/>
      <c r="BW17" s="837">
        <f t="shared" si="11"/>
        <v>0</v>
      </c>
      <c r="BX17" s="831"/>
      <c r="BY17" s="831"/>
      <c r="BZ17" s="832"/>
      <c r="CA17" s="831"/>
      <c r="CB17" s="831"/>
      <c r="CC17" s="832"/>
      <c r="CD17" s="829"/>
      <c r="CE17" s="829"/>
      <c r="CF17" s="688"/>
      <c r="CG17" s="834"/>
      <c r="CH17" s="834"/>
      <c r="CI17" s="834"/>
      <c r="CJ17" s="834"/>
      <c r="CK17" s="834"/>
      <c r="CL17" s="834"/>
      <c r="CM17" s="834"/>
      <c r="CN17" s="834"/>
      <c r="CO17" s="837">
        <f t="shared" si="12"/>
        <v>0</v>
      </c>
    </row>
    <row r="18">
      <c r="A18" s="821">
        <v>6.0</v>
      </c>
      <c r="B18" s="9"/>
      <c r="C18" s="822" t="s">
        <v>48</v>
      </c>
      <c r="D18" s="823">
        <v>97.93</v>
      </c>
      <c r="E18" s="824">
        <v>98.92</v>
      </c>
      <c r="F18" s="824">
        <v>98.43</v>
      </c>
      <c r="G18" s="824">
        <v>98.02</v>
      </c>
      <c r="H18" s="824">
        <v>99.47</v>
      </c>
      <c r="I18" s="824">
        <v>98.74</v>
      </c>
      <c r="J18" s="824">
        <v>99.92</v>
      </c>
      <c r="K18" s="824">
        <v>100.0</v>
      </c>
      <c r="L18" s="825">
        <f t="shared" si="1"/>
        <v>99.96</v>
      </c>
      <c r="M18" s="826">
        <v>98.0</v>
      </c>
      <c r="N18" s="827">
        <v>98.91</v>
      </c>
      <c r="O18" s="828">
        <v>98.45</v>
      </c>
      <c r="P18" s="827">
        <v>97.85</v>
      </c>
      <c r="Q18" s="827">
        <v>99.41</v>
      </c>
      <c r="R18" s="828">
        <v>98.63</v>
      </c>
      <c r="S18" s="829">
        <v>99.58</v>
      </c>
      <c r="T18" s="829">
        <v>100.0</v>
      </c>
      <c r="U18" s="692">
        <f t="shared" si="2"/>
        <v>99.79</v>
      </c>
      <c r="V18" s="830">
        <v>97.91</v>
      </c>
      <c r="W18" s="831">
        <v>98.88</v>
      </c>
      <c r="X18" s="832">
        <v>98.39</v>
      </c>
      <c r="Y18" s="831">
        <v>98.03</v>
      </c>
      <c r="Z18" s="831" t="s">
        <v>422</v>
      </c>
      <c r="AA18" s="832">
        <v>98.73</v>
      </c>
      <c r="AB18" s="829">
        <v>99.4</v>
      </c>
      <c r="AC18" s="829">
        <v>100.0</v>
      </c>
      <c r="AD18" s="692">
        <f t="shared" si="3"/>
        <v>99.7</v>
      </c>
      <c r="AE18" s="830">
        <v>97.86</v>
      </c>
      <c r="AF18" s="831">
        <v>98.93</v>
      </c>
      <c r="AG18" s="832">
        <f t="shared" si="4"/>
        <v>98.395</v>
      </c>
      <c r="AH18" s="831">
        <v>97.91</v>
      </c>
      <c r="AI18" s="831">
        <v>99.27</v>
      </c>
      <c r="AJ18" s="832">
        <f t="shared" si="5"/>
        <v>98.59</v>
      </c>
      <c r="AK18" s="829">
        <v>98.18</v>
      </c>
      <c r="AL18" s="829">
        <v>100.0</v>
      </c>
      <c r="AM18" s="833">
        <f t="shared" si="6"/>
        <v>99.09</v>
      </c>
      <c r="AN18" s="823">
        <v>97.84</v>
      </c>
      <c r="AO18" s="824">
        <v>98.96</v>
      </c>
      <c r="AP18" s="834">
        <f t="shared" si="7"/>
        <v>98.4</v>
      </c>
      <c r="AQ18" s="824">
        <v>97.92</v>
      </c>
      <c r="AR18" s="824">
        <v>99.34</v>
      </c>
      <c r="AS18" s="834">
        <f t="shared" si="8"/>
        <v>98.63</v>
      </c>
      <c r="AT18" s="824">
        <v>99.19</v>
      </c>
      <c r="AU18" s="824">
        <v>100.0</v>
      </c>
      <c r="AV18" s="835">
        <f t="shared" si="9"/>
        <v>99.595</v>
      </c>
      <c r="AW18" s="836"/>
      <c r="AX18" s="831"/>
      <c r="AY18" s="832"/>
      <c r="AZ18" s="831"/>
      <c r="BA18" s="831"/>
      <c r="BB18" s="832"/>
      <c r="BC18" s="829"/>
      <c r="BD18" s="829"/>
      <c r="BE18" s="688"/>
      <c r="BF18" s="834"/>
      <c r="BG18" s="834"/>
      <c r="BH18" s="834"/>
      <c r="BI18" s="834"/>
      <c r="BJ18" s="834"/>
      <c r="BK18" s="834"/>
      <c r="BL18" s="834"/>
      <c r="BM18" s="834"/>
      <c r="BN18" s="837">
        <f t="shared" si="10"/>
        <v>0</v>
      </c>
      <c r="BO18" s="834"/>
      <c r="BP18" s="834"/>
      <c r="BQ18" s="834"/>
      <c r="BR18" s="834"/>
      <c r="BS18" s="834"/>
      <c r="BT18" s="834"/>
      <c r="BU18" s="834"/>
      <c r="BV18" s="834"/>
      <c r="BW18" s="837">
        <f t="shared" si="11"/>
        <v>0</v>
      </c>
      <c r="BX18" s="831"/>
      <c r="BY18" s="831"/>
      <c r="BZ18" s="832"/>
      <c r="CA18" s="831"/>
      <c r="CB18" s="831"/>
      <c r="CC18" s="832"/>
      <c r="CD18" s="829"/>
      <c r="CE18" s="829"/>
      <c r="CF18" s="688"/>
      <c r="CG18" s="834"/>
      <c r="CH18" s="834"/>
      <c r="CI18" s="834"/>
      <c r="CJ18" s="834"/>
      <c r="CK18" s="834"/>
      <c r="CL18" s="834"/>
      <c r="CM18" s="834"/>
      <c r="CN18" s="834"/>
      <c r="CO18" s="837">
        <f t="shared" si="12"/>
        <v>0</v>
      </c>
    </row>
    <row r="19">
      <c r="A19" s="821">
        <v>7.0</v>
      </c>
      <c r="B19" s="9"/>
      <c r="C19" s="822" t="s">
        <v>49</v>
      </c>
      <c r="D19" s="823">
        <v>98.18</v>
      </c>
      <c r="E19" s="824">
        <v>99.1</v>
      </c>
      <c r="F19" s="824">
        <v>98.64</v>
      </c>
      <c r="G19" s="824">
        <v>98.13</v>
      </c>
      <c r="H19" s="824">
        <v>99.46</v>
      </c>
      <c r="I19" s="824">
        <v>98.79</v>
      </c>
      <c r="J19" s="824">
        <v>99.92</v>
      </c>
      <c r="K19" s="824">
        <v>100.0</v>
      </c>
      <c r="L19" s="825">
        <f t="shared" si="1"/>
        <v>99.96</v>
      </c>
      <c r="M19" s="826">
        <v>98.28</v>
      </c>
      <c r="N19" s="827">
        <v>99.07</v>
      </c>
      <c r="O19" s="828">
        <v>98.68</v>
      </c>
      <c r="P19" s="827">
        <v>94.16</v>
      </c>
      <c r="Q19" s="827">
        <v>99.44</v>
      </c>
      <c r="R19" s="828">
        <v>96.8</v>
      </c>
      <c r="S19" s="829">
        <v>99.58</v>
      </c>
      <c r="T19" s="829">
        <v>100.0</v>
      </c>
      <c r="U19" s="692">
        <f t="shared" si="2"/>
        <v>99.79</v>
      </c>
      <c r="V19" s="830">
        <v>98.26</v>
      </c>
      <c r="W19" s="831">
        <v>99.06</v>
      </c>
      <c r="X19" s="832">
        <v>98.66</v>
      </c>
      <c r="Y19" s="831">
        <v>98.18</v>
      </c>
      <c r="Z19" s="831" t="s">
        <v>423</v>
      </c>
      <c r="AA19" s="832">
        <v>98.75</v>
      </c>
      <c r="AB19" s="829">
        <v>99.4</v>
      </c>
      <c r="AC19" s="829">
        <v>100.0</v>
      </c>
      <c r="AD19" s="692">
        <f t="shared" si="3"/>
        <v>99.7</v>
      </c>
      <c r="AE19" s="830">
        <v>98.26</v>
      </c>
      <c r="AF19" s="831">
        <v>99.09</v>
      </c>
      <c r="AG19" s="832">
        <f t="shared" si="4"/>
        <v>98.675</v>
      </c>
      <c r="AH19" s="831">
        <v>97.93</v>
      </c>
      <c r="AI19" s="831">
        <v>99.26</v>
      </c>
      <c r="AJ19" s="832">
        <f t="shared" si="5"/>
        <v>98.595</v>
      </c>
      <c r="AK19" s="829">
        <v>98.18</v>
      </c>
      <c r="AL19" s="829">
        <v>100.0</v>
      </c>
      <c r="AM19" s="833">
        <f t="shared" si="6"/>
        <v>99.09</v>
      </c>
      <c r="AN19" s="823">
        <v>98.13</v>
      </c>
      <c r="AO19" s="824">
        <v>99.06</v>
      </c>
      <c r="AP19" s="834">
        <f t="shared" si="7"/>
        <v>98.595</v>
      </c>
      <c r="AQ19" s="824">
        <v>97.85</v>
      </c>
      <c r="AR19" s="824">
        <v>99.29</v>
      </c>
      <c r="AS19" s="834">
        <f t="shared" si="8"/>
        <v>98.57</v>
      </c>
      <c r="AT19" s="824">
        <v>99.2</v>
      </c>
      <c r="AU19" s="824">
        <v>100.0</v>
      </c>
      <c r="AV19" s="835">
        <f t="shared" si="9"/>
        <v>99.6</v>
      </c>
      <c r="AW19" s="836"/>
      <c r="AX19" s="831"/>
      <c r="AY19" s="832"/>
      <c r="AZ19" s="831"/>
      <c r="BA19" s="831"/>
      <c r="BB19" s="832"/>
      <c r="BC19" s="829"/>
      <c r="BD19" s="829"/>
      <c r="BE19" s="688"/>
      <c r="BF19" s="834"/>
      <c r="BG19" s="834"/>
      <c r="BH19" s="834"/>
      <c r="BI19" s="834"/>
      <c r="BJ19" s="834"/>
      <c r="BK19" s="834"/>
      <c r="BL19" s="834"/>
      <c r="BM19" s="834"/>
      <c r="BN19" s="837">
        <f t="shared" si="10"/>
        <v>0</v>
      </c>
      <c r="BO19" s="834"/>
      <c r="BP19" s="834"/>
      <c r="BQ19" s="834"/>
      <c r="BR19" s="834"/>
      <c r="BS19" s="834"/>
      <c r="BT19" s="834"/>
      <c r="BU19" s="834"/>
      <c r="BV19" s="834"/>
      <c r="BW19" s="837">
        <f t="shared" si="11"/>
        <v>0</v>
      </c>
      <c r="BX19" s="831"/>
      <c r="BY19" s="831"/>
      <c r="BZ19" s="832"/>
      <c r="CA19" s="831"/>
      <c r="CB19" s="831"/>
      <c r="CC19" s="832"/>
      <c r="CD19" s="829"/>
      <c r="CE19" s="829"/>
      <c r="CF19" s="688"/>
      <c r="CG19" s="834"/>
      <c r="CH19" s="834"/>
      <c r="CI19" s="834"/>
      <c r="CJ19" s="834"/>
      <c r="CK19" s="834"/>
      <c r="CL19" s="834"/>
      <c r="CM19" s="834"/>
      <c r="CN19" s="834"/>
      <c r="CO19" s="837">
        <f t="shared" si="12"/>
        <v>0</v>
      </c>
    </row>
    <row r="20">
      <c r="A20" s="841" t="s">
        <v>407</v>
      </c>
      <c r="B20" s="7"/>
      <c r="C20" s="9"/>
      <c r="D20" s="842">
        <v>98.32</v>
      </c>
      <c r="E20" s="843">
        <v>98.23</v>
      </c>
      <c r="F20" s="843">
        <v>98.28</v>
      </c>
      <c r="G20" s="844">
        <v>98.94</v>
      </c>
      <c r="H20" s="844">
        <v>99.31</v>
      </c>
      <c r="I20" s="844">
        <v>99.13</v>
      </c>
      <c r="J20" s="845">
        <v>99.92</v>
      </c>
      <c r="K20" s="845">
        <v>100.0</v>
      </c>
      <c r="L20" s="846">
        <f t="shared" si="1"/>
        <v>99.96</v>
      </c>
      <c r="M20" s="847">
        <v>98.35</v>
      </c>
      <c r="N20" s="848">
        <v>98.27</v>
      </c>
      <c r="O20" s="849">
        <v>98.31</v>
      </c>
      <c r="P20" s="850">
        <v>98.91</v>
      </c>
      <c r="Q20" s="850">
        <v>99.3</v>
      </c>
      <c r="R20" s="851">
        <v>99.1</v>
      </c>
      <c r="S20" s="852">
        <v>99.58</v>
      </c>
      <c r="T20" s="852">
        <v>100.0</v>
      </c>
      <c r="U20" s="853">
        <f t="shared" si="2"/>
        <v>99.79</v>
      </c>
      <c r="V20" s="854">
        <v>98.33</v>
      </c>
      <c r="W20" s="855">
        <v>98.24</v>
      </c>
      <c r="X20" s="856">
        <v>98.29</v>
      </c>
      <c r="Y20" s="857">
        <v>98.83</v>
      </c>
      <c r="Z20" s="857" t="s">
        <v>424</v>
      </c>
      <c r="AA20" s="858">
        <v>99.08</v>
      </c>
      <c r="AB20" s="852">
        <v>99.4</v>
      </c>
      <c r="AC20" s="852">
        <v>100.0</v>
      </c>
      <c r="AD20" s="853">
        <f t="shared" si="3"/>
        <v>99.7</v>
      </c>
      <c r="AE20" s="854">
        <v>98.26</v>
      </c>
      <c r="AF20" s="855">
        <v>98.21</v>
      </c>
      <c r="AG20" s="859">
        <f t="shared" si="4"/>
        <v>98.235</v>
      </c>
      <c r="AH20" s="857">
        <v>98.7</v>
      </c>
      <c r="AI20" s="857">
        <v>99.2</v>
      </c>
      <c r="AJ20" s="860">
        <f t="shared" si="5"/>
        <v>98.95</v>
      </c>
      <c r="AK20" s="861">
        <v>98.18</v>
      </c>
      <c r="AL20" s="861">
        <v>100.0</v>
      </c>
      <c r="AM20" s="862">
        <f t="shared" si="6"/>
        <v>99.09</v>
      </c>
      <c r="AN20" s="842">
        <v>98.26</v>
      </c>
      <c r="AO20" s="843">
        <v>98.21</v>
      </c>
      <c r="AP20" s="863">
        <f t="shared" si="7"/>
        <v>98.235</v>
      </c>
      <c r="AQ20" s="844">
        <v>98.64</v>
      </c>
      <c r="AR20" s="844">
        <v>99.29</v>
      </c>
      <c r="AS20" s="864">
        <f t="shared" si="8"/>
        <v>98.965</v>
      </c>
      <c r="AT20" s="865">
        <v>99.21</v>
      </c>
      <c r="AU20" s="865">
        <v>100.0</v>
      </c>
      <c r="AV20" s="866">
        <f t="shared" si="9"/>
        <v>99.605</v>
      </c>
      <c r="AW20" s="867"/>
      <c r="AX20" s="868"/>
      <c r="AY20" s="869"/>
      <c r="AZ20" s="870"/>
      <c r="BA20" s="870"/>
      <c r="BB20" s="871"/>
      <c r="BC20" s="872"/>
      <c r="BD20" s="872"/>
      <c r="BE20" s="873"/>
      <c r="BF20" s="874"/>
      <c r="BG20" s="874"/>
      <c r="BH20" s="874"/>
      <c r="BI20" s="817"/>
      <c r="BJ20" s="817"/>
      <c r="BK20" s="817"/>
      <c r="BL20" s="818"/>
      <c r="BM20" s="818"/>
      <c r="BN20" s="818">
        <f t="shared" si="10"/>
        <v>0</v>
      </c>
      <c r="BO20" s="874"/>
      <c r="BP20" s="874"/>
      <c r="BQ20" s="874"/>
      <c r="BR20" s="817"/>
      <c r="BS20" s="817"/>
      <c r="BT20" s="817"/>
      <c r="BU20" s="818"/>
      <c r="BV20" s="818"/>
      <c r="BW20" s="818">
        <f t="shared" si="11"/>
        <v>0</v>
      </c>
      <c r="BX20" s="868"/>
      <c r="BY20" s="868"/>
      <c r="BZ20" s="869"/>
      <c r="CA20" s="870"/>
      <c r="CB20" s="870"/>
      <c r="CC20" s="871"/>
      <c r="CD20" s="872"/>
      <c r="CE20" s="872"/>
      <c r="CF20" s="873"/>
      <c r="CG20" s="874"/>
      <c r="CH20" s="874"/>
      <c r="CI20" s="874"/>
      <c r="CJ20" s="817"/>
      <c r="CK20" s="817"/>
      <c r="CL20" s="817"/>
      <c r="CM20" s="818"/>
      <c r="CN20" s="818"/>
      <c r="CO20" s="818">
        <f t="shared" si="12"/>
        <v>0</v>
      </c>
    </row>
    <row r="23">
      <c r="A23" s="875" t="s">
        <v>425</v>
      </c>
    </row>
    <row r="24">
      <c r="A24" s="876"/>
      <c r="B24" s="876"/>
      <c r="C24" s="877"/>
      <c r="D24" s="780" t="s">
        <v>413</v>
      </c>
      <c r="E24" s="629"/>
      <c r="F24" s="629"/>
      <c r="G24" s="629"/>
      <c r="H24" s="629"/>
      <c r="I24" s="629"/>
      <c r="J24" s="630"/>
      <c r="K24" s="780" t="s">
        <v>414</v>
      </c>
      <c r="L24" s="629"/>
      <c r="M24" s="629"/>
      <c r="N24" s="629"/>
      <c r="O24" s="629"/>
      <c r="P24" s="629"/>
      <c r="Q24" s="630"/>
      <c r="R24" s="780" t="s">
        <v>389</v>
      </c>
      <c r="S24" s="629"/>
      <c r="T24" s="629"/>
      <c r="U24" s="629"/>
      <c r="V24" s="629"/>
      <c r="W24" s="629"/>
      <c r="X24" s="630"/>
      <c r="Y24" s="780" t="s">
        <v>390</v>
      </c>
      <c r="Z24" s="629"/>
      <c r="AA24" s="629"/>
      <c r="AB24" s="629"/>
      <c r="AC24" s="629"/>
      <c r="AD24" s="629"/>
      <c r="AE24" s="630"/>
      <c r="AF24" s="780" t="s">
        <v>391</v>
      </c>
      <c r="AG24" s="629"/>
      <c r="AH24" s="629"/>
      <c r="AI24" s="629"/>
      <c r="AJ24" s="629"/>
      <c r="AK24" s="629"/>
      <c r="AL24" s="630"/>
      <c r="AM24" s="786" t="s">
        <v>348</v>
      </c>
      <c r="AN24" s="7"/>
      <c r="AO24" s="7"/>
      <c r="AP24" s="7"/>
      <c r="AQ24" s="7"/>
      <c r="AR24" s="7"/>
      <c r="AS24" s="9"/>
      <c r="AT24" s="788" t="s">
        <v>349</v>
      </c>
      <c r="AU24" s="7"/>
      <c r="AV24" s="7"/>
      <c r="AW24" s="7"/>
      <c r="AX24" s="7"/>
      <c r="AY24" s="7"/>
      <c r="AZ24" s="9"/>
      <c r="BA24" s="788" t="s">
        <v>350</v>
      </c>
      <c r="BB24" s="7"/>
      <c r="BC24" s="7"/>
      <c r="BD24" s="7"/>
      <c r="BE24" s="7"/>
      <c r="BF24" s="7"/>
      <c r="BG24" s="9"/>
      <c r="BH24" s="788" t="s">
        <v>351</v>
      </c>
      <c r="BI24" s="7"/>
      <c r="BJ24" s="7"/>
      <c r="BK24" s="7"/>
      <c r="BL24" s="7"/>
      <c r="BM24" s="7"/>
      <c r="BN24" s="9"/>
      <c r="BO24" s="788" t="s">
        <v>352</v>
      </c>
      <c r="BP24" s="7"/>
      <c r="BQ24" s="7"/>
      <c r="BR24" s="7"/>
      <c r="BS24" s="7"/>
      <c r="BT24" s="7"/>
      <c r="BU24" s="9"/>
      <c r="BZ24" s="878"/>
      <c r="CA24" s="878"/>
      <c r="CB24" s="878"/>
      <c r="CC24" s="878"/>
      <c r="CD24" s="878"/>
      <c r="CE24" s="878"/>
      <c r="CF24" s="878"/>
      <c r="CG24" s="878"/>
      <c r="CH24" s="878"/>
      <c r="CI24" s="878"/>
      <c r="CJ24" s="878"/>
      <c r="CK24" s="878"/>
      <c r="CL24" s="878"/>
      <c r="CM24" s="878"/>
      <c r="CN24" s="878"/>
      <c r="CO24" s="878"/>
    </row>
    <row r="25">
      <c r="A25" s="879" t="s">
        <v>28</v>
      </c>
      <c r="B25" s="790"/>
      <c r="C25" s="879" t="s">
        <v>20</v>
      </c>
      <c r="D25" s="795" t="s">
        <v>426</v>
      </c>
      <c r="E25" s="801">
        <v>39.66</v>
      </c>
      <c r="F25" s="796" t="s">
        <v>427</v>
      </c>
      <c r="G25" s="880">
        <v>52.12</v>
      </c>
      <c r="H25" s="797" t="s">
        <v>428</v>
      </c>
      <c r="I25" s="881">
        <v>8.22</v>
      </c>
      <c r="J25" s="882" t="s">
        <v>429</v>
      </c>
      <c r="K25" s="795" t="s">
        <v>426</v>
      </c>
      <c r="L25" s="801">
        <v>39.66</v>
      </c>
      <c r="M25" s="796" t="s">
        <v>427</v>
      </c>
      <c r="N25" s="880">
        <v>52.12</v>
      </c>
      <c r="O25" s="797" t="s">
        <v>428</v>
      </c>
      <c r="P25" s="881">
        <v>8.22</v>
      </c>
      <c r="Q25" s="882" t="s">
        <v>429</v>
      </c>
      <c r="R25" s="795" t="s">
        <v>426</v>
      </c>
      <c r="S25" s="801">
        <v>39.66</v>
      </c>
      <c r="T25" s="796" t="s">
        <v>427</v>
      </c>
      <c r="U25" s="880">
        <v>52.12</v>
      </c>
      <c r="V25" s="797" t="s">
        <v>428</v>
      </c>
      <c r="W25" s="881">
        <v>8.22</v>
      </c>
      <c r="X25" s="882" t="s">
        <v>429</v>
      </c>
      <c r="Y25" s="795" t="s">
        <v>426</v>
      </c>
      <c r="Z25" s="801">
        <v>39.66</v>
      </c>
      <c r="AA25" s="796" t="s">
        <v>427</v>
      </c>
      <c r="AB25" s="880">
        <v>52.12</v>
      </c>
      <c r="AC25" s="797" t="s">
        <v>428</v>
      </c>
      <c r="AD25" s="881">
        <v>8.22</v>
      </c>
      <c r="AE25" s="882" t="s">
        <v>429</v>
      </c>
      <c r="AF25" s="795" t="s">
        <v>426</v>
      </c>
      <c r="AG25" s="801">
        <v>39.66</v>
      </c>
      <c r="AH25" s="796" t="s">
        <v>427</v>
      </c>
      <c r="AI25" s="880">
        <v>52.12</v>
      </c>
      <c r="AJ25" s="797" t="s">
        <v>428</v>
      </c>
      <c r="AK25" s="881">
        <v>8.22</v>
      </c>
      <c r="AL25" s="882" t="s">
        <v>429</v>
      </c>
      <c r="AM25" s="801" t="s">
        <v>426</v>
      </c>
      <c r="AN25" s="801">
        <v>39.66</v>
      </c>
      <c r="AO25" s="796" t="s">
        <v>427</v>
      </c>
      <c r="AP25" s="880">
        <v>52.12</v>
      </c>
      <c r="AQ25" s="797" t="s">
        <v>428</v>
      </c>
      <c r="AR25" s="881">
        <v>8.22</v>
      </c>
      <c r="AS25" s="883" t="s">
        <v>429</v>
      </c>
      <c r="AT25" s="803" t="s">
        <v>426</v>
      </c>
      <c r="AU25" s="801">
        <v>39.66</v>
      </c>
      <c r="AV25" s="796" t="s">
        <v>427</v>
      </c>
      <c r="AW25" s="880">
        <v>52.12</v>
      </c>
      <c r="AX25" s="797" t="s">
        <v>428</v>
      </c>
      <c r="AY25" s="881">
        <v>8.22</v>
      </c>
      <c r="AZ25" s="883" t="s">
        <v>429</v>
      </c>
      <c r="BA25" s="803" t="s">
        <v>426</v>
      </c>
      <c r="BB25" s="801">
        <v>39.66</v>
      </c>
      <c r="BC25" s="796" t="s">
        <v>427</v>
      </c>
      <c r="BD25" s="880">
        <v>52.12</v>
      </c>
      <c r="BE25" s="797" t="s">
        <v>428</v>
      </c>
      <c r="BF25" s="881">
        <v>8.22</v>
      </c>
      <c r="BG25" s="883" t="s">
        <v>429</v>
      </c>
      <c r="BH25" s="803" t="s">
        <v>426</v>
      </c>
      <c r="BI25" s="801">
        <v>39.66</v>
      </c>
      <c r="BJ25" s="796" t="s">
        <v>427</v>
      </c>
      <c r="BK25" s="880">
        <v>52.12</v>
      </c>
      <c r="BL25" s="797" t="s">
        <v>428</v>
      </c>
      <c r="BM25" s="881">
        <v>8.22</v>
      </c>
      <c r="BN25" s="883" t="s">
        <v>429</v>
      </c>
      <c r="BO25" s="803" t="s">
        <v>426</v>
      </c>
      <c r="BP25" s="801">
        <v>39.66</v>
      </c>
      <c r="BQ25" s="796" t="s">
        <v>427</v>
      </c>
      <c r="BR25" s="880">
        <v>52.12</v>
      </c>
      <c r="BS25" s="797" t="s">
        <v>428</v>
      </c>
      <c r="BT25" s="881">
        <v>8.22</v>
      </c>
      <c r="BU25" s="883" t="s">
        <v>429</v>
      </c>
    </row>
    <row r="26">
      <c r="A26" s="746"/>
      <c r="B26" s="804"/>
      <c r="C26" s="884" t="s">
        <v>415</v>
      </c>
      <c r="D26" s="885" t="s">
        <v>421</v>
      </c>
      <c r="E26" s="886" t="s">
        <v>430</v>
      </c>
      <c r="F26" s="887" t="s">
        <v>421</v>
      </c>
      <c r="G26" s="888" t="s">
        <v>430</v>
      </c>
      <c r="H26" s="889" t="s">
        <v>421</v>
      </c>
      <c r="I26" s="890" t="s">
        <v>430</v>
      </c>
      <c r="J26" s="891" t="s">
        <v>430</v>
      </c>
      <c r="K26" s="885" t="s">
        <v>421</v>
      </c>
      <c r="L26" s="886" t="s">
        <v>430</v>
      </c>
      <c r="M26" s="887" t="s">
        <v>421</v>
      </c>
      <c r="N26" s="888" t="s">
        <v>430</v>
      </c>
      <c r="O26" s="889" t="s">
        <v>421</v>
      </c>
      <c r="P26" s="890" t="s">
        <v>430</v>
      </c>
      <c r="Q26" s="891" t="s">
        <v>430</v>
      </c>
      <c r="R26" s="885" t="s">
        <v>421</v>
      </c>
      <c r="S26" s="886" t="s">
        <v>430</v>
      </c>
      <c r="T26" s="887" t="s">
        <v>421</v>
      </c>
      <c r="U26" s="888" t="s">
        <v>430</v>
      </c>
      <c r="V26" s="889" t="s">
        <v>421</v>
      </c>
      <c r="W26" s="890" t="s">
        <v>430</v>
      </c>
      <c r="X26" s="891" t="s">
        <v>430</v>
      </c>
      <c r="Y26" s="885" t="s">
        <v>421</v>
      </c>
      <c r="Z26" s="886" t="s">
        <v>430</v>
      </c>
      <c r="AA26" s="887" t="s">
        <v>421</v>
      </c>
      <c r="AB26" s="888" t="s">
        <v>430</v>
      </c>
      <c r="AC26" s="889" t="s">
        <v>421</v>
      </c>
      <c r="AD26" s="890" t="s">
        <v>430</v>
      </c>
      <c r="AE26" s="891" t="s">
        <v>430</v>
      </c>
      <c r="AF26" s="885" t="s">
        <v>421</v>
      </c>
      <c r="AG26" s="886" t="s">
        <v>430</v>
      </c>
      <c r="AH26" s="887" t="s">
        <v>421</v>
      </c>
      <c r="AI26" s="888" t="s">
        <v>430</v>
      </c>
      <c r="AJ26" s="889" t="s">
        <v>421</v>
      </c>
      <c r="AK26" s="890" t="s">
        <v>430</v>
      </c>
      <c r="AL26" s="891" t="s">
        <v>430</v>
      </c>
      <c r="AM26" s="892" t="s">
        <v>421</v>
      </c>
      <c r="AN26" s="886" t="s">
        <v>430</v>
      </c>
      <c r="AO26" s="887" t="s">
        <v>421</v>
      </c>
      <c r="AP26" s="888" t="s">
        <v>430</v>
      </c>
      <c r="AQ26" s="889" t="s">
        <v>421</v>
      </c>
      <c r="AR26" s="890" t="s">
        <v>430</v>
      </c>
      <c r="AS26" s="893" t="s">
        <v>430</v>
      </c>
      <c r="AT26" s="894" t="s">
        <v>421</v>
      </c>
      <c r="AU26" s="886" t="s">
        <v>430</v>
      </c>
      <c r="AV26" s="887" t="s">
        <v>421</v>
      </c>
      <c r="AW26" s="888" t="s">
        <v>430</v>
      </c>
      <c r="AX26" s="889" t="s">
        <v>421</v>
      </c>
      <c r="AY26" s="890" t="s">
        <v>430</v>
      </c>
      <c r="AZ26" s="893" t="s">
        <v>430</v>
      </c>
      <c r="BA26" s="894" t="s">
        <v>421</v>
      </c>
      <c r="BB26" s="886" t="s">
        <v>430</v>
      </c>
      <c r="BC26" s="887" t="s">
        <v>421</v>
      </c>
      <c r="BD26" s="888" t="s">
        <v>430</v>
      </c>
      <c r="BE26" s="889" t="s">
        <v>421</v>
      </c>
      <c r="BF26" s="890" t="s">
        <v>430</v>
      </c>
      <c r="BG26" s="893" t="s">
        <v>430</v>
      </c>
      <c r="BH26" s="894" t="s">
        <v>421</v>
      </c>
      <c r="BI26" s="886" t="s">
        <v>430</v>
      </c>
      <c r="BJ26" s="887" t="s">
        <v>421</v>
      </c>
      <c r="BK26" s="888" t="s">
        <v>430</v>
      </c>
      <c r="BL26" s="889" t="s">
        <v>421</v>
      </c>
      <c r="BM26" s="890" t="s">
        <v>430</v>
      </c>
      <c r="BN26" s="893" t="s">
        <v>430</v>
      </c>
      <c r="BO26" s="894" t="s">
        <v>421</v>
      </c>
      <c r="BP26" s="886" t="s">
        <v>430</v>
      </c>
      <c r="BQ26" s="887" t="s">
        <v>421</v>
      </c>
      <c r="BR26" s="888" t="s">
        <v>430</v>
      </c>
      <c r="BS26" s="889" t="s">
        <v>421</v>
      </c>
      <c r="BT26" s="890" t="s">
        <v>430</v>
      </c>
      <c r="BU26" s="893" t="s">
        <v>430</v>
      </c>
    </row>
    <row r="27">
      <c r="A27" s="895">
        <v>1.0</v>
      </c>
      <c r="B27" s="9"/>
      <c r="C27" s="895" t="s">
        <v>42</v>
      </c>
      <c r="D27" s="896">
        <f t="shared" ref="D27:D34" si="13">F13</f>
        <v>97.88</v>
      </c>
      <c r="E27" s="897">
        <f t="shared" ref="E27:E34" si="14">D27*$S$25/100</f>
        <v>38.819208</v>
      </c>
      <c r="F27" s="898">
        <f t="shared" ref="F27:F34" si="15">I13</f>
        <v>99.31</v>
      </c>
      <c r="G27" s="897">
        <f t="shared" ref="G27:G34" si="16">F27*$U$25/100</f>
        <v>51.760372</v>
      </c>
      <c r="H27" s="688">
        <f t="shared" ref="H27:H34" si="17">L13</f>
        <v>99.96</v>
      </c>
      <c r="I27" s="897">
        <f t="shared" ref="I27:I34" si="18">H27*$W$25/100</f>
        <v>8.216712</v>
      </c>
      <c r="J27" s="833">
        <f t="shared" ref="J27:J34" si="19">sum(E27,G27,I27)</f>
        <v>98.796292</v>
      </c>
      <c r="K27" s="899">
        <f t="shared" ref="K27:K34" si="20">O13</f>
        <v>97.96</v>
      </c>
      <c r="L27" s="897">
        <f t="shared" ref="L27:L34" si="21">K27*$S$25/100</f>
        <v>38.850936</v>
      </c>
      <c r="M27" s="900">
        <f t="shared" ref="M27:M34" si="22">R13</f>
        <v>99.18</v>
      </c>
      <c r="N27" s="897">
        <f t="shared" ref="N27:N34" si="23">M27*$U$25/100</f>
        <v>51.692616</v>
      </c>
      <c r="O27" s="688">
        <f t="shared" ref="O27:O34" si="24">U13</f>
        <v>99.79</v>
      </c>
      <c r="P27" s="897">
        <f t="shared" ref="P27:P34" si="25">O27*$W$25/100</f>
        <v>8.202738</v>
      </c>
      <c r="Q27" s="833">
        <f t="shared" ref="Q27:Q34" si="26">sum(L27,N27,P27)</f>
        <v>98.74629</v>
      </c>
      <c r="R27" s="896">
        <v>97.9</v>
      </c>
      <c r="S27" s="897">
        <f t="shared" ref="S27:S34" si="27">R27*$S$25/100</f>
        <v>38.82714</v>
      </c>
      <c r="T27" s="898">
        <v>99.06</v>
      </c>
      <c r="U27" s="897">
        <f t="shared" ref="U27:U34" si="28">T27*$U$25/100</f>
        <v>51.630072</v>
      </c>
      <c r="V27" s="688">
        <f t="shared" ref="V27:V34" si="29">AD13</f>
        <v>99.7</v>
      </c>
      <c r="W27" s="897">
        <f t="shared" ref="W27:W34" si="30">V27*$W$25/100</f>
        <v>8.19534</v>
      </c>
      <c r="X27" s="833">
        <f t="shared" ref="X27:X34" si="31">sum(S27,U27,W27)</f>
        <v>98.652552</v>
      </c>
      <c r="Y27" s="896">
        <f t="shared" ref="Y27:Y34" si="32">AG13</f>
        <v>97.815</v>
      </c>
      <c r="Z27" s="897">
        <f t="shared" ref="Z27:Z34" si="33">Y27*$S$25/100</f>
        <v>38.793429</v>
      </c>
      <c r="AA27" s="898">
        <f t="shared" ref="AA27:AA34" si="34">AJ13</f>
        <v>98.865</v>
      </c>
      <c r="AB27" s="897">
        <f t="shared" ref="AB27:AB34" si="35">AA27*$U$25/100</f>
        <v>51.528438</v>
      </c>
      <c r="AC27" s="897">
        <f t="shared" ref="AC27:AC34" si="36">AM13</f>
        <v>99.09</v>
      </c>
      <c r="AD27" s="897">
        <f t="shared" ref="AD27:AD34" si="37">AC27*$W$25/100</f>
        <v>8.145198</v>
      </c>
      <c r="AE27" s="833">
        <f t="shared" ref="AE27:AE34" si="38">sum(Z27,AB27,AD27)</f>
        <v>98.467065</v>
      </c>
      <c r="AF27" s="896">
        <f t="shared" ref="AF27:AF34" si="39">AP13</f>
        <v>97.83</v>
      </c>
      <c r="AG27" s="897">
        <f t="shared" ref="AG27:AG34" si="40">AF27*$S$25/100</f>
        <v>38.799378</v>
      </c>
      <c r="AH27" s="898">
        <f t="shared" ref="AH27:AH34" si="41">AS13</f>
        <v>98.89</v>
      </c>
      <c r="AI27" s="897">
        <f t="shared" ref="AI27:AI34" si="42">AH27*$U$25/100</f>
        <v>51.541468</v>
      </c>
      <c r="AJ27" s="688">
        <f t="shared" ref="AJ27:AJ34" si="43">AV13</f>
        <v>99.57</v>
      </c>
      <c r="AK27" s="897">
        <f t="shared" ref="AK27:AK34" si="44">AJ27*$W$25/100</f>
        <v>8.184654</v>
      </c>
      <c r="AL27" s="833">
        <f t="shared" ref="AL27:AL34" si="45">sum(AG27,AI27,AK27)</f>
        <v>98.5255</v>
      </c>
      <c r="AM27" s="901"/>
      <c r="AN27" s="897">
        <f t="shared" ref="AN27:AN34" si="46">AM27*$S$25/100</f>
        <v>0</v>
      </c>
      <c r="AO27" s="898"/>
      <c r="AP27" s="897">
        <f t="shared" ref="AP27:AP34" si="47">AO27*$U$25/100</f>
        <v>0</v>
      </c>
      <c r="AQ27" s="688" t="str">
        <f t="shared" ref="AQ27:AQ34" si="48">AY13</f>
        <v/>
      </c>
      <c r="AR27" s="897">
        <f t="shared" ref="AR27:AR34" si="49">AQ27*$W$25/100</f>
        <v>0</v>
      </c>
      <c r="AS27" s="897">
        <f t="shared" ref="AS27:AS34" si="50">sum(AN27,AP27,AR27)</f>
        <v>0</v>
      </c>
      <c r="AT27" s="898"/>
      <c r="AU27" s="897">
        <f t="shared" ref="AU27:AU34" si="51">AT27*$S$25/100</f>
        <v>0</v>
      </c>
      <c r="AV27" s="898"/>
      <c r="AW27" s="897">
        <f t="shared" ref="AW27:AW34" si="52">AV27*$U$25/100</f>
        <v>0</v>
      </c>
      <c r="AX27" s="688" t="str">
        <f t="shared" ref="AX27:AX34" si="53">BF13</f>
        <v/>
      </c>
      <c r="AY27" s="897">
        <f t="shared" ref="AY27:AY34" si="54">AX27*$W$25/100</f>
        <v>0</v>
      </c>
      <c r="AZ27" s="897">
        <f t="shared" ref="AZ27:AZ34" si="55">sum(AU27,AW27,AY27)</f>
        <v>0</v>
      </c>
      <c r="BA27" s="898"/>
      <c r="BB27" s="897">
        <f t="shared" ref="BB27:BB34" si="56">BA27*$S$25/100</f>
        <v>0</v>
      </c>
      <c r="BC27" s="898"/>
      <c r="BD27" s="897">
        <f t="shared" ref="BD27:BD34" si="57">BC27*$U$25/100</f>
        <v>0</v>
      </c>
      <c r="BE27" s="688" t="str">
        <f t="shared" ref="BE27:BE34" si="58">BM13</f>
        <v/>
      </c>
      <c r="BF27" s="897">
        <f t="shared" ref="BF27:BF34" si="59">BE27*$W$25/100</f>
        <v>0</v>
      </c>
      <c r="BG27" s="897">
        <f t="shared" ref="BG27:BG34" si="60">sum(BB27,BD27,BF27)</f>
        <v>0</v>
      </c>
      <c r="BH27" s="898"/>
      <c r="BI27" s="897">
        <f t="shared" ref="BI27:BI34" si="61">BH27*$S$25/100</f>
        <v>0</v>
      </c>
      <c r="BJ27" s="898"/>
      <c r="BK27" s="897">
        <f t="shared" ref="BK27:BK34" si="62">BJ27*$U$25/100</f>
        <v>0</v>
      </c>
      <c r="BL27" s="688" t="str">
        <f t="shared" ref="BL27:BL34" si="63">BT13</f>
        <v/>
      </c>
      <c r="BM27" s="897">
        <f t="shared" ref="BM27:BM34" si="64">BL27*$W$25/100</f>
        <v>0</v>
      </c>
      <c r="BN27" s="897">
        <f t="shared" ref="BN27:BN34" si="65">sum(BI27,BK27,BM27)</f>
        <v>0</v>
      </c>
      <c r="BO27" s="898"/>
      <c r="BP27" s="897">
        <f t="shared" ref="BP27:BP34" si="66">BO27*$S$25/100</f>
        <v>0</v>
      </c>
      <c r="BQ27" s="898"/>
      <c r="BR27" s="897">
        <f t="shared" ref="BR27:BR34" si="67">BQ27*$U$25/100</f>
        <v>0</v>
      </c>
      <c r="BS27" s="688" t="str">
        <f t="shared" ref="BS27:BS34" si="68">CA13</f>
        <v/>
      </c>
      <c r="BT27" s="897">
        <f t="shared" ref="BT27:BT34" si="69">BS27*$W$25/100</f>
        <v>0</v>
      </c>
      <c r="BU27" s="897">
        <f t="shared" ref="BU27:BU34" si="70">sum(BP27,BR27,BT27)</f>
        <v>0</v>
      </c>
    </row>
    <row r="28">
      <c r="A28" s="895">
        <v>2.0</v>
      </c>
      <c r="B28" s="9"/>
      <c r="C28" s="895" t="s">
        <v>43</v>
      </c>
      <c r="D28" s="896">
        <f t="shared" si="13"/>
        <v>97.85</v>
      </c>
      <c r="E28" s="897">
        <f t="shared" si="14"/>
        <v>38.80731</v>
      </c>
      <c r="F28" s="898">
        <f t="shared" si="15"/>
        <v>98.91</v>
      </c>
      <c r="G28" s="897">
        <f t="shared" si="16"/>
        <v>51.551892</v>
      </c>
      <c r="H28" s="688">
        <f t="shared" si="17"/>
        <v>99.96</v>
      </c>
      <c r="I28" s="897">
        <f t="shared" si="18"/>
        <v>8.216712</v>
      </c>
      <c r="J28" s="833">
        <f t="shared" si="19"/>
        <v>98.575914</v>
      </c>
      <c r="K28" s="899">
        <f t="shared" si="20"/>
        <v>97.91</v>
      </c>
      <c r="L28" s="897">
        <f t="shared" si="21"/>
        <v>38.831106</v>
      </c>
      <c r="M28" s="900">
        <f t="shared" si="22"/>
        <v>99.03</v>
      </c>
      <c r="N28" s="897">
        <f t="shared" si="23"/>
        <v>51.614436</v>
      </c>
      <c r="O28" s="688">
        <f t="shared" si="24"/>
        <v>99.79</v>
      </c>
      <c r="P28" s="897">
        <f t="shared" si="25"/>
        <v>8.202738</v>
      </c>
      <c r="Q28" s="833">
        <f t="shared" si="26"/>
        <v>98.64828</v>
      </c>
      <c r="R28" s="896">
        <v>97.87</v>
      </c>
      <c r="S28" s="897">
        <f t="shared" si="27"/>
        <v>38.815242</v>
      </c>
      <c r="T28" s="898">
        <v>98.78</v>
      </c>
      <c r="U28" s="897">
        <f t="shared" si="28"/>
        <v>51.484136</v>
      </c>
      <c r="V28" s="688">
        <f t="shared" si="29"/>
        <v>99.7</v>
      </c>
      <c r="W28" s="897">
        <f t="shared" si="30"/>
        <v>8.19534</v>
      </c>
      <c r="X28" s="833">
        <f t="shared" si="31"/>
        <v>98.494718</v>
      </c>
      <c r="Y28" s="896">
        <f t="shared" si="32"/>
        <v>97.81</v>
      </c>
      <c r="Z28" s="897">
        <f t="shared" si="33"/>
        <v>38.791446</v>
      </c>
      <c r="AA28" s="898">
        <f t="shared" si="34"/>
        <v>98.62</v>
      </c>
      <c r="AB28" s="897">
        <f t="shared" si="35"/>
        <v>51.400744</v>
      </c>
      <c r="AC28" s="897">
        <f t="shared" si="36"/>
        <v>99.09</v>
      </c>
      <c r="AD28" s="897">
        <f t="shared" si="37"/>
        <v>8.145198</v>
      </c>
      <c r="AE28" s="833">
        <f t="shared" si="38"/>
        <v>98.337388</v>
      </c>
      <c r="AF28" s="896">
        <f t="shared" si="39"/>
        <v>97.815</v>
      </c>
      <c r="AG28" s="897">
        <f t="shared" si="40"/>
        <v>38.793429</v>
      </c>
      <c r="AH28" s="898">
        <f t="shared" si="41"/>
        <v>98.665</v>
      </c>
      <c r="AI28" s="897">
        <f t="shared" si="42"/>
        <v>51.424198</v>
      </c>
      <c r="AJ28" s="688">
        <f t="shared" si="43"/>
        <v>99.575</v>
      </c>
      <c r="AK28" s="897">
        <f t="shared" si="44"/>
        <v>8.185065</v>
      </c>
      <c r="AL28" s="833">
        <f t="shared" si="45"/>
        <v>98.402692</v>
      </c>
      <c r="AM28" s="901"/>
      <c r="AN28" s="897">
        <f t="shared" si="46"/>
        <v>0</v>
      </c>
      <c r="AO28" s="898"/>
      <c r="AP28" s="897">
        <f t="shared" si="47"/>
        <v>0</v>
      </c>
      <c r="AQ28" s="688" t="str">
        <f t="shared" si="48"/>
        <v/>
      </c>
      <c r="AR28" s="897">
        <f t="shared" si="49"/>
        <v>0</v>
      </c>
      <c r="AS28" s="897">
        <f t="shared" si="50"/>
        <v>0</v>
      </c>
      <c r="AT28" s="898"/>
      <c r="AU28" s="897">
        <f t="shared" si="51"/>
        <v>0</v>
      </c>
      <c r="AV28" s="898"/>
      <c r="AW28" s="897">
        <f t="shared" si="52"/>
        <v>0</v>
      </c>
      <c r="AX28" s="688" t="str">
        <f t="shared" si="53"/>
        <v/>
      </c>
      <c r="AY28" s="897">
        <f t="shared" si="54"/>
        <v>0</v>
      </c>
      <c r="AZ28" s="897">
        <f t="shared" si="55"/>
        <v>0</v>
      </c>
      <c r="BA28" s="898"/>
      <c r="BB28" s="897">
        <f t="shared" si="56"/>
        <v>0</v>
      </c>
      <c r="BC28" s="898"/>
      <c r="BD28" s="897">
        <f t="shared" si="57"/>
        <v>0</v>
      </c>
      <c r="BE28" s="688" t="str">
        <f t="shared" si="58"/>
        <v/>
      </c>
      <c r="BF28" s="897">
        <f t="shared" si="59"/>
        <v>0</v>
      </c>
      <c r="BG28" s="897">
        <f t="shared" si="60"/>
        <v>0</v>
      </c>
      <c r="BH28" s="898"/>
      <c r="BI28" s="897">
        <f t="shared" si="61"/>
        <v>0</v>
      </c>
      <c r="BJ28" s="898"/>
      <c r="BK28" s="897">
        <f t="shared" si="62"/>
        <v>0</v>
      </c>
      <c r="BL28" s="688" t="str">
        <f t="shared" si="63"/>
        <v/>
      </c>
      <c r="BM28" s="897">
        <f t="shared" si="64"/>
        <v>0</v>
      </c>
      <c r="BN28" s="897">
        <f t="shared" si="65"/>
        <v>0</v>
      </c>
      <c r="BO28" s="898"/>
      <c r="BP28" s="897">
        <f t="shared" si="66"/>
        <v>0</v>
      </c>
      <c r="BQ28" s="898"/>
      <c r="BR28" s="897">
        <f t="shared" si="67"/>
        <v>0</v>
      </c>
      <c r="BS28" s="688" t="str">
        <f t="shared" si="68"/>
        <v/>
      </c>
      <c r="BT28" s="897">
        <f t="shared" si="69"/>
        <v>0</v>
      </c>
      <c r="BU28" s="897">
        <f t="shared" si="70"/>
        <v>0</v>
      </c>
    </row>
    <row r="29">
      <c r="A29" s="895">
        <v>3.0</v>
      </c>
      <c r="B29" s="9"/>
      <c r="C29" s="895" t="s">
        <v>44</v>
      </c>
      <c r="D29" s="896">
        <f t="shared" si="13"/>
        <v>98.4</v>
      </c>
      <c r="E29" s="897">
        <f t="shared" si="14"/>
        <v>39.02544</v>
      </c>
      <c r="F29" s="898">
        <f t="shared" si="15"/>
        <v>98.61</v>
      </c>
      <c r="G29" s="897">
        <f t="shared" si="16"/>
        <v>51.395532</v>
      </c>
      <c r="H29" s="688">
        <f t="shared" si="17"/>
        <v>99.96</v>
      </c>
      <c r="I29" s="897">
        <f t="shared" si="18"/>
        <v>8.216712</v>
      </c>
      <c r="J29" s="833">
        <f t="shared" si="19"/>
        <v>98.637684</v>
      </c>
      <c r="K29" s="899">
        <f t="shared" si="20"/>
        <v>98.38</v>
      </c>
      <c r="L29" s="897">
        <f t="shared" si="21"/>
        <v>39.017508</v>
      </c>
      <c r="M29" s="900">
        <f t="shared" si="22"/>
        <v>98.63</v>
      </c>
      <c r="N29" s="897">
        <f t="shared" si="23"/>
        <v>51.405956</v>
      </c>
      <c r="O29" s="688">
        <f t="shared" si="24"/>
        <v>99.79</v>
      </c>
      <c r="P29" s="897">
        <f t="shared" si="25"/>
        <v>8.202738</v>
      </c>
      <c r="Q29" s="833">
        <f t="shared" si="26"/>
        <v>98.626202</v>
      </c>
      <c r="R29" s="896">
        <v>98.35</v>
      </c>
      <c r="S29" s="897">
        <f t="shared" si="27"/>
        <v>39.00561</v>
      </c>
      <c r="T29" s="898">
        <v>98.67</v>
      </c>
      <c r="U29" s="897">
        <f t="shared" si="28"/>
        <v>51.426804</v>
      </c>
      <c r="V29" s="688">
        <f t="shared" si="29"/>
        <v>99.7</v>
      </c>
      <c r="W29" s="897">
        <f t="shared" si="30"/>
        <v>8.19534</v>
      </c>
      <c r="X29" s="833">
        <f t="shared" si="31"/>
        <v>98.627754</v>
      </c>
      <c r="Y29" s="896">
        <f t="shared" si="32"/>
        <v>98.295</v>
      </c>
      <c r="Z29" s="897">
        <f t="shared" si="33"/>
        <v>38.983797</v>
      </c>
      <c r="AA29" s="898">
        <f t="shared" si="34"/>
        <v>98.235</v>
      </c>
      <c r="AB29" s="897">
        <f t="shared" si="35"/>
        <v>51.200082</v>
      </c>
      <c r="AC29" s="897">
        <f t="shared" si="36"/>
        <v>99.09</v>
      </c>
      <c r="AD29" s="897">
        <f t="shared" si="37"/>
        <v>8.145198</v>
      </c>
      <c r="AE29" s="833">
        <f t="shared" si="38"/>
        <v>98.329077</v>
      </c>
      <c r="AF29" s="896">
        <f t="shared" si="39"/>
        <v>98.26</v>
      </c>
      <c r="AG29" s="897">
        <f t="shared" si="40"/>
        <v>38.969916</v>
      </c>
      <c r="AH29" s="898">
        <f t="shared" si="41"/>
        <v>98.24</v>
      </c>
      <c r="AI29" s="897">
        <f t="shared" si="42"/>
        <v>51.202688</v>
      </c>
      <c r="AJ29" s="688">
        <f t="shared" si="43"/>
        <v>99.58</v>
      </c>
      <c r="AK29" s="897">
        <f t="shared" si="44"/>
        <v>8.185476</v>
      </c>
      <c r="AL29" s="833">
        <f t="shared" si="45"/>
        <v>98.35808</v>
      </c>
      <c r="AM29" s="901"/>
      <c r="AN29" s="897">
        <f t="shared" si="46"/>
        <v>0</v>
      </c>
      <c r="AO29" s="898"/>
      <c r="AP29" s="897">
        <f t="shared" si="47"/>
        <v>0</v>
      </c>
      <c r="AQ29" s="688" t="str">
        <f t="shared" si="48"/>
        <v/>
      </c>
      <c r="AR29" s="897">
        <f t="shared" si="49"/>
        <v>0</v>
      </c>
      <c r="AS29" s="897">
        <f t="shared" si="50"/>
        <v>0</v>
      </c>
      <c r="AT29" s="898"/>
      <c r="AU29" s="897">
        <f t="shared" si="51"/>
        <v>0</v>
      </c>
      <c r="AV29" s="898"/>
      <c r="AW29" s="897">
        <f t="shared" si="52"/>
        <v>0</v>
      </c>
      <c r="AX29" s="688" t="str">
        <f t="shared" si="53"/>
        <v/>
      </c>
      <c r="AY29" s="897">
        <f t="shared" si="54"/>
        <v>0</v>
      </c>
      <c r="AZ29" s="897">
        <f t="shared" si="55"/>
        <v>0</v>
      </c>
      <c r="BA29" s="898"/>
      <c r="BB29" s="897">
        <f t="shared" si="56"/>
        <v>0</v>
      </c>
      <c r="BC29" s="898"/>
      <c r="BD29" s="897">
        <f t="shared" si="57"/>
        <v>0</v>
      </c>
      <c r="BE29" s="688" t="str">
        <f t="shared" si="58"/>
        <v/>
      </c>
      <c r="BF29" s="897">
        <f t="shared" si="59"/>
        <v>0</v>
      </c>
      <c r="BG29" s="897">
        <f t="shared" si="60"/>
        <v>0</v>
      </c>
      <c r="BH29" s="898"/>
      <c r="BI29" s="897">
        <f t="shared" si="61"/>
        <v>0</v>
      </c>
      <c r="BJ29" s="898"/>
      <c r="BK29" s="897">
        <f t="shared" si="62"/>
        <v>0</v>
      </c>
      <c r="BL29" s="688" t="str">
        <f t="shared" si="63"/>
        <v/>
      </c>
      <c r="BM29" s="897">
        <f t="shared" si="64"/>
        <v>0</v>
      </c>
      <c r="BN29" s="897">
        <f t="shared" si="65"/>
        <v>0</v>
      </c>
      <c r="BO29" s="898"/>
      <c r="BP29" s="897">
        <f t="shared" si="66"/>
        <v>0</v>
      </c>
      <c r="BQ29" s="898"/>
      <c r="BR29" s="897">
        <f t="shared" si="67"/>
        <v>0</v>
      </c>
      <c r="BS29" s="688" t="str">
        <f t="shared" si="68"/>
        <v/>
      </c>
      <c r="BT29" s="897">
        <f t="shared" si="69"/>
        <v>0</v>
      </c>
      <c r="BU29" s="897">
        <f t="shared" si="70"/>
        <v>0</v>
      </c>
    </row>
    <row r="30">
      <c r="A30" s="895">
        <v>4.0</v>
      </c>
      <c r="B30" s="9"/>
      <c r="C30" s="895" t="s">
        <v>45</v>
      </c>
      <c r="D30" s="896">
        <f t="shared" si="13"/>
        <v>97.54</v>
      </c>
      <c r="E30" s="897">
        <f t="shared" si="14"/>
        <v>38.684364</v>
      </c>
      <c r="F30" s="898">
        <f t="shared" si="15"/>
        <v>99.15</v>
      </c>
      <c r="G30" s="897">
        <f t="shared" si="16"/>
        <v>51.67698</v>
      </c>
      <c r="H30" s="688">
        <f t="shared" si="17"/>
        <v>99.96</v>
      </c>
      <c r="I30" s="897">
        <f t="shared" si="18"/>
        <v>8.216712</v>
      </c>
      <c r="J30" s="833">
        <f t="shared" si="19"/>
        <v>98.578056</v>
      </c>
      <c r="K30" s="899">
        <f t="shared" si="20"/>
        <v>97.65</v>
      </c>
      <c r="L30" s="897">
        <f t="shared" si="21"/>
        <v>38.72799</v>
      </c>
      <c r="M30" s="900">
        <f t="shared" si="22"/>
        <v>99.05</v>
      </c>
      <c r="N30" s="897">
        <f t="shared" si="23"/>
        <v>51.62486</v>
      </c>
      <c r="O30" s="688">
        <f t="shared" si="24"/>
        <v>99.79</v>
      </c>
      <c r="P30" s="897">
        <f t="shared" si="25"/>
        <v>8.202738</v>
      </c>
      <c r="Q30" s="833">
        <f t="shared" si="26"/>
        <v>98.555588</v>
      </c>
      <c r="R30" s="896">
        <v>97.62</v>
      </c>
      <c r="S30" s="897">
        <f t="shared" si="27"/>
        <v>38.716092</v>
      </c>
      <c r="T30" s="898">
        <v>98.76</v>
      </c>
      <c r="U30" s="897">
        <f t="shared" si="28"/>
        <v>51.473712</v>
      </c>
      <c r="V30" s="688">
        <f t="shared" si="29"/>
        <v>99.7</v>
      </c>
      <c r="W30" s="897">
        <f t="shared" si="30"/>
        <v>8.19534</v>
      </c>
      <c r="X30" s="833">
        <f t="shared" si="31"/>
        <v>98.385144</v>
      </c>
      <c r="Y30" s="896">
        <f t="shared" si="32"/>
        <v>97.605</v>
      </c>
      <c r="Z30" s="897">
        <f t="shared" si="33"/>
        <v>38.710143</v>
      </c>
      <c r="AA30" s="898">
        <f t="shared" si="34"/>
        <v>97.99</v>
      </c>
      <c r="AB30" s="897">
        <f t="shared" si="35"/>
        <v>51.072388</v>
      </c>
      <c r="AC30" s="897">
        <f t="shared" si="36"/>
        <v>99.09</v>
      </c>
      <c r="AD30" s="897">
        <f t="shared" si="37"/>
        <v>8.145198</v>
      </c>
      <c r="AE30" s="833">
        <f t="shared" si="38"/>
        <v>97.927729</v>
      </c>
      <c r="AF30" s="896">
        <f t="shared" si="39"/>
        <v>97.7</v>
      </c>
      <c r="AG30" s="897">
        <f t="shared" si="40"/>
        <v>38.74782</v>
      </c>
      <c r="AH30" s="898">
        <f t="shared" si="41"/>
        <v>98.84</v>
      </c>
      <c r="AI30" s="897">
        <f t="shared" si="42"/>
        <v>51.515408</v>
      </c>
      <c r="AJ30" s="688">
        <f t="shared" si="43"/>
        <v>99.585</v>
      </c>
      <c r="AK30" s="897">
        <f t="shared" si="44"/>
        <v>8.185887</v>
      </c>
      <c r="AL30" s="833">
        <f t="shared" si="45"/>
        <v>98.449115</v>
      </c>
      <c r="AM30" s="901"/>
      <c r="AN30" s="897">
        <f t="shared" si="46"/>
        <v>0</v>
      </c>
      <c r="AO30" s="898"/>
      <c r="AP30" s="897">
        <f t="shared" si="47"/>
        <v>0</v>
      </c>
      <c r="AQ30" s="688" t="str">
        <f t="shared" si="48"/>
        <v/>
      </c>
      <c r="AR30" s="897">
        <f t="shared" si="49"/>
        <v>0</v>
      </c>
      <c r="AS30" s="897">
        <f t="shared" si="50"/>
        <v>0</v>
      </c>
      <c r="AT30" s="898"/>
      <c r="AU30" s="897">
        <f t="shared" si="51"/>
        <v>0</v>
      </c>
      <c r="AV30" s="898"/>
      <c r="AW30" s="897">
        <f t="shared" si="52"/>
        <v>0</v>
      </c>
      <c r="AX30" s="688" t="str">
        <f t="shared" si="53"/>
        <v/>
      </c>
      <c r="AY30" s="897">
        <f t="shared" si="54"/>
        <v>0</v>
      </c>
      <c r="AZ30" s="897">
        <f t="shared" si="55"/>
        <v>0</v>
      </c>
      <c r="BA30" s="898"/>
      <c r="BB30" s="897">
        <f t="shared" si="56"/>
        <v>0</v>
      </c>
      <c r="BC30" s="898"/>
      <c r="BD30" s="897">
        <f t="shared" si="57"/>
        <v>0</v>
      </c>
      <c r="BE30" s="688" t="str">
        <f t="shared" si="58"/>
        <v/>
      </c>
      <c r="BF30" s="897">
        <f t="shared" si="59"/>
        <v>0</v>
      </c>
      <c r="BG30" s="897">
        <f t="shared" si="60"/>
        <v>0</v>
      </c>
      <c r="BH30" s="898"/>
      <c r="BI30" s="897">
        <f t="shared" si="61"/>
        <v>0</v>
      </c>
      <c r="BJ30" s="898"/>
      <c r="BK30" s="897">
        <f t="shared" si="62"/>
        <v>0</v>
      </c>
      <c r="BL30" s="688" t="str">
        <f t="shared" si="63"/>
        <v/>
      </c>
      <c r="BM30" s="897">
        <f t="shared" si="64"/>
        <v>0</v>
      </c>
      <c r="BN30" s="897">
        <f t="shared" si="65"/>
        <v>0</v>
      </c>
      <c r="BO30" s="898"/>
      <c r="BP30" s="897">
        <f t="shared" si="66"/>
        <v>0</v>
      </c>
      <c r="BQ30" s="898"/>
      <c r="BR30" s="897">
        <f t="shared" si="67"/>
        <v>0</v>
      </c>
      <c r="BS30" s="688" t="str">
        <f t="shared" si="68"/>
        <v/>
      </c>
      <c r="BT30" s="897">
        <f t="shared" si="69"/>
        <v>0</v>
      </c>
      <c r="BU30" s="897">
        <f t="shared" si="70"/>
        <v>0</v>
      </c>
    </row>
    <row r="31">
      <c r="A31" s="895">
        <v>5.0</v>
      </c>
      <c r="B31" s="9"/>
      <c r="C31" s="895" t="s">
        <v>47</v>
      </c>
      <c r="D31" s="896">
        <f t="shared" si="13"/>
        <v>97.84</v>
      </c>
      <c r="E31" s="897">
        <f t="shared" si="14"/>
        <v>38.803344</v>
      </c>
      <c r="F31" s="898">
        <f t="shared" si="15"/>
        <v>99.26</v>
      </c>
      <c r="G31" s="897">
        <f t="shared" si="16"/>
        <v>51.734312</v>
      </c>
      <c r="H31" s="688">
        <f t="shared" si="17"/>
        <v>99.96</v>
      </c>
      <c r="I31" s="897">
        <f t="shared" si="18"/>
        <v>8.216712</v>
      </c>
      <c r="J31" s="833">
        <f t="shared" si="19"/>
        <v>98.754368</v>
      </c>
      <c r="K31" s="899">
        <f t="shared" si="20"/>
        <v>97.88</v>
      </c>
      <c r="L31" s="897">
        <f t="shared" si="21"/>
        <v>38.819208</v>
      </c>
      <c r="M31" s="900">
        <f t="shared" si="22"/>
        <v>99.12</v>
      </c>
      <c r="N31" s="897">
        <f t="shared" si="23"/>
        <v>51.661344</v>
      </c>
      <c r="O31" s="688">
        <f t="shared" si="24"/>
        <v>99.79</v>
      </c>
      <c r="P31" s="897">
        <f t="shared" si="25"/>
        <v>8.202738</v>
      </c>
      <c r="Q31" s="833">
        <f t="shared" si="26"/>
        <v>98.68329</v>
      </c>
      <c r="R31" s="896">
        <v>97.83</v>
      </c>
      <c r="S31" s="897">
        <f t="shared" si="27"/>
        <v>38.799378</v>
      </c>
      <c r="T31" s="898">
        <v>99.02</v>
      </c>
      <c r="U31" s="897">
        <f t="shared" si="28"/>
        <v>51.609224</v>
      </c>
      <c r="V31" s="688">
        <f t="shared" si="29"/>
        <v>99.7</v>
      </c>
      <c r="W31" s="897">
        <f t="shared" si="30"/>
        <v>8.19534</v>
      </c>
      <c r="X31" s="833">
        <f t="shared" si="31"/>
        <v>98.603942</v>
      </c>
      <c r="Y31" s="896">
        <f t="shared" si="32"/>
        <v>97.775</v>
      </c>
      <c r="Z31" s="897">
        <f t="shared" si="33"/>
        <v>38.777565</v>
      </c>
      <c r="AA31" s="898">
        <f t="shared" si="34"/>
        <v>98.88</v>
      </c>
      <c r="AB31" s="897">
        <f t="shared" si="35"/>
        <v>51.536256</v>
      </c>
      <c r="AC31" s="897">
        <f t="shared" si="36"/>
        <v>99.09</v>
      </c>
      <c r="AD31" s="897">
        <f t="shared" si="37"/>
        <v>8.145198</v>
      </c>
      <c r="AE31" s="833">
        <f t="shared" si="38"/>
        <v>98.459019</v>
      </c>
      <c r="AF31" s="896">
        <f t="shared" si="39"/>
        <v>97.805</v>
      </c>
      <c r="AG31" s="897">
        <f t="shared" si="40"/>
        <v>38.789463</v>
      </c>
      <c r="AH31" s="898">
        <f t="shared" si="41"/>
        <v>98.74</v>
      </c>
      <c r="AI31" s="897">
        <f t="shared" si="42"/>
        <v>51.463288</v>
      </c>
      <c r="AJ31" s="688">
        <f t="shared" si="43"/>
        <v>99.59</v>
      </c>
      <c r="AK31" s="897">
        <f t="shared" si="44"/>
        <v>8.186298</v>
      </c>
      <c r="AL31" s="833">
        <f t="shared" si="45"/>
        <v>98.439049</v>
      </c>
      <c r="AM31" s="901"/>
      <c r="AN31" s="897">
        <f t="shared" si="46"/>
        <v>0</v>
      </c>
      <c r="AO31" s="898"/>
      <c r="AP31" s="897">
        <f t="shared" si="47"/>
        <v>0</v>
      </c>
      <c r="AQ31" s="688" t="str">
        <f t="shared" si="48"/>
        <v/>
      </c>
      <c r="AR31" s="897">
        <f t="shared" si="49"/>
        <v>0</v>
      </c>
      <c r="AS31" s="897">
        <f t="shared" si="50"/>
        <v>0</v>
      </c>
      <c r="AT31" s="898"/>
      <c r="AU31" s="897">
        <f t="shared" si="51"/>
        <v>0</v>
      </c>
      <c r="AV31" s="898"/>
      <c r="AW31" s="897">
        <f t="shared" si="52"/>
        <v>0</v>
      </c>
      <c r="AX31" s="688" t="str">
        <f t="shared" si="53"/>
        <v/>
      </c>
      <c r="AY31" s="897">
        <f t="shared" si="54"/>
        <v>0</v>
      </c>
      <c r="AZ31" s="897">
        <f t="shared" si="55"/>
        <v>0</v>
      </c>
      <c r="BA31" s="898"/>
      <c r="BB31" s="897">
        <f t="shared" si="56"/>
        <v>0</v>
      </c>
      <c r="BC31" s="898"/>
      <c r="BD31" s="897">
        <f t="shared" si="57"/>
        <v>0</v>
      </c>
      <c r="BE31" s="688" t="str">
        <f t="shared" si="58"/>
        <v/>
      </c>
      <c r="BF31" s="897">
        <f t="shared" si="59"/>
        <v>0</v>
      </c>
      <c r="BG31" s="897">
        <f t="shared" si="60"/>
        <v>0</v>
      </c>
      <c r="BH31" s="898"/>
      <c r="BI31" s="897">
        <f t="shared" si="61"/>
        <v>0</v>
      </c>
      <c r="BJ31" s="898"/>
      <c r="BK31" s="897">
        <f t="shared" si="62"/>
        <v>0</v>
      </c>
      <c r="BL31" s="688" t="str">
        <f t="shared" si="63"/>
        <v/>
      </c>
      <c r="BM31" s="897">
        <f t="shared" si="64"/>
        <v>0</v>
      </c>
      <c r="BN31" s="897">
        <f t="shared" si="65"/>
        <v>0</v>
      </c>
      <c r="BO31" s="898"/>
      <c r="BP31" s="897">
        <f t="shared" si="66"/>
        <v>0</v>
      </c>
      <c r="BQ31" s="898"/>
      <c r="BR31" s="897">
        <f t="shared" si="67"/>
        <v>0</v>
      </c>
      <c r="BS31" s="688" t="str">
        <f t="shared" si="68"/>
        <v/>
      </c>
      <c r="BT31" s="897">
        <f t="shared" si="69"/>
        <v>0</v>
      </c>
      <c r="BU31" s="897">
        <f t="shared" si="70"/>
        <v>0</v>
      </c>
    </row>
    <row r="32">
      <c r="A32" s="895">
        <v>6.0</v>
      </c>
      <c r="B32" s="9"/>
      <c r="C32" s="895" t="s">
        <v>48</v>
      </c>
      <c r="D32" s="896">
        <f t="shared" si="13"/>
        <v>98.43</v>
      </c>
      <c r="E32" s="897">
        <f t="shared" si="14"/>
        <v>39.037338</v>
      </c>
      <c r="F32" s="898">
        <f t="shared" si="15"/>
        <v>98.74</v>
      </c>
      <c r="G32" s="897">
        <f t="shared" si="16"/>
        <v>51.463288</v>
      </c>
      <c r="H32" s="688">
        <f t="shared" si="17"/>
        <v>99.96</v>
      </c>
      <c r="I32" s="897">
        <f t="shared" si="18"/>
        <v>8.216712</v>
      </c>
      <c r="J32" s="833">
        <f t="shared" si="19"/>
        <v>98.717338</v>
      </c>
      <c r="K32" s="899">
        <f t="shared" si="20"/>
        <v>98.45</v>
      </c>
      <c r="L32" s="897">
        <f t="shared" si="21"/>
        <v>39.04527</v>
      </c>
      <c r="M32" s="900">
        <f t="shared" si="22"/>
        <v>98.63</v>
      </c>
      <c r="N32" s="897">
        <f t="shared" si="23"/>
        <v>51.405956</v>
      </c>
      <c r="O32" s="688">
        <f t="shared" si="24"/>
        <v>99.79</v>
      </c>
      <c r="P32" s="897">
        <f t="shared" si="25"/>
        <v>8.202738</v>
      </c>
      <c r="Q32" s="833">
        <f t="shared" si="26"/>
        <v>98.653964</v>
      </c>
      <c r="R32" s="896">
        <v>98.39</v>
      </c>
      <c r="S32" s="897">
        <f t="shared" si="27"/>
        <v>39.021474</v>
      </c>
      <c r="T32" s="898">
        <v>98.73</v>
      </c>
      <c r="U32" s="897">
        <f t="shared" si="28"/>
        <v>51.458076</v>
      </c>
      <c r="V32" s="688">
        <f t="shared" si="29"/>
        <v>99.7</v>
      </c>
      <c r="W32" s="897">
        <f t="shared" si="30"/>
        <v>8.19534</v>
      </c>
      <c r="X32" s="833">
        <f t="shared" si="31"/>
        <v>98.67489</v>
      </c>
      <c r="Y32" s="896">
        <f t="shared" si="32"/>
        <v>98.395</v>
      </c>
      <c r="Z32" s="897">
        <f t="shared" si="33"/>
        <v>39.023457</v>
      </c>
      <c r="AA32" s="898">
        <f t="shared" si="34"/>
        <v>98.59</v>
      </c>
      <c r="AB32" s="897">
        <f t="shared" si="35"/>
        <v>51.385108</v>
      </c>
      <c r="AC32" s="897">
        <f t="shared" si="36"/>
        <v>99.09</v>
      </c>
      <c r="AD32" s="897">
        <f t="shared" si="37"/>
        <v>8.145198</v>
      </c>
      <c r="AE32" s="833">
        <f t="shared" si="38"/>
        <v>98.553763</v>
      </c>
      <c r="AF32" s="896">
        <f t="shared" si="39"/>
        <v>98.4</v>
      </c>
      <c r="AG32" s="897">
        <f t="shared" si="40"/>
        <v>39.02544</v>
      </c>
      <c r="AH32" s="898">
        <f t="shared" si="41"/>
        <v>98.63</v>
      </c>
      <c r="AI32" s="897">
        <f t="shared" si="42"/>
        <v>51.405956</v>
      </c>
      <c r="AJ32" s="688">
        <f t="shared" si="43"/>
        <v>99.595</v>
      </c>
      <c r="AK32" s="897">
        <f t="shared" si="44"/>
        <v>8.186709</v>
      </c>
      <c r="AL32" s="833">
        <f t="shared" si="45"/>
        <v>98.618105</v>
      </c>
      <c r="AM32" s="901"/>
      <c r="AN32" s="897">
        <f t="shared" si="46"/>
        <v>0</v>
      </c>
      <c r="AO32" s="898"/>
      <c r="AP32" s="897">
        <f t="shared" si="47"/>
        <v>0</v>
      </c>
      <c r="AQ32" s="688" t="str">
        <f t="shared" si="48"/>
        <v/>
      </c>
      <c r="AR32" s="897">
        <f t="shared" si="49"/>
        <v>0</v>
      </c>
      <c r="AS32" s="897">
        <f t="shared" si="50"/>
        <v>0</v>
      </c>
      <c r="AT32" s="898"/>
      <c r="AU32" s="897">
        <f t="shared" si="51"/>
        <v>0</v>
      </c>
      <c r="AV32" s="898"/>
      <c r="AW32" s="897">
        <f t="shared" si="52"/>
        <v>0</v>
      </c>
      <c r="AX32" s="688" t="str">
        <f t="shared" si="53"/>
        <v/>
      </c>
      <c r="AY32" s="897">
        <f t="shared" si="54"/>
        <v>0</v>
      </c>
      <c r="AZ32" s="897">
        <f t="shared" si="55"/>
        <v>0</v>
      </c>
      <c r="BA32" s="898"/>
      <c r="BB32" s="897">
        <f t="shared" si="56"/>
        <v>0</v>
      </c>
      <c r="BC32" s="898"/>
      <c r="BD32" s="897">
        <f t="shared" si="57"/>
        <v>0</v>
      </c>
      <c r="BE32" s="688" t="str">
        <f t="shared" si="58"/>
        <v/>
      </c>
      <c r="BF32" s="897">
        <f t="shared" si="59"/>
        <v>0</v>
      </c>
      <c r="BG32" s="897">
        <f t="shared" si="60"/>
        <v>0</v>
      </c>
      <c r="BH32" s="898"/>
      <c r="BI32" s="897">
        <f t="shared" si="61"/>
        <v>0</v>
      </c>
      <c r="BJ32" s="898"/>
      <c r="BK32" s="897">
        <f t="shared" si="62"/>
        <v>0</v>
      </c>
      <c r="BL32" s="688" t="str">
        <f t="shared" si="63"/>
        <v/>
      </c>
      <c r="BM32" s="897">
        <f t="shared" si="64"/>
        <v>0</v>
      </c>
      <c r="BN32" s="897">
        <f t="shared" si="65"/>
        <v>0</v>
      </c>
      <c r="BO32" s="898"/>
      <c r="BP32" s="897">
        <f t="shared" si="66"/>
        <v>0</v>
      </c>
      <c r="BQ32" s="898"/>
      <c r="BR32" s="897">
        <f t="shared" si="67"/>
        <v>0</v>
      </c>
      <c r="BS32" s="688" t="str">
        <f t="shared" si="68"/>
        <v/>
      </c>
      <c r="BT32" s="897">
        <f t="shared" si="69"/>
        <v>0</v>
      </c>
      <c r="BU32" s="897">
        <f t="shared" si="70"/>
        <v>0</v>
      </c>
    </row>
    <row r="33">
      <c r="A33" s="895">
        <v>7.0</v>
      </c>
      <c r="B33" s="9"/>
      <c r="C33" s="895" t="s">
        <v>49</v>
      </c>
      <c r="D33" s="896">
        <f t="shared" si="13"/>
        <v>98.64</v>
      </c>
      <c r="E33" s="897">
        <f t="shared" si="14"/>
        <v>39.120624</v>
      </c>
      <c r="F33" s="898">
        <f t="shared" si="15"/>
        <v>98.79</v>
      </c>
      <c r="G33" s="897">
        <f t="shared" si="16"/>
        <v>51.489348</v>
      </c>
      <c r="H33" s="688">
        <f t="shared" si="17"/>
        <v>99.96</v>
      </c>
      <c r="I33" s="897">
        <f t="shared" si="18"/>
        <v>8.216712</v>
      </c>
      <c r="J33" s="833">
        <f t="shared" si="19"/>
        <v>98.826684</v>
      </c>
      <c r="K33" s="899">
        <f t="shared" si="20"/>
        <v>98.68</v>
      </c>
      <c r="L33" s="897">
        <f t="shared" si="21"/>
        <v>39.136488</v>
      </c>
      <c r="M33" s="900">
        <f t="shared" si="22"/>
        <v>96.8</v>
      </c>
      <c r="N33" s="897">
        <f t="shared" si="23"/>
        <v>50.45216</v>
      </c>
      <c r="O33" s="688">
        <f t="shared" si="24"/>
        <v>99.79</v>
      </c>
      <c r="P33" s="897">
        <f t="shared" si="25"/>
        <v>8.202738</v>
      </c>
      <c r="Q33" s="833">
        <f t="shared" si="26"/>
        <v>97.791386</v>
      </c>
      <c r="R33" s="896">
        <v>98.66</v>
      </c>
      <c r="S33" s="897">
        <f t="shared" si="27"/>
        <v>39.128556</v>
      </c>
      <c r="T33" s="898">
        <v>98.75</v>
      </c>
      <c r="U33" s="897">
        <f t="shared" si="28"/>
        <v>51.4685</v>
      </c>
      <c r="V33" s="688">
        <f t="shared" si="29"/>
        <v>99.7</v>
      </c>
      <c r="W33" s="897">
        <f t="shared" si="30"/>
        <v>8.19534</v>
      </c>
      <c r="X33" s="833">
        <f t="shared" si="31"/>
        <v>98.792396</v>
      </c>
      <c r="Y33" s="896">
        <f t="shared" si="32"/>
        <v>98.675</v>
      </c>
      <c r="Z33" s="897">
        <f t="shared" si="33"/>
        <v>39.134505</v>
      </c>
      <c r="AA33" s="898">
        <f t="shared" si="34"/>
        <v>98.595</v>
      </c>
      <c r="AB33" s="897">
        <f t="shared" si="35"/>
        <v>51.387714</v>
      </c>
      <c r="AC33" s="897">
        <f t="shared" si="36"/>
        <v>99.09</v>
      </c>
      <c r="AD33" s="897">
        <f t="shared" si="37"/>
        <v>8.145198</v>
      </c>
      <c r="AE33" s="833">
        <f t="shared" si="38"/>
        <v>98.667417</v>
      </c>
      <c r="AF33" s="896">
        <f t="shared" si="39"/>
        <v>98.595</v>
      </c>
      <c r="AG33" s="897">
        <f t="shared" si="40"/>
        <v>39.102777</v>
      </c>
      <c r="AH33" s="898">
        <f t="shared" si="41"/>
        <v>98.57</v>
      </c>
      <c r="AI33" s="897">
        <f t="shared" si="42"/>
        <v>51.374684</v>
      </c>
      <c r="AJ33" s="688">
        <f t="shared" si="43"/>
        <v>99.6</v>
      </c>
      <c r="AK33" s="897">
        <f t="shared" si="44"/>
        <v>8.18712</v>
      </c>
      <c r="AL33" s="833">
        <f t="shared" si="45"/>
        <v>98.664581</v>
      </c>
      <c r="AM33" s="901"/>
      <c r="AN33" s="897">
        <f t="shared" si="46"/>
        <v>0</v>
      </c>
      <c r="AO33" s="898"/>
      <c r="AP33" s="897">
        <f t="shared" si="47"/>
        <v>0</v>
      </c>
      <c r="AQ33" s="688" t="str">
        <f t="shared" si="48"/>
        <v/>
      </c>
      <c r="AR33" s="897">
        <f t="shared" si="49"/>
        <v>0</v>
      </c>
      <c r="AS33" s="897">
        <f t="shared" si="50"/>
        <v>0</v>
      </c>
      <c r="AT33" s="898"/>
      <c r="AU33" s="897">
        <f t="shared" si="51"/>
        <v>0</v>
      </c>
      <c r="AV33" s="898"/>
      <c r="AW33" s="897">
        <f t="shared" si="52"/>
        <v>0</v>
      </c>
      <c r="AX33" s="688" t="str">
        <f t="shared" si="53"/>
        <v/>
      </c>
      <c r="AY33" s="897">
        <f t="shared" si="54"/>
        <v>0</v>
      </c>
      <c r="AZ33" s="897">
        <f t="shared" si="55"/>
        <v>0</v>
      </c>
      <c r="BA33" s="898"/>
      <c r="BB33" s="897">
        <f t="shared" si="56"/>
        <v>0</v>
      </c>
      <c r="BC33" s="898"/>
      <c r="BD33" s="897">
        <f t="shared" si="57"/>
        <v>0</v>
      </c>
      <c r="BE33" s="688" t="str">
        <f t="shared" si="58"/>
        <v/>
      </c>
      <c r="BF33" s="897">
        <f t="shared" si="59"/>
        <v>0</v>
      </c>
      <c r="BG33" s="897">
        <f t="shared" si="60"/>
        <v>0</v>
      </c>
      <c r="BH33" s="898"/>
      <c r="BI33" s="897">
        <f t="shared" si="61"/>
        <v>0</v>
      </c>
      <c r="BJ33" s="898"/>
      <c r="BK33" s="897">
        <f t="shared" si="62"/>
        <v>0</v>
      </c>
      <c r="BL33" s="688" t="str">
        <f t="shared" si="63"/>
        <v/>
      </c>
      <c r="BM33" s="897">
        <f t="shared" si="64"/>
        <v>0</v>
      </c>
      <c r="BN33" s="897">
        <f t="shared" si="65"/>
        <v>0</v>
      </c>
      <c r="BO33" s="898"/>
      <c r="BP33" s="897">
        <f t="shared" si="66"/>
        <v>0</v>
      </c>
      <c r="BQ33" s="898"/>
      <c r="BR33" s="897">
        <f t="shared" si="67"/>
        <v>0</v>
      </c>
      <c r="BS33" s="688" t="str">
        <f t="shared" si="68"/>
        <v/>
      </c>
      <c r="BT33" s="897">
        <f t="shared" si="69"/>
        <v>0</v>
      </c>
      <c r="BU33" s="897">
        <f t="shared" si="70"/>
        <v>0</v>
      </c>
    </row>
    <row r="34">
      <c r="A34" s="902" t="s">
        <v>407</v>
      </c>
      <c r="B34" s="7"/>
      <c r="C34" s="9"/>
      <c r="D34" s="903">
        <f t="shared" si="13"/>
        <v>98.28</v>
      </c>
      <c r="E34" s="904">
        <f t="shared" si="14"/>
        <v>38.977848</v>
      </c>
      <c r="F34" s="905">
        <f t="shared" si="15"/>
        <v>99.13</v>
      </c>
      <c r="G34" s="906">
        <f t="shared" si="16"/>
        <v>51.666556</v>
      </c>
      <c r="H34" s="907">
        <f t="shared" si="17"/>
        <v>99.96</v>
      </c>
      <c r="I34" s="908">
        <f t="shared" si="18"/>
        <v>8.216712</v>
      </c>
      <c r="J34" s="909">
        <f t="shared" si="19"/>
        <v>98.861116</v>
      </c>
      <c r="K34" s="910">
        <f t="shared" si="20"/>
        <v>98.31</v>
      </c>
      <c r="L34" s="904">
        <f t="shared" si="21"/>
        <v>38.989746</v>
      </c>
      <c r="M34" s="911">
        <f t="shared" si="22"/>
        <v>99.1</v>
      </c>
      <c r="N34" s="906">
        <f t="shared" si="23"/>
        <v>51.65092</v>
      </c>
      <c r="O34" s="907">
        <f t="shared" si="24"/>
        <v>99.79</v>
      </c>
      <c r="P34" s="908">
        <f t="shared" si="25"/>
        <v>8.202738</v>
      </c>
      <c r="Q34" s="909">
        <f t="shared" si="26"/>
        <v>98.843404</v>
      </c>
      <c r="R34" s="903">
        <v>98.29</v>
      </c>
      <c r="S34" s="912">
        <f t="shared" si="27"/>
        <v>38.981814</v>
      </c>
      <c r="T34" s="913">
        <v>99.08</v>
      </c>
      <c r="U34" s="906">
        <f t="shared" si="28"/>
        <v>51.640496</v>
      </c>
      <c r="V34" s="914">
        <f t="shared" si="29"/>
        <v>99.7</v>
      </c>
      <c r="W34" s="915">
        <f t="shared" si="30"/>
        <v>8.19534</v>
      </c>
      <c r="X34" s="909">
        <f t="shared" si="31"/>
        <v>98.81765</v>
      </c>
      <c r="Y34" s="916">
        <f t="shared" si="32"/>
        <v>98.235</v>
      </c>
      <c r="Z34" s="912">
        <f t="shared" si="33"/>
        <v>38.960001</v>
      </c>
      <c r="AA34" s="905">
        <f t="shared" si="34"/>
        <v>98.95</v>
      </c>
      <c r="AB34" s="906">
        <f t="shared" si="35"/>
        <v>51.57274</v>
      </c>
      <c r="AC34" s="908">
        <f t="shared" si="36"/>
        <v>99.09</v>
      </c>
      <c r="AD34" s="915">
        <f t="shared" si="37"/>
        <v>8.145198</v>
      </c>
      <c r="AE34" s="909">
        <f t="shared" si="38"/>
        <v>98.677939</v>
      </c>
      <c r="AF34" s="917">
        <f t="shared" si="39"/>
        <v>98.235</v>
      </c>
      <c r="AG34" s="912">
        <f t="shared" si="40"/>
        <v>38.960001</v>
      </c>
      <c r="AH34" s="905">
        <f t="shared" si="41"/>
        <v>98.965</v>
      </c>
      <c r="AI34" s="906">
        <f t="shared" si="42"/>
        <v>51.580558</v>
      </c>
      <c r="AJ34" s="907">
        <f t="shared" si="43"/>
        <v>99.605</v>
      </c>
      <c r="AK34" s="915">
        <f t="shared" si="44"/>
        <v>8.187531</v>
      </c>
      <c r="AL34" s="909">
        <f t="shared" si="45"/>
        <v>98.72809</v>
      </c>
      <c r="AM34" s="918"/>
      <c r="AN34" s="912">
        <f t="shared" si="46"/>
        <v>0</v>
      </c>
      <c r="AO34" s="913"/>
      <c r="AP34" s="906">
        <f t="shared" si="47"/>
        <v>0</v>
      </c>
      <c r="AQ34" s="914" t="str">
        <f t="shared" si="48"/>
        <v/>
      </c>
      <c r="AR34" s="915">
        <f t="shared" si="49"/>
        <v>0</v>
      </c>
      <c r="AS34" s="919">
        <f t="shared" si="50"/>
        <v>0</v>
      </c>
      <c r="AT34" s="920"/>
      <c r="AU34" s="912">
        <f t="shared" si="51"/>
        <v>0</v>
      </c>
      <c r="AV34" s="913"/>
      <c r="AW34" s="906">
        <f t="shared" si="52"/>
        <v>0</v>
      </c>
      <c r="AX34" s="921" t="str">
        <f t="shared" si="53"/>
        <v/>
      </c>
      <c r="AY34" s="922">
        <f t="shared" si="54"/>
        <v>0</v>
      </c>
      <c r="AZ34" s="923">
        <f t="shared" si="55"/>
        <v>0</v>
      </c>
      <c r="BA34" s="924"/>
      <c r="BB34" s="925">
        <f t="shared" si="56"/>
        <v>0</v>
      </c>
      <c r="BC34" s="926"/>
      <c r="BD34" s="927">
        <f t="shared" si="57"/>
        <v>0</v>
      </c>
      <c r="BE34" s="921" t="str">
        <f t="shared" si="58"/>
        <v/>
      </c>
      <c r="BF34" s="922">
        <f t="shared" si="59"/>
        <v>0</v>
      </c>
      <c r="BG34" s="923">
        <f t="shared" si="60"/>
        <v>0</v>
      </c>
      <c r="BH34" s="924"/>
      <c r="BI34" s="925">
        <f t="shared" si="61"/>
        <v>0</v>
      </c>
      <c r="BJ34" s="926"/>
      <c r="BK34" s="927">
        <f t="shared" si="62"/>
        <v>0</v>
      </c>
      <c r="BL34" s="921" t="str">
        <f t="shared" si="63"/>
        <v/>
      </c>
      <c r="BM34" s="922">
        <f t="shared" si="64"/>
        <v>0</v>
      </c>
      <c r="BN34" s="923">
        <f t="shared" si="65"/>
        <v>0</v>
      </c>
      <c r="BO34" s="924"/>
      <c r="BP34" s="925">
        <f t="shared" si="66"/>
        <v>0</v>
      </c>
      <c r="BQ34" s="926"/>
      <c r="BR34" s="927">
        <f t="shared" si="67"/>
        <v>0</v>
      </c>
      <c r="BS34" s="921" t="str">
        <f t="shared" si="68"/>
        <v/>
      </c>
      <c r="BT34" s="922">
        <f t="shared" si="69"/>
        <v>0</v>
      </c>
      <c r="BU34" s="923">
        <f t="shared" si="70"/>
        <v>0</v>
      </c>
    </row>
  </sheetData>
  <mergeCells count="70">
    <mergeCell ref="AM24:AS24"/>
    <mergeCell ref="AT24:AZ24"/>
    <mergeCell ref="BA24:BG24"/>
    <mergeCell ref="BH24:BN24"/>
    <mergeCell ref="BO24:BU24"/>
    <mergeCell ref="A20:C20"/>
    <mergeCell ref="A23:C23"/>
    <mergeCell ref="D24:J24"/>
    <mergeCell ref="K24:Q24"/>
    <mergeCell ref="R24:X24"/>
    <mergeCell ref="Y24:AE24"/>
    <mergeCell ref="AF24:AL24"/>
    <mergeCell ref="A13:B13"/>
    <mergeCell ref="A14:B14"/>
    <mergeCell ref="A15:B15"/>
    <mergeCell ref="A16:B16"/>
    <mergeCell ref="A17:B17"/>
    <mergeCell ref="A18:B18"/>
    <mergeCell ref="A19:B19"/>
    <mergeCell ref="A33:B33"/>
    <mergeCell ref="A34:C34"/>
    <mergeCell ref="A25:B26"/>
    <mergeCell ref="A27:B27"/>
    <mergeCell ref="A28:B28"/>
    <mergeCell ref="A29:B29"/>
    <mergeCell ref="A30:B30"/>
    <mergeCell ref="A31:B31"/>
    <mergeCell ref="A32:B32"/>
    <mergeCell ref="BO10:BW10"/>
    <mergeCell ref="BX10:CF10"/>
    <mergeCell ref="CG10:CO10"/>
    <mergeCell ref="D10:L10"/>
    <mergeCell ref="M10:U10"/>
    <mergeCell ref="V10:AD10"/>
    <mergeCell ref="AE10:AM10"/>
    <mergeCell ref="AN10:AV10"/>
    <mergeCell ref="AW10:BE10"/>
    <mergeCell ref="BF10:BN10"/>
    <mergeCell ref="S11:U11"/>
    <mergeCell ref="V11:X11"/>
    <mergeCell ref="Y11:AA11"/>
    <mergeCell ref="AB11:AD11"/>
    <mergeCell ref="AE11:AG11"/>
    <mergeCell ref="AH11:AJ11"/>
    <mergeCell ref="AK11:AM11"/>
    <mergeCell ref="AN11:AP11"/>
    <mergeCell ref="AQ11:AS11"/>
    <mergeCell ref="AT11:AV11"/>
    <mergeCell ref="AW11:AY11"/>
    <mergeCell ref="AZ11:BB11"/>
    <mergeCell ref="BC11:BE11"/>
    <mergeCell ref="BF11:BH11"/>
    <mergeCell ref="CD11:CF11"/>
    <mergeCell ref="CG11:CI11"/>
    <mergeCell ref="CJ11:CL11"/>
    <mergeCell ref="CM11:CO11"/>
    <mergeCell ref="BI11:BK11"/>
    <mergeCell ref="BL11:BN11"/>
    <mergeCell ref="BO11:BQ11"/>
    <mergeCell ref="BR11:BT11"/>
    <mergeCell ref="BU11:BW11"/>
    <mergeCell ref="BX11:BZ11"/>
    <mergeCell ref="CA11:CC11"/>
    <mergeCell ref="A11:B12"/>
    <mergeCell ref="C11:C12"/>
    <mergeCell ref="D11:F11"/>
    <mergeCell ref="G11:I11"/>
    <mergeCell ref="J11:L11"/>
    <mergeCell ref="M11:O11"/>
    <mergeCell ref="P11:R11"/>
  </mergeCells>
  <hyperlinks>
    <hyperlink r:id="rId1" ref="H3"/>
    <hyperlink r:id="rId2" ref="H4"/>
    <hyperlink r:id="rId3" ref="H5"/>
  </hyperlinks>
  <drawing r:id="rId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sheetData>
    <row r="1">
      <c r="G1" s="205" t="s">
        <v>135</v>
      </c>
    </row>
    <row r="2">
      <c r="G2" s="205" t="s">
        <v>431</v>
      </c>
    </row>
    <row r="3">
      <c r="G3" s="205" t="s">
        <v>343</v>
      </c>
    </row>
    <row r="10">
      <c r="A10" s="928" t="s">
        <v>28</v>
      </c>
      <c r="B10" s="928" t="s">
        <v>403</v>
      </c>
      <c r="C10" s="929" t="s">
        <v>432</v>
      </c>
      <c r="D10" s="7"/>
      <c r="E10" s="7"/>
      <c r="F10" s="7"/>
      <c r="G10" s="7"/>
      <c r="H10" s="7"/>
      <c r="I10" s="7"/>
      <c r="J10" s="7"/>
      <c r="K10" s="7"/>
      <c r="L10" s="7"/>
      <c r="M10" s="7"/>
      <c r="N10" s="9"/>
      <c r="O10" s="929" t="s">
        <v>433</v>
      </c>
      <c r="P10" s="7"/>
      <c r="Q10" s="7"/>
      <c r="R10" s="7"/>
      <c r="S10" s="7"/>
      <c r="T10" s="7"/>
      <c r="U10" s="7"/>
      <c r="V10" s="7"/>
      <c r="W10" s="7"/>
      <c r="X10" s="7"/>
      <c r="Y10" s="7"/>
      <c r="Z10" s="9"/>
    </row>
    <row r="11">
      <c r="A11" s="388"/>
      <c r="B11" s="388"/>
      <c r="C11" s="930" t="s">
        <v>434</v>
      </c>
      <c r="D11" s="930" t="s">
        <v>435</v>
      </c>
      <c r="E11" s="930" t="s">
        <v>436</v>
      </c>
      <c r="F11" s="930" t="s">
        <v>437</v>
      </c>
      <c r="G11" s="930" t="s">
        <v>438</v>
      </c>
      <c r="H11" s="931" t="s">
        <v>439</v>
      </c>
      <c r="I11" s="931" t="s">
        <v>440</v>
      </c>
      <c r="J11" s="931" t="s">
        <v>441</v>
      </c>
      <c r="K11" s="931" t="s">
        <v>442</v>
      </c>
      <c r="L11" s="931" t="s">
        <v>443</v>
      </c>
      <c r="M11" s="931" t="s">
        <v>444</v>
      </c>
      <c r="N11" s="931" t="s">
        <v>445</v>
      </c>
      <c r="O11" s="930" t="s">
        <v>434</v>
      </c>
      <c r="P11" s="930" t="s">
        <v>435</v>
      </c>
      <c r="Q11" s="930" t="s">
        <v>436</v>
      </c>
      <c r="R11" s="930" t="s">
        <v>437</v>
      </c>
      <c r="S11" s="930" t="s">
        <v>438</v>
      </c>
      <c r="T11" s="931" t="s">
        <v>439</v>
      </c>
      <c r="U11" s="931" t="s">
        <v>440</v>
      </c>
      <c r="V11" s="931" t="s">
        <v>441</v>
      </c>
      <c r="W11" s="931" t="s">
        <v>442</v>
      </c>
      <c r="X11" s="931" t="s">
        <v>443</v>
      </c>
      <c r="Y11" s="931" t="s">
        <v>444</v>
      </c>
      <c r="Z11" s="931" t="s">
        <v>445</v>
      </c>
    </row>
    <row r="12">
      <c r="A12" s="932" t="s">
        <v>406</v>
      </c>
      <c r="B12" s="933" t="s">
        <v>407</v>
      </c>
      <c r="C12" s="933">
        <v>31.773</v>
      </c>
      <c r="D12" s="933">
        <v>29.154</v>
      </c>
      <c r="E12" s="933">
        <v>21.125</v>
      </c>
      <c r="F12" s="933">
        <v>24.712</v>
      </c>
      <c r="G12" s="933">
        <v>34.694</v>
      </c>
      <c r="H12" s="934">
        <v>16.766</v>
      </c>
      <c r="I12" s="935">
        <v>21.625</v>
      </c>
      <c r="J12" s="933"/>
      <c r="K12" s="933"/>
      <c r="L12" s="933"/>
      <c r="M12" s="933"/>
      <c r="N12" s="933"/>
      <c r="O12" s="934">
        <v>10.07</v>
      </c>
      <c r="P12" s="934">
        <v>7.95</v>
      </c>
      <c r="Q12" s="934">
        <v>5.34</v>
      </c>
      <c r="R12" s="934">
        <v>7.03</v>
      </c>
      <c r="S12" s="934">
        <v>9.67</v>
      </c>
      <c r="T12" s="934">
        <v>4.64</v>
      </c>
      <c r="U12" s="936">
        <v>5.97</v>
      </c>
      <c r="V12" s="937"/>
      <c r="W12" s="937"/>
      <c r="X12" s="937"/>
      <c r="Y12" s="937"/>
      <c r="Z12" s="937"/>
    </row>
    <row r="13">
      <c r="A13" s="938">
        <v>1.0</v>
      </c>
      <c r="B13" s="939" t="s">
        <v>42</v>
      </c>
      <c r="C13" s="939">
        <v>1.558</v>
      </c>
      <c r="D13" s="939">
        <v>2.766</v>
      </c>
      <c r="E13" s="939">
        <v>1.716</v>
      </c>
      <c r="F13" s="939">
        <v>2.925</v>
      </c>
      <c r="G13" s="939">
        <v>5.944</v>
      </c>
      <c r="H13" s="940">
        <v>1.23</v>
      </c>
      <c r="I13" s="941">
        <v>7.808</v>
      </c>
      <c r="J13" s="939"/>
      <c r="K13" s="939"/>
      <c r="L13" s="939"/>
      <c r="M13" s="939"/>
      <c r="N13" s="939"/>
      <c r="O13" s="942">
        <v>3.78</v>
      </c>
      <c r="P13" s="942">
        <v>7.64</v>
      </c>
      <c r="Q13" s="942">
        <v>2.47</v>
      </c>
      <c r="R13" s="942">
        <v>5.76</v>
      </c>
      <c r="S13" s="942">
        <v>11.35</v>
      </c>
      <c r="T13" s="942">
        <v>2.35</v>
      </c>
      <c r="U13" s="943">
        <v>12.11</v>
      </c>
      <c r="V13" s="944"/>
      <c r="W13" s="944"/>
      <c r="X13" s="944"/>
      <c r="Y13" s="944"/>
      <c r="Z13" s="944"/>
    </row>
    <row r="14">
      <c r="A14" s="938">
        <v>2.0</v>
      </c>
      <c r="B14" s="939" t="s">
        <v>43</v>
      </c>
      <c r="C14" s="939">
        <v>3.101</v>
      </c>
      <c r="D14" s="939">
        <v>2.659</v>
      </c>
      <c r="E14" s="939">
        <v>1.586</v>
      </c>
      <c r="F14" s="939">
        <v>5.999</v>
      </c>
      <c r="G14" s="939">
        <v>7.195</v>
      </c>
      <c r="H14" s="940">
        <v>3.333</v>
      </c>
      <c r="I14" s="941">
        <v>4.621</v>
      </c>
      <c r="J14" s="939"/>
      <c r="K14" s="939"/>
      <c r="L14" s="939"/>
      <c r="M14" s="939"/>
      <c r="N14" s="939"/>
      <c r="O14" s="945">
        <v>7.57</v>
      </c>
      <c r="P14" s="945">
        <v>4.94</v>
      </c>
      <c r="Q14" s="945">
        <v>2.33</v>
      </c>
      <c r="R14" s="945">
        <v>12.42</v>
      </c>
      <c r="S14" s="945">
        <v>14.41</v>
      </c>
      <c r="T14" s="945">
        <v>6.67</v>
      </c>
      <c r="U14" s="943">
        <v>9.15</v>
      </c>
      <c r="V14" s="944"/>
      <c r="W14" s="944"/>
      <c r="X14" s="944"/>
      <c r="Y14" s="944"/>
      <c r="Z14" s="944"/>
    </row>
    <row r="15">
      <c r="A15" s="938">
        <v>3.0</v>
      </c>
      <c r="B15" s="939" t="s">
        <v>44</v>
      </c>
      <c r="C15" s="939">
        <v>16.018</v>
      </c>
      <c r="D15" s="939">
        <v>11.92</v>
      </c>
      <c r="E15" s="939">
        <v>3.668</v>
      </c>
      <c r="F15" s="939">
        <v>9.876</v>
      </c>
      <c r="G15" s="939">
        <v>10.91</v>
      </c>
      <c r="H15" s="940">
        <v>4.806</v>
      </c>
      <c r="I15" s="941">
        <v>2.333</v>
      </c>
      <c r="J15" s="939"/>
      <c r="K15" s="939"/>
      <c r="L15" s="939"/>
      <c r="M15" s="939"/>
      <c r="N15" s="939"/>
      <c r="O15" s="945">
        <v>28.68</v>
      </c>
      <c r="P15" s="945">
        <v>19.33</v>
      </c>
      <c r="Q15" s="945">
        <v>6.16</v>
      </c>
      <c r="R15" s="945">
        <v>15.79</v>
      </c>
      <c r="S15" s="945">
        <v>17.39</v>
      </c>
      <c r="T15" s="945">
        <v>7.62</v>
      </c>
      <c r="U15" s="943">
        <v>4.81</v>
      </c>
      <c r="V15" s="944"/>
      <c r="W15" s="944"/>
      <c r="X15" s="944"/>
      <c r="Y15" s="944"/>
      <c r="Z15" s="944"/>
    </row>
    <row r="16">
      <c r="A16" s="938">
        <v>4.0</v>
      </c>
      <c r="B16" s="939" t="s">
        <v>45</v>
      </c>
      <c r="C16" s="939">
        <v>1.492</v>
      </c>
      <c r="D16" s="939">
        <v>4.257</v>
      </c>
      <c r="E16" s="939">
        <v>3.108</v>
      </c>
      <c r="F16" s="939">
        <v>755.0</v>
      </c>
      <c r="G16" s="939">
        <v>2.013</v>
      </c>
      <c r="H16" s="940">
        <v>1.574</v>
      </c>
      <c r="I16" s="941">
        <v>2.342</v>
      </c>
      <c r="J16" s="939"/>
      <c r="K16" s="939"/>
      <c r="L16" s="939"/>
      <c r="M16" s="939"/>
      <c r="N16" s="939"/>
      <c r="O16" s="945">
        <v>2.37</v>
      </c>
      <c r="P16" s="945">
        <v>7.82</v>
      </c>
      <c r="Q16" s="945">
        <v>4.87</v>
      </c>
      <c r="R16" s="945">
        <v>1.76</v>
      </c>
      <c r="S16" s="945">
        <v>4.32</v>
      </c>
      <c r="T16" s="945">
        <v>3.35</v>
      </c>
      <c r="U16" s="943">
        <v>4.55</v>
      </c>
      <c r="V16" s="944"/>
      <c r="W16" s="944"/>
      <c r="X16" s="944"/>
      <c r="Y16" s="944"/>
      <c r="Z16" s="944"/>
    </row>
    <row r="17">
      <c r="A17" s="938">
        <v>5.0</v>
      </c>
      <c r="B17" s="939" t="s">
        <v>47</v>
      </c>
      <c r="C17" s="939">
        <v>3.565</v>
      </c>
      <c r="D17" s="939">
        <v>1.49</v>
      </c>
      <c r="E17" s="939">
        <v>6.709</v>
      </c>
      <c r="F17" s="939">
        <v>2.048</v>
      </c>
      <c r="G17" s="939">
        <v>910.0</v>
      </c>
      <c r="H17" s="940">
        <v>1.347</v>
      </c>
      <c r="I17" s="941">
        <v>1.762</v>
      </c>
      <c r="J17" s="939"/>
      <c r="K17" s="939"/>
      <c r="L17" s="939"/>
      <c r="M17" s="939"/>
      <c r="N17" s="939"/>
      <c r="O17" s="942">
        <v>10.18</v>
      </c>
      <c r="P17" s="942">
        <v>2.38</v>
      </c>
      <c r="Q17" s="942">
        <v>10.53</v>
      </c>
      <c r="R17" s="942">
        <v>4.15</v>
      </c>
      <c r="S17" s="942">
        <v>1.87</v>
      </c>
      <c r="T17" s="942">
        <v>2.63</v>
      </c>
      <c r="U17" s="943">
        <v>3.9</v>
      </c>
      <c r="V17" s="944"/>
      <c r="W17" s="944"/>
      <c r="X17" s="944"/>
      <c r="Y17" s="944"/>
      <c r="Z17" s="944"/>
    </row>
    <row r="18">
      <c r="A18" s="938">
        <v>6.0</v>
      </c>
      <c r="B18" s="939" t="s">
        <v>48</v>
      </c>
      <c r="C18" s="939">
        <v>3.14</v>
      </c>
      <c r="D18" s="939">
        <v>4.401</v>
      </c>
      <c r="E18" s="939">
        <v>2.543</v>
      </c>
      <c r="F18" s="939">
        <v>973.0</v>
      </c>
      <c r="G18" s="939">
        <v>4.636</v>
      </c>
      <c r="H18" s="940">
        <v>2.014</v>
      </c>
      <c r="I18" s="941">
        <v>1.756</v>
      </c>
      <c r="J18" s="939"/>
      <c r="K18" s="939"/>
      <c r="L18" s="939"/>
      <c r="M18" s="939"/>
      <c r="N18" s="939"/>
      <c r="O18" s="945">
        <v>5.45</v>
      </c>
      <c r="P18" s="945">
        <v>7.18</v>
      </c>
      <c r="Q18" s="945">
        <v>3.87</v>
      </c>
      <c r="R18" s="945">
        <v>2.12</v>
      </c>
      <c r="S18" s="945">
        <v>10.12</v>
      </c>
      <c r="T18" s="945">
        <v>4.41</v>
      </c>
      <c r="U18" s="943">
        <v>3.67</v>
      </c>
      <c r="V18" s="944"/>
      <c r="W18" s="944"/>
      <c r="X18" s="944"/>
      <c r="Y18" s="944"/>
      <c r="Z18" s="944"/>
    </row>
    <row r="19">
      <c r="A19" s="938">
        <v>7.0</v>
      </c>
      <c r="B19" s="939" t="s">
        <v>49</v>
      </c>
      <c r="C19" s="939">
        <v>2.899</v>
      </c>
      <c r="D19" s="939">
        <v>1.66</v>
      </c>
      <c r="E19" s="939">
        <v>1.796</v>
      </c>
      <c r="F19" s="939">
        <v>2.137</v>
      </c>
      <c r="G19" s="939">
        <v>3.085</v>
      </c>
      <c r="H19" s="940">
        <v>2.461</v>
      </c>
      <c r="I19" s="941">
        <v>1.004</v>
      </c>
      <c r="J19" s="939"/>
      <c r="K19" s="939"/>
      <c r="L19" s="939"/>
      <c r="M19" s="939"/>
      <c r="N19" s="939"/>
      <c r="O19" s="945">
        <v>5.14</v>
      </c>
      <c r="P19" s="945">
        <v>5.23</v>
      </c>
      <c r="Q19" s="945">
        <v>7.54</v>
      </c>
      <c r="R19" s="945">
        <v>4.17</v>
      </c>
      <c r="S19" s="945">
        <v>5.97</v>
      </c>
      <c r="T19" s="945">
        <v>4.74</v>
      </c>
      <c r="U19" s="943">
        <v>1.87</v>
      </c>
      <c r="V19" s="944"/>
      <c r="W19" s="944"/>
      <c r="X19" s="944"/>
      <c r="Y19" s="944"/>
      <c r="Z19" s="944"/>
    </row>
    <row r="20">
      <c r="A20" s="946"/>
      <c r="B20" s="946"/>
      <c r="C20" s="946"/>
      <c r="D20" s="946"/>
      <c r="E20" s="946"/>
      <c r="F20" s="946"/>
      <c r="G20" s="946"/>
      <c r="H20" s="946"/>
      <c r="I20" s="946"/>
      <c r="J20" s="946"/>
      <c r="K20" s="946"/>
      <c r="L20" s="946"/>
      <c r="M20" s="946"/>
      <c r="N20" s="946"/>
      <c r="O20" s="946"/>
      <c r="P20" s="946"/>
      <c r="Q20" s="946"/>
      <c r="R20" s="946"/>
      <c r="S20" s="946"/>
      <c r="T20" s="946"/>
      <c r="U20" s="946"/>
    </row>
    <row r="21">
      <c r="A21" s="928" t="s">
        <v>28</v>
      </c>
      <c r="B21" s="928" t="s">
        <v>403</v>
      </c>
      <c r="C21" s="929" t="s">
        <v>446</v>
      </c>
      <c r="D21" s="7"/>
      <c r="E21" s="7"/>
      <c r="F21" s="7"/>
      <c r="G21" s="7"/>
      <c r="H21" s="9"/>
      <c r="I21" s="947"/>
      <c r="J21" s="947"/>
      <c r="K21" s="947"/>
      <c r="L21" s="947"/>
      <c r="M21" s="947"/>
      <c r="N21" s="947"/>
      <c r="O21" s="946"/>
      <c r="P21" s="946"/>
      <c r="Q21" s="946"/>
      <c r="R21" s="946"/>
      <c r="S21" s="946"/>
      <c r="T21" s="946"/>
      <c r="U21" s="946"/>
    </row>
    <row r="22">
      <c r="A22" s="388"/>
      <c r="B22" s="388"/>
      <c r="C22" s="930" t="s">
        <v>434</v>
      </c>
      <c r="D22" s="930" t="s">
        <v>435</v>
      </c>
      <c r="E22" s="930" t="s">
        <v>436</v>
      </c>
      <c r="F22" s="930" t="s">
        <v>437</v>
      </c>
      <c r="G22" s="930" t="s">
        <v>438</v>
      </c>
      <c r="H22" s="931" t="s">
        <v>439</v>
      </c>
      <c r="I22" s="948"/>
      <c r="J22" s="948"/>
      <c r="K22" s="948"/>
      <c r="L22" s="948"/>
      <c r="M22" s="948"/>
      <c r="N22" s="948"/>
      <c r="O22" s="946"/>
      <c r="P22" s="946"/>
      <c r="Q22" s="946"/>
      <c r="R22" s="946"/>
      <c r="S22" s="946"/>
      <c r="T22" s="946"/>
      <c r="U22" s="946"/>
    </row>
    <row r="23">
      <c r="A23" s="932" t="s">
        <v>406</v>
      </c>
      <c r="B23" s="933" t="s">
        <v>407</v>
      </c>
      <c r="C23" s="949" t="s">
        <v>447</v>
      </c>
      <c r="D23" s="949" t="s">
        <v>447</v>
      </c>
      <c r="E23" s="949" t="s">
        <v>447</v>
      </c>
      <c r="F23" s="949" t="s">
        <v>447</v>
      </c>
      <c r="G23" s="949" t="s">
        <v>447</v>
      </c>
      <c r="H23" s="950" t="s">
        <v>448</v>
      </c>
      <c r="I23" s="951"/>
      <c r="J23" s="951"/>
      <c r="K23" s="951"/>
      <c r="L23" s="951"/>
      <c r="M23" s="951"/>
      <c r="N23" s="951"/>
      <c r="O23" s="946"/>
      <c r="P23" s="946"/>
      <c r="Q23" s="946"/>
      <c r="R23" s="946"/>
      <c r="S23" s="946"/>
      <c r="T23" s="946"/>
      <c r="U23" s="946"/>
    </row>
    <row r="24">
      <c r="A24" s="938">
        <v>1.0</v>
      </c>
      <c r="B24" s="939" t="s">
        <v>42</v>
      </c>
      <c r="C24" s="952" t="s">
        <v>447</v>
      </c>
      <c r="D24" s="952" t="s">
        <v>447</v>
      </c>
      <c r="E24" s="953" t="s">
        <v>449</v>
      </c>
      <c r="F24" s="952" t="s">
        <v>447</v>
      </c>
      <c r="G24" s="952" t="s">
        <v>447</v>
      </c>
      <c r="H24" s="954" t="s">
        <v>449</v>
      </c>
      <c r="I24" s="955"/>
      <c r="J24" s="955"/>
      <c r="K24" s="955"/>
      <c r="L24" s="955"/>
      <c r="M24" s="955"/>
      <c r="N24" s="955"/>
      <c r="O24" s="946"/>
      <c r="P24" s="946"/>
      <c r="Q24" s="946"/>
      <c r="R24" s="946"/>
      <c r="S24" s="946"/>
      <c r="T24" s="946"/>
      <c r="U24" s="946"/>
    </row>
    <row r="25">
      <c r="A25" s="938">
        <v>2.0</v>
      </c>
      <c r="B25" s="939" t="s">
        <v>43</v>
      </c>
      <c r="C25" s="952" t="s">
        <v>447</v>
      </c>
      <c r="D25" s="952" t="s">
        <v>447</v>
      </c>
      <c r="E25" s="953" t="s">
        <v>449</v>
      </c>
      <c r="F25" s="952" t="s">
        <v>447</v>
      </c>
      <c r="G25" s="952" t="s">
        <v>447</v>
      </c>
      <c r="H25" s="956" t="s">
        <v>448</v>
      </c>
      <c r="I25" s="957"/>
      <c r="J25" s="957"/>
      <c r="K25" s="957"/>
      <c r="L25" s="957"/>
      <c r="M25" s="957"/>
      <c r="N25" s="957"/>
      <c r="O25" s="946"/>
      <c r="P25" s="946"/>
      <c r="Q25" s="946"/>
      <c r="R25" s="946"/>
      <c r="S25" s="946"/>
      <c r="T25" s="946"/>
      <c r="U25" s="946"/>
    </row>
    <row r="26">
      <c r="A26" s="938">
        <v>3.0</v>
      </c>
      <c r="B26" s="939" t="s">
        <v>44</v>
      </c>
      <c r="C26" s="952" t="s">
        <v>447</v>
      </c>
      <c r="D26" s="952" t="s">
        <v>447</v>
      </c>
      <c r="E26" s="952" t="s">
        <v>447</v>
      </c>
      <c r="F26" s="952" t="s">
        <v>447</v>
      </c>
      <c r="G26" s="952" t="s">
        <v>447</v>
      </c>
      <c r="H26" s="956" t="s">
        <v>448</v>
      </c>
      <c r="I26" s="957"/>
      <c r="J26" s="957"/>
      <c r="K26" s="957"/>
      <c r="L26" s="957"/>
      <c r="M26" s="957"/>
      <c r="N26" s="957"/>
      <c r="O26" s="946"/>
      <c r="P26" s="946"/>
      <c r="Q26" s="946"/>
      <c r="R26" s="946"/>
      <c r="S26" s="946"/>
      <c r="T26" s="946"/>
      <c r="U26" s="946"/>
    </row>
    <row r="27">
      <c r="A27" s="938">
        <v>4.0</v>
      </c>
      <c r="B27" s="939" t="s">
        <v>45</v>
      </c>
      <c r="C27" s="953" t="s">
        <v>449</v>
      </c>
      <c r="D27" s="952" t="s">
        <v>447</v>
      </c>
      <c r="E27" s="952" t="s">
        <v>447</v>
      </c>
      <c r="F27" s="953" t="s">
        <v>449</v>
      </c>
      <c r="G27" s="952" t="s">
        <v>447</v>
      </c>
      <c r="H27" s="956" t="s">
        <v>448</v>
      </c>
      <c r="I27" s="957"/>
      <c r="J27" s="957"/>
      <c r="K27" s="957"/>
      <c r="L27" s="957"/>
      <c r="M27" s="957"/>
      <c r="N27" s="957"/>
      <c r="O27" s="946"/>
      <c r="P27" s="946"/>
      <c r="Q27" s="946"/>
      <c r="R27" s="946"/>
      <c r="S27" s="946"/>
      <c r="T27" s="946"/>
      <c r="U27" s="946"/>
    </row>
    <row r="28">
      <c r="A28" s="938">
        <v>5.0</v>
      </c>
      <c r="B28" s="939" t="s">
        <v>47</v>
      </c>
      <c r="C28" s="952" t="s">
        <v>447</v>
      </c>
      <c r="D28" s="953" t="s">
        <v>449</v>
      </c>
      <c r="E28" s="952" t="s">
        <v>447</v>
      </c>
      <c r="F28" s="952" t="s">
        <v>447</v>
      </c>
      <c r="G28" s="953" t="s">
        <v>449</v>
      </c>
      <c r="H28" s="954" t="s">
        <v>449</v>
      </c>
      <c r="I28" s="955"/>
      <c r="J28" s="955"/>
      <c r="K28" s="955"/>
      <c r="L28" s="955"/>
      <c r="M28" s="955"/>
      <c r="N28" s="955"/>
      <c r="O28" s="946"/>
      <c r="P28" s="946"/>
      <c r="Q28" s="946"/>
      <c r="R28" s="946"/>
      <c r="S28" s="946"/>
      <c r="T28" s="946"/>
      <c r="U28" s="946"/>
    </row>
    <row r="29">
      <c r="A29" s="938">
        <v>6.0</v>
      </c>
      <c r="B29" s="939" t="s">
        <v>48</v>
      </c>
      <c r="C29" s="952" t="s">
        <v>447</v>
      </c>
      <c r="D29" s="952" t="s">
        <v>447</v>
      </c>
      <c r="E29" s="952" t="s">
        <v>447</v>
      </c>
      <c r="F29" s="953" t="s">
        <v>449</v>
      </c>
      <c r="G29" s="952" t="s">
        <v>447</v>
      </c>
      <c r="H29" s="956" t="s">
        <v>448</v>
      </c>
      <c r="I29" s="957"/>
      <c r="J29" s="957"/>
      <c r="K29" s="957"/>
      <c r="L29" s="957"/>
      <c r="M29" s="957"/>
      <c r="N29" s="957"/>
      <c r="O29" s="946"/>
      <c r="P29" s="946"/>
      <c r="Q29" s="946"/>
      <c r="R29" s="946"/>
      <c r="S29" s="946"/>
      <c r="T29" s="946"/>
      <c r="U29" s="946"/>
    </row>
    <row r="30">
      <c r="A30" s="938">
        <v>7.0</v>
      </c>
      <c r="B30" s="939" t="s">
        <v>49</v>
      </c>
      <c r="C30" s="952" t="s">
        <v>447</v>
      </c>
      <c r="D30" s="952" t="s">
        <v>447</v>
      </c>
      <c r="E30" s="952" t="s">
        <v>447</v>
      </c>
      <c r="F30" s="952" t="s">
        <v>447</v>
      </c>
      <c r="G30" s="952" t="s">
        <v>447</v>
      </c>
      <c r="H30" s="956" t="s">
        <v>448</v>
      </c>
      <c r="I30" s="957"/>
      <c r="J30" s="957"/>
      <c r="K30" s="957"/>
      <c r="L30" s="957"/>
      <c r="M30" s="957"/>
      <c r="N30" s="957"/>
      <c r="O30" s="946"/>
      <c r="P30" s="946"/>
      <c r="Q30" s="946"/>
      <c r="R30" s="946"/>
      <c r="S30" s="946"/>
      <c r="T30" s="946"/>
      <c r="U30" s="946"/>
    </row>
  </sheetData>
  <mergeCells count="7">
    <mergeCell ref="A10:A11"/>
    <mergeCell ref="B10:B11"/>
    <mergeCell ref="C10:N10"/>
    <mergeCell ref="O10:Z10"/>
    <mergeCell ref="A21:A22"/>
    <mergeCell ref="B21:B22"/>
    <mergeCell ref="C21:H21"/>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2"/>
      <c r="B1" s="292"/>
      <c r="C1" s="292"/>
      <c r="D1" s="292"/>
      <c r="E1" s="292"/>
      <c r="F1" s="292"/>
      <c r="G1" s="958" t="s">
        <v>130</v>
      </c>
      <c r="H1" s="292"/>
      <c r="I1" s="292"/>
      <c r="J1" s="292"/>
      <c r="K1" s="292"/>
      <c r="L1" s="292"/>
      <c r="M1" s="292"/>
      <c r="N1" s="292"/>
      <c r="O1" s="292"/>
    </row>
    <row r="2">
      <c r="A2" s="292"/>
      <c r="B2" s="292"/>
      <c r="C2" s="292"/>
      <c r="D2" s="292"/>
      <c r="E2" s="292"/>
      <c r="F2" s="292"/>
      <c r="G2" s="958" t="s">
        <v>450</v>
      </c>
      <c r="H2" s="292"/>
      <c r="I2" s="292"/>
      <c r="J2" s="292"/>
      <c r="K2" s="292"/>
      <c r="L2" s="292"/>
      <c r="M2" s="292"/>
      <c r="N2" s="292"/>
      <c r="O2" s="292"/>
    </row>
    <row r="3">
      <c r="A3" s="292"/>
      <c r="D3" s="292"/>
      <c r="E3" s="292"/>
      <c r="F3" s="292"/>
      <c r="G3" s="958" t="s">
        <v>343</v>
      </c>
      <c r="H3" s="959" t="s">
        <v>451</v>
      </c>
      <c r="I3" s="292"/>
      <c r="J3" s="292"/>
      <c r="K3" s="292"/>
      <c r="L3" s="292"/>
      <c r="M3" s="292"/>
      <c r="N3" s="292"/>
      <c r="O3" s="292"/>
    </row>
    <row r="4">
      <c r="A4" s="292"/>
      <c r="B4" s="292"/>
      <c r="C4" s="292"/>
      <c r="D4" s="292"/>
      <c r="E4" s="292"/>
      <c r="F4" s="292"/>
      <c r="G4" s="292"/>
      <c r="H4" s="959" t="s">
        <v>452</v>
      </c>
      <c r="I4" s="292"/>
      <c r="J4" s="292"/>
      <c r="K4" s="292"/>
      <c r="L4" s="292"/>
      <c r="M4" s="292"/>
      <c r="N4" s="292"/>
      <c r="O4" s="292"/>
    </row>
    <row r="5">
      <c r="A5" s="292"/>
      <c r="B5" s="292"/>
      <c r="C5" s="292"/>
      <c r="D5" s="292"/>
      <c r="E5" s="292"/>
      <c r="F5" s="292"/>
      <c r="G5" s="292"/>
      <c r="H5" s="292"/>
      <c r="I5" s="292"/>
      <c r="J5" s="292"/>
      <c r="K5" s="292"/>
      <c r="L5" s="292"/>
      <c r="M5" s="292"/>
      <c r="N5" s="292"/>
      <c r="O5" s="292"/>
    </row>
    <row r="6">
      <c r="A6" s="292"/>
      <c r="B6" s="292"/>
      <c r="C6" s="292"/>
      <c r="D6" s="292"/>
      <c r="E6" s="292"/>
      <c r="F6" s="292"/>
      <c r="G6" s="292"/>
      <c r="H6" s="292"/>
      <c r="I6" s="292"/>
      <c r="J6" s="292"/>
      <c r="K6" s="292"/>
      <c r="L6" s="292"/>
      <c r="M6" s="292"/>
      <c r="N6" s="292"/>
      <c r="O6" s="292"/>
    </row>
    <row r="7">
      <c r="A7" s="292"/>
      <c r="B7" s="292"/>
      <c r="C7" s="292"/>
      <c r="D7" s="292"/>
      <c r="E7" s="292"/>
      <c r="F7" s="292"/>
      <c r="G7" s="292"/>
      <c r="H7" s="292"/>
      <c r="I7" s="292"/>
      <c r="J7" s="292"/>
      <c r="K7" s="292"/>
      <c r="L7" s="292"/>
      <c r="M7" s="292"/>
      <c r="N7" s="292"/>
      <c r="O7" s="292"/>
    </row>
    <row r="8">
      <c r="A8" s="292"/>
      <c r="B8" s="292"/>
      <c r="C8" s="292"/>
      <c r="D8" s="292"/>
      <c r="E8" s="292"/>
      <c r="F8" s="292"/>
      <c r="G8" s="292"/>
      <c r="H8" s="292"/>
      <c r="I8" s="292"/>
      <c r="J8" s="292"/>
      <c r="K8" s="292"/>
      <c r="L8" s="292"/>
      <c r="M8" s="292"/>
      <c r="N8" s="292"/>
      <c r="O8" s="292"/>
    </row>
    <row r="9">
      <c r="A9" s="292"/>
      <c r="B9" s="292"/>
      <c r="C9" s="292"/>
      <c r="D9" s="292"/>
      <c r="E9" s="292"/>
      <c r="F9" s="292"/>
      <c r="G9" s="292"/>
      <c r="H9" s="292"/>
      <c r="I9" s="292"/>
      <c r="J9" s="292"/>
      <c r="K9" s="292"/>
      <c r="L9" s="292"/>
      <c r="M9" s="292"/>
      <c r="N9" s="292"/>
      <c r="O9" s="292"/>
    </row>
    <row r="10">
      <c r="A10" s="960" t="s">
        <v>28</v>
      </c>
      <c r="B10" s="960" t="s">
        <v>453</v>
      </c>
      <c r="C10" s="961" t="s">
        <v>454</v>
      </c>
      <c r="D10" s="962"/>
      <c r="E10" s="962"/>
      <c r="F10" s="962"/>
      <c r="G10" s="962"/>
      <c r="H10" s="962"/>
      <c r="I10" s="962"/>
      <c r="J10" s="962"/>
      <c r="K10" s="962"/>
      <c r="L10" s="962"/>
      <c r="M10" s="962"/>
      <c r="N10" s="962"/>
      <c r="O10" s="292"/>
    </row>
    <row r="11">
      <c r="A11" s="963"/>
      <c r="B11" s="963"/>
      <c r="C11" s="964" t="s">
        <v>330</v>
      </c>
      <c r="D11" s="964" t="s">
        <v>331</v>
      </c>
      <c r="E11" s="964" t="s">
        <v>332</v>
      </c>
      <c r="F11" s="964" t="s">
        <v>333</v>
      </c>
      <c r="G11" s="964" t="s">
        <v>334</v>
      </c>
      <c r="H11" s="964" t="s">
        <v>335</v>
      </c>
      <c r="I11" s="964" t="s">
        <v>336</v>
      </c>
      <c r="J11" s="964" t="s">
        <v>348</v>
      </c>
      <c r="K11" s="964" t="s">
        <v>349</v>
      </c>
      <c r="L11" s="964" t="s">
        <v>350</v>
      </c>
      <c r="M11" s="964" t="s">
        <v>351</v>
      </c>
      <c r="N11" s="964" t="s">
        <v>352</v>
      </c>
      <c r="O11" s="292"/>
    </row>
    <row r="12">
      <c r="A12" s="965">
        <v>1.0</v>
      </c>
      <c r="B12" s="966" t="s">
        <v>42</v>
      </c>
      <c r="C12" s="967">
        <v>0.0</v>
      </c>
      <c r="D12" s="967">
        <v>0.0</v>
      </c>
      <c r="E12" s="967">
        <v>0.0</v>
      </c>
      <c r="F12" s="967">
        <v>0.0</v>
      </c>
      <c r="G12" s="968">
        <v>0.0404</v>
      </c>
      <c r="H12" s="967">
        <v>0.0</v>
      </c>
      <c r="I12" s="967">
        <v>0.0</v>
      </c>
      <c r="J12" s="969" t="s">
        <v>171</v>
      </c>
      <c r="K12" s="969" t="s">
        <v>171</v>
      </c>
      <c r="L12" s="969" t="s">
        <v>171</v>
      </c>
      <c r="M12" s="969" t="s">
        <v>171</v>
      </c>
      <c r="N12" s="969" t="s">
        <v>171</v>
      </c>
      <c r="O12" s="292"/>
      <c r="P12" s="292"/>
      <c r="Q12" s="292"/>
      <c r="R12" s="292"/>
      <c r="S12" s="292"/>
      <c r="T12" s="292"/>
      <c r="U12" s="292"/>
      <c r="V12" s="292"/>
      <c r="W12" s="292"/>
      <c r="X12" s="292"/>
      <c r="Y12" s="292"/>
      <c r="Z12" s="292"/>
      <c r="AA12" s="292"/>
      <c r="AB12" s="292"/>
      <c r="AC12" s="292"/>
    </row>
    <row r="13">
      <c r="A13" s="965">
        <v>2.0</v>
      </c>
      <c r="B13" s="966" t="s">
        <v>43</v>
      </c>
      <c r="C13" s="970">
        <v>0.0113</v>
      </c>
      <c r="D13" s="967">
        <v>0.0</v>
      </c>
      <c r="E13" s="968">
        <v>0.0509</v>
      </c>
      <c r="F13" s="968">
        <v>0.0336</v>
      </c>
      <c r="G13" s="971">
        <v>0.0037</v>
      </c>
      <c r="H13" s="968">
        <v>0.0861</v>
      </c>
      <c r="I13" s="967">
        <v>0.0</v>
      </c>
      <c r="J13" s="969" t="s">
        <v>171</v>
      </c>
      <c r="K13" s="969" t="s">
        <v>171</v>
      </c>
      <c r="L13" s="969" t="s">
        <v>171</v>
      </c>
      <c r="M13" s="969" t="s">
        <v>171</v>
      </c>
      <c r="N13" s="969" t="s">
        <v>171</v>
      </c>
      <c r="O13" s="292"/>
      <c r="P13" s="292"/>
      <c r="Q13" s="292"/>
      <c r="R13" s="292"/>
      <c r="S13" s="292"/>
      <c r="T13" s="292"/>
      <c r="U13" s="292"/>
      <c r="V13" s="292"/>
      <c r="W13" s="292"/>
      <c r="X13" s="292"/>
      <c r="Y13" s="292"/>
      <c r="Z13" s="292"/>
      <c r="AA13" s="292"/>
      <c r="AB13" s="292"/>
      <c r="AC13" s="292"/>
    </row>
    <row r="14">
      <c r="A14" s="965">
        <v>3.0</v>
      </c>
      <c r="B14" s="966" t="s">
        <v>44</v>
      </c>
      <c r="C14" s="972">
        <v>0.0115</v>
      </c>
      <c r="D14" s="967">
        <v>0.0</v>
      </c>
      <c r="E14" s="967">
        <v>0.0</v>
      </c>
      <c r="F14" s="974">
        <v>5.0E-4</v>
      </c>
      <c r="G14" s="967">
        <v>0.0</v>
      </c>
      <c r="H14" s="976">
        <v>0.0046</v>
      </c>
      <c r="I14" s="967">
        <v>0.0</v>
      </c>
      <c r="J14" s="969" t="s">
        <v>171</v>
      </c>
      <c r="K14" s="969" t="s">
        <v>171</v>
      </c>
      <c r="L14" s="969" t="s">
        <v>171</v>
      </c>
      <c r="M14" s="969" t="s">
        <v>171</v>
      </c>
      <c r="N14" s="969" t="s">
        <v>171</v>
      </c>
      <c r="O14" s="292"/>
      <c r="P14" s="292"/>
      <c r="Q14" s="292"/>
      <c r="R14" s="292"/>
      <c r="S14" s="292"/>
      <c r="T14" s="292"/>
      <c r="U14" s="292"/>
      <c r="V14" s="292"/>
      <c r="W14" s="292"/>
      <c r="X14" s="292"/>
      <c r="Y14" s="292"/>
      <c r="Z14" s="292"/>
      <c r="AA14" s="292"/>
      <c r="AB14" s="292"/>
      <c r="AC14" s="292"/>
    </row>
    <row r="15">
      <c r="A15" s="965">
        <v>4.0</v>
      </c>
      <c r="B15" s="966" t="s">
        <v>45</v>
      </c>
      <c r="C15" s="977">
        <v>0.0188</v>
      </c>
      <c r="D15" s="978">
        <v>0.0695</v>
      </c>
      <c r="E15" s="979">
        <v>0.0063</v>
      </c>
      <c r="F15" s="967">
        <v>0.0</v>
      </c>
      <c r="G15" s="968">
        <v>0.0093</v>
      </c>
      <c r="H15" s="968">
        <v>0.0215</v>
      </c>
      <c r="I15" s="968">
        <v>0.0096</v>
      </c>
      <c r="J15" s="969" t="s">
        <v>171</v>
      </c>
      <c r="K15" s="969" t="s">
        <v>171</v>
      </c>
      <c r="L15" s="969" t="s">
        <v>171</v>
      </c>
      <c r="M15" s="969" t="s">
        <v>171</v>
      </c>
      <c r="N15" s="969" t="s">
        <v>171</v>
      </c>
      <c r="O15" s="292"/>
      <c r="P15" s="292"/>
      <c r="Q15" s="292"/>
      <c r="R15" s="292"/>
      <c r="S15" s="292"/>
      <c r="T15" s="292"/>
      <c r="U15" s="292"/>
      <c r="V15" s="292"/>
      <c r="W15" s="292"/>
      <c r="X15" s="292"/>
      <c r="Y15" s="292"/>
      <c r="Z15" s="292"/>
      <c r="AA15" s="292"/>
      <c r="AB15" s="292"/>
      <c r="AC15" s="292"/>
    </row>
    <row r="16">
      <c r="A16" s="965">
        <v>5.0</v>
      </c>
      <c r="B16" s="966" t="s">
        <v>47</v>
      </c>
      <c r="C16" s="980">
        <v>0.0157</v>
      </c>
      <c r="D16" s="968">
        <v>0.1651</v>
      </c>
      <c r="E16" s="967">
        <v>0.0</v>
      </c>
      <c r="F16" s="967">
        <v>0.0</v>
      </c>
      <c r="G16" s="967">
        <v>0.0</v>
      </c>
      <c r="H16" s="968">
        <v>0.0351</v>
      </c>
      <c r="I16" s="968">
        <v>0.0502</v>
      </c>
      <c r="J16" s="969" t="s">
        <v>171</v>
      </c>
      <c r="K16" s="969" t="s">
        <v>171</v>
      </c>
      <c r="L16" s="969" t="s">
        <v>171</v>
      </c>
      <c r="M16" s="969" t="s">
        <v>171</v>
      </c>
      <c r="N16" s="969" t="s">
        <v>171</v>
      </c>
      <c r="O16" s="292"/>
      <c r="P16" s="292"/>
      <c r="Q16" s="292"/>
      <c r="R16" s="292"/>
      <c r="S16" s="292"/>
      <c r="T16" s="292"/>
      <c r="U16" s="292"/>
      <c r="V16" s="292"/>
      <c r="W16" s="292"/>
      <c r="X16" s="292"/>
      <c r="Y16" s="292"/>
      <c r="Z16" s="292"/>
      <c r="AA16" s="292"/>
      <c r="AB16" s="292"/>
      <c r="AC16" s="292"/>
    </row>
    <row r="17">
      <c r="A17" s="965">
        <v>6.0</v>
      </c>
      <c r="B17" s="966" t="s">
        <v>48</v>
      </c>
      <c r="C17" s="967">
        <v>0.0</v>
      </c>
      <c r="D17" s="983">
        <v>0.0373</v>
      </c>
      <c r="E17" s="967">
        <v>0.0</v>
      </c>
      <c r="F17" s="967">
        <v>0.0</v>
      </c>
      <c r="G17" s="968">
        <v>0.0085</v>
      </c>
      <c r="H17" s="968">
        <v>0.0186</v>
      </c>
      <c r="I17" s="968">
        <v>0.0445</v>
      </c>
      <c r="J17" s="969" t="s">
        <v>171</v>
      </c>
      <c r="K17" s="969" t="s">
        <v>171</v>
      </c>
      <c r="L17" s="969" t="s">
        <v>171</v>
      </c>
      <c r="M17" s="969" t="s">
        <v>171</v>
      </c>
      <c r="N17" s="969" t="s">
        <v>171</v>
      </c>
      <c r="O17" s="292"/>
      <c r="P17" s="292"/>
      <c r="Q17" s="292"/>
      <c r="R17" s="292"/>
      <c r="S17" s="292"/>
      <c r="T17" s="292"/>
      <c r="U17" s="292"/>
      <c r="V17" s="292"/>
      <c r="W17" s="292"/>
      <c r="X17" s="292"/>
      <c r="Y17" s="292"/>
      <c r="Z17" s="292"/>
      <c r="AA17" s="292"/>
      <c r="AB17" s="292"/>
      <c r="AC17" s="292"/>
    </row>
    <row r="18">
      <c r="A18" s="965">
        <v>7.0</v>
      </c>
      <c r="B18" s="966" t="s">
        <v>49</v>
      </c>
      <c r="C18" s="968">
        <v>0.0231</v>
      </c>
      <c r="D18" s="967">
        <v>0.0</v>
      </c>
      <c r="E18" s="985">
        <v>0.0062</v>
      </c>
      <c r="F18" s="967">
        <v>0.0</v>
      </c>
      <c r="G18" s="968">
        <v>0.0058</v>
      </c>
      <c r="H18" s="986">
        <v>0.0029</v>
      </c>
      <c r="I18" s="968">
        <v>0.0268</v>
      </c>
      <c r="J18" s="969" t="s">
        <v>171</v>
      </c>
      <c r="K18" s="969" t="s">
        <v>171</v>
      </c>
      <c r="L18" s="969" t="s">
        <v>171</v>
      </c>
      <c r="M18" s="969" t="s">
        <v>171</v>
      </c>
      <c r="N18" s="969" t="s">
        <v>171</v>
      </c>
      <c r="O18" s="292"/>
      <c r="P18" s="292"/>
      <c r="Q18" s="292"/>
      <c r="R18" s="292"/>
      <c r="S18" s="292"/>
      <c r="T18" s="292"/>
      <c r="U18" s="292"/>
      <c r="V18" s="292"/>
      <c r="W18" s="292"/>
      <c r="X18" s="292"/>
      <c r="Y18" s="292"/>
      <c r="Z18" s="292"/>
      <c r="AA18" s="292"/>
      <c r="AB18" s="292"/>
      <c r="AC18" s="292"/>
    </row>
    <row r="19">
      <c r="A19" s="989"/>
      <c r="B19" s="990" t="s">
        <v>462</v>
      </c>
      <c r="C19" s="991">
        <v>0.0102</v>
      </c>
      <c r="D19" s="991">
        <v>0.0379</v>
      </c>
      <c r="E19" s="991">
        <v>0.0082</v>
      </c>
      <c r="F19" s="991">
        <v>0.0046</v>
      </c>
      <c r="G19" s="991">
        <v>0.0128</v>
      </c>
      <c r="H19" s="991">
        <v>0.0224</v>
      </c>
      <c r="I19" s="991">
        <v>0.0178</v>
      </c>
      <c r="J19" s="993" t="s">
        <v>171</v>
      </c>
      <c r="K19" s="993" t="s">
        <v>171</v>
      </c>
      <c r="L19" s="993" t="s">
        <v>171</v>
      </c>
      <c r="M19" s="993" t="s">
        <v>171</v>
      </c>
      <c r="N19" s="993" t="s">
        <v>171</v>
      </c>
      <c r="O19" s="292"/>
      <c r="P19" s="292"/>
      <c r="Q19" s="292"/>
      <c r="R19" s="292"/>
      <c r="S19" s="292"/>
      <c r="T19" s="292"/>
      <c r="U19" s="292"/>
      <c r="V19" s="292"/>
      <c r="W19" s="292"/>
      <c r="X19" s="292"/>
      <c r="Y19" s="292"/>
      <c r="Z19" s="292"/>
      <c r="AA19" s="292"/>
      <c r="AB19" s="292"/>
      <c r="AC19" s="292"/>
    </row>
    <row r="20">
      <c r="A20" s="292"/>
      <c r="B20" s="292"/>
      <c r="C20" s="292"/>
      <c r="D20" s="292"/>
      <c r="E20" s="292"/>
      <c r="F20" s="292"/>
      <c r="G20" s="292"/>
      <c r="H20" s="292"/>
      <c r="I20" s="292"/>
      <c r="J20" s="292"/>
      <c r="K20" s="292"/>
      <c r="L20" s="292"/>
      <c r="M20" s="292"/>
      <c r="N20" s="292"/>
      <c r="O20" s="292"/>
      <c r="P20" s="292"/>
      <c r="Q20" s="292"/>
      <c r="R20" s="292"/>
      <c r="S20" s="292"/>
      <c r="T20" s="292"/>
      <c r="U20" s="292"/>
      <c r="V20" s="292"/>
      <c r="W20" s="292"/>
      <c r="X20" s="292"/>
      <c r="Y20" s="292"/>
      <c r="Z20" s="292"/>
      <c r="AA20" s="292"/>
      <c r="AB20" s="292"/>
      <c r="AC20" s="292"/>
    </row>
    <row r="21">
      <c r="A21" s="960" t="s">
        <v>28</v>
      </c>
      <c r="B21" s="960" t="s">
        <v>465</v>
      </c>
      <c r="C21" s="961" t="s">
        <v>466</v>
      </c>
      <c r="D21" s="962"/>
      <c r="E21" s="962"/>
      <c r="F21" s="962"/>
      <c r="G21" s="962"/>
      <c r="H21" s="962"/>
      <c r="I21" s="962"/>
      <c r="J21" s="962"/>
      <c r="K21" s="962"/>
      <c r="L21" s="962"/>
      <c r="M21" s="962"/>
      <c r="N21" s="1000"/>
      <c r="O21" s="292"/>
      <c r="P21" s="292"/>
      <c r="Q21" s="292"/>
      <c r="R21" s="292"/>
      <c r="S21" s="292"/>
      <c r="T21" s="292"/>
      <c r="U21" s="292"/>
      <c r="V21" s="292"/>
      <c r="W21" s="292"/>
      <c r="X21" s="292"/>
      <c r="Y21" s="292"/>
      <c r="Z21" s="292"/>
      <c r="AA21" s="292"/>
      <c r="AB21" s="292"/>
      <c r="AC21" s="292"/>
    </row>
    <row r="22">
      <c r="A22" s="963"/>
      <c r="B22" s="963"/>
      <c r="C22" s="964" t="s">
        <v>330</v>
      </c>
      <c r="D22" s="964" t="s">
        <v>331</v>
      </c>
      <c r="E22" s="964" t="s">
        <v>332</v>
      </c>
      <c r="F22" s="964" t="s">
        <v>333</v>
      </c>
      <c r="G22" s="964" t="s">
        <v>334</v>
      </c>
      <c r="H22" s="964" t="s">
        <v>335</v>
      </c>
      <c r="I22" s="964" t="s">
        <v>336</v>
      </c>
      <c r="J22" s="964" t="s">
        <v>348</v>
      </c>
      <c r="K22" s="964" t="s">
        <v>349</v>
      </c>
      <c r="L22" s="964" t="s">
        <v>350</v>
      </c>
      <c r="M22" s="964" t="s">
        <v>351</v>
      </c>
      <c r="N22" s="964" t="s">
        <v>352</v>
      </c>
      <c r="O22" s="292"/>
      <c r="P22" s="292"/>
      <c r="Q22" s="292"/>
      <c r="R22" s="292"/>
      <c r="S22" s="292"/>
      <c r="T22" s="292"/>
      <c r="U22" s="292"/>
      <c r="V22" s="292"/>
      <c r="W22" s="292"/>
      <c r="X22" s="292"/>
      <c r="Y22" s="292"/>
      <c r="Z22" s="292"/>
      <c r="AA22" s="292"/>
      <c r="AB22" s="292"/>
      <c r="AC22" s="292"/>
    </row>
    <row r="23">
      <c r="A23" s="965">
        <v>1.0</v>
      </c>
      <c r="B23" s="966" t="s">
        <v>42</v>
      </c>
      <c r="C23" s="967">
        <v>0.0</v>
      </c>
      <c r="D23" s="967">
        <v>0.0</v>
      </c>
      <c r="E23" s="967">
        <v>0.0</v>
      </c>
      <c r="F23" s="967">
        <v>0.0</v>
      </c>
      <c r="G23" s="967">
        <v>0.0</v>
      </c>
      <c r="H23" s="967">
        <v>0.0</v>
      </c>
      <c r="I23" s="967">
        <v>0.0</v>
      </c>
      <c r="J23" s="969" t="s">
        <v>469</v>
      </c>
      <c r="K23" s="969" t="s">
        <v>470</v>
      </c>
      <c r="L23" s="969" t="s">
        <v>471</v>
      </c>
      <c r="M23" s="969" t="s">
        <v>472</v>
      </c>
      <c r="N23" s="1006" t="s">
        <v>473</v>
      </c>
      <c r="O23" s="292"/>
      <c r="P23" s="292"/>
      <c r="Q23" s="292"/>
      <c r="R23" s="292"/>
      <c r="S23" s="292"/>
      <c r="T23" s="292"/>
      <c r="U23" s="292"/>
      <c r="V23" s="292"/>
      <c r="W23" s="292"/>
      <c r="X23" s="292"/>
      <c r="Y23" s="292"/>
      <c r="Z23" s="292"/>
      <c r="AA23" s="292"/>
      <c r="AB23" s="292"/>
      <c r="AC23" s="292"/>
    </row>
    <row r="24">
      <c r="A24" s="965">
        <v>2.0</v>
      </c>
      <c r="B24" s="966" t="s">
        <v>474</v>
      </c>
      <c r="C24" s="967">
        <v>0.0</v>
      </c>
      <c r="D24" s="967">
        <v>0.0</v>
      </c>
      <c r="E24" s="967">
        <v>0.0</v>
      </c>
      <c r="F24" s="1012">
        <v>0.0292</v>
      </c>
      <c r="G24" s="967">
        <v>0.0</v>
      </c>
      <c r="H24" s="967">
        <v>0.0</v>
      </c>
      <c r="I24" s="967">
        <v>0.0</v>
      </c>
      <c r="J24" s="969" t="s">
        <v>469</v>
      </c>
      <c r="K24" s="969" t="s">
        <v>470</v>
      </c>
      <c r="L24" s="969" t="s">
        <v>471</v>
      </c>
      <c r="M24" s="969" t="s">
        <v>472</v>
      </c>
      <c r="N24" s="1006" t="s">
        <v>473</v>
      </c>
      <c r="O24" s="292"/>
      <c r="P24" s="292"/>
      <c r="Q24" s="292"/>
      <c r="R24" s="292"/>
      <c r="S24" s="292"/>
      <c r="T24" s="292"/>
      <c r="U24" s="292"/>
      <c r="V24" s="292"/>
      <c r="W24" s="292"/>
      <c r="X24" s="292"/>
      <c r="Y24" s="292"/>
      <c r="Z24" s="292"/>
      <c r="AA24" s="292"/>
      <c r="AB24" s="292"/>
      <c r="AC24" s="292"/>
    </row>
    <row r="25">
      <c r="A25" s="965">
        <v>3.0</v>
      </c>
      <c r="B25" s="966" t="s">
        <v>479</v>
      </c>
      <c r="C25" s="967">
        <v>0.0</v>
      </c>
      <c r="D25" s="967">
        <v>0.0</v>
      </c>
      <c r="E25" s="967">
        <v>0.0</v>
      </c>
      <c r="F25" s="967">
        <v>0.0</v>
      </c>
      <c r="G25" s="968">
        <v>0.1449</v>
      </c>
      <c r="H25" s="967">
        <v>0.0</v>
      </c>
      <c r="I25" s="967">
        <v>0.0</v>
      </c>
      <c r="J25" s="969" t="s">
        <v>469</v>
      </c>
      <c r="K25" s="969" t="s">
        <v>470</v>
      </c>
      <c r="L25" s="969" t="s">
        <v>471</v>
      </c>
      <c r="M25" s="969" t="s">
        <v>472</v>
      </c>
      <c r="N25" s="1006" t="s">
        <v>473</v>
      </c>
      <c r="O25" s="292"/>
      <c r="P25" s="292"/>
      <c r="Q25" s="292"/>
      <c r="R25" s="292"/>
      <c r="S25" s="292"/>
      <c r="T25" s="292"/>
      <c r="U25" s="292"/>
      <c r="V25" s="292"/>
      <c r="W25" s="292"/>
      <c r="X25" s="292"/>
      <c r="Y25" s="292"/>
      <c r="Z25" s="292"/>
      <c r="AA25" s="292"/>
      <c r="AB25" s="292"/>
      <c r="AC25" s="292"/>
    </row>
    <row r="26">
      <c r="A26" s="965">
        <v>4.0</v>
      </c>
      <c r="B26" s="966" t="s">
        <v>43</v>
      </c>
      <c r="C26" s="1021">
        <v>0.007</v>
      </c>
      <c r="D26" s="967">
        <v>0.0</v>
      </c>
      <c r="E26" s="968">
        <v>0.0535</v>
      </c>
      <c r="F26" s="967">
        <v>0.0</v>
      </c>
      <c r="G26" s="967">
        <v>0.0</v>
      </c>
      <c r="H26" s="1024">
        <v>0.0591</v>
      </c>
      <c r="I26" s="967">
        <v>0.0</v>
      </c>
      <c r="J26" s="969" t="s">
        <v>469</v>
      </c>
      <c r="K26" s="969" t="s">
        <v>470</v>
      </c>
      <c r="L26" s="969" t="s">
        <v>471</v>
      </c>
      <c r="M26" s="969" t="s">
        <v>472</v>
      </c>
      <c r="N26" s="1006" t="s">
        <v>473</v>
      </c>
      <c r="O26" s="292"/>
      <c r="P26" s="292"/>
      <c r="Q26" s="292"/>
      <c r="R26" s="292"/>
      <c r="S26" s="292"/>
      <c r="T26" s="292"/>
      <c r="U26" s="292"/>
      <c r="V26" s="292"/>
      <c r="W26" s="292"/>
      <c r="X26" s="292"/>
      <c r="Y26" s="292"/>
      <c r="Z26" s="292"/>
      <c r="AA26" s="292"/>
      <c r="AB26" s="292"/>
      <c r="AC26" s="292"/>
    </row>
    <row r="27">
      <c r="A27" s="965">
        <v>5.0</v>
      </c>
      <c r="B27" s="966" t="s">
        <v>480</v>
      </c>
      <c r="C27" s="983">
        <v>0.0218</v>
      </c>
      <c r="D27" s="967">
        <v>0.0</v>
      </c>
      <c r="E27" s="1025">
        <v>0.0473</v>
      </c>
      <c r="F27" s="967">
        <v>0.0</v>
      </c>
      <c r="G27" s="1026">
        <v>0.0126</v>
      </c>
      <c r="H27" s="968">
        <v>0.1542</v>
      </c>
      <c r="I27" s="967">
        <v>0.0</v>
      </c>
      <c r="J27" s="969" t="s">
        <v>469</v>
      </c>
      <c r="K27" s="969" t="s">
        <v>470</v>
      </c>
      <c r="L27" s="969" t="s">
        <v>471</v>
      </c>
      <c r="M27" s="969" t="s">
        <v>472</v>
      </c>
      <c r="N27" s="1006" t="s">
        <v>473</v>
      </c>
      <c r="O27" s="292"/>
      <c r="P27" s="292"/>
      <c r="Q27" s="292"/>
      <c r="R27" s="292"/>
      <c r="S27" s="292"/>
      <c r="T27" s="292"/>
      <c r="U27" s="292"/>
      <c r="V27" s="292"/>
      <c r="W27" s="292"/>
      <c r="X27" s="292"/>
      <c r="Y27" s="292"/>
      <c r="Z27" s="292"/>
      <c r="AA27" s="292"/>
      <c r="AB27" s="292"/>
      <c r="AC27" s="292"/>
    </row>
    <row r="28">
      <c r="A28" s="965">
        <v>6.0</v>
      </c>
      <c r="B28" s="966" t="s">
        <v>482</v>
      </c>
      <c r="C28" s="967">
        <v>0.0</v>
      </c>
      <c r="D28" s="967">
        <v>0.0</v>
      </c>
      <c r="E28" s="967">
        <v>0.0</v>
      </c>
      <c r="F28" s="967">
        <v>0.0</v>
      </c>
      <c r="G28" s="967">
        <v>0.0</v>
      </c>
      <c r="H28" s="967">
        <v>0.0</v>
      </c>
      <c r="I28" s="967">
        <v>0.0</v>
      </c>
      <c r="J28" s="969" t="s">
        <v>469</v>
      </c>
      <c r="K28" s="969" t="s">
        <v>470</v>
      </c>
      <c r="L28" s="969" t="s">
        <v>471</v>
      </c>
      <c r="M28" s="969" t="s">
        <v>472</v>
      </c>
      <c r="N28" s="1006" t="s">
        <v>473</v>
      </c>
      <c r="O28" s="292"/>
      <c r="P28" s="292"/>
      <c r="Q28" s="292"/>
      <c r="R28" s="292"/>
      <c r="S28" s="292"/>
      <c r="T28" s="292"/>
      <c r="U28" s="292"/>
      <c r="V28" s="292"/>
      <c r="W28" s="292"/>
      <c r="X28" s="292"/>
      <c r="Y28" s="292"/>
      <c r="Z28" s="292"/>
      <c r="AA28" s="292"/>
      <c r="AB28" s="292"/>
      <c r="AC28" s="292"/>
    </row>
    <row r="29">
      <c r="A29" s="965">
        <v>7.0</v>
      </c>
      <c r="B29" s="966" t="s">
        <v>44</v>
      </c>
      <c r="C29" s="1034">
        <v>0.0304</v>
      </c>
      <c r="D29" s="967">
        <v>0.0</v>
      </c>
      <c r="E29" s="967">
        <v>0.0</v>
      </c>
      <c r="F29" s="967">
        <v>0.0</v>
      </c>
      <c r="G29" s="967">
        <v>0.0</v>
      </c>
      <c r="H29" s="1035">
        <v>0.0123</v>
      </c>
      <c r="I29" s="967">
        <v>0.0</v>
      </c>
      <c r="J29" s="969" t="s">
        <v>469</v>
      </c>
      <c r="K29" s="969" t="s">
        <v>470</v>
      </c>
      <c r="L29" s="969" t="s">
        <v>471</v>
      </c>
      <c r="M29" s="969" t="s">
        <v>472</v>
      </c>
      <c r="N29" s="1006" t="s">
        <v>473</v>
      </c>
      <c r="O29" s="292"/>
      <c r="P29" s="292"/>
      <c r="Q29" s="292"/>
      <c r="R29" s="292"/>
      <c r="S29" s="292"/>
      <c r="T29" s="292"/>
      <c r="U29" s="292"/>
      <c r="V29" s="292"/>
      <c r="W29" s="292"/>
      <c r="X29" s="292"/>
      <c r="Y29" s="292"/>
      <c r="Z29" s="292"/>
      <c r="AA29" s="292"/>
      <c r="AB29" s="292"/>
      <c r="AC29" s="292"/>
    </row>
    <row r="30">
      <c r="A30" s="965">
        <v>8.0</v>
      </c>
      <c r="B30" s="966" t="s">
        <v>484</v>
      </c>
      <c r="C30" s="967">
        <v>0.0</v>
      </c>
      <c r="D30" s="967">
        <v>0.0</v>
      </c>
      <c r="E30" s="967">
        <v>0.0</v>
      </c>
      <c r="F30" s="967">
        <v>0.0</v>
      </c>
      <c r="G30" s="967">
        <v>0.0</v>
      </c>
      <c r="H30" s="967">
        <v>0.0</v>
      </c>
      <c r="I30" s="967">
        <v>0.0</v>
      </c>
      <c r="J30" s="969" t="s">
        <v>469</v>
      </c>
      <c r="K30" s="969" t="s">
        <v>470</v>
      </c>
      <c r="L30" s="969" t="s">
        <v>471</v>
      </c>
      <c r="M30" s="969" t="s">
        <v>472</v>
      </c>
      <c r="N30" s="1006" t="s">
        <v>473</v>
      </c>
      <c r="O30" s="292"/>
      <c r="P30" s="292"/>
      <c r="Q30" s="292"/>
      <c r="R30" s="292"/>
      <c r="S30" s="292"/>
      <c r="T30" s="292"/>
      <c r="U30" s="292"/>
      <c r="V30" s="292"/>
      <c r="W30" s="292"/>
      <c r="X30" s="292"/>
      <c r="Y30" s="292"/>
      <c r="Z30" s="292"/>
      <c r="AA30" s="292"/>
      <c r="AB30" s="292"/>
      <c r="AC30" s="292"/>
    </row>
    <row r="31">
      <c r="A31" s="965">
        <v>9.0</v>
      </c>
      <c r="B31" s="966" t="s">
        <v>45</v>
      </c>
      <c r="C31" s="967">
        <v>0.0</v>
      </c>
      <c r="D31" s="967">
        <v>0.0</v>
      </c>
      <c r="E31" s="967">
        <v>0.0</v>
      </c>
      <c r="F31" s="967">
        <v>0.0</v>
      </c>
      <c r="G31" s="967">
        <v>0.0</v>
      </c>
      <c r="H31" s="967">
        <v>0.0</v>
      </c>
      <c r="I31" s="1012">
        <v>0.0329</v>
      </c>
      <c r="J31" s="969" t="s">
        <v>469</v>
      </c>
      <c r="K31" s="969" t="s">
        <v>470</v>
      </c>
      <c r="L31" s="969" t="s">
        <v>471</v>
      </c>
      <c r="M31" s="969" t="s">
        <v>472</v>
      </c>
      <c r="N31" s="1006" t="s">
        <v>473</v>
      </c>
      <c r="O31" s="292"/>
      <c r="P31" s="292"/>
      <c r="Q31" s="292"/>
      <c r="R31" s="292"/>
      <c r="S31" s="292"/>
      <c r="T31" s="292"/>
      <c r="U31" s="292"/>
      <c r="V31" s="292"/>
      <c r="W31" s="292"/>
      <c r="X31" s="292"/>
      <c r="Y31" s="292"/>
      <c r="Z31" s="292"/>
      <c r="AA31" s="292"/>
      <c r="AB31" s="292"/>
      <c r="AC31" s="292"/>
    </row>
    <row r="32">
      <c r="A32" s="965">
        <v>10.0</v>
      </c>
      <c r="B32" s="966" t="s">
        <v>486</v>
      </c>
      <c r="C32" s="967">
        <v>0.0</v>
      </c>
      <c r="D32" s="967">
        <v>0.0</v>
      </c>
      <c r="E32" s="967">
        <v>0.0</v>
      </c>
      <c r="F32" s="967">
        <v>0.0</v>
      </c>
      <c r="G32" s="967">
        <v>0.0</v>
      </c>
      <c r="H32" s="967">
        <v>0.0</v>
      </c>
      <c r="I32" s="967">
        <v>0.0</v>
      </c>
      <c r="J32" s="969" t="s">
        <v>469</v>
      </c>
      <c r="K32" s="969" t="s">
        <v>470</v>
      </c>
      <c r="L32" s="969" t="s">
        <v>471</v>
      </c>
      <c r="M32" s="969" t="s">
        <v>472</v>
      </c>
      <c r="N32" s="1006" t="s">
        <v>473</v>
      </c>
      <c r="O32" s="292"/>
      <c r="P32" s="292"/>
      <c r="Q32" s="292"/>
      <c r="R32" s="292"/>
      <c r="S32" s="292"/>
      <c r="T32" s="292"/>
      <c r="U32" s="292"/>
      <c r="V32" s="292"/>
      <c r="W32" s="292"/>
      <c r="X32" s="292"/>
      <c r="Y32" s="292"/>
      <c r="Z32" s="292"/>
      <c r="AA32" s="292"/>
      <c r="AB32" s="292"/>
      <c r="AC32" s="292"/>
    </row>
    <row r="33">
      <c r="A33" s="965">
        <v>11.0</v>
      </c>
      <c r="B33" s="966" t="s">
        <v>487</v>
      </c>
      <c r="C33" s="967">
        <v>0.0</v>
      </c>
      <c r="D33" s="967">
        <v>0.0</v>
      </c>
      <c r="E33" s="967">
        <v>0.0</v>
      </c>
      <c r="F33" s="967">
        <v>0.0</v>
      </c>
      <c r="G33" s="1037">
        <v>0.0533</v>
      </c>
      <c r="H33" s="1038">
        <v>0.0874</v>
      </c>
      <c r="I33" s="967">
        <v>0.0</v>
      </c>
      <c r="J33" s="969" t="s">
        <v>469</v>
      </c>
      <c r="K33" s="969" t="s">
        <v>470</v>
      </c>
      <c r="L33" s="969" t="s">
        <v>471</v>
      </c>
      <c r="M33" s="969" t="s">
        <v>472</v>
      </c>
      <c r="N33" s="1006" t="s">
        <v>473</v>
      </c>
      <c r="O33" s="292"/>
      <c r="P33" s="292"/>
      <c r="Q33" s="292"/>
      <c r="R33" s="292"/>
      <c r="S33" s="292"/>
      <c r="T33" s="292"/>
      <c r="U33" s="292"/>
      <c r="V33" s="292"/>
      <c r="W33" s="292"/>
      <c r="X33" s="292"/>
      <c r="Y33" s="292"/>
      <c r="Z33" s="292"/>
      <c r="AA33" s="292"/>
      <c r="AB33" s="292"/>
      <c r="AC33" s="292"/>
    </row>
    <row r="34">
      <c r="A34" s="965">
        <v>12.0</v>
      </c>
      <c r="B34" s="966" t="s">
        <v>489</v>
      </c>
      <c r="C34" s="1041">
        <v>0.0595</v>
      </c>
      <c r="D34" s="1043">
        <v>0.2199</v>
      </c>
      <c r="E34" s="1037">
        <v>0.02</v>
      </c>
      <c r="F34" s="968">
        <v>0.0997</v>
      </c>
      <c r="G34" s="967">
        <v>0.0</v>
      </c>
      <c r="H34" s="979">
        <v>0.02</v>
      </c>
      <c r="I34" s="967">
        <v>0.0</v>
      </c>
      <c r="J34" s="969" t="s">
        <v>469</v>
      </c>
      <c r="K34" s="969" t="s">
        <v>470</v>
      </c>
      <c r="L34" s="969" t="s">
        <v>471</v>
      </c>
      <c r="M34" s="969" t="s">
        <v>472</v>
      </c>
      <c r="N34" s="1006" t="s">
        <v>473</v>
      </c>
      <c r="O34" s="292"/>
      <c r="P34" s="292"/>
      <c r="Q34" s="292"/>
      <c r="R34" s="292"/>
      <c r="S34" s="292"/>
      <c r="T34" s="292"/>
      <c r="U34" s="292"/>
      <c r="V34" s="292"/>
      <c r="W34" s="292"/>
      <c r="X34" s="292"/>
      <c r="Y34" s="292"/>
      <c r="Z34" s="292"/>
      <c r="AA34" s="292"/>
      <c r="AB34" s="292"/>
      <c r="AC34" s="292"/>
    </row>
    <row r="35">
      <c r="A35" s="965">
        <v>13.0</v>
      </c>
      <c r="B35" s="966" t="s">
        <v>490</v>
      </c>
      <c r="C35" s="967">
        <v>0.0</v>
      </c>
      <c r="D35" s="1052">
        <v>0.2218</v>
      </c>
      <c r="E35" s="967">
        <v>0.0</v>
      </c>
      <c r="F35" s="967">
        <v>0.0</v>
      </c>
      <c r="G35" s="967">
        <v>0.0</v>
      </c>
      <c r="H35" s="1055">
        <v>0.0785</v>
      </c>
      <c r="I35" s="968">
        <v>0.1124</v>
      </c>
      <c r="J35" s="969" t="s">
        <v>469</v>
      </c>
      <c r="K35" s="969" t="s">
        <v>470</v>
      </c>
      <c r="L35" s="969" t="s">
        <v>471</v>
      </c>
      <c r="M35" s="969" t="s">
        <v>472</v>
      </c>
      <c r="N35" s="1006" t="s">
        <v>473</v>
      </c>
      <c r="O35" s="292"/>
      <c r="P35" s="292"/>
      <c r="Q35" s="292"/>
      <c r="R35" s="292"/>
      <c r="S35" s="292"/>
      <c r="T35" s="292"/>
      <c r="U35" s="292"/>
      <c r="V35" s="292"/>
      <c r="W35" s="292"/>
      <c r="X35" s="292"/>
      <c r="Y35" s="292"/>
      <c r="Z35" s="292"/>
      <c r="AA35" s="292"/>
      <c r="AB35" s="292"/>
      <c r="AC35" s="292"/>
    </row>
    <row r="36">
      <c r="A36" s="965">
        <v>14.0</v>
      </c>
      <c r="B36" s="966" t="s">
        <v>491</v>
      </c>
      <c r="C36" s="967">
        <v>0.0</v>
      </c>
      <c r="D36" s="967">
        <v>0.0</v>
      </c>
      <c r="E36" s="967">
        <v>0.0</v>
      </c>
      <c r="F36" s="967">
        <v>0.0</v>
      </c>
      <c r="G36" s="967">
        <v>0.0</v>
      </c>
      <c r="H36" s="967">
        <v>0.0</v>
      </c>
      <c r="I36" s="967">
        <v>0.0</v>
      </c>
      <c r="J36" s="969" t="s">
        <v>469</v>
      </c>
      <c r="K36" s="969" t="s">
        <v>470</v>
      </c>
      <c r="L36" s="969" t="s">
        <v>471</v>
      </c>
      <c r="M36" s="969" t="s">
        <v>472</v>
      </c>
      <c r="N36" s="1006" t="s">
        <v>473</v>
      </c>
      <c r="O36" s="292"/>
      <c r="P36" s="292"/>
      <c r="Q36" s="292"/>
      <c r="R36" s="292"/>
      <c r="S36" s="292"/>
      <c r="T36" s="292"/>
      <c r="U36" s="292"/>
      <c r="V36" s="292"/>
      <c r="W36" s="292"/>
      <c r="X36" s="292"/>
      <c r="Y36" s="292"/>
      <c r="Z36" s="292"/>
      <c r="AA36" s="292"/>
      <c r="AB36" s="292"/>
      <c r="AC36" s="292"/>
    </row>
    <row r="37">
      <c r="A37" s="965">
        <v>15.0</v>
      </c>
      <c r="B37" s="966" t="s">
        <v>493</v>
      </c>
      <c r="C37" s="967">
        <v>0.0</v>
      </c>
      <c r="D37" s="967">
        <v>0.0</v>
      </c>
      <c r="E37" s="967">
        <v>0.0</v>
      </c>
      <c r="F37" s="967">
        <v>0.0</v>
      </c>
      <c r="G37" s="967">
        <v>0.0</v>
      </c>
      <c r="H37" s="967">
        <v>0.0</v>
      </c>
      <c r="I37" s="967">
        <v>0.0</v>
      </c>
      <c r="J37" s="969" t="s">
        <v>469</v>
      </c>
      <c r="K37" s="969" t="s">
        <v>470</v>
      </c>
      <c r="L37" s="969" t="s">
        <v>471</v>
      </c>
      <c r="M37" s="969" t="s">
        <v>472</v>
      </c>
      <c r="N37" s="1006" t="s">
        <v>473</v>
      </c>
      <c r="O37" s="292"/>
      <c r="P37" s="292"/>
      <c r="Q37" s="292"/>
      <c r="R37" s="292"/>
      <c r="S37" s="292"/>
      <c r="T37" s="292"/>
      <c r="U37" s="292"/>
      <c r="V37" s="292"/>
      <c r="W37" s="292"/>
      <c r="X37" s="292"/>
      <c r="Y37" s="292"/>
      <c r="Z37" s="292"/>
      <c r="AA37" s="292"/>
      <c r="AB37" s="292"/>
      <c r="AC37" s="292"/>
    </row>
    <row r="38">
      <c r="A38" s="965">
        <v>16.0</v>
      </c>
      <c r="B38" s="966" t="s">
        <v>494</v>
      </c>
      <c r="C38" s="968">
        <v>0.0975</v>
      </c>
      <c r="D38" s="968">
        <v>0.4101</v>
      </c>
      <c r="E38" s="967">
        <v>0.0</v>
      </c>
      <c r="F38" s="967">
        <v>0.0</v>
      </c>
      <c r="G38" s="967">
        <v>0.0</v>
      </c>
      <c r="H38" s="967">
        <v>0.0</v>
      </c>
      <c r="I38" s="967">
        <v>0.0</v>
      </c>
      <c r="J38" s="969" t="s">
        <v>469</v>
      </c>
      <c r="K38" s="969" t="s">
        <v>470</v>
      </c>
      <c r="L38" s="969" t="s">
        <v>471</v>
      </c>
      <c r="M38" s="969" t="s">
        <v>472</v>
      </c>
      <c r="N38" s="1006" t="s">
        <v>473</v>
      </c>
      <c r="O38" s="292"/>
      <c r="P38" s="292"/>
      <c r="Q38" s="292"/>
      <c r="R38" s="292"/>
      <c r="S38" s="292"/>
      <c r="T38" s="292"/>
      <c r="U38" s="292"/>
      <c r="V38" s="292"/>
      <c r="W38" s="292"/>
      <c r="X38" s="292"/>
      <c r="Y38" s="292"/>
      <c r="Z38" s="292"/>
      <c r="AA38" s="292"/>
      <c r="AB38" s="292"/>
      <c r="AC38" s="292"/>
    </row>
    <row r="39">
      <c r="A39" s="965">
        <v>17.0</v>
      </c>
      <c r="B39" s="966" t="s">
        <v>495</v>
      </c>
      <c r="C39" s="967">
        <v>0.0</v>
      </c>
      <c r="D39" s="967">
        <v>0.0</v>
      </c>
      <c r="E39" s="967">
        <v>0.0</v>
      </c>
      <c r="F39" s="967">
        <v>0.0</v>
      </c>
      <c r="G39" s="1057">
        <v>0.0083</v>
      </c>
      <c r="H39" s="967">
        <v>0.0</v>
      </c>
      <c r="I39" s="1058">
        <v>0.0796</v>
      </c>
      <c r="J39" s="969" t="s">
        <v>469</v>
      </c>
      <c r="K39" s="969" t="s">
        <v>470</v>
      </c>
      <c r="L39" s="969" t="s">
        <v>471</v>
      </c>
      <c r="M39" s="969" t="s">
        <v>472</v>
      </c>
      <c r="N39" s="1006" t="s">
        <v>473</v>
      </c>
      <c r="O39" s="292"/>
      <c r="P39" s="292"/>
      <c r="Q39" s="292"/>
      <c r="R39" s="292"/>
      <c r="S39" s="292"/>
      <c r="T39" s="292"/>
      <c r="U39" s="292"/>
      <c r="V39" s="292"/>
      <c r="W39" s="292"/>
      <c r="X39" s="292"/>
      <c r="Y39" s="292"/>
      <c r="Z39" s="292"/>
      <c r="AA39" s="292"/>
      <c r="AB39" s="292"/>
      <c r="AC39" s="292"/>
    </row>
    <row r="40">
      <c r="A40" s="965">
        <v>18.0</v>
      </c>
      <c r="B40" s="966" t="s">
        <v>497</v>
      </c>
      <c r="C40" s="967">
        <v>0.0</v>
      </c>
      <c r="D40" s="967">
        <v>0.0</v>
      </c>
      <c r="E40" s="967">
        <v>0.0</v>
      </c>
      <c r="F40" s="967">
        <v>0.0</v>
      </c>
      <c r="G40" s="967">
        <v>0.0</v>
      </c>
      <c r="H40" s="967">
        <v>0.0</v>
      </c>
      <c r="I40" s="1059">
        <v>0.0484</v>
      </c>
      <c r="J40" s="969" t="s">
        <v>469</v>
      </c>
      <c r="K40" s="969" t="s">
        <v>470</v>
      </c>
      <c r="L40" s="969" t="s">
        <v>471</v>
      </c>
      <c r="M40" s="969" t="s">
        <v>472</v>
      </c>
      <c r="N40" s="1006" t="s">
        <v>473</v>
      </c>
      <c r="O40" s="292"/>
      <c r="P40" s="292"/>
      <c r="Q40" s="292"/>
      <c r="R40" s="292"/>
      <c r="S40" s="292"/>
      <c r="T40" s="292"/>
      <c r="U40" s="292"/>
      <c r="V40" s="292"/>
      <c r="W40" s="292"/>
      <c r="X40" s="292"/>
      <c r="Y40" s="292"/>
      <c r="Z40" s="292"/>
      <c r="AA40" s="292"/>
      <c r="AB40" s="292"/>
      <c r="AC40" s="292"/>
    </row>
    <row r="41">
      <c r="A41" s="965">
        <v>19.0</v>
      </c>
      <c r="B41" s="966" t="s">
        <v>48</v>
      </c>
      <c r="C41" s="967">
        <v>0.0</v>
      </c>
      <c r="D41" s="1060">
        <v>0.1127</v>
      </c>
      <c r="E41" s="967">
        <v>0.0</v>
      </c>
      <c r="F41" s="967">
        <v>0.0</v>
      </c>
      <c r="G41" s="1061">
        <v>0.0158</v>
      </c>
      <c r="H41" s="1062">
        <v>0.0561</v>
      </c>
      <c r="I41" s="967">
        <v>0.0</v>
      </c>
      <c r="J41" s="969" t="s">
        <v>469</v>
      </c>
      <c r="K41" s="969" t="s">
        <v>470</v>
      </c>
      <c r="L41" s="969" t="s">
        <v>471</v>
      </c>
      <c r="M41" s="969" t="s">
        <v>472</v>
      </c>
      <c r="N41" s="1006" t="s">
        <v>473</v>
      </c>
      <c r="O41" s="292"/>
      <c r="P41" s="292"/>
      <c r="Q41" s="292"/>
      <c r="R41" s="292"/>
      <c r="S41" s="292"/>
      <c r="T41" s="292"/>
      <c r="U41" s="292"/>
      <c r="V41" s="292"/>
      <c r="W41" s="292"/>
      <c r="X41" s="292"/>
      <c r="Y41" s="292"/>
      <c r="Z41" s="292"/>
      <c r="AA41" s="292"/>
      <c r="AB41" s="292"/>
      <c r="AC41" s="292"/>
    </row>
    <row r="42">
      <c r="A42" s="965">
        <v>20.0</v>
      </c>
      <c r="B42" s="966" t="s">
        <v>498</v>
      </c>
      <c r="C42" s="967">
        <v>0.0</v>
      </c>
      <c r="D42" s="967">
        <v>0.0</v>
      </c>
      <c r="E42" s="967">
        <v>0.0</v>
      </c>
      <c r="F42" s="967">
        <v>0.0</v>
      </c>
      <c r="G42" s="967">
        <v>0.0</v>
      </c>
      <c r="H42" s="967">
        <v>0.0</v>
      </c>
      <c r="I42" s="967">
        <v>0.0</v>
      </c>
      <c r="J42" s="969" t="s">
        <v>469</v>
      </c>
      <c r="K42" s="969" t="s">
        <v>470</v>
      </c>
      <c r="L42" s="969" t="s">
        <v>471</v>
      </c>
      <c r="M42" s="969" t="s">
        <v>472</v>
      </c>
      <c r="N42" s="1006" t="s">
        <v>473</v>
      </c>
      <c r="O42" s="292"/>
      <c r="P42" s="292"/>
      <c r="Q42" s="292"/>
      <c r="R42" s="292"/>
      <c r="S42" s="292"/>
      <c r="T42" s="292"/>
      <c r="U42" s="292"/>
      <c r="V42" s="292"/>
      <c r="W42" s="292"/>
      <c r="X42" s="292"/>
      <c r="Y42" s="292"/>
      <c r="Z42" s="292"/>
      <c r="AA42" s="292"/>
      <c r="AB42" s="292"/>
      <c r="AC42" s="292"/>
    </row>
    <row r="43">
      <c r="A43" s="965">
        <v>21.0</v>
      </c>
      <c r="B43" s="966" t="s">
        <v>500</v>
      </c>
      <c r="C43" s="967">
        <v>0.0</v>
      </c>
      <c r="D43" s="967">
        <v>0.0</v>
      </c>
      <c r="E43" s="967">
        <v>0.0</v>
      </c>
      <c r="F43" s="967">
        <v>0.0</v>
      </c>
      <c r="G43" s="979">
        <v>0.018</v>
      </c>
      <c r="H43" s="967">
        <v>0.0</v>
      </c>
      <c r="I43" s="1063">
        <v>0.0831</v>
      </c>
      <c r="J43" s="969" t="s">
        <v>469</v>
      </c>
      <c r="K43" s="969" t="s">
        <v>470</v>
      </c>
      <c r="L43" s="969" t="s">
        <v>471</v>
      </c>
      <c r="M43" s="969" t="s">
        <v>472</v>
      </c>
      <c r="N43" s="1006" t="s">
        <v>473</v>
      </c>
      <c r="O43" s="292"/>
      <c r="P43" s="292"/>
      <c r="Q43" s="292"/>
      <c r="R43" s="292"/>
      <c r="S43" s="292"/>
      <c r="T43" s="292"/>
      <c r="U43" s="292"/>
      <c r="V43" s="292"/>
      <c r="W43" s="292"/>
      <c r="X43" s="292"/>
      <c r="Y43" s="292"/>
      <c r="Z43" s="292"/>
      <c r="AA43" s="292"/>
      <c r="AB43" s="292"/>
      <c r="AC43" s="292"/>
    </row>
    <row r="44">
      <c r="A44" s="965">
        <v>22.0</v>
      </c>
      <c r="B44" s="966" t="s">
        <v>49</v>
      </c>
      <c r="C44" s="1064">
        <v>0.0541</v>
      </c>
      <c r="D44" s="967">
        <v>0.0</v>
      </c>
      <c r="E44" s="1060">
        <v>0.0145</v>
      </c>
      <c r="F44" s="967">
        <v>0.0</v>
      </c>
      <c r="G44" s="967">
        <v>0.0</v>
      </c>
      <c r="H44" s="1065">
        <v>0.0067</v>
      </c>
      <c r="I44" s="967">
        <v>0.0</v>
      </c>
      <c r="J44" s="969" t="s">
        <v>469</v>
      </c>
      <c r="K44" s="969" t="s">
        <v>470</v>
      </c>
      <c r="L44" s="969" t="s">
        <v>471</v>
      </c>
      <c r="M44" s="969" t="s">
        <v>472</v>
      </c>
      <c r="N44" s="1006" t="s">
        <v>473</v>
      </c>
      <c r="O44" s="292"/>
      <c r="P44" s="292"/>
      <c r="Q44" s="292"/>
      <c r="R44" s="292"/>
      <c r="S44" s="292"/>
      <c r="T44" s="292"/>
      <c r="U44" s="292"/>
      <c r="V44" s="292"/>
      <c r="W44" s="292"/>
      <c r="X44" s="292"/>
      <c r="Y44" s="292"/>
      <c r="Z44" s="292"/>
      <c r="AA44" s="292"/>
      <c r="AB44" s="292"/>
      <c r="AC44" s="292"/>
    </row>
    <row r="45">
      <c r="A45" s="127"/>
      <c r="B45" s="127"/>
      <c r="C45" s="127"/>
      <c r="D45" s="127"/>
      <c r="E45" s="127"/>
      <c r="F45" s="127"/>
      <c r="G45" s="127"/>
      <c r="H45" s="127"/>
      <c r="I45" s="292"/>
      <c r="J45" s="292"/>
      <c r="K45" s="292"/>
      <c r="L45" s="292"/>
      <c r="M45" s="292"/>
      <c r="N45" s="292"/>
      <c r="O45" s="292"/>
      <c r="P45" s="292"/>
      <c r="Q45" s="292"/>
      <c r="R45" s="292"/>
      <c r="S45" s="292"/>
      <c r="T45" s="292"/>
      <c r="U45" s="292"/>
      <c r="V45" s="292"/>
      <c r="W45" s="292"/>
      <c r="X45" s="292"/>
      <c r="Y45" s="292"/>
      <c r="Z45" s="292"/>
      <c r="AA45" s="292"/>
      <c r="AB45" s="292"/>
      <c r="AC45" s="292"/>
    </row>
    <row r="46">
      <c r="A46" s="127"/>
      <c r="B46" s="127"/>
      <c r="C46" s="127"/>
      <c r="D46" s="127"/>
      <c r="E46" s="127"/>
      <c r="F46" s="127"/>
      <c r="G46" s="127"/>
      <c r="H46" s="127"/>
      <c r="I46" s="292"/>
      <c r="J46" s="292"/>
      <c r="K46" s="292"/>
      <c r="L46" s="292"/>
      <c r="M46" s="292"/>
      <c r="N46" s="292"/>
      <c r="O46" s="292"/>
      <c r="P46" s="292"/>
      <c r="Q46" s="292"/>
      <c r="R46" s="292"/>
      <c r="S46" s="292"/>
      <c r="T46" s="292"/>
      <c r="U46" s="292"/>
      <c r="V46" s="292"/>
      <c r="W46" s="292"/>
      <c r="X46" s="292"/>
      <c r="Y46" s="292"/>
      <c r="Z46" s="292"/>
      <c r="AA46" s="292"/>
      <c r="AB46" s="292"/>
      <c r="AC46" s="292"/>
    </row>
    <row r="47">
      <c r="A47" s="127"/>
      <c r="B47" s="292"/>
      <c r="C47" s="292"/>
      <c r="D47" s="1066" t="s">
        <v>502</v>
      </c>
      <c r="E47" s="1000"/>
      <c r="F47" s="127"/>
      <c r="G47" s="127"/>
      <c r="H47" s="127"/>
      <c r="I47" s="292"/>
      <c r="J47" s="292"/>
      <c r="K47" s="292"/>
      <c r="L47" s="292"/>
      <c r="M47" s="292"/>
      <c r="N47" s="292"/>
      <c r="O47" s="292"/>
      <c r="P47" s="292"/>
      <c r="Q47" s="292"/>
      <c r="R47" s="292"/>
      <c r="S47" s="292"/>
      <c r="T47" s="292"/>
      <c r="U47" s="292"/>
      <c r="V47" s="292"/>
      <c r="W47" s="292"/>
      <c r="X47" s="292"/>
      <c r="Y47" s="292"/>
      <c r="Z47" s="292"/>
      <c r="AA47" s="292"/>
      <c r="AB47" s="292"/>
      <c r="AC47" s="292"/>
    </row>
    <row r="48">
      <c r="A48" s="127"/>
      <c r="B48" s="292"/>
      <c r="C48" s="292"/>
      <c r="D48" s="964" t="s">
        <v>453</v>
      </c>
      <c r="E48" s="964" t="s">
        <v>503</v>
      </c>
      <c r="F48" s="127"/>
      <c r="G48" s="127"/>
      <c r="H48" s="127"/>
      <c r="I48" s="292"/>
      <c r="J48" s="292"/>
      <c r="K48" s="292"/>
      <c r="L48" s="292"/>
      <c r="M48" s="292"/>
      <c r="N48" s="292"/>
      <c r="O48" s="292"/>
      <c r="P48" s="292"/>
      <c r="Q48" s="292"/>
      <c r="R48" s="292"/>
      <c r="S48" s="292"/>
      <c r="T48" s="292"/>
      <c r="U48" s="292"/>
      <c r="V48" s="292"/>
      <c r="W48" s="292"/>
      <c r="X48" s="292"/>
      <c r="Y48" s="292"/>
      <c r="Z48" s="292"/>
      <c r="AA48" s="292"/>
      <c r="AB48" s="292"/>
      <c r="AC48" s="292"/>
    </row>
    <row r="49">
      <c r="A49" s="127"/>
      <c r="B49" s="292"/>
      <c r="C49" s="292"/>
      <c r="D49" s="966" t="s">
        <v>42</v>
      </c>
      <c r="E49" s="1067">
        <v>0.0202</v>
      </c>
      <c r="F49" s="127"/>
      <c r="G49" s="127"/>
      <c r="H49" s="127"/>
      <c r="I49" s="292"/>
      <c r="J49" s="292"/>
      <c r="K49" s="292"/>
      <c r="L49" s="292"/>
      <c r="M49" s="292"/>
      <c r="N49" s="292"/>
      <c r="O49" s="292"/>
      <c r="P49" s="292"/>
      <c r="Q49" s="292"/>
      <c r="R49" s="292"/>
      <c r="S49" s="292"/>
      <c r="T49" s="292"/>
      <c r="U49" s="292"/>
      <c r="V49" s="292"/>
      <c r="W49" s="292"/>
      <c r="X49" s="292"/>
      <c r="Y49" s="292"/>
      <c r="Z49" s="292"/>
      <c r="AA49" s="292"/>
      <c r="AB49" s="292"/>
      <c r="AC49" s="292"/>
    </row>
    <row r="50">
      <c r="A50" s="127"/>
      <c r="B50" s="292"/>
      <c r="C50" s="292"/>
      <c r="D50" s="966" t="s">
        <v>43</v>
      </c>
      <c r="E50" s="1067">
        <v>0.0449</v>
      </c>
      <c r="F50" s="127"/>
      <c r="G50" s="127"/>
      <c r="H50" s="127"/>
      <c r="I50" s="292"/>
      <c r="J50" s="292"/>
      <c r="K50" s="292"/>
      <c r="L50" s="292"/>
      <c r="M50" s="292"/>
      <c r="N50" s="292"/>
      <c r="O50" s="292"/>
      <c r="P50" s="292"/>
      <c r="Q50" s="292"/>
      <c r="R50" s="292"/>
      <c r="S50" s="292"/>
      <c r="T50" s="292"/>
      <c r="U50" s="292"/>
      <c r="V50" s="292"/>
      <c r="W50" s="292"/>
      <c r="X50" s="292"/>
      <c r="Y50" s="292"/>
      <c r="Z50" s="292"/>
      <c r="AA50" s="292"/>
      <c r="AB50" s="292"/>
      <c r="AC50" s="292"/>
    </row>
    <row r="51">
      <c r="A51" s="127"/>
      <c r="B51" s="292"/>
      <c r="C51" s="292"/>
      <c r="D51" s="966" t="s">
        <v>44</v>
      </c>
      <c r="E51" s="1067">
        <v>0.0023</v>
      </c>
      <c r="F51" s="127"/>
      <c r="G51" s="127"/>
      <c r="H51" s="127"/>
      <c r="I51" s="292"/>
      <c r="J51" s="292"/>
      <c r="K51" s="292"/>
      <c r="L51" s="292"/>
      <c r="M51" s="292"/>
      <c r="N51" s="292"/>
      <c r="O51" s="292"/>
      <c r="P51" s="292"/>
      <c r="Q51" s="292"/>
      <c r="R51" s="292"/>
      <c r="S51" s="292"/>
      <c r="T51" s="292"/>
      <c r="U51" s="292"/>
      <c r="V51" s="292"/>
      <c r="W51" s="292"/>
      <c r="X51" s="292"/>
      <c r="Y51" s="292"/>
      <c r="Z51" s="292"/>
      <c r="AA51" s="292"/>
      <c r="AB51" s="292"/>
      <c r="AC51" s="292"/>
    </row>
    <row r="52">
      <c r="A52" s="127"/>
      <c r="B52" s="292"/>
      <c r="C52" s="292"/>
      <c r="D52" s="966" t="s">
        <v>45</v>
      </c>
      <c r="E52" s="1067">
        <v>0.0154</v>
      </c>
      <c r="F52" s="127"/>
      <c r="G52" s="127"/>
      <c r="H52" s="127"/>
      <c r="I52" s="292"/>
      <c r="J52" s="292"/>
      <c r="K52" s="292"/>
      <c r="L52" s="292"/>
      <c r="M52" s="292"/>
      <c r="N52" s="292"/>
      <c r="O52" s="292"/>
      <c r="P52" s="292"/>
      <c r="Q52" s="292"/>
      <c r="R52" s="292"/>
      <c r="S52" s="292"/>
      <c r="T52" s="292"/>
      <c r="U52" s="292"/>
      <c r="V52" s="292"/>
      <c r="W52" s="292"/>
      <c r="X52" s="292"/>
      <c r="Y52" s="292"/>
      <c r="Z52" s="292"/>
      <c r="AA52" s="292"/>
      <c r="AB52" s="292"/>
      <c r="AC52" s="292"/>
    </row>
    <row r="53">
      <c r="A53" s="127"/>
      <c r="B53" s="292"/>
      <c r="C53" s="292"/>
      <c r="D53" s="966" t="s">
        <v>47</v>
      </c>
      <c r="E53" s="1067">
        <v>0.0176</v>
      </c>
      <c r="F53" s="127"/>
      <c r="G53" s="127"/>
      <c r="H53" s="127"/>
      <c r="I53" s="292"/>
      <c r="J53" s="292"/>
      <c r="K53" s="292"/>
      <c r="L53" s="292"/>
      <c r="M53" s="292"/>
      <c r="N53" s="292"/>
      <c r="O53" s="292"/>
      <c r="P53" s="292"/>
      <c r="Q53" s="292"/>
      <c r="R53" s="292"/>
      <c r="S53" s="292"/>
      <c r="T53" s="292"/>
      <c r="U53" s="292"/>
      <c r="V53" s="292"/>
      <c r="W53" s="292"/>
      <c r="X53" s="292"/>
      <c r="Y53" s="292"/>
      <c r="Z53" s="292"/>
      <c r="AA53" s="292"/>
      <c r="AB53" s="292"/>
      <c r="AC53" s="292"/>
    </row>
    <row r="54">
      <c r="A54" s="127"/>
      <c r="B54" s="292"/>
      <c r="C54" s="292"/>
      <c r="D54" s="966" t="s">
        <v>48</v>
      </c>
      <c r="E54" s="1067">
        <v>0.0135</v>
      </c>
      <c r="F54" s="127"/>
      <c r="G54" s="127"/>
      <c r="H54" s="127"/>
      <c r="I54" s="292"/>
      <c r="J54" s="292"/>
      <c r="K54" s="292"/>
      <c r="L54" s="292"/>
      <c r="M54" s="292"/>
      <c r="N54" s="292"/>
      <c r="O54" s="292"/>
      <c r="P54" s="292"/>
      <c r="Q54" s="292"/>
      <c r="R54" s="292"/>
      <c r="S54" s="292"/>
      <c r="T54" s="292"/>
      <c r="U54" s="292"/>
      <c r="V54" s="292"/>
      <c r="W54" s="292"/>
      <c r="X54" s="292"/>
      <c r="Y54" s="292"/>
      <c r="Z54" s="292"/>
      <c r="AA54" s="292"/>
      <c r="AB54" s="292"/>
      <c r="AC54" s="292"/>
    </row>
    <row r="55">
      <c r="A55" s="127"/>
      <c r="B55" s="292"/>
      <c r="C55" s="292"/>
      <c r="D55" s="966" t="s">
        <v>49</v>
      </c>
      <c r="E55" s="1067">
        <v>0.0043</v>
      </c>
      <c r="F55" s="127"/>
      <c r="G55" s="127"/>
      <c r="H55" s="127"/>
      <c r="I55" s="292"/>
      <c r="J55" s="292"/>
      <c r="K55" s="292"/>
      <c r="L55" s="292"/>
      <c r="M55" s="292"/>
      <c r="N55" s="292"/>
      <c r="O55" s="292"/>
      <c r="P55" s="292"/>
      <c r="Q55" s="292"/>
      <c r="R55" s="292"/>
      <c r="S55" s="292"/>
      <c r="T55" s="292"/>
      <c r="U55" s="292"/>
      <c r="V55" s="292"/>
      <c r="W55" s="292"/>
      <c r="X55" s="292"/>
      <c r="Y55" s="292"/>
      <c r="Z55" s="292"/>
      <c r="AA55" s="292"/>
      <c r="AB55" s="292"/>
      <c r="AC55" s="292"/>
    </row>
    <row r="56">
      <c r="A56" s="127"/>
      <c r="B56" s="292"/>
      <c r="C56" s="292"/>
      <c r="D56" s="1074" t="s">
        <v>18</v>
      </c>
      <c r="E56" s="1067">
        <v>0.0176</v>
      </c>
      <c r="F56" s="127"/>
      <c r="G56" s="127"/>
      <c r="H56" s="127"/>
      <c r="I56" s="292"/>
      <c r="J56" s="292"/>
      <c r="K56" s="292"/>
      <c r="L56" s="292"/>
      <c r="M56" s="292"/>
      <c r="N56" s="292"/>
      <c r="O56" s="292"/>
      <c r="P56" s="292"/>
      <c r="Q56" s="292"/>
      <c r="R56" s="292"/>
      <c r="S56" s="292"/>
      <c r="T56" s="292"/>
      <c r="U56" s="292"/>
      <c r="V56" s="292"/>
      <c r="W56" s="292"/>
      <c r="X56" s="292"/>
      <c r="Y56" s="292"/>
      <c r="Z56" s="292"/>
      <c r="AA56" s="292"/>
      <c r="AB56" s="292"/>
      <c r="AC56" s="292"/>
    </row>
    <row r="57">
      <c r="A57" s="292"/>
      <c r="B57" s="292"/>
      <c r="C57" s="292"/>
      <c r="D57" s="292"/>
      <c r="E57" s="292"/>
      <c r="F57" s="292"/>
      <c r="G57" s="292"/>
      <c r="H57" s="292"/>
      <c r="I57" s="292"/>
      <c r="J57" s="292"/>
      <c r="K57" s="292"/>
      <c r="L57" s="292"/>
      <c r="M57" s="292"/>
      <c r="N57" s="292"/>
      <c r="O57" s="292"/>
      <c r="P57" s="292"/>
      <c r="Q57" s="292"/>
      <c r="R57" s="292"/>
      <c r="S57" s="292"/>
      <c r="T57" s="292"/>
      <c r="U57" s="292"/>
      <c r="V57" s="292"/>
      <c r="W57" s="292"/>
      <c r="X57" s="292"/>
      <c r="Y57" s="292"/>
      <c r="Z57" s="292"/>
      <c r="AA57" s="292"/>
      <c r="AB57" s="292"/>
      <c r="AC57" s="292"/>
    </row>
    <row r="58">
      <c r="A58" s="292"/>
      <c r="B58" s="292"/>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row>
    <row r="59">
      <c r="A59" s="292"/>
      <c r="B59" s="292"/>
      <c r="C59" s="292"/>
      <c r="D59" s="292"/>
      <c r="E59" s="292"/>
      <c r="F59" s="292"/>
      <c r="G59" s="292"/>
      <c r="H59" s="292"/>
      <c r="I59" s="292"/>
      <c r="J59" s="292"/>
      <c r="K59" s="292"/>
      <c r="L59" s="292"/>
      <c r="M59" s="292"/>
      <c r="N59" s="292"/>
      <c r="O59" s="292"/>
      <c r="P59" s="292"/>
      <c r="Q59" s="292"/>
      <c r="R59" s="292"/>
      <c r="S59" s="292"/>
      <c r="T59" s="292"/>
      <c r="U59" s="292"/>
      <c r="V59" s="292"/>
      <c r="W59" s="292"/>
      <c r="X59" s="292"/>
      <c r="Y59" s="292"/>
      <c r="Z59" s="292"/>
      <c r="AA59" s="292"/>
      <c r="AB59" s="292"/>
      <c r="AC59" s="292"/>
    </row>
    <row r="60">
      <c r="A60" s="292"/>
      <c r="B60" s="292"/>
      <c r="C60" s="292"/>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c r="AC60" s="292"/>
    </row>
    <row r="61">
      <c r="A61" s="292"/>
      <c r="B61" s="292"/>
      <c r="C61" s="292"/>
      <c r="D61" s="292"/>
      <c r="E61" s="292"/>
      <c r="F61" s="292"/>
      <c r="G61" s="292"/>
      <c r="H61" s="292"/>
      <c r="I61" s="292"/>
      <c r="J61" s="292"/>
      <c r="K61" s="292"/>
      <c r="L61" s="292"/>
      <c r="M61" s="292"/>
      <c r="N61" s="292"/>
      <c r="O61" s="292"/>
      <c r="P61" s="292"/>
      <c r="Q61" s="292"/>
      <c r="R61" s="292"/>
      <c r="S61" s="292"/>
      <c r="T61" s="292"/>
      <c r="U61" s="292"/>
      <c r="V61" s="292"/>
      <c r="W61" s="292"/>
      <c r="X61" s="292"/>
      <c r="Y61" s="292"/>
      <c r="Z61" s="292"/>
      <c r="AA61" s="292"/>
      <c r="AB61" s="292"/>
      <c r="AC61" s="292"/>
    </row>
    <row r="62">
      <c r="A62" s="292"/>
      <c r="B62" s="292"/>
      <c r="C62" s="292"/>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c r="AC62" s="292"/>
    </row>
    <row r="63">
      <c r="A63" s="292"/>
      <c r="B63" s="292"/>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row>
    <row r="64">
      <c r="A64" s="292"/>
      <c r="B64" s="292"/>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row>
    <row r="65">
      <c r="A65" s="292"/>
      <c r="B65" s="292"/>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row>
    <row r="66">
      <c r="A66" s="292"/>
      <c r="B66" s="292"/>
      <c r="C66" s="292"/>
      <c r="D66" s="292"/>
      <c r="E66" s="292"/>
      <c r="F66" s="292"/>
      <c r="G66" s="292"/>
      <c r="H66" s="292"/>
      <c r="I66" s="292"/>
      <c r="J66" s="292"/>
      <c r="K66" s="292"/>
      <c r="L66" s="292"/>
      <c r="M66" s="292"/>
      <c r="N66" s="292"/>
      <c r="O66" s="292"/>
      <c r="P66" s="292"/>
      <c r="Q66" s="292"/>
      <c r="R66" s="292"/>
      <c r="S66" s="292"/>
      <c r="T66" s="292"/>
      <c r="U66" s="292"/>
      <c r="V66" s="292"/>
      <c r="W66" s="292"/>
      <c r="X66" s="292"/>
      <c r="Y66" s="292"/>
      <c r="Z66" s="292"/>
      <c r="AA66" s="292"/>
      <c r="AB66" s="292"/>
      <c r="AC66" s="292"/>
    </row>
    <row r="67">
      <c r="A67" s="292"/>
      <c r="B67" s="292"/>
      <c r="C67" s="292"/>
      <c r="D67" s="292"/>
      <c r="E67" s="292"/>
      <c r="F67" s="292"/>
      <c r="G67" s="292"/>
      <c r="H67" s="292"/>
      <c r="I67" s="292"/>
      <c r="J67" s="292"/>
      <c r="K67" s="292"/>
      <c r="L67" s="292"/>
      <c r="M67" s="292"/>
      <c r="N67" s="292"/>
      <c r="O67" s="292"/>
      <c r="P67" s="292"/>
      <c r="Q67" s="292"/>
      <c r="R67" s="292"/>
      <c r="S67" s="292"/>
      <c r="T67" s="292"/>
      <c r="U67" s="292"/>
      <c r="V67" s="292"/>
      <c r="W67" s="292"/>
      <c r="X67" s="292"/>
      <c r="Y67" s="292"/>
      <c r="Z67" s="292"/>
      <c r="AA67" s="292"/>
      <c r="AB67" s="292"/>
      <c r="AC67" s="292"/>
    </row>
    <row r="68">
      <c r="A68" s="292"/>
      <c r="B68" s="292"/>
      <c r="C68" s="292"/>
      <c r="D68" s="292"/>
      <c r="E68" s="292"/>
      <c r="F68" s="292"/>
      <c r="G68" s="292"/>
      <c r="H68" s="292"/>
      <c r="I68" s="292"/>
      <c r="J68" s="292"/>
      <c r="K68" s="292"/>
      <c r="L68" s="292"/>
      <c r="M68" s="292"/>
      <c r="N68" s="292"/>
      <c r="O68" s="292"/>
      <c r="P68" s="292"/>
      <c r="Q68" s="292"/>
      <c r="R68" s="292"/>
      <c r="S68" s="292"/>
      <c r="T68" s="292"/>
      <c r="U68" s="292"/>
      <c r="V68" s="292"/>
      <c r="W68" s="292"/>
      <c r="X68" s="292"/>
      <c r="Y68" s="292"/>
      <c r="Z68" s="292"/>
      <c r="AA68" s="292"/>
      <c r="AB68" s="292"/>
      <c r="AC68" s="292"/>
    </row>
    <row r="69">
      <c r="A69" s="292"/>
      <c r="B69" s="292"/>
      <c r="C69" s="292"/>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c r="AC69" s="292"/>
    </row>
    <row r="70">
      <c r="A70" s="292"/>
      <c r="B70" s="292"/>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row>
    <row r="71">
      <c r="A71" s="292"/>
      <c r="B71" s="292"/>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row>
    <row r="72">
      <c r="A72" s="292"/>
      <c r="B72" s="292"/>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row>
    <row r="73">
      <c r="A73" s="292"/>
      <c r="B73" s="292"/>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row>
    <row r="74">
      <c r="A74" s="292"/>
      <c r="B74" s="292"/>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row>
    <row r="75">
      <c r="A75" s="292"/>
      <c r="B75" s="292"/>
      <c r="C75" s="292"/>
      <c r="D75" s="292"/>
      <c r="E75" s="292"/>
      <c r="F75" s="292"/>
      <c r="G75" s="292"/>
      <c r="H75" s="292"/>
      <c r="I75" s="292"/>
      <c r="J75" s="292"/>
      <c r="K75" s="292"/>
      <c r="L75" s="292"/>
      <c r="M75" s="292"/>
      <c r="N75" s="292"/>
      <c r="O75" s="292"/>
      <c r="P75" s="292"/>
      <c r="Q75" s="292"/>
      <c r="R75" s="292"/>
      <c r="S75" s="292"/>
      <c r="T75" s="292"/>
      <c r="U75" s="292"/>
      <c r="V75" s="292"/>
      <c r="W75" s="292"/>
      <c r="X75" s="292"/>
      <c r="Y75" s="292"/>
      <c r="Z75" s="292"/>
      <c r="AA75" s="292"/>
      <c r="AB75" s="292"/>
      <c r="AC75" s="292"/>
    </row>
    <row r="76">
      <c r="A76" s="292"/>
      <c r="B76" s="292"/>
      <c r="C76" s="292"/>
      <c r="D76" s="292"/>
      <c r="E76" s="292"/>
      <c r="F76" s="292"/>
      <c r="G76" s="292"/>
      <c r="H76" s="292"/>
      <c r="I76" s="292"/>
      <c r="J76" s="292"/>
      <c r="K76" s="292"/>
      <c r="L76" s="292"/>
      <c r="M76" s="292"/>
      <c r="N76" s="292"/>
      <c r="O76" s="292"/>
      <c r="P76" s="292"/>
      <c r="Q76" s="292"/>
      <c r="R76" s="292"/>
      <c r="S76" s="292"/>
      <c r="T76" s="292"/>
      <c r="U76" s="292"/>
      <c r="V76" s="292"/>
      <c r="W76" s="292"/>
      <c r="X76" s="292"/>
      <c r="Y76" s="292"/>
      <c r="Z76" s="292"/>
      <c r="AA76" s="292"/>
      <c r="AB76" s="292"/>
      <c r="AC76" s="292"/>
    </row>
    <row r="77">
      <c r="A77" s="292"/>
      <c r="B77" s="292"/>
      <c r="C77" s="292"/>
      <c r="D77" s="292"/>
      <c r="E77" s="292"/>
      <c r="F77" s="292"/>
      <c r="G77" s="292"/>
      <c r="H77" s="292"/>
      <c r="I77" s="292"/>
      <c r="J77" s="292"/>
      <c r="K77" s="292"/>
      <c r="L77" s="292"/>
      <c r="M77" s="292"/>
      <c r="N77" s="292"/>
      <c r="O77" s="292"/>
      <c r="P77" s="292"/>
      <c r="Q77" s="292"/>
      <c r="R77" s="292"/>
      <c r="S77" s="292"/>
      <c r="T77" s="292"/>
      <c r="U77" s="292"/>
      <c r="V77" s="292"/>
      <c r="W77" s="292"/>
      <c r="X77" s="292"/>
      <c r="Y77" s="292"/>
      <c r="Z77" s="292"/>
      <c r="AA77" s="292"/>
      <c r="AB77" s="292"/>
      <c r="AC77" s="292"/>
    </row>
    <row r="78">
      <c r="A78" s="292"/>
      <c r="B78" s="292"/>
      <c r="C78" s="292"/>
      <c r="D78" s="292"/>
      <c r="E78" s="292"/>
      <c r="F78" s="292"/>
      <c r="G78" s="292"/>
      <c r="H78" s="292"/>
      <c r="I78" s="292"/>
      <c r="J78" s="292"/>
      <c r="K78" s="292"/>
      <c r="L78" s="292"/>
      <c r="M78" s="292"/>
      <c r="N78" s="292"/>
      <c r="O78" s="292"/>
      <c r="P78" s="292"/>
      <c r="Q78" s="292"/>
      <c r="R78" s="292"/>
      <c r="S78" s="292"/>
      <c r="T78" s="292"/>
      <c r="U78" s="292"/>
      <c r="V78" s="292"/>
      <c r="W78" s="292"/>
      <c r="X78" s="292"/>
      <c r="Y78" s="292"/>
      <c r="Z78" s="292"/>
      <c r="AA78" s="292"/>
      <c r="AB78" s="292"/>
      <c r="AC78" s="292"/>
    </row>
    <row r="79">
      <c r="A79" s="292"/>
      <c r="B79" s="292"/>
      <c r="C79" s="292"/>
      <c r="D79" s="292"/>
      <c r="E79" s="292"/>
      <c r="F79" s="292"/>
      <c r="G79" s="292"/>
      <c r="H79" s="292"/>
      <c r="I79" s="292"/>
      <c r="J79" s="292"/>
      <c r="K79" s="292"/>
      <c r="L79" s="292"/>
      <c r="M79" s="292"/>
      <c r="N79" s="292"/>
      <c r="O79" s="292"/>
      <c r="P79" s="292"/>
      <c r="Q79" s="292"/>
      <c r="R79" s="292"/>
      <c r="S79" s="292"/>
      <c r="T79" s="292"/>
      <c r="U79" s="292"/>
      <c r="V79" s="292"/>
      <c r="W79" s="292"/>
      <c r="X79" s="292"/>
      <c r="Y79" s="292"/>
      <c r="Z79" s="292"/>
      <c r="AA79" s="292"/>
      <c r="AB79" s="292"/>
      <c r="AC79" s="292"/>
    </row>
    <row r="80">
      <c r="A80" s="292"/>
      <c r="B80" s="292"/>
      <c r="C80" s="292"/>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c r="AC80" s="292"/>
    </row>
    <row r="81">
      <c r="A81" s="292"/>
      <c r="B81" s="292"/>
      <c r="C81" s="292"/>
      <c r="D81" s="292"/>
      <c r="E81" s="292"/>
      <c r="F81" s="292"/>
      <c r="G81" s="292"/>
      <c r="H81" s="292"/>
      <c r="I81" s="292"/>
      <c r="J81" s="292"/>
      <c r="K81" s="292"/>
      <c r="L81" s="292"/>
      <c r="M81" s="292"/>
      <c r="N81" s="292"/>
      <c r="O81" s="292"/>
      <c r="P81" s="292"/>
      <c r="Q81" s="292"/>
      <c r="R81" s="292"/>
      <c r="S81" s="292"/>
      <c r="T81" s="292"/>
      <c r="U81" s="292"/>
      <c r="V81" s="292"/>
      <c r="W81" s="292"/>
      <c r="X81" s="292"/>
      <c r="Y81" s="292"/>
      <c r="Z81" s="292"/>
      <c r="AA81" s="292"/>
      <c r="AB81" s="292"/>
      <c r="AC81" s="292"/>
    </row>
    <row r="82">
      <c r="A82" s="292"/>
      <c r="B82" s="292"/>
      <c r="C82" s="292"/>
      <c r="D82" s="292"/>
      <c r="E82" s="292"/>
      <c r="F82" s="292"/>
      <c r="G82" s="292"/>
      <c r="H82" s="292"/>
      <c r="I82" s="292"/>
      <c r="J82" s="292"/>
      <c r="K82" s="292"/>
      <c r="L82" s="292"/>
      <c r="M82" s="292"/>
      <c r="N82" s="292"/>
      <c r="O82" s="292"/>
      <c r="P82" s="292"/>
      <c r="Q82" s="292"/>
      <c r="R82" s="292"/>
      <c r="S82" s="292"/>
      <c r="T82" s="292"/>
      <c r="U82" s="292"/>
      <c r="V82" s="292"/>
      <c r="W82" s="292"/>
      <c r="X82" s="292"/>
      <c r="Y82" s="292"/>
      <c r="Z82" s="292"/>
      <c r="AA82" s="292"/>
      <c r="AB82" s="292"/>
      <c r="AC82" s="292"/>
    </row>
    <row r="83">
      <c r="A83" s="292"/>
      <c r="B83" s="292"/>
      <c r="C83" s="292"/>
      <c r="D83" s="292"/>
      <c r="E83" s="292"/>
      <c r="F83" s="292"/>
      <c r="G83" s="292"/>
      <c r="H83" s="292"/>
      <c r="I83" s="292"/>
      <c r="J83" s="292"/>
      <c r="K83" s="292"/>
      <c r="L83" s="292"/>
      <c r="M83" s="292"/>
      <c r="N83" s="292"/>
      <c r="O83" s="292"/>
      <c r="P83" s="292"/>
      <c r="Q83" s="292"/>
      <c r="R83" s="292"/>
      <c r="S83" s="292"/>
      <c r="T83" s="292"/>
      <c r="U83" s="292"/>
      <c r="V83" s="292"/>
      <c r="W83" s="292"/>
      <c r="X83" s="292"/>
      <c r="Y83" s="292"/>
      <c r="Z83" s="292"/>
      <c r="AA83" s="292"/>
      <c r="AB83" s="292"/>
      <c r="AC83" s="292"/>
    </row>
    <row r="84">
      <c r="A84" s="292"/>
      <c r="B84" s="292"/>
      <c r="C84" s="292"/>
      <c r="D84" s="292"/>
      <c r="E84" s="292"/>
      <c r="F84" s="292"/>
      <c r="G84" s="292"/>
      <c r="H84" s="292"/>
      <c r="I84" s="292"/>
      <c r="J84" s="292"/>
      <c r="K84" s="292"/>
      <c r="L84" s="292"/>
      <c r="M84" s="292"/>
      <c r="N84" s="292"/>
      <c r="O84" s="292"/>
      <c r="P84" s="292"/>
      <c r="Q84" s="292"/>
      <c r="R84" s="292"/>
      <c r="S84" s="292"/>
      <c r="T84" s="292"/>
      <c r="U84" s="292"/>
      <c r="V84" s="292"/>
      <c r="W84" s="292"/>
      <c r="X84" s="292"/>
      <c r="Y84" s="292"/>
      <c r="Z84" s="292"/>
      <c r="AA84" s="292"/>
      <c r="AB84" s="292"/>
      <c r="AC84" s="292"/>
    </row>
    <row r="85">
      <c r="A85" s="292"/>
      <c r="B85" s="292"/>
      <c r="C85" s="292"/>
      <c r="D85" s="292"/>
      <c r="E85" s="292"/>
      <c r="F85" s="292"/>
      <c r="G85" s="292"/>
      <c r="H85" s="292"/>
      <c r="I85" s="292"/>
      <c r="J85" s="292"/>
      <c r="K85" s="292"/>
      <c r="L85" s="292"/>
      <c r="M85" s="292"/>
      <c r="N85" s="292"/>
      <c r="O85" s="292"/>
      <c r="P85" s="292"/>
      <c r="Q85" s="292"/>
      <c r="R85" s="292"/>
      <c r="S85" s="292"/>
      <c r="T85" s="292"/>
      <c r="U85" s="292"/>
      <c r="V85" s="292"/>
      <c r="W85" s="292"/>
      <c r="X85" s="292"/>
      <c r="Y85" s="292"/>
      <c r="Z85" s="292"/>
      <c r="AA85" s="292"/>
      <c r="AB85" s="292"/>
      <c r="AC85" s="292"/>
    </row>
    <row r="86">
      <c r="A86" s="292"/>
      <c r="B86" s="292"/>
      <c r="C86" s="292"/>
      <c r="D86" s="292"/>
      <c r="E86" s="292"/>
      <c r="F86" s="292"/>
      <c r="G86" s="292"/>
      <c r="H86" s="292"/>
      <c r="I86" s="292"/>
      <c r="J86" s="292"/>
      <c r="K86" s="292"/>
      <c r="L86" s="292"/>
      <c r="M86" s="292"/>
      <c r="N86" s="292"/>
      <c r="O86" s="292"/>
      <c r="P86" s="292"/>
      <c r="Q86" s="292"/>
      <c r="R86" s="292"/>
      <c r="S86" s="292"/>
      <c r="T86" s="292"/>
      <c r="U86" s="292"/>
      <c r="V86" s="292"/>
      <c r="W86" s="292"/>
      <c r="X86" s="292"/>
      <c r="Y86" s="292"/>
      <c r="Z86" s="292"/>
      <c r="AA86" s="292"/>
      <c r="AB86" s="292"/>
      <c r="AC86" s="292"/>
    </row>
    <row r="87">
      <c r="A87" s="292"/>
      <c r="B87" s="292"/>
      <c r="C87" s="292"/>
      <c r="D87" s="292"/>
      <c r="E87" s="292"/>
      <c r="F87" s="292"/>
      <c r="G87" s="292"/>
      <c r="H87" s="292"/>
      <c r="I87" s="292"/>
      <c r="J87" s="292"/>
      <c r="K87" s="292"/>
      <c r="L87" s="292"/>
      <c r="M87" s="292"/>
      <c r="N87" s="292"/>
      <c r="O87" s="292"/>
      <c r="P87" s="292"/>
      <c r="Q87" s="292"/>
      <c r="R87" s="292"/>
      <c r="S87" s="292"/>
      <c r="T87" s="292"/>
      <c r="U87" s="292"/>
      <c r="V87" s="292"/>
      <c r="W87" s="292"/>
      <c r="X87" s="292"/>
      <c r="Y87" s="292"/>
      <c r="Z87" s="292"/>
      <c r="AA87" s="292"/>
      <c r="AB87" s="292"/>
      <c r="AC87" s="292"/>
    </row>
    <row r="88">
      <c r="A88" s="292"/>
      <c r="B88" s="292"/>
      <c r="C88" s="292"/>
      <c r="D88" s="292"/>
      <c r="E88" s="292"/>
      <c r="F88" s="292"/>
      <c r="G88" s="292"/>
      <c r="H88" s="292"/>
      <c r="I88" s="292"/>
      <c r="J88" s="292"/>
      <c r="K88" s="292"/>
      <c r="L88" s="292"/>
      <c r="M88" s="292"/>
      <c r="N88" s="292"/>
      <c r="O88" s="292"/>
      <c r="P88" s="292"/>
      <c r="Q88" s="292"/>
      <c r="R88" s="292"/>
      <c r="S88" s="292"/>
      <c r="T88" s="292"/>
      <c r="U88" s="292"/>
      <c r="V88" s="292"/>
      <c r="W88" s="292"/>
      <c r="X88" s="292"/>
      <c r="Y88" s="292"/>
      <c r="Z88" s="292"/>
      <c r="AA88" s="292"/>
      <c r="AB88" s="292"/>
      <c r="AC88" s="292"/>
    </row>
    <row r="89">
      <c r="A89" s="292"/>
      <c r="B89" s="292"/>
      <c r="C89" s="292"/>
      <c r="D89" s="292"/>
      <c r="E89" s="292"/>
      <c r="F89" s="292"/>
      <c r="G89" s="292"/>
      <c r="H89" s="292"/>
      <c r="I89" s="292"/>
      <c r="J89" s="292"/>
      <c r="K89" s="292"/>
      <c r="L89" s="292"/>
      <c r="M89" s="292"/>
      <c r="N89" s="292"/>
      <c r="O89" s="292"/>
      <c r="P89" s="292"/>
      <c r="Q89" s="292"/>
      <c r="R89" s="292"/>
      <c r="S89" s="292"/>
      <c r="T89" s="292"/>
      <c r="U89" s="292"/>
      <c r="V89" s="292"/>
      <c r="W89" s="292"/>
      <c r="X89" s="292"/>
      <c r="Y89" s="292"/>
      <c r="Z89" s="292"/>
      <c r="AA89" s="292"/>
      <c r="AB89" s="292"/>
      <c r="AC89" s="292"/>
    </row>
    <row r="90">
      <c r="A90" s="292"/>
      <c r="B90" s="292"/>
      <c r="C90" s="292"/>
      <c r="D90" s="292"/>
      <c r="E90" s="292"/>
      <c r="F90" s="292"/>
      <c r="G90" s="292"/>
      <c r="H90" s="292"/>
      <c r="I90" s="292"/>
      <c r="J90" s="292"/>
      <c r="K90" s="292"/>
      <c r="L90" s="292"/>
      <c r="M90" s="292"/>
      <c r="N90" s="292"/>
      <c r="O90" s="292"/>
      <c r="P90" s="292"/>
      <c r="Q90" s="292"/>
      <c r="R90" s="292"/>
      <c r="S90" s="292"/>
      <c r="T90" s="292"/>
      <c r="U90" s="292"/>
      <c r="V90" s="292"/>
      <c r="W90" s="292"/>
      <c r="X90" s="292"/>
      <c r="Y90" s="292"/>
      <c r="Z90" s="292"/>
      <c r="AA90" s="292"/>
      <c r="AB90" s="292"/>
      <c r="AC90" s="292"/>
    </row>
    <row r="91">
      <c r="A91" s="292"/>
      <c r="B91" s="292"/>
      <c r="C91" s="292"/>
      <c r="D91" s="292"/>
      <c r="E91" s="292"/>
      <c r="F91" s="292"/>
      <c r="G91" s="292"/>
      <c r="H91" s="292"/>
      <c r="I91" s="292"/>
      <c r="J91" s="292"/>
      <c r="K91" s="292"/>
      <c r="L91" s="292"/>
      <c r="M91" s="292"/>
      <c r="N91" s="292"/>
      <c r="O91" s="292"/>
      <c r="P91" s="292"/>
      <c r="Q91" s="292"/>
      <c r="R91" s="292"/>
      <c r="S91" s="292"/>
      <c r="T91" s="292"/>
      <c r="U91" s="292"/>
      <c r="V91" s="292"/>
      <c r="W91" s="292"/>
      <c r="X91" s="292"/>
      <c r="Y91" s="292"/>
      <c r="Z91" s="292"/>
      <c r="AA91" s="292"/>
      <c r="AB91" s="292"/>
      <c r="AC91" s="292"/>
    </row>
    <row r="92">
      <c r="A92" s="292"/>
      <c r="B92" s="292"/>
      <c r="C92" s="292"/>
      <c r="D92" s="292"/>
      <c r="E92" s="292"/>
      <c r="F92" s="292"/>
      <c r="G92" s="292"/>
      <c r="H92" s="292"/>
      <c r="I92" s="292"/>
      <c r="J92" s="292"/>
      <c r="K92" s="292"/>
      <c r="L92" s="292"/>
      <c r="M92" s="292"/>
      <c r="N92" s="292"/>
      <c r="O92" s="292"/>
      <c r="P92" s="292"/>
      <c r="Q92" s="292"/>
      <c r="R92" s="292"/>
      <c r="S92" s="292"/>
      <c r="T92" s="292"/>
      <c r="U92" s="292"/>
      <c r="V92" s="292"/>
      <c r="W92" s="292"/>
      <c r="X92" s="292"/>
      <c r="Y92" s="292"/>
      <c r="Z92" s="292"/>
      <c r="AA92" s="292"/>
      <c r="AB92" s="292"/>
      <c r="AC92" s="292"/>
    </row>
    <row r="93">
      <c r="A93" s="292"/>
      <c r="B93" s="292"/>
      <c r="C93" s="292"/>
      <c r="D93" s="292"/>
      <c r="E93" s="292"/>
      <c r="F93" s="292"/>
      <c r="G93" s="292"/>
      <c r="H93" s="292"/>
      <c r="I93" s="292"/>
      <c r="J93" s="292"/>
      <c r="K93" s="292"/>
      <c r="L93" s="292"/>
      <c r="M93" s="292"/>
      <c r="N93" s="292"/>
      <c r="O93" s="292"/>
      <c r="P93" s="292"/>
      <c r="Q93" s="292"/>
      <c r="R93" s="292"/>
      <c r="S93" s="292"/>
      <c r="T93" s="292"/>
      <c r="U93" s="292"/>
      <c r="V93" s="292"/>
      <c r="W93" s="292"/>
      <c r="X93" s="292"/>
      <c r="Y93" s="292"/>
      <c r="Z93" s="292"/>
      <c r="AA93" s="292"/>
      <c r="AB93" s="292"/>
      <c r="AC93" s="292"/>
    </row>
    <row r="94">
      <c r="A94" s="292"/>
      <c r="B94" s="292"/>
      <c r="C94" s="292"/>
      <c r="D94" s="292"/>
      <c r="E94" s="292"/>
      <c r="F94" s="292"/>
      <c r="G94" s="292"/>
      <c r="H94" s="292"/>
      <c r="I94" s="292"/>
      <c r="J94" s="292"/>
      <c r="K94" s="292"/>
      <c r="L94" s="292"/>
      <c r="M94" s="292"/>
      <c r="N94" s="292"/>
      <c r="O94" s="292"/>
      <c r="P94" s="292"/>
      <c r="Q94" s="292"/>
      <c r="R94" s="292"/>
      <c r="S94" s="292"/>
      <c r="T94" s="292"/>
      <c r="U94" s="292"/>
      <c r="V94" s="292"/>
      <c r="W94" s="292"/>
      <c r="X94" s="292"/>
      <c r="Y94" s="292"/>
      <c r="Z94" s="292"/>
      <c r="AA94" s="292"/>
      <c r="AB94" s="292"/>
      <c r="AC94" s="292"/>
    </row>
    <row r="95">
      <c r="A95" s="292"/>
      <c r="B95" s="292"/>
      <c r="C95" s="292"/>
      <c r="D95" s="292"/>
      <c r="E95" s="292"/>
      <c r="F95" s="292"/>
      <c r="G95" s="292"/>
      <c r="H95" s="292"/>
      <c r="I95" s="292"/>
      <c r="J95" s="292"/>
      <c r="K95" s="292"/>
      <c r="L95" s="292"/>
      <c r="M95" s="292"/>
      <c r="N95" s="292"/>
      <c r="O95" s="292"/>
      <c r="P95" s="292"/>
      <c r="Q95" s="292"/>
      <c r="R95" s="292"/>
      <c r="S95" s="292"/>
      <c r="T95" s="292"/>
      <c r="U95" s="292"/>
      <c r="V95" s="292"/>
      <c r="W95" s="292"/>
      <c r="X95" s="292"/>
      <c r="Y95" s="292"/>
      <c r="Z95" s="292"/>
      <c r="AA95" s="292"/>
      <c r="AB95" s="292"/>
      <c r="AC95" s="292"/>
    </row>
    <row r="96">
      <c r="A96" s="292"/>
      <c r="B96" s="292"/>
      <c r="C96" s="292"/>
      <c r="D96" s="292"/>
      <c r="E96" s="292"/>
      <c r="F96" s="292"/>
      <c r="G96" s="292"/>
      <c r="H96" s="292"/>
      <c r="I96" s="292"/>
      <c r="J96" s="292"/>
      <c r="K96" s="292"/>
      <c r="L96" s="292"/>
      <c r="M96" s="292"/>
      <c r="N96" s="292"/>
      <c r="O96" s="292"/>
      <c r="P96" s="292"/>
      <c r="Q96" s="292"/>
      <c r="R96" s="292"/>
      <c r="S96" s="292"/>
      <c r="T96" s="292"/>
      <c r="U96" s="292"/>
      <c r="V96" s="292"/>
      <c r="W96" s="292"/>
      <c r="X96" s="292"/>
      <c r="Y96" s="292"/>
      <c r="Z96" s="292"/>
      <c r="AA96" s="292"/>
      <c r="AB96" s="292"/>
      <c r="AC96" s="292"/>
    </row>
    <row r="97">
      <c r="A97" s="292"/>
      <c r="B97" s="292"/>
      <c r="C97" s="292"/>
      <c r="D97" s="292"/>
      <c r="E97" s="292"/>
      <c r="F97" s="292"/>
      <c r="G97" s="292"/>
      <c r="H97" s="292"/>
      <c r="I97" s="292"/>
      <c r="J97" s="292"/>
      <c r="K97" s="292"/>
      <c r="L97" s="292"/>
      <c r="M97" s="292"/>
      <c r="N97" s="292"/>
      <c r="O97" s="292"/>
      <c r="P97" s="292"/>
      <c r="Q97" s="292"/>
      <c r="R97" s="292"/>
      <c r="S97" s="292"/>
      <c r="T97" s="292"/>
      <c r="U97" s="292"/>
      <c r="V97" s="292"/>
      <c r="W97" s="292"/>
      <c r="X97" s="292"/>
      <c r="Y97" s="292"/>
      <c r="Z97" s="292"/>
      <c r="AA97" s="292"/>
      <c r="AB97" s="292"/>
      <c r="AC97" s="292"/>
    </row>
    <row r="98">
      <c r="A98" s="292"/>
      <c r="B98" s="292"/>
      <c r="C98" s="292"/>
      <c r="D98" s="292"/>
      <c r="E98" s="292"/>
      <c r="F98" s="292"/>
      <c r="G98" s="292"/>
      <c r="H98" s="292"/>
      <c r="I98" s="292"/>
      <c r="J98" s="292"/>
      <c r="K98" s="292"/>
      <c r="L98" s="292"/>
      <c r="M98" s="292"/>
      <c r="N98" s="292"/>
      <c r="O98" s="292"/>
      <c r="P98" s="292"/>
      <c r="Q98" s="292"/>
      <c r="R98" s="292"/>
      <c r="S98" s="292"/>
      <c r="T98" s="292"/>
      <c r="U98" s="292"/>
      <c r="V98" s="292"/>
      <c r="W98" s="292"/>
      <c r="X98" s="292"/>
      <c r="Y98" s="292"/>
      <c r="Z98" s="292"/>
      <c r="AA98" s="292"/>
      <c r="AB98" s="292"/>
      <c r="AC98" s="292"/>
    </row>
    <row r="99">
      <c r="A99" s="292"/>
      <c r="B99" s="292"/>
      <c r="C99" s="292"/>
      <c r="D99" s="292"/>
      <c r="E99" s="292"/>
      <c r="F99" s="292"/>
      <c r="G99" s="292"/>
      <c r="H99" s="292"/>
      <c r="I99" s="292"/>
      <c r="J99" s="292"/>
      <c r="K99" s="292"/>
      <c r="L99" s="292"/>
      <c r="M99" s="292"/>
      <c r="N99" s="292"/>
      <c r="O99" s="292"/>
      <c r="P99" s="292"/>
      <c r="Q99" s="292"/>
      <c r="R99" s="292"/>
      <c r="S99" s="292"/>
      <c r="T99" s="292"/>
      <c r="U99" s="292"/>
      <c r="V99" s="292"/>
      <c r="W99" s="292"/>
      <c r="X99" s="292"/>
      <c r="Y99" s="292"/>
      <c r="Z99" s="292"/>
      <c r="AA99" s="292"/>
      <c r="AB99" s="292"/>
      <c r="AC99" s="292"/>
    </row>
    <row r="100">
      <c r="A100" s="292"/>
      <c r="B100" s="292"/>
      <c r="C100" s="292"/>
      <c r="D100" s="292"/>
      <c r="E100" s="292"/>
      <c r="F100" s="292"/>
      <c r="G100" s="292"/>
      <c r="H100" s="292"/>
      <c r="I100" s="292"/>
      <c r="J100" s="292"/>
      <c r="K100" s="292"/>
      <c r="L100" s="292"/>
      <c r="M100" s="292"/>
      <c r="N100" s="292"/>
      <c r="O100" s="292"/>
      <c r="P100" s="292"/>
      <c r="Q100" s="292"/>
      <c r="R100" s="292"/>
      <c r="S100" s="292"/>
      <c r="T100" s="292"/>
      <c r="U100" s="292"/>
      <c r="V100" s="292"/>
      <c r="W100" s="292"/>
      <c r="X100" s="292"/>
      <c r="Y100" s="292"/>
      <c r="Z100" s="292"/>
      <c r="AA100" s="292"/>
      <c r="AB100" s="292"/>
      <c r="AC100" s="292"/>
    </row>
    <row r="101">
      <c r="A101" s="292"/>
      <c r="B101" s="292"/>
      <c r="C101" s="292"/>
      <c r="D101" s="292"/>
      <c r="E101" s="292"/>
      <c r="F101" s="292"/>
      <c r="G101" s="292"/>
      <c r="H101" s="292"/>
      <c r="I101" s="292"/>
      <c r="J101" s="292"/>
      <c r="K101" s="292"/>
      <c r="L101" s="292"/>
      <c r="M101" s="292"/>
      <c r="N101" s="292"/>
      <c r="O101" s="292"/>
      <c r="P101" s="292"/>
      <c r="Q101" s="292"/>
      <c r="R101" s="292"/>
      <c r="S101" s="292"/>
      <c r="T101" s="292"/>
      <c r="U101" s="292"/>
      <c r="V101" s="292"/>
      <c r="W101" s="292"/>
      <c r="X101" s="292"/>
      <c r="Y101" s="292"/>
      <c r="Z101" s="292"/>
      <c r="AA101" s="292"/>
      <c r="AB101" s="292"/>
      <c r="AC101" s="292"/>
    </row>
    <row r="102">
      <c r="A102" s="292"/>
      <c r="B102" s="292"/>
      <c r="C102" s="292"/>
      <c r="D102" s="292"/>
      <c r="E102" s="292"/>
      <c r="F102" s="292"/>
      <c r="G102" s="292"/>
      <c r="H102" s="292"/>
      <c r="I102" s="292"/>
      <c r="J102" s="292"/>
      <c r="K102" s="292"/>
      <c r="L102" s="292"/>
      <c r="M102" s="292"/>
      <c r="N102" s="292"/>
      <c r="O102" s="292"/>
      <c r="P102" s="292"/>
      <c r="Q102" s="292"/>
      <c r="R102" s="292"/>
      <c r="S102" s="292"/>
      <c r="T102" s="292"/>
      <c r="U102" s="292"/>
      <c r="V102" s="292"/>
      <c r="W102" s="292"/>
      <c r="X102" s="292"/>
      <c r="Y102" s="292"/>
      <c r="Z102" s="292"/>
      <c r="AA102" s="292"/>
      <c r="AB102" s="292"/>
      <c r="AC102" s="292"/>
    </row>
    <row r="103">
      <c r="A103" s="292"/>
      <c r="B103" s="292"/>
      <c r="C103" s="292"/>
      <c r="D103" s="292"/>
      <c r="E103" s="292"/>
      <c r="F103" s="292"/>
      <c r="G103" s="292"/>
      <c r="H103" s="292"/>
      <c r="I103" s="292"/>
      <c r="J103" s="292"/>
      <c r="K103" s="292"/>
      <c r="L103" s="292"/>
      <c r="M103" s="292"/>
      <c r="N103" s="292"/>
      <c r="O103" s="292"/>
      <c r="P103" s="292"/>
      <c r="Q103" s="292"/>
      <c r="R103" s="292"/>
      <c r="S103" s="292"/>
      <c r="T103" s="292"/>
      <c r="U103" s="292"/>
      <c r="V103" s="292"/>
      <c r="W103" s="292"/>
      <c r="X103" s="292"/>
      <c r="Y103" s="292"/>
      <c r="Z103" s="292"/>
      <c r="AA103" s="292"/>
      <c r="AB103" s="292"/>
      <c r="AC103" s="292"/>
    </row>
    <row r="104">
      <c r="A104" s="292"/>
      <c r="B104" s="292"/>
      <c r="C104" s="292"/>
      <c r="D104" s="292"/>
      <c r="E104" s="292"/>
      <c r="F104" s="292"/>
      <c r="G104" s="292"/>
      <c r="H104" s="292"/>
      <c r="I104" s="292"/>
      <c r="J104" s="292"/>
      <c r="K104" s="292"/>
      <c r="L104" s="292"/>
      <c r="M104" s="292"/>
      <c r="N104" s="292"/>
      <c r="O104" s="292"/>
      <c r="P104" s="292"/>
      <c r="Q104" s="292"/>
      <c r="R104" s="292"/>
      <c r="S104" s="292"/>
      <c r="T104" s="292"/>
      <c r="U104" s="292"/>
      <c r="V104" s="292"/>
      <c r="W104" s="292"/>
      <c r="X104" s="292"/>
      <c r="Y104" s="292"/>
      <c r="Z104" s="292"/>
      <c r="AA104" s="292"/>
      <c r="AB104" s="292"/>
      <c r="AC104" s="292"/>
    </row>
    <row r="105">
      <c r="A105" s="292"/>
      <c r="B105" s="292"/>
      <c r="C105" s="292"/>
      <c r="D105" s="292"/>
      <c r="E105" s="292"/>
      <c r="F105" s="292"/>
      <c r="G105" s="292"/>
      <c r="H105" s="292"/>
      <c r="I105" s="292"/>
      <c r="J105" s="292"/>
      <c r="K105" s="292"/>
      <c r="L105" s="292"/>
      <c r="M105" s="292"/>
      <c r="N105" s="292"/>
      <c r="O105" s="292"/>
      <c r="P105" s="292"/>
      <c r="Q105" s="292"/>
      <c r="R105" s="292"/>
      <c r="S105" s="292"/>
      <c r="T105" s="292"/>
      <c r="U105" s="292"/>
      <c r="V105" s="292"/>
      <c r="W105" s="292"/>
      <c r="X105" s="292"/>
      <c r="Y105" s="292"/>
      <c r="Z105" s="292"/>
      <c r="AA105" s="292"/>
      <c r="AB105" s="292"/>
      <c r="AC105" s="292"/>
    </row>
    <row r="106">
      <c r="A106" s="292"/>
      <c r="B106" s="292"/>
      <c r="C106" s="292"/>
      <c r="D106" s="292"/>
      <c r="E106" s="292"/>
      <c r="F106" s="292"/>
      <c r="G106" s="292"/>
      <c r="H106" s="292"/>
      <c r="I106" s="292"/>
      <c r="J106" s="292"/>
      <c r="K106" s="292"/>
      <c r="L106" s="292"/>
      <c r="M106" s="292"/>
      <c r="N106" s="292"/>
      <c r="O106" s="292"/>
      <c r="P106" s="292"/>
      <c r="Q106" s="292"/>
      <c r="R106" s="292"/>
      <c r="S106" s="292"/>
      <c r="T106" s="292"/>
      <c r="U106" s="292"/>
      <c r="V106" s="292"/>
      <c r="W106" s="292"/>
      <c r="X106" s="292"/>
      <c r="Y106" s="292"/>
      <c r="Z106" s="292"/>
      <c r="AA106" s="292"/>
      <c r="AB106" s="292"/>
      <c r="AC106" s="292"/>
    </row>
    <row r="107">
      <c r="A107" s="292"/>
      <c r="B107" s="292"/>
      <c r="C107" s="292"/>
      <c r="D107" s="292"/>
      <c r="E107" s="292"/>
      <c r="F107" s="292"/>
      <c r="G107" s="292"/>
      <c r="H107" s="292"/>
      <c r="I107" s="292"/>
      <c r="J107" s="292"/>
      <c r="K107" s="292"/>
      <c r="L107" s="292"/>
      <c r="M107" s="292"/>
      <c r="N107" s="292"/>
      <c r="O107" s="292"/>
      <c r="P107" s="292"/>
      <c r="Q107" s="292"/>
      <c r="R107" s="292"/>
      <c r="S107" s="292"/>
      <c r="T107" s="292"/>
      <c r="U107" s="292"/>
      <c r="V107" s="292"/>
      <c r="W107" s="292"/>
      <c r="X107" s="292"/>
      <c r="Y107" s="292"/>
      <c r="Z107" s="292"/>
      <c r="AA107" s="292"/>
      <c r="AB107" s="292"/>
      <c r="AC107" s="292"/>
    </row>
    <row r="108">
      <c r="A108" s="292"/>
      <c r="B108" s="292"/>
      <c r="C108" s="292"/>
      <c r="D108" s="292"/>
      <c r="E108" s="292"/>
      <c r="F108" s="292"/>
      <c r="G108" s="292"/>
      <c r="H108" s="292"/>
      <c r="I108" s="292"/>
      <c r="J108" s="292"/>
      <c r="K108" s="292"/>
      <c r="L108" s="292"/>
      <c r="M108" s="292"/>
      <c r="N108" s="292"/>
      <c r="O108" s="292"/>
      <c r="P108" s="292"/>
      <c r="Q108" s="292"/>
      <c r="R108" s="292"/>
      <c r="S108" s="292"/>
      <c r="T108" s="292"/>
      <c r="U108" s="292"/>
      <c r="V108" s="292"/>
      <c r="W108" s="292"/>
      <c r="X108" s="292"/>
      <c r="Y108" s="292"/>
      <c r="Z108" s="292"/>
      <c r="AA108" s="292"/>
      <c r="AB108" s="292"/>
      <c r="AC108" s="292"/>
    </row>
    <row r="109">
      <c r="A109" s="292"/>
      <c r="B109" s="292"/>
      <c r="C109" s="292"/>
      <c r="D109" s="292"/>
      <c r="E109" s="292"/>
      <c r="F109" s="292"/>
      <c r="G109" s="292"/>
      <c r="H109" s="292"/>
      <c r="I109" s="292"/>
      <c r="J109" s="292"/>
      <c r="K109" s="292"/>
      <c r="L109" s="292"/>
      <c r="M109" s="292"/>
      <c r="N109" s="292"/>
      <c r="O109" s="292"/>
      <c r="P109" s="292"/>
      <c r="Q109" s="292"/>
      <c r="R109" s="292"/>
      <c r="S109" s="292"/>
      <c r="T109" s="292"/>
      <c r="U109" s="292"/>
      <c r="V109" s="292"/>
      <c r="W109" s="292"/>
      <c r="X109" s="292"/>
      <c r="Y109" s="292"/>
      <c r="Z109" s="292"/>
      <c r="AA109" s="292"/>
      <c r="AB109" s="292"/>
      <c r="AC109" s="292"/>
    </row>
    <row r="110">
      <c r="A110" s="292"/>
      <c r="B110" s="292"/>
      <c r="C110" s="292"/>
      <c r="D110" s="292"/>
      <c r="E110" s="292"/>
      <c r="F110" s="292"/>
      <c r="G110" s="292"/>
      <c r="H110" s="292"/>
      <c r="I110" s="292"/>
      <c r="J110" s="292"/>
      <c r="K110" s="292"/>
      <c r="L110" s="292"/>
      <c r="M110" s="292"/>
      <c r="N110" s="292"/>
      <c r="O110" s="292"/>
      <c r="P110" s="292"/>
      <c r="Q110" s="292"/>
      <c r="R110" s="292"/>
      <c r="S110" s="292"/>
      <c r="T110" s="292"/>
      <c r="U110" s="292"/>
      <c r="V110" s="292"/>
      <c r="W110" s="292"/>
      <c r="X110" s="292"/>
      <c r="Y110" s="292"/>
      <c r="Z110" s="292"/>
      <c r="AA110" s="292"/>
      <c r="AB110" s="292"/>
      <c r="AC110" s="292"/>
    </row>
    <row r="111">
      <c r="A111" s="292"/>
      <c r="B111" s="292"/>
      <c r="C111" s="292"/>
      <c r="D111" s="292"/>
      <c r="E111" s="292"/>
      <c r="F111" s="292"/>
      <c r="G111" s="292"/>
      <c r="H111" s="292"/>
      <c r="I111" s="292"/>
      <c r="J111" s="292"/>
      <c r="K111" s="292"/>
      <c r="L111" s="292"/>
      <c r="M111" s="292"/>
      <c r="N111" s="292"/>
      <c r="O111" s="292"/>
      <c r="P111" s="292"/>
      <c r="Q111" s="292"/>
      <c r="R111" s="292"/>
      <c r="S111" s="292"/>
      <c r="T111" s="292"/>
      <c r="U111" s="292"/>
      <c r="V111" s="292"/>
      <c r="W111" s="292"/>
      <c r="X111" s="292"/>
      <c r="Y111" s="292"/>
      <c r="Z111" s="292"/>
      <c r="AA111" s="292"/>
      <c r="AB111" s="292"/>
      <c r="AC111" s="292"/>
    </row>
    <row r="112">
      <c r="A112" s="292"/>
      <c r="B112" s="292"/>
      <c r="C112" s="292"/>
      <c r="D112" s="292"/>
      <c r="E112" s="292"/>
      <c r="F112" s="292"/>
      <c r="G112" s="292"/>
      <c r="H112" s="292"/>
      <c r="I112" s="292"/>
      <c r="J112" s="292"/>
      <c r="K112" s="292"/>
      <c r="L112" s="292"/>
      <c r="M112" s="292"/>
      <c r="N112" s="292"/>
      <c r="O112" s="292"/>
      <c r="P112" s="292"/>
      <c r="Q112" s="292"/>
      <c r="R112" s="292"/>
      <c r="S112" s="292"/>
      <c r="T112" s="292"/>
      <c r="U112" s="292"/>
      <c r="V112" s="292"/>
      <c r="W112" s="292"/>
      <c r="X112" s="292"/>
      <c r="Y112" s="292"/>
      <c r="Z112" s="292"/>
      <c r="AA112" s="292"/>
      <c r="AB112" s="292"/>
      <c r="AC112" s="292"/>
    </row>
    <row r="113">
      <c r="A113" s="292"/>
      <c r="B113" s="292"/>
      <c r="C113" s="292"/>
      <c r="D113" s="292"/>
      <c r="E113" s="292"/>
      <c r="F113" s="292"/>
      <c r="G113" s="292"/>
      <c r="H113" s="292"/>
      <c r="I113" s="292"/>
      <c r="J113" s="292"/>
      <c r="K113" s="292"/>
      <c r="L113" s="292"/>
      <c r="M113" s="292"/>
      <c r="N113" s="292"/>
      <c r="O113" s="292"/>
      <c r="P113" s="292"/>
      <c r="Q113" s="292"/>
      <c r="R113" s="292"/>
      <c r="S113" s="292"/>
      <c r="T113" s="292"/>
      <c r="U113" s="292"/>
      <c r="V113" s="292"/>
      <c r="W113" s="292"/>
      <c r="X113" s="292"/>
      <c r="Y113" s="292"/>
      <c r="Z113" s="292"/>
      <c r="AA113" s="292"/>
      <c r="AB113" s="292"/>
      <c r="AC113" s="292"/>
    </row>
    <row r="114">
      <c r="A114" s="292"/>
      <c r="B114" s="292"/>
      <c r="C114" s="292"/>
      <c r="D114" s="292"/>
      <c r="E114" s="292"/>
      <c r="F114" s="292"/>
      <c r="G114" s="292"/>
      <c r="H114" s="292"/>
      <c r="I114" s="292"/>
      <c r="J114" s="292"/>
      <c r="K114" s="292"/>
      <c r="L114" s="292"/>
      <c r="M114" s="292"/>
      <c r="N114" s="292"/>
      <c r="O114" s="292"/>
      <c r="P114" s="292"/>
      <c r="Q114" s="292"/>
      <c r="R114" s="292"/>
      <c r="S114" s="292"/>
      <c r="T114" s="292"/>
      <c r="U114" s="292"/>
      <c r="V114" s="292"/>
      <c r="W114" s="292"/>
      <c r="X114" s="292"/>
      <c r="Y114" s="292"/>
      <c r="Z114" s="292"/>
      <c r="AA114" s="292"/>
      <c r="AB114" s="292"/>
      <c r="AC114" s="292"/>
    </row>
    <row r="115">
      <c r="A115" s="292"/>
      <c r="B115" s="292"/>
      <c r="C115" s="292"/>
      <c r="D115" s="292"/>
      <c r="E115" s="292"/>
      <c r="F115" s="292"/>
      <c r="G115" s="292"/>
      <c r="H115" s="292"/>
      <c r="I115" s="292"/>
      <c r="J115" s="292"/>
      <c r="K115" s="292"/>
      <c r="L115" s="292"/>
      <c r="M115" s="292"/>
      <c r="N115" s="292"/>
      <c r="O115" s="292"/>
      <c r="P115" s="292"/>
      <c r="Q115" s="292"/>
      <c r="R115" s="292"/>
      <c r="S115" s="292"/>
      <c r="T115" s="292"/>
      <c r="U115" s="292"/>
      <c r="V115" s="292"/>
      <c r="W115" s="292"/>
      <c r="X115" s="292"/>
      <c r="Y115" s="292"/>
      <c r="Z115" s="292"/>
      <c r="AA115" s="292"/>
      <c r="AB115" s="292"/>
      <c r="AC115" s="292"/>
    </row>
    <row r="116">
      <c r="A116" s="292"/>
      <c r="B116" s="292"/>
      <c r="C116" s="292"/>
      <c r="D116" s="292"/>
      <c r="E116" s="292"/>
      <c r="F116" s="292"/>
      <c r="G116" s="292"/>
      <c r="H116" s="292"/>
      <c r="I116" s="292"/>
      <c r="J116" s="292"/>
      <c r="K116" s="292"/>
      <c r="L116" s="292"/>
      <c r="M116" s="292"/>
      <c r="N116" s="292"/>
      <c r="O116" s="292"/>
      <c r="P116" s="292"/>
      <c r="Q116" s="292"/>
      <c r="R116" s="292"/>
      <c r="S116" s="292"/>
      <c r="T116" s="292"/>
      <c r="U116" s="292"/>
      <c r="V116" s="292"/>
      <c r="W116" s="292"/>
      <c r="X116" s="292"/>
      <c r="Y116" s="292"/>
      <c r="Z116" s="292"/>
      <c r="AA116" s="292"/>
      <c r="AB116" s="292"/>
      <c r="AC116" s="292"/>
    </row>
    <row r="117">
      <c r="A117" s="292"/>
      <c r="B117" s="292"/>
      <c r="C117" s="292"/>
      <c r="D117" s="292"/>
      <c r="E117" s="292"/>
      <c r="F117" s="292"/>
      <c r="G117" s="292"/>
      <c r="H117" s="292"/>
      <c r="I117" s="292"/>
      <c r="J117" s="292"/>
      <c r="K117" s="292"/>
      <c r="L117" s="292"/>
      <c r="M117" s="292"/>
      <c r="N117" s="292"/>
      <c r="O117" s="292"/>
      <c r="P117" s="292"/>
      <c r="Q117" s="292"/>
      <c r="R117" s="292"/>
      <c r="S117" s="292"/>
      <c r="T117" s="292"/>
      <c r="U117" s="292"/>
      <c r="V117" s="292"/>
      <c r="W117" s="292"/>
      <c r="X117" s="292"/>
      <c r="Y117" s="292"/>
      <c r="Z117" s="292"/>
      <c r="AA117" s="292"/>
      <c r="AB117" s="292"/>
      <c r="AC117" s="292"/>
    </row>
    <row r="118">
      <c r="A118" s="292"/>
      <c r="B118" s="292"/>
      <c r="C118" s="292"/>
      <c r="D118" s="292"/>
      <c r="E118" s="292"/>
      <c r="F118" s="292"/>
      <c r="G118" s="292"/>
      <c r="H118" s="292"/>
      <c r="I118" s="292"/>
      <c r="J118" s="292"/>
      <c r="K118" s="292"/>
      <c r="L118" s="292"/>
      <c r="M118" s="292"/>
      <c r="N118" s="292"/>
      <c r="O118" s="292"/>
      <c r="P118" s="292"/>
      <c r="Q118" s="292"/>
      <c r="R118" s="292"/>
      <c r="S118" s="292"/>
      <c r="T118" s="292"/>
      <c r="U118" s="292"/>
      <c r="V118" s="292"/>
      <c r="W118" s="292"/>
      <c r="X118" s="292"/>
      <c r="Y118" s="292"/>
      <c r="Z118" s="292"/>
      <c r="AA118" s="292"/>
      <c r="AB118" s="292"/>
      <c r="AC118" s="292"/>
    </row>
    <row r="119">
      <c r="A119" s="292"/>
      <c r="B119" s="292"/>
      <c r="C119" s="292"/>
      <c r="D119" s="292"/>
      <c r="E119" s="292"/>
      <c r="F119" s="292"/>
      <c r="G119" s="292"/>
      <c r="H119" s="292"/>
      <c r="I119" s="292"/>
      <c r="J119" s="292"/>
      <c r="K119" s="292"/>
      <c r="L119" s="292"/>
      <c r="M119" s="292"/>
      <c r="N119" s="292"/>
      <c r="O119" s="292"/>
      <c r="P119" s="292"/>
      <c r="Q119" s="292"/>
      <c r="R119" s="292"/>
      <c r="S119" s="292"/>
      <c r="T119" s="292"/>
      <c r="U119" s="292"/>
      <c r="V119" s="292"/>
      <c r="W119" s="292"/>
      <c r="X119" s="292"/>
      <c r="Y119" s="292"/>
      <c r="Z119" s="292"/>
      <c r="AA119" s="292"/>
      <c r="AB119" s="292"/>
      <c r="AC119" s="292"/>
    </row>
    <row r="120">
      <c r="A120" s="292"/>
      <c r="B120" s="292"/>
      <c r="C120" s="292"/>
      <c r="D120" s="292"/>
      <c r="E120" s="292"/>
      <c r="F120" s="292"/>
      <c r="G120" s="292"/>
      <c r="H120" s="292"/>
      <c r="I120" s="292"/>
      <c r="J120" s="292"/>
      <c r="K120" s="292"/>
      <c r="L120" s="292"/>
      <c r="M120" s="292"/>
      <c r="N120" s="292"/>
      <c r="O120" s="292"/>
      <c r="P120" s="292"/>
      <c r="Q120" s="292"/>
      <c r="R120" s="292"/>
      <c r="S120" s="292"/>
      <c r="T120" s="292"/>
      <c r="U120" s="292"/>
      <c r="V120" s="292"/>
      <c r="W120" s="292"/>
      <c r="X120" s="292"/>
      <c r="Y120" s="292"/>
      <c r="Z120" s="292"/>
      <c r="AA120" s="292"/>
      <c r="AB120" s="292"/>
      <c r="AC120" s="292"/>
    </row>
    <row r="121">
      <c r="A121" s="292"/>
      <c r="B121" s="292"/>
      <c r="C121" s="292"/>
      <c r="D121" s="292"/>
      <c r="E121" s="292"/>
      <c r="F121" s="292"/>
      <c r="G121" s="292"/>
      <c r="H121" s="292"/>
      <c r="I121" s="292"/>
      <c r="J121" s="292"/>
      <c r="K121" s="292"/>
      <c r="L121" s="292"/>
      <c r="M121" s="292"/>
      <c r="N121" s="292"/>
      <c r="O121" s="292"/>
      <c r="P121" s="292"/>
      <c r="Q121" s="292"/>
      <c r="R121" s="292"/>
      <c r="S121" s="292"/>
      <c r="T121" s="292"/>
      <c r="U121" s="292"/>
      <c r="V121" s="292"/>
      <c r="W121" s="292"/>
      <c r="X121" s="292"/>
      <c r="Y121" s="292"/>
      <c r="Z121" s="292"/>
      <c r="AA121" s="292"/>
      <c r="AB121" s="292"/>
      <c r="AC121" s="292"/>
    </row>
    <row r="122">
      <c r="A122" s="292"/>
      <c r="B122" s="292"/>
      <c r="C122" s="292"/>
      <c r="D122" s="292"/>
      <c r="E122" s="292"/>
      <c r="F122" s="292"/>
      <c r="G122" s="292"/>
      <c r="H122" s="292"/>
      <c r="I122" s="292"/>
      <c r="J122" s="292"/>
      <c r="K122" s="292"/>
      <c r="L122" s="292"/>
      <c r="M122" s="292"/>
      <c r="N122" s="292"/>
      <c r="O122" s="292"/>
      <c r="P122" s="292"/>
      <c r="Q122" s="292"/>
      <c r="R122" s="292"/>
      <c r="S122" s="292"/>
      <c r="T122" s="292"/>
      <c r="U122" s="292"/>
      <c r="V122" s="292"/>
      <c r="W122" s="292"/>
      <c r="X122" s="292"/>
      <c r="Y122" s="292"/>
      <c r="Z122" s="292"/>
      <c r="AA122" s="292"/>
      <c r="AB122" s="292"/>
      <c r="AC122" s="292"/>
    </row>
    <row r="123">
      <c r="A123" s="292"/>
      <c r="B123" s="292"/>
      <c r="C123" s="292"/>
      <c r="D123" s="292"/>
      <c r="E123" s="292"/>
      <c r="F123" s="292"/>
      <c r="G123" s="292"/>
      <c r="H123" s="292"/>
      <c r="I123" s="292"/>
      <c r="J123" s="292"/>
      <c r="K123" s="292"/>
      <c r="L123" s="292"/>
      <c r="M123" s="292"/>
      <c r="N123" s="292"/>
      <c r="O123" s="292"/>
      <c r="P123" s="292"/>
      <c r="Q123" s="292"/>
      <c r="R123" s="292"/>
      <c r="S123" s="292"/>
      <c r="T123" s="292"/>
      <c r="U123" s="292"/>
      <c r="V123" s="292"/>
      <c r="W123" s="292"/>
      <c r="X123" s="292"/>
      <c r="Y123" s="292"/>
      <c r="Z123" s="292"/>
      <c r="AA123" s="292"/>
      <c r="AB123" s="292"/>
      <c r="AC123" s="292"/>
    </row>
    <row r="124">
      <c r="A124" s="292"/>
      <c r="B124" s="292"/>
      <c r="C124" s="292"/>
      <c r="D124" s="292"/>
      <c r="E124" s="292"/>
      <c r="F124" s="292"/>
      <c r="G124" s="292"/>
      <c r="H124" s="292"/>
      <c r="I124" s="292"/>
      <c r="J124" s="292"/>
      <c r="K124" s="292"/>
      <c r="L124" s="292"/>
      <c r="M124" s="292"/>
      <c r="N124" s="292"/>
      <c r="O124" s="292"/>
      <c r="P124" s="292"/>
      <c r="Q124" s="292"/>
      <c r="R124" s="292"/>
      <c r="S124" s="292"/>
      <c r="T124" s="292"/>
      <c r="U124" s="292"/>
      <c r="V124" s="292"/>
      <c r="W124" s="292"/>
      <c r="X124" s="292"/>
      <c r="Y124" s="292"/>
      <c r="Z124" s="292"/>
      <c r="AA124" s="292"/>
      <c r="AB124" s="292"/>
      <c r="AC124" s="292"/>
    </row>
    <row r="125">
      <c r="A125" s="292"/>
      <c r="B125" s="292"/>
      <c r="C125" s="292"/>
      <c r="D125" s="292"/>
      <c r="E125" s="292"/>
      <c r="F125" s="292"/>
      <c r="G125" s="292"/>
      <c r="H125" s="292"/>
      <c r="I125" s="292"/>
      <c r="J125" s="292"/>
      <c r="K125" s="292"/>
      <c r="L125" s="292"/>
      <c r="M125" s="292"/>
      <c r="N125" s="292"/>
      <c r="O125" s="292"/>
      <c r="P125" s="292"/>
      <c r="Q125" s="292"/>
      <c r="R125" s="292"/>
      <c r="S125" s="292"/>
      <c r="T125" s="292"/>
      <c r="U125" s="292"/>
      <c r="V125" s="292"/>
      <c r="W125" s="292"/>
      <c r="X125" s="292"/>
      <c r="Y125" s="292"/>
      <c r="Z125" s="292"/>
      <c r="AA125" s="292"/>
      <c r="AB125" s="292"/>
      <c r="AC125" s="292"/>
    </row>
    <row r="126">
      <c r="A126" s="292"/>
      <c r="B126" s="292"/>
      <c r="C126" s="292"/>
      <c r="D126" s="292"/>
      <c r="E126" s="292"/>
      <c r="F126" s="292"/>
      <c r="G126" s="292"/>
      <c r="H126" s="292"/>
      <c r="I126" s="292"/>
      <c r="J126" s="292"/>
      <c r="K126" s="292"/>
      <c r="L126" s="292"/>
      <c r="M126" s="292"/>
      <c r="N126" s="292"/>
      <c r="O126" s="292"/>
      <c r="P126" s="292"/>
      <c r="Q126" s="292"/>
      <c r="R126" s="292"/>
      <c r="S126" s="292"/>
      <c r="T126" s="292"/>
      <c r="U126" s="292"/>
      <c r="V126" s="292"/>
      <c r="W126" s="292"/>
      <c r="X126" s="292"/>
      <c r="Y126" s="292"/>
      <c r="Z126" s="292"/>
      <c r="AA126" s="292"/>
      <c r="AB126" s="292"/>
      <c r="AC126" s="292"/>
    </row>
    <row r="127">
      <c r="A127" s="292"/>
      <c r="B127" s="292"/>
      <c r="C127" s="292"/>
      <c r="D127" s="292"/>
      <c r="E127" s="292"/>
      <c r="F127" s="292"/>
      <c r="G127" s="292"/>
      <c r="H127" s="292"/>
      <c r="I127" s="292"/>
      <c r="J127" s="292"/>
      <c r="K127" s="292"/>
      <c r="L127" s="292"/>
      <c r="M127" s="292"/>
      <c r="N127" s="292"/>
      <c r="O127" s="292"/>
      <c r="P127" s="292"/>
      <c r="Q127" s="292"/>
      <c r="R127" s="292"/>
      <c r="S127" s="292"/>
      <c r="T127" s="292"/>
      <c r="U127" s="292"/>
      <c r="V127" s="292"/>
      <c r="W127" s="292"/>
      <c r="X127" s="292"/>
      <c r="Y127" s="292"/>
      <c r="Z127" s="292"/>
      <c r="AA127" s="292"/>
      <c r="AB127" s="292"/>
      <c r="AC127" s="292"/>
    </row>
    <row r="128">
      <c r="A128" s="292"/>
      <c r="B128" s="292"/>
      <c r="C128" s="292"/>
      <c r="D128" s="292"/>
      <c r="E128" s="292"/>
      <c r="F128" s="292"/>
      <c r="G128" s="292"/>
      <c r="H128" s="292"/>
      <c r="I128" s="292"/>
      <c r="J128" s="292"/>
      <c r="K128" s="292"/>
      <c r="L128" s="292"/>
      <c r="M128" s="292"/>
      <c r="N128" s="292"/>
      <c r="O128" s="292"/>
      <c r="P128" s="292"/>
      <c r="Q128" s="292"/>
      <c r="R128" s="292"/>
      <c r="S128" s="292"/>
      <c r="T128" s="292"/>
      <c r="U128" s="292"/>
      <c r="V128" s="292"/>
      <c r="W128" s="292"/>
      <c r="X128" s="292"/>
      <c r="Y128" s="292"/>
      <c r="Z128" s="292"/>
      <c r="AA128" s="292"/>
      <c r="AB128" s="292"/>
      <c r="AC128" s="292"/>
    </row>
    <row r="129">
      <c r="A129" s="292"/>
      <c r="B129" s="292"/>
      <c r="C129" s="292"/>
      <c r="D129" s="292"/>
      <c r="E129" s="292"/>
      <c r="F129" s="292"/>
      <c r="G129" s="292"/>
      <c r="H129" s="292"/>
      <c r="I129" s="292"/>
      <c r="J129" s="292"/>
      <c r="K129" s="292"/>
      <c r="L129" s="292"/>
      <c r="M129" s="292"/>
      <c r="N129" s="292"/>
      <c r="O129" s="292"/>
      <c r="P129" s="292"/>
      <c r="Q129" s="292"/>
      <c r="R129" s="292"/>
      <c r="S129" s="292"/>
      <c r="T129" s="292"/>
      <c r="U129" s="292"/>
      <c r="V129" s="292"/>
      <c r="W129" s="292"/>
      <c r="X129" s="292"/>
      <c r="Y129" s="292"/>
      <c r="Z129" s="292"/>
      <c r="AA129" s="292"/>
      <c r="AB129" s="292"/>
      <c r="AC129" s="292"/>
    </row>
    <row r="130">
      <c r="A130" s="292"/>
      <c r="B130" s="292"/>
      <c r="C130" s="292"/>
      <c r="D130" s="292"/>
      <c r="E130" s="292"/>
      <c r="F130" s="292"/>
      <c r="G130" s="292"/>
      <c r="H130" s="292"/>
      <c r="I130" s="292"/>
      <c r="J130" s="292"/>
      <c r="K130" s="292"/>
      <c r="L130" s="292"/>
      <c r="M130" s="292"/>
      <c r="N130" s="292"/>
      <c r="O130" s="292"/>
      <c r="P130" s="292"/>
      <c r="Q130" s="292"/>
      <c r="R130" s="292"/>
      <c r="S130" s="292"/>
      <c r="T130" s="292"/>
      <c r="U130" s="292"/>
      <c r="V130" s="292"/>
      <c r="W130" s="292"/>
      <c r="X130" s="292"/>
      <c r="Y130" s="292"/>
      <c r="Z130" s="292"/>
      <c r="AA130" s="292"/>
      <c r="AB130" s="292"/>
      <c r="AC130" s="292"/>
    </row>
    <row r="131">
      <c r="A131" s="292"/>
      <c r="B131" s="292"/>
      <c r="C131" s="292"/>
      <c r="D131" s="292"/>
      <c r="E131" s="292"/>
      <c r="F131" s="292"/>
      <c r="G131" s="292"/>
      <c r="H131" s="292"/>
      <c r="I131" s="292"/>
      <c r="J131" s="292"/>
      <c r="K131" s="292"/>
      <c r="L131" s="292"/>
      <c r="M131" s="292"/>
      <c r="N131" s="292"/>
      <c r="O131" s="292"/>
      <c r="P131" s="292"/>
      <c r="Q131" s="292"/>
      <c r="R131" s="292"/>
      <c r="S131" s="292"/>
      <c r="T131" s="292"/>
      <c r="U131" s="292"/>
      <c r="V131" s="292"/>
      <c r="W131" s="292"/>
      <c r="X131" s="292"/>
      <c r="Y131" s="292"/>
      <c r="Z131" s="292"/>
      <c r="AA131" s="292"/>
      <c r="AB131" s="292"/>
      <c r="AC131" s="292"/>
    </row>
    <row r="132">
      <c r="A132" s="292"/>
      <c r="B132" s="292"/>
      <c r="C132" s="292"/>
      <c r="D132" s="292"/>
      <c r="E132" s="292"/>
      <c r="F132" s="292"/>
      <c r="G132" s="292"/>
      <c r="H132" s="292"/>
      <c r="I132" s="292"/>
      <c r="J132" s="292"/>
      <c r="K132" s="292"/>
      <c r="L132" s="292"/>
      <c r="M132" s="292"/>
      <c r="N132" s="292"/>
      <c r="O132" s="292"/>
      <c r="P132" s="292"/>
      <c r="Q132" s="292"/>
      <c r="R132" s="292"/>
      <c r="S132" s="292"/>
      <c r="T132" s="292"/>
      <c r="U132" s="292"/>
      <c r="V132" s="292"/>
      <c r="W132" s="292"/>
      <c r="X132" s="292"/>
      <c r="Y132" s="292"/>
      <c r="Z132" s="292"/>
      <c r="AA132" s="292"/>
      <c r="AB132" s="292"/>
      <c r="AC132" s="292"/>
    </row>
    <row r="133">
      <c r="A133" s="292"/>
      <c r="B133" s="292"/>
      <c r="C133" s="292"/>
      <c r="D133" s="292"/>
      <c r="E133" s="292"/>
      <c r="F133" s="292"/>
      <c r="G133" s="292"/>
      <c r="H133" s="292"/>
      <c r="I133" s="292"/>
      <c r="J133" s="292"/>
      <c r="K133" s="292"/>
      <c r="L133" s="292"/>
      <c r="M133" s="292"/>
      <c r="N133" s="292"/>
      <c r="O133" s="292"/>
      <c r="P133" s="292"/>
      <c r="Q133" s="292"/>
      <c r="R133" s="292"/>
      <c r="S133" s="292"/>
      <c r="T133" s="292"/>
      <c r="U133" s="292"/>
      <c r="V133" s="292"/>
      <c r="W133" s="292"/>
      <c r="X133" s="292"/>
      <c r="Y133" s="292"/>
      <c r="Z133" s="292"/>
      <c r="AA133" s="292"/>
      <c r="AB133" s="292"/>
      <c r="AC133" s="292"/>
    </row>
    <row r="134">
      <c r="A134" s="292"/>
      <c r="B134" s="292"/>
      <c r="C134" s="292"/>
      <c r="D134" s="292"/>
      <c r="E134" s="292"/>
      <c r="F134" s="292"/>
      <c r="G134" s="292"/>
      <c r="H134" s="292"/>
      <c r="I134" s="292"/>
      <c r="J134" s="292"/>
      <c r="K134" s="292"/>
      <c r="L134" s="292"/>
      <c r="M134" s="292"/>
      <c r="N134" s="292"/>
      <c r="O134" s="292"/>
      <c r="P134" s="292"/>
      <c r="Q134" s="292"/>
      <c r="R134" s="292"/>
      <c r="S134" s="292"/>
      <c r="T134" s="292"/>
      <c r="U134" s="292"/>
      <c r="V134" s="292"/>
      <c r="W134" s="292"/>
      <c r="X134" s="292"/>
      <c r="Y134" s="292"/>
      <c r="Z134" s="292"/>
      <c r="AA134" s="292"/>
      <c r="AB134" s="292"/>
      <c r="AC134" s="292"/>
    </row>
    <row r="135">
      <c r="A135" s="292"/>
      <c r="B135" s="292"/>
      <c r="C135" s="292"/>
      <c r="D135" s="292"/>
      <c r="E135" s="292"/>
      <c r="F135" s="292"/>
      <c r="G135" s="292"/>
      <c r="H135" s="292"/>
      <c r="I135" s="292"/>
      <c r="J135" s="292"/>
      <c r="K135" s="292"/>
      <c r="L135" s="292"/>
      <c r="M135" s="292"/>
      <c r="N135" s="292"/>
      <c r="O135" s="292"/>
      <c r="P135" s="292"/>
      <c r="Q135" s="292"/>
      <c r="R135" s="292"/>
      <c r="S135" s="292"/>
      <c r="T135" s="292"/>
      <c r="U135" s="292"/>
      <c r="V135" s="292"/>
      <c r="W135" s="292"/>
      <c r="X135" s="292"/>
      <c r="Y135" s="292"/>
      <c r="Z135" s="292"/>
      <c r="AA135" s="292"/>
      <c r="AB135" s="292"/>
      <c r="AC135" s="292"/>
    </row>
    <row r="136">
      <c r="A136" s="292"/>
      <c r="B136" s="292"/>
      <c r="C136" s="292"/>
      <c r="D136" s="292"/>
      <c r="E136" s="292"/>
      <c r="F136" s="292"/>
      <c r="G136" s="292"/>
      <c r="H136" s="292"/>
      <c r="I136" s="292"/>
      <c r="J136" s="292"/>
      <c r="K136" s="292"/>
      <c r="L136" s="292"/>
      <c r="M136" s="292"/>
      <c r="N136" s="292"/>
      <c r="O136" s="292"/>
      <c r="P136" s="292"/>
      <c r="Q136" s="292"/>
      <c r="R136" s="292"/>
      <c r="S136" s="292"/>
      <c r="T136" s="292"/>
      <c r="U136" s="292"/>
      <c r="V136" s="292"/>
      <c r="W136" s="292"/>
      <c r="X136" s="292"/>
      <c r="Y136" s="292"/>
      <c r="Z136" s="292"/>
      <c r="AA136" s="292"/>
      <c r="AB136" s="292"/>
      <c r="AC136" s="292"/>
    </row>
    <row r="137">
      <c r="A137" s="292"/>
      <c r="B137" s="292"/>
      <c r="C137" s="292"/>
      <c r="D137" s="292"/>
      <c r="E137" s="292"/>
      <c r="F137" s="292"/>
      <c r="G137" s="292"/>
      <c r="H137" s="292"/>
      <c r="I137" s="292"/>
      <c r="J137" s="292"/>
      <c r="K137" s="292"/>
      <c r="L137" s="292"/>
      <c r="M137" s="292"/>
      <c r="N137" s="292"/>
      <c r="O137" s="292"/>
      <c r="P137" s="292"/>
      <c r="Q137" s="292"/>
      <c r="R137" s="292"/>
      <c r="S137" s="292"/>
      <c r="T137" s="292"/>
      <c r="U137" s="292"/>
      <c r="V137" s="292"/>
      <c r="W137" s="292"/>
      <c r="X137" s="292"/>
      <c r="Y137" s="292"/>
      <c r="Z137" s="292"/>
      <c r="AA137" s="292"/>
      <c r="AB137" s="292"/>
      <c r="AC137" s="292"/>
    </row>
    <row r="138">
      <c r="A138" s="292"/>
      <c r="B138" s="292"/>
      <c r="C138" s="292"/>
      <c r="D138" s="292"/>
      <c r="E138" s="292"/>
      <c r="F138" s="292"/>
      <c r="G138" s="292"/>
      <c r="H138" s="292"/>
      <c r="I138" s="292"/>
      <c r="J138" s="292"/>
      <c r="K138" s="292"/>
      <c r="L138" s="292"/>
      <c r="M138" s="292"/>
      <c r="N138" s="292"/>
      <c r="O138" s="292"/>
      <c r="P138" s="292"/>
      <c r="Q138" s="292"/>
      <c r="R138" s="292"/>
      <c r="S138" s="292"/>
      <c r="T138" s="292"/>
      <c r="U138" s="292"/>
      <c r="V138" s="292"/>
      <c r="W138" s="292"/>
      <c r="X138" s="292"/>
      <c r="Y138" s="292"/>
      <c r="Z138" s="292"/>
      <c r="AA138" s="292"/>
      <c r="AB138" s="292"/>
      <c r="AC138" s="292"/>
    </row>
    <row r="139">
      <c r="A139" s="292"/>
      <c r="B139" s="292"/>
      <c r="C139" s="292"/>
      <c r="D139" s="292"/>
      <c r="E139" s="292"/>
      <c r="F139" s="292"/>
      <c r="G139" s="292"/>
      <c r="H139" s="292"/>
      <c r="I139" s="292"/>
      <c r="J139" s="292"/>
      <c r="K139" s="292"/>
      <c r="L139" s="292"/>
      <c r="M139" s="292"/>
      <c r="N139" s="292"/>
      <c r="O139" s="292"/>
      <c r="P139" s="292"/>
      <c r="Q139" s="292"/>
      <c r="R139" s="292"/>
      <c r="S139" s="292"/>
      <c r="T139" s="292"/>
      <c r="U139" s="292"/>
      <c r="V139" s="292"/>
      <c r="W139" s="292"/>
      <c r="X139" s="292"/>
      <c r="Y139" s="292"/>
      <c r="Z139" s="292"/>
      <c r="AA139" s="292"/>
      <c r="AB139" s="292"/>
      <c r="AC139" s="292"/>
    </row>
    <row r="140">
      <c r="A140" s="292"/>
      <c r="B140" s="292"/>
      <c r="C140" s="292"/>
      <c r="D140" s="292"/>
      <c r="E140" s="292"/>
      <c r="F140" s="292"/>
      <c r="G140" s="292"/>
      <c r="H140" s="292"/>
      <c r="I140" s="292"/>
      <c r="J140" s="292"/>
      <c r="K140" s="292"/>
      <c r="L140" s="292"/>
      <c r="M140" s="292"/>
      <c r="N140" s="292"/>
      <c r="O140" s="292"/>
      <c r="P140" s="292"/>
      <c r="Q140" s="292"/>
      <c r="R140" s="292"/>
      <c r="S140" s="292"/>
      <c r="T140" s="292"/>
      <c r="U140" s="292"/>
      <c r="V140" s="292"/>
      <c r="W140" s="292"/>
      <c r="X140" s="292"/>
      <c r="Y140" s="292"/>
      <c r="Z140" s="292"/>
      <c r="AA140" s="292"/>
      <c r="AB140" s="292"/>
      <c r="AC140" s="292"/>
    </row>
    <row r="141">
      <c r="A141" s="292"/>
      <c r="B141" s="292"/>
      <c r="C141" s="292"/>
      <c r="D141" s="292"/>
      <c r="E141" s="292"/>
      <c r="F141" s="292"/>
      <c r="G141" s="292"/>
      <c r="H141" s="292"/>
      <c r="I141" s="292"/>
      <c r="J141" s="292"/>
      <c r="K141" s="292"/>
      <c r="L141" s="292"/>
      <c r="M141" s="292"/>
      <c r="N141" s="292"/>
      <c r="O141" s="292"/>
      <c r="P141" s="292"/>
      <c r="Q141" s="292"/>
      <c r="R141" s="292"/>
      <c r="S141" s="292"/>
      <c r="T141" s="292"/>
      <c r="U141" s="292"/>
      <c r="V141" s="292"/>
      <c r="W141" s="292"/>
      <c r="X141" s="292"/>
      <c r="Y141" s="292"/>
      <c r="Z141" s="292"/>
      <c r="AA141" s="292"/>
      <c r="AB141" s="292"/>
      <c r="AC141" s="292"/>
    </row>
    <row r="142">
      <c r="A142" s="292"/>
      <c r="B142" s="292"/>
      <c r="C142" s="292"/>
      <c r="D142" s="292"/>
      <c r="E142" s="292"/>
      <c r="F142" s="292"/>
      <c r="G142" s="292"/>
      <c r="H142" s="292"/>
      <c r="I142" s="292"/>
      <c r="J142" s="292"/>
      <c r="K142" s="292"/>
      <c r="L142" s="292"/>
      <c r="M142" s="292"/>
      <c r="N142" s="292"/>
      <c r="O142" s="292"/>
      <c r="P142" s="292"/>
      <c r="Q142" s="292"/>
      <c r="R142" s="292"/>
      <c r="S142" s="292"/>
      <c r="T142" s="292"/>
      <c r="U142" s="292"/>
      <c r="V142" s="292"/>
      <c r="W142" s="292"/>
      <c r="X142" s="292"/>
      <c r="Y142" s="292"/>
      <c r="Z142" s="292"/>
      <c r="AA142" s="292"/>
      <c r="AB142" s="292"/>
      <c r="AC142" s="292"/>
    </row>
    <row r="143">
      <c r="A143" s="292"/>
      <c r="B143" s="292"/>
      <c r="C143" s="292"/>
      <c r="D143" s="292"/>
      <c r="E143" s="292"/>
      <c r="F143" s="292"/>
      <c r="G143" s="292"/>
      <c r="H143" s="292"/>
      <c r="I143" s="292"/>
      <c r="J143" s="292"/>
      <c r="K143" s="292"/>
      <c r="L143" s="292"/>
      <c r="M143" s="292"/>
      <c r="N143" s="292"/>
      <c r="O143" s="292"/>
      <c r="P143" s="292"/>
      <c r="Q143" s="292"/>
      <c r="R143" s="292"/>
      <c r="S143" s="292"/>
      <c r="T143" s="292"/>
      <c r="U143" s="292"/>
      <c r="V143" s="292"/>
      <c r="W143" s="292"/>
      <c r="X143" s="292"/>
      <c r="Y143" s="292"/>
      <c r="Z143" s="292"/>
      <c r="AA143" s="292"/>
      <c r="AB143" s="292"/>
      <c r="AC143" s="292"/>
    </row>
    <row r="144">
      <c r="A144" s="292"/>
      <c r="B144" s="292"/>
      <c r="C144" s="292"/>
      <c r="D144" s="292"/>
      <c r="E144" s="292"/>
      <c r="F144" s="292"/>
      <c r="G144" s="292"/>
      <c r="H144" s="292"/>
      <c r="I144" s="292"/>
      <c r="J144" s="292"/>
      <c r="K144" s="292"/>
      <c r="L144" s="292"/>
      <c r="M144" s="292"/>
      <c r="N144" s="292"/>
      <c r="O144" s="292"/>
      <c r="P144" s="292"/>
      <c r="Q144" s="292"/>
      <c r="R144" s="292"/>
      <c r="S144" s="292"/>
      <c r="T144" s="292"/>
      <c r="U144" s="292"/>
      <c r="V144" s="292"/>
      <c r="W144" s="292"/>
      <c r="X144" s="292"/>
      <c r="Y144" s="292"/>
      <c r="Z144" s="292"/>
      <c r="AA144" s="292"/>
      <c r="AB144" s="292"/>
      <c r="AC144" s="292"/>
    </row>
    <row r="145">
      <c r="A145" s="292"/>
      <c r="B145" s="292"/>
      <c r="C145" s="292"/>
      <c r="D145" s="292"/>
      <c r="E145" s="292"/>
      <c r="F145" s="292"/>
      <c r="G145" s="292"/>
      <c r="H145" s="292"/>
      <c r="I145" s="292"/>
      <c r="J145" s="292"/>
      <c r="K145" s="292"/>
      <c r="L145" s="292"/>
      <c r="M145" s="292"/>
      <c r="N145" s="292"/>
      <c r="O145" s="292"/>
      <c r="P145" s="292"/>
      <c r="Q145" s="292"/>
      <c r="R145" s="292"/>
      <c r="S145" s="292"/>
      <c r="T145" s="292"/>
      <c r="U145" s="292"/>
      <c r="V145" s="292"/>
      <c r="W145" s="292"/>
      <c r="X145" s="292"/>
      <c r="Y145" s="292"/>
      <c r="Z145" s="292"/>
      <c r="AA145" s="292"/>
      <c r="AB145" s="292"/>
      <c r="AC145" s="292"/>
    </row>
    <row r="146">
      <c r="A146" s="292"/>
      <c r="B146" s="292"/>
      <c r="C146" s="292"/>
      <c r="D146" s="292"/>
      <c r="E146" s="292"/>
      <c r="F146" s="292"/>
      <c r="G146" s="292"/>
      <c r="H146" s="292"/>
      <c r="I146" s="292"/>
      <c r="J146" s="292"/>
      <c r="K146" s="292"/>
      <c r="L146" s="292"/>
      <c r="M146" s="292"/>
      <c r="N146" s="292"/>
      <c r="O146" s="292"/>
      <c r="P146" s="292"/>
      <c r="Q146" s="292"/>
      <c r="R146" s="292"/>
      <c r="S146" s="292"/>
      <c r="T146" s="292"/>
      <c r="U146" s="292"/>
      <c r="V146" s="292"/>
      <c r="W146" s="292"/>
      <c r="X146" s="292"/>
      <c r="Y146" s="292"/>
      <c r="Z146" s="292"/>
      <c r="AA146" s="292"/>
      <c r="AB146" s="292"/>
      <c r="AC146" s="292"/>
    </row>
    <row r="147">
      <c r="A147" s="292"/>
      <c r="B147" s="292"/>
      <c r="C147" s="292"/>
      <c r="D147" s="292"/>
      <c r="E147" s="292"/>
      <c r="F147" s="292"/>
      <c r="G147" s="292"/>
      <c r="H147" s="292"/>
      <c r="I147" s="292"/>
      <c r="J147" s="292"/>
      <c r="K147" s="292"/>
      <c r="L147" s="292"/>
      <c r="M147" s="292"/>
      <c r="N147" s="292"/>
      <c r="O147" s="292"/>
      <c r="P147" s="292"/>
      <c r="Q147" s="292"/>
      <c r="R147" s="292"/>
      <c r="S147" s="292"/>
      <c r="T147" s="292"/>
      <c r="U147" s="292"/>
      <c r="V147" s="292"/>
      <c r="W147" s="292"/>
      <c r="X147" s="292"/>
      <c r="Y147" s="292"/>
      <c r="Z147" s="292"/>
      <c r="AA147" s="292"/>
      <c r="AB147" s="292"/>
      <c r="AC147" s="292"/>
    </row>
    <row r="148">
      <c r="A148" s="292"/>
      <c r="B148" s="292"/>
      <c r="C148" s="292"/>
      <c r="D148" s="292"/>
      <c r="E148" s="292"/>
      <c r="F148" s="292"/>
      <c r="G148" s="292"/>
      <c r="H148" s="292"/>
      <c r="I148" s="292"/>
      <c r="J148" s="292"/>
      <c r="K148" s="292"/>
      <c r="L148" s="292"/>
      <c r="M148" s="292"/>
      <c r="N148" s="292"/>
      <c r="O148" s="292"/>
      <c r="P148" s="292"/>
      <c r="Q148" s="292"/>
      <c r="R148" s="292"/>
      <c r="S148" s="292"/>
      <c r="T148" s="292"/>
      <c r="U148" s="292"/>
      <c r="V148" s="292"/>
      <c r="W148" s="292"/>
      <c r="X148" s="292"/>
      <c r="Y148" s="292"/>
      <c r="Z148" s="292"/>
      <c r="AA148" s="292"/>
      <c r="AB148" s="292"/>
      <c r="AC148" s="292"/>
    </row>
    <row r="149">
      <c r="A149" s="292"/>
      <c r="B149" s="292"/>
      <c r="C149" s="292"/>
      <c r="D149" s="292"/>
      <c r="E149" s="292"/>
      <c r="F149" s="292"/>
      <c r="G149" s="292"/>
      <c r="H149" s="292"/>
      <c r="I149" s="292"/>
      <c r="J149" s="292"/>
      <c r="K149" s="292"/>
      <c r="L149" s="292"/>
      <c r="M149" s="292"/>
      <c r="N149" s="292"/>
      <c r="O149" s="292"/>
      <c r="P149" s="292"/>
      <c r="Q149" s="292"/>
      <c r="R149" s="292"/>
      <c r="S149" s="292"/>
      <c r="T149" s="292"/>
      <c r="U149" s="292"/>
      <c r="V149" s="292"/>
      <c r="W149" s="292"/>
      <c r="X149" s="292"/>
      <c r="Y149" s="292"/>
      <c r="Z149" s="292"/>
      <c r="AA149" s="292"/>
      <c r="AB149" s="292"/>
      <c r="AC149" s="292"/>
    </row>
    <row r="150">
      <c r="A150" s="292"/>
      <c r="B150" s="292"/>
      <c r="C150" s="292"/>
      <c r="D150" s="292"/>
      <c r="E150" s="292"/>
      <c r="F150" s="292"/>
      <c r="G150" s="292"/>
      <c r="H150" s="292"/>
      <c r="I150" s="292"/>
      <c r="J150" s="292"/>
      <c r="K150" s="292"/>
      <c r="L150" s="292"/>
      <c r="M150" s="292"/>
      <c r="N150" s="292"/>
      <c r="O150" s="292"/>
      <c r="P150" s="292"/>
      <c r="Q150" s="292"/>
      <c r="R150" s="292"/>
      <c r="S150" s="292"/>
      <c r="T150" s="292"/>
      <c r="U150" s="292"/>
      <c r="V150" s="292"/>
      <c r="W150" s="292"/>
      <c r="X150" s="292"/>
      <c r="Y150" s="292"/>
      <c r="Z150" s="292"/>
      <c r="AA150" s="292"/>
      <c r="AB150" s="292"/>
      <c r="AC150" s="292"/>
    </row>
    <row r="151">
      <c r="A151" s="292"/>
      <c r="B151" s="292"/>
      <c r="C151" s="292"/>
      <c r="D151" s="292"/>
      <c r="E151" s="292"/>
      <c r="F151" s="292"/>
      <c r="G151" s="292"/>
      <c r="H151" s="292"/>
      <c r="I151" s="292"/>
      <c r="J151" s="292"/>
      <c r="K151" s="292"/>
      <c r="L151" s="292"/>
      <c r="M151" s="292"/>
      <c r="N151" s="292"/>
      <c r="O151" s="292"/>
      <c r="P151" s="292"/>
      <c r="Q151" s="292"/>
      <c r="R151" s="292"/>
      <c r="S151" s="292"/>
      <c r="T151" s="292"/>
      <c r="U151" s="292"/>
      <c r="V151" s="292"/>
      <c r="W151" s="292"/>
      <c r="X151" s="292"/>
      <c r="Y151" s="292"/>
      <c r="Z151" s="292"/>
      <c r="AA151" s="292"/>
      <c r="AB151" s="292"/>
      <c r="AC151" s="292"/>
    </row>
    <row r="152">
      <c r="A152" s="292"/>
      <c r="B152" s="292"/>
      <c r="C152" s="292"/>
      <c r="D152" s="292"/>
      <c r="E152" s="292"/>
      <c r="F152" s="292"/>
      <c r="G152" s="292"/>
      <c r="H152" s="292"/>
      <c r="I152" s="292"/>
      <c r="J152" s="292"/>
      <c r="K152" s="292"/>
      <c r="L152" s="292"/>
      <c r="M152" s="292"/>
      <c r="N152" s="292"/>
      <c r="O152" s="292"/>
      <c r="P152" s="292"/>
      <c r="Q152" s="292"/>
      <c r="R152" s="292"/>
      <c r="S152" s="292"/>
      <c r="T152" s="292"/>
      <c r="U152" s="292"/>
      <c r="V152" s="292"/>
      <c r="W152" s="292"/>
      <c r="X152" s="292"/>
      <c r="Y152" s="292"/>
      <c r="Z152" s="292"/>
      <c r="AA152" s="292"/>
      <c r="AB152" s="292"/>
      <c r="AC152" s="292"/>
    </row>
    <row r="153">
      <c r="A153" s="292"/>
      <c r="B153" s="292"/>
      <c r="C153" s="292"/>
      <c r="D153" s="292"/>
      <c r="E153" s="292"/>
      <c r="F153" s="292"/>
      <c r="G153" s="292"/>
      <c r="H153" s="292"/>
      <c r="I153" s="292"/>
      <c r="J153" s="292"/>
      <c r="K153" s="292"/>
      <c r="L153" s="292"/>
      <c r="M153" s="292"/>
      <c r="N153" s="292"/>
      <c r="O153" s="292"/>
      <c r="P153" s="292"/>
      <c r="Q153" s="292"/>
      <c r="R153" s="292"/>
      <c r="S153" s="292"/>
      <c r="T153" s="292"/>
      <c r="U153" s="292"/>
      <c r="V153" s="292"/>
      <c r="W153" s="292"/>
      <c r="X153" s="292"/>
      <c r="Y153" s="292"/>
      <c r="Z153" s="292"/>
      <c r="AA153" s="292"/>
      <c r="AB153" s="292"/>
      <c r="AC153" s="292"/>
    </row>
    <row r="154">
      <c r="A154" s="292"/>
      <c r="B154" s="292"/>
      <c r="C154" s="292"/>
      <c r="D154" s="292"/>
      <c r="E154" s="292"/>
      <c r="F154" s="292"/>
      <c r="G154" s="292"/>
      <c r="H154" s="292"/>
      <c r="I154" s="292"/>
      <c r="J154" s="292"/>
      <c r="K154" s="292"/>
      <c r="L154" s="292"/>
      <c r="M154" s="292"/>
      <c r="N154" s="292"/>
      <c r="O154" s="292"/>
      <c r="P154" s="292"/>
      <c r="Q154" s="292"/>
      <c r="R154" s="292"/>
      <c r="S154" s="292"/>
      <c r="T154" s="292"/>
      <c r="U154" s="292"/>
      <c r="V154" s="292"/>
      <c r="W154" s="292"/>
      <c r="X154" s="292"/>
      <c r="Y154" s="292"/>
      <c r="Z154" s="292"/>
      <c r="AA154" s="292"/>
      <c r="AB154" s="292"/>
      <c r="AC154" s="292"/>
    </row>
    <row r="155">
      <c r="A155" s="292"/>
      <c r="B155" s="292"/>
      <c r="C155" s="292"/>
      <c r="D155" s="292"/>
      <c r="E155" s="292"/>
      <c r="F155" s="292"/>
      <c r="G155" s="292"/>
      <c r="H155" s="292"/>
      <c r="I155" s="292"/>
      <c r="J155" s="292"/>
      <c r="K155" s="292"/>
      <c r="L155" s="292"/>
      <c r="M155" s="292"/>
      <c r="N155" s="292"/>
      <c r="O155" s="292"/>
      <c r="P155" s="292"/>
      <c r="Q155" s="292"/>
      <c r="R155" s="292"/>
      <c r="S155" s="292"/>
      <c r="T155" s="292"/>
      <c r="U155" s="292"/>
      <c r="V155" s="292"/>
      <c r="W155" s="292"/>
      <c r="X155" s="292"/>
      <c r="Y155" s="292"/>
      <c r="Z155" s="292"/>
      <c r="AA155" s="292"/>
      <c r="AB155" s="292"/>
      <c r="AC155" s="292"/>
    </row>
    <row r="156">
      <c r="A156" s="292"/>
      <c r="B156" s="292"/>
      <c r="C156" s="292"/>
      <c r="D156" s="292"/>
      <c r="E156" s="292"/>
      <c r="F156" s="292"/>
      <c r="G156" s="292"/>
      <c r="H156" s="292"/>
      <c r="I156" s="292"/>
      <c r="J156" s="292"/>
      <c r="K156" s="292"/>
      <c r="L156" s="292"/>
      <c r="M156" s="292"/>
      <c r="N156" s="292"/>
      <c r="O156" s="292"/>
      <c r="P156" s="292"/>
      <c r="Q156" s="292"/>
      <c r="R156" s="292"/>
      <c r="S156" s="292"/>
      <c r="T156" s="292"/>
      <c r="U156" s="292"/>
      <c r="V156" s="292"/>
      <c r="W156" s="292"/>
      <c r="X156" s="292"/>
      <c r="Y156" s="292"/>
      <c r="Z156" s="292"/>
      <c r="AA156" s="292"/>
      <c r="AB156" s="292"/>
      <c r="AC156" s="292"/>
    </row>
    <row r="157">
      <c r="A157" s="292"/>
      <c r="B157" s="292"/>
      <c r="C157" s="292"/>
      <c r="D157" s="292"/>
      <c r="E157" s="292"/>
      <c r="F157" s="292"/>
      <c r="G157" s="292"/>
      <c r="H157" s="292"/>
      <c r="I157" s="292"/>
      <c r="J157" s="292"/>
      <c r="K157" s="292"/>
      <c r="L157" s="292"/>
      <c r="M157" s="292"/>
      <c r="N157" s="292"/>
      <c r="O157" s="292"/>
      <c r="P157" s="292"/>
      <c r="Q157" s="292"/>
      <c r="R157" s="292"/>
      <c r="S157" s="292"/>
      <c r="T157" s="292"/>
      <c r="U157" s="292"/>
      <c r="V157" s="292"/>
      <c r="W157" s="292"/>
      <c r="X157" s="292"/>
      <c r="Y157" s="292"/>
      <c r="Z157" s="292"/>
      <c r="AA157" s="292"/>
      <c r="AB157" s="292"/>
      <c r="AC157" s="292"/>
    </row>
    <row r="158">
      <c r="A158" s="292"/>
      <c r="B158" s="292"/>
      <c r="C158" s="292"/>
      <c r="D158" s="292"/>
      <c r="E158" s="292"/>
      <c r="F158" s="292"/>
      <c r="G158" s="292"/>
      <c r="H158" s="292"/>
      <c r="I158" s="292"/>
      <c r="J158" s="292"/>
      <c r="K158" s="292"/>
      <c r="L158" s="292"/>
      <c r="M158" s="292"/>
      <c r="N158" s="292"/>
      <c r="O158" s="292"/>
      <c r="P158" s="292"/>
      <c r="Q158" s="292"/>
      <c r="R158" s="292"/>
      <c r="S158" s="292"/>
      <c r="T158" s="292"/>
      <c r="U158" s="292"/>
      <c r="V158" s="292"/>
      <c r="W158" s="292"/>
      <c r="X158" s="292"/>
      <c r="Y158" s="292"/>
      <c r="Z158" s="292"/>
      <c r="AA158" s="292"/>
      <c r="AB158" s="292"/>
      <c r="AC158" s="292"/>
    </row>
    <row r="159">
      <c r="A159" s="292"/>
      <c r="B159" s="292"/>
      <c r="C159" s="292"/>
      <c r="D159" s="292"/>
      <c r="E159" s="292"/>
      <c r="F159" s="292"/>
      <c r="G159" s="292"/>
      <c r="H159" s="292"/>
      <c r="I159" s="292"/>
      <c r="J159" s="292"/>
      <c r="K159" s="292"/>
      <c r="L159" s="292"/>
      <c r="M159" s="292"/>
      <c r="N159" s="292"/>
      <c r="O159" s="292"/>
      <c r="P159" s="292"/>
      <c r="Q159" s="292"/>
      <c r="R159" s="292"/>
      <c r="S159" s="292"/>
      <c r="T159" s="292"/>
      <c r="U159" s="292"/>
      <c r="V159" s="292"/>
      <c r="W159" s="292"/>
      <c r="X159" s="292"/>
      <c r="Y159" s="292"/>
      <c r="Z159" s="292"/>
      <c r="AA159" s="292"/>
      <c r="AB159" s="292"/>
      <c r="AC159" s="292"/>
    </row>
    <row r="160">
      <c r="A160" s="292"/>
      <c r="B160" s="292"/>
      <c r="C160" s="292"/>
      <c r="D160" s="292"/>
      <c r="E160" s="292"/>
      <c r="F160" s="292"/>
      <c r="G160" s="292"/>
      <c r="H160" s="292"/>
      <c r="I160" s="292"/>
      <c r="J160" s="292"/>
      <c r="K160" s="292"/>
      <c r="L160" s="292"/>
      <c r="M160" s="292"/>
      <c r="N160" s="292"/>
      <c r="O160" s="292"/>
      <c r="P160" s="292"/>
      <c r="Q160" s="292"/>
      <c r="R160" s="292"/>
      <c r="S160" s="292"/>
      <c r="T160" s="292"/>
      <c r="U160" s="292"/>
      <c r="V160" s="292"/>
      <c r="W160" s="292"/>
      <c r="X160" s="292"/>
      <c r="Y160" s="292"/>
      <c r="Z160" s="292"/>
      <c r="AA160" s="292"/>
      <c r="AB160" s="292"/>
      <c r="AC160" s="292"/>
    </row>
    <row r="161">
      <c r="A161" s="292"/>
      <c r="B161" s="292"/>
      <c r="C161" s="292"/>
      <c r="D161" s="292"/>
      <c r="E161" s="292"/>
      <c r="F161" s="292"/>
      <c r="G161" s="292"/>
      <c r="H161" s="292"/>
      <c r="I161" s="292"/>
      <c r="J161" s="292"/>
      <c r="K161" s="292"/>
      <c r="L161" s="292"/>
      <c r="M161" s="292"/>
      <c r="N161" s="292"/>
      <c r="O161" s="292"/>
      <c r="P161" s="292"/>
      <c r="Q161" s="292"/>
      <c r="R161" s="292"/>
      <c r="S161" s="292"/>
      <c r="T161" s="292"/>
      <c r="U161" s="292"/>
      <c r="V161" s="292"/>
      <c r="W161" s="292"/>
      <c r="X161" s="292"/>
      <c r="Y161" s="292"/>
      <c r="Z161" s="292"/>
      <c r="AA161" s="292"/>
      <c r="AB161" s="292"/>
      <c r="AC161" s="292"/>
    </row>
    <row r="162">
      <c r="A162" s="292"/>
      <c r="B162" s="292"/>
      <c r="C162" s="292"/>
      <c r="D162" s="292"/>
      <c r="E162" s="292"/>
      <c r="F162" s="292"/>
      <c r="G162" s="292"/>
      <c r="H162" s="292"/>
      <c r="I162" s="292"/>
      <c r="J162" s="292"/>
      <c r="K162" s="292"/>
      <c r="L162" s="292"/>
      <c r="M162" s="292"/>
      <c r="N162" s="292"/>
      <c r="O162" s="292"/>
      <c r="P162" s="292"/>
      <c r="Q162" s="292"/>
      <c r="R162" s="292"/>
      <c r="S162" s="292"/>
      <c r="T162" s="292"/>
      <c r="U162" s="292"/>
      <c r="V162" s="292"/>
      <c r="W162" s="292"/>
      <c r="X162" s="292"/>
      <c r="Y162" s="292"/>
      <c r="Z162" s="292"/>
      <c r="AA162" s="292"/>
      <c r="AB162" s="292"/>
      <c r="AC162" s="292"/>
    </row>
    <row r="163">
      <c r="A163" s="292"/>
      <c r="B163" s="292"/>
      <c r="C163" s="292"/>
      <c r="D163" s="292"/>
      <c r="E163" s="292"/>
      <c r="F163" s="292"/>
      <c r="G163" s="292"/>
      <c r="H163" s="292"/>
      <c r="I163" s="292"/>
      <c r="J163" s="292"/>
      <c r="K163" s="292"/>
      <c r="L163" s="292"/>
      <c r="M163" s="292"/>
      <c r="N163" s="292"/>
      <c r="O163" s="292"/>
      <c r="P163" s="292"/>
      <c r="Q163" s="292"/>
      <c r="R163" s="292"/>
      <c r="S163" s="292"/>
      <c r="T163" s="292"/>
      <c r="U163" s="292"/>
      <c r="V163" s="292"/>
      <c r="W163" s="292"/>
      <c r="X163" s="292"/>
      <c r="Y163" s="292"/>
      <c r="Z163" s="292"/>
      <c r="AA163" s="292"/>
      <c r="AB163" s="292"/>
      <c r="AC163" s="292"/>
    </row>
    <row r="164">
      <c r="A164" s="292"/>
      <c r="B164" s="292"/>
      <c r="C164" s="292"/>
      <c r="D164" s="292"/>
      <c r="E164" s="292"/>
      <c r="F164" s="292"/>
      <c r="G164" s="292"/>
      <c r="H164" s="292"/>
      <c r="I164" s="292"/>
      <c r="J164" s="292"/>
      <c r="K164" s="292"/>
      <c r="L164" s="292"/>
      <c r="M164" s="292"/>
      <c r="N164" s="292"/>
      <c r="O164" s="292"/>
      <c r="P164" s="292"/>
      <c r="Q164" s="292"/>
      <c r="R164" s="292"/>
      <c r="S164" s="292"/>
      <c r="T164" s="292"/>
      <c r="U164" s="292"/>
      <c r="V164" s="292"/>
      <c r="W164" s="292"/>
      <c r="X164" s="292"/>
      <c r="Y164" s="292"/>
      <c r="Z164" s="292"/>
      <c r="AA164" s="292"/>
      <c r="AB164" s="292"/>
      <c r="AC164" s="292"/>
    </row>
    <row r="165">
      <c r="A165" s="292"/>
      <c r="B165" s="292"/>
      <c r="C165" s="292"/>
      <c r="D165" s="292"/>
      <c r="E165" s="292"/>
      <c r="F165" s="292"/>
      <c r="G165" s="292"/>
      <c r="H165" s="292"/>
      <c r="I165" s="292"/>
      <c r="J165" s="292"/>
      <c r="K165" s="292"/>
      <c r="L165" s="292"/>
      <c r="M165" s="292"/>
      <c r="N165" s="292"/>
      <c r="O165" s="292"/>
      <c r="P165" s="292"/>
      <c r="Q165" s="292"/>
      <c r="R165" s="292"/>
      <c r="S165" s="292"/>
      <c r="T165" s="292"/>
      <c r="U165" s="292"/>
      <c r="V165" s="292"/>
      <c r="W165" s="292"/>
      <c r="X165" s="292"/>
      <c r="Y165" s="292"/>
      <c r="Z165" s="292"/>
      <c r="AA165" s="292"/>
      <c r="AB165" s="292"/>
      <c r="AC165" s="292"/>
    </row>
    <row r="166">
      <c r="A166" s="292"/>
      <c r="B166" s="292"/>
      <c r="C166" s="292"/>
      <c r="D166" s="292"/>
      <c r="E166" s="292"/>
      <c r="F166" s="292"/>
      <c r="G166" s="292"/>
      <c r="H166" s="292"/>
      <c r="I166" s="292"/>
      <c r="J166" s="292"/>
      <c r="K166" s="292"/>
      <c r="L166" s="292"/>
      <c r="M166" s="292"/>
      <c r="N166" s="292"/>
      <c r="O166" s="292"/>
      <c r="P166" s="292"/>
      <c r="Q166" s="292"/>
      <c r="R166" s="292"/>
      <c r="S166" s="292"/>
      <c r="T166" s="292"/>
      <c r="U166" s="292"/>
      <c r="V166" s="292"/>
      <c r="W166" s="292"/>
      <c r="X166" s="292"/>
      <c r="Y166" s="292"/>
      <c r="Z166" s="292"/>
      <c r="AA166" s="292"/>
      <c r="AB166" s="292"/>
      <c r="AC166" s="292"/>
    </row>
    <row r="167">
      <c r="A167" s="292"/>
      <c r="B167" s="292"/>
      <c r="C167" s="292"/>
      <c r="D167" s="292"/>
      <c r="E167" s="292"/>
      <c r="F167" s="292"/>
      <c r="G167" s="292"/>
      <c r="H167" s="292"/>
      <c r="I167" s="292"/>
      <c r="J167" s="292"/>
      <c r="K167" s="292"/>
      <c r="L167" s="292"/>
      <c r="M167" s="292"/>
      <c r="N167" s="292"/>
      <c r="O167" s="292"/>
      <c r="P167" s="292"/>
      <c r="Q167" s="292"/>
      <c r="R167" s="292"/>
      <c r="S167" s="292"/>
      <c r="T167" s="292"/>
      <c r="U167" s="292"/>
      <c r="V167" s="292"/>
      <c r="W167" s="292"/>
      <c r="X167" s="292"/>
      <c r="Y167" s="292"/>
      <c r="Z167" s="292"/>
      <c r="AA167" s="292"/>
      <c r="AB167" s="292"/>
      <c r="AC167" s="292"/>
    </row>
    <row r="168">
      <c r="A168" s="292"/>
      <c r="B168" s="292"/>
      <c r="C168" s="292"/>
      <c r="D168" s="292"/>
      <c r="E168" s="292"/>
      <c r="F168" s="292"/>
      <c r="G168" s="292"/>
      <c r="H168" s="292"/>
      <c r="I168" s="292"/>
      <c r="J168" s="292"/>
      <c r="K168" s="292"/>
      <c r="L168" s="292"/>
      <c r="M168" s="292"/>
      <c r="N168" s="292"/>
      <c r="O168" s="292"/>
      <c r="P168" s="292"/>
      <c r="Q168" s="292"/>
      <c r="R168" s="292"/>
      <c r="S168" s="292"/>
      <c r="T168" s="292"/>
      <c r="U168" s="292"/>
      <c r="V168" s="292"/>
      <c r="W168" s="292"/>
      <c r="X168" s="292"/>
      <c r="Y168" s="292"/>
      <c r="Z168" s="292"/>
      <c r="AA168" s="292"/>
      <c r="AB168" s="292"/>
      <c r="AC168" s="292"/>
    </row>
    <row r="169">
      <c r="A169" s="292"/>
      <c r="B169" s="292"/>
      <c r="C169" s="292"/>
      <c r="D169" s="292"/>
      <c r="E169" s="292"/>
      <c r="F169" s="292"/>
      <c r="G169" s="292"/>
      <c r="H169" s="292"/>
      <c r="I169" s="292"/>
      <c r="J169" s="292"/>
      <c r="K169" s="292"/>
      <c r="L169" s="292"/>
      <c r="M169" s="292"/>
      <c r="N169" s="292"/>
      <c r="O169" s="292"/>
      <c r="P169" s="292"/>
      <c r="Q169" s="292"/>
      <c r="R169" s="292"/>
      <c r="S169" s="292"/>
      <c r="T169" s="292"/>
      <c r="U169" s="292"/>
      <c r="V169" s="292"/>
      <c r="W169" s="292"/>
      <c r="X169" s="292"/>
      <c r="Y169" s="292"/>
      <c r="Z169" s="292"/>
      <c r="AA169" s="292"/>
      <c r="AB169" s="292"/>
      <c r="AC169" s="292"/>
    </row>
    <row r="170">
      <c r="A170" s="292"/>
      <c r="B170" s="292"/>
      <c r="C170" s="292"/>
      <c r="D170" s="292"/>
      <c r="E170" s="292"/>
      <c r="F170" s="292"/>
      <c r="G170" s="292"/>
      <c r="H170" s="292"/>
      <c r="I170" s="292"/>
      <c r="J170" s="292"/>
      <c r="K170" s="292"/>
      <c r="L170" s="292"/>
      <c r="M170" s="292"/>
      <c r="N170" s="292"/>
      <c r="O170" s="292"/>
      <c r="P170" s="292"/>
      <c r="Q170" s="292"/>
      <c r="R170" s="292"/>
      <c r="S170" s="292"/>
      <c r="T170" s="292"/>
      <c r="U170" s="292"/>
      <c r="V170" s="292"/>
      <c r="W170" s="292"/>
      <c r="X170" s="292"/>
      <c r="Y170" s="292"/>
      <c r="Z170" s="292"/>
      <c r="AA170" s="292"/>
      <c r="AB170" s="292"/>
      <c r="AC170" s="292"/>
    </row>
    <row r="171">
      <c r="A171" s="292"/>
      <c r="B171" s="292"/>
      <c r="C171" s="292"/>
      <c r="D171" s="292"/>
      <c r="E171" s="292"/>
      <c r="F171" s="292"/>
      <c r="G171" s="292"/>
      <c r="H171" s="292"/>
      <c r="I171" s="292"/>
      <c r="J171" s="292"/>
      <c r="K171" s="292"/>
      <c r="L171" s="292"/>
      <c r="M171" s="292"/>
      <c r="N171" s="292"/>
      <c r="O171" s="292"/>
      <c r="P171" s="292"/>
      <c r="Q171" s="292"/>
      <c r="R171" s="292"/>
      <c r="S171" s="292"/>
      <c r="T171" s="292"/>
      <c r="U171" s="292"/>
      <c r="V171" s="292"/>
      <c r="W171" s="292"/>
      <c r="X171" s="292"/>
      <c r="Y171" s="292"/>
      <c r="Z171" s="292"/>
      <c r="AA171" s="292"/>
      <c r="AB171" s="292"/>
      <c r="AC171" s="292"/>
    </row>
    <row r="172">
      <c r="A172" s="292"/>
      <c r="B172" s="292"/>
      <c r="C172" s="292"/>
      <c r="D172" s="292"/>
      <c r="E172" s="292"/>
      <c r="F172" s="292"/>
      <c r="G172" s="292"/>
      <c r="H172" s="292"/>
      <c r="I172" s="292"/>
      <c r="J172" s="292"/>
      <c r="K172" s="292"/>
      <c r="L172" s="292"/>
      <c r="M172" s="292"/>
      <c r="N172" s="292"/>
      <c r="O172" s="292"/>
      <c r="P172" s="292"/>
      <c r="Q172" s="292"/>
      <c r="R172" s="292"/>
      <c r="S172" s="292"/>
      <c r="T172" s="292"/>
      <c r="U172" s="292"/>
      <c r="V172" s="292"/>
      <c r="W172" s="292"/>
      <c r="X172" s="292"/>
      <c r="Y172" s="292"/>
      <c r="Z172" s="292"/>
      <c r="AA172" s="292"/>
      <c r="AB172" s="292"/>
      <c r="AC172" s="292"/>
    </row>
    <row r="173">
      <c r="A173" s="292"/>
      <c r="B173" s="292"/>
      <c r="C173" s="292"/>
      <c r="D173" s="292"/>
      <c r="E173" s="292"/>
      <c r="F173" s="292"/>
      <c r="G173" s="292"/>
      <c r="H173" s="292"/>
      <c r="I173" s="292"/>
      <c r="J173" s="292"/>
      <c r="K173" s="292"/>
      <c r="L173" s="292"/>
      <c r="M173" s="292"/>
      <c r="N173" s="292"/>
      <c r="O173" s="292"/>
      <c r="P173" s="292"/>
      <c r="Q173" s="292"/>
      <c r="R173" s="292"/>
      <c r="S173" s="292"/>
      <c r="T173" s="292"/>
      <c r="U173" s="292"/>
      <c r="V173" s="292"/>
      <c r="W173" s="292"/>
      <c r="X173" s="292"/>
      <c r="Y173" s="292"/>
      <c r="Z173" s="292"/>
      <c r="AA173" s="292"/>
      <c r="AB173" s="292"/>
      <c r="AC173" s="292"/>
    </row>
    <row r="174">
      <c r="A174" s="292"/>
      <c r="B174" s="292"/>
      <c r="C174" s="292"/>
      <c r="D174" s="292"/>
      <c r="E174" s="292"/>
      <c r="F174" s="292"/>
      <c r="G174" s="292"/>
      <c r="H174" s="292"/>
      <c r="I174" s="292"/>
      <c r="J174" s="292"/>
      <c r="K174" s="292"/>
      <c r="L174" s="292"/>
      <c r="M174" s="292"/>
      <c r="N174" s="292"/>
      <c r="O174" s="292"/>
      <c r="P174" s="292"/>
      <c r="Q174" s="292"/>
      <c r="R174" s="292"/>
      <c r="S174" s="292"/>
      <c r="T174" s="292"/>
      <c r="U174" s="292"/>
      <c r="V174" s="292"/>
      <c r="W174" s="292"/>
      <c r="X174" s="292"/>
      <c r="Y174" s="292"/>
      <c r="Z174" s="292"/>
      <c r="AA174" s="292"/>
      <c r="AB174" s="292"/>
      <c r="AC174" s="292"/>
    </row>
    <row r="175">
      <c r="A175" s="292"/>
      <c r="B175" s="292"/>
      <c r="C175" s="292"/>
      <c r="D175" s="292"/>
      <c r="E175" s="292"/>
      <c r="F175" s="292"/>
      <c r="G175" s="292"/>
      <c r="H175" s="292"/>
      <c r="I175" s="292"/>
      <c r="J175" s="292"/>
      <c r="K175" s="292"/>
      <c r="L175" s="292"/>
      <c r="M175" s="292"/>
      <c r="N175" s="292"/>
      <c r="O175" s="292"/>
      <c r="P175" s="292"/>
      <c r="Q175" s="292"/>
      <c r="R175" s="292"/>
      <c r="S175" s="292"/>
      <c r="T175" s="292"/>
      <c r="U175" s="292"/>
      <c r="V175" s="292"/>
      <c r="W175" s="292"/>
      <c r="X175" s="292"/>
      <c r="Y175" s="292"/>
      <c r="Z175" s="292"/>
      <c r="AA175" s="292"/>
      <c r="AB175" s="292"/>
      <c r="AC175" s="292"/>
    </row>
    <row r="176">
      <c r="A176" s="292"/>
      <c r="B176" s="292"/>
      <c r="C176" s="292"/>
      <c r="D176" s="292"/>
      <c r="E176" s="292"/>
      <c r="F176" s="292"/>
      <c r="G176" s="292"/>
      <c r="H176" s="292"/>
      <c r="I176" s="292"/>
      <c r="J176" s="292"/>
      <c r="K176" s="292"/>
      <c r="L176" s="292"/>
      <c r="M176" s="292"/>
      <c r="N176" s="292"/>
      <c r="O176" s="292"/>
      <c r="P176" s="292"/>
      <c r="Q176" s="292"/>
      <c r="R176" s="292"/>
      <c r="S176" s="292"/>
      <c r="T176" s="292"/>
      <c r="U176" s="292"/>
      <c r="V176" s="292"/>
      <c r="W176" s="292"/>
      <c r="X176" s="292"/>
      <c r="Y176" s="292"/>
      <c r="Z176" s="292"/>
      <c r="AA176" s="292"/>
      <c r="AB176" s="292"/>
      <c r="AC176" s="292"/>
    </row>
    <row r="177">
      <c r="A177" s="292"/>
      <c r="B177" s="292"/>
      <c r="C177" s="292"/>
      <c r="D177" s="292"/>
      <c r="E177" s="292"/>
      <c r="F177" s="292"/>
      <c r="G177" s="292"/>
      <c r="H177" s="292"/>
      <c r="I177" s="292"/>
      <c r="J177" s="292"/>
      <c r="K177" s="292"/>
      <c r="L177" s="292"/>
      <c r="M177" s="292"/>
      <c r="N177" s="292"/>
      <c r="O177" s="292"/>
      <c r="P177" s="292"/>
      <c r="Q177" s="292"/>
      <c r="R177" s="292"/>
      <c r="S177" s="292"/>
      <c r="T177" s="292"/>
      <c r="U177" s="292"/>
      <c r="V177" s="292"/>
      <c r="W177" s="292"/>
      <c r="X177" s="292"/>
      <c r="Y177" s="292"/>
      <c r="Z177" s="292"/>
      <c r="AA177" s="292"/>
      <c r="AB177" s="292"/>
      <c r="AC177" s="292"/>
    </row>
    <row r="178">
      <c r="A178" s="292"/>
      <c r="B178" s="292"/>
      <c r="C178" s="292"/>
      <c r="D178" s="292"/>
      <c r="E178" s="292"/>
      <c r="F178" s="292"/>
      <c r="G178" s="292"/>
      <c r="H178" s="292"/>
      <c r="I178" s="292"/>
      <c r="J178" s="292"/>
      <c r="K178" s="292"/>
      <c r="L178" s="292"/>
      <c r="M178" s="292"/>
      <c r="N178" s="292"/>
      <c r="O178" s="292"/>
      <c r="P178" s="292"/>
      <c r="Q178" s="292"/>
      <c r="R178" s="292"/>
      <c r="S178" s="292"/>
      <c r="T178" s="292"/>
      <c r="U178" s="292"/>
      <c r="V178" s="292"/>
      <c r="W178" s="292"/>
      <c r="X178" s="292"/>
      <c r="Y178" s="292"/>
      <c r="Z178" s="292"/>
      <c r="AA178" s="292"/>
      <c r="AB178" s="292"/>
      <c r="AC178" s="292"/>
    </row>
    <row r="179">
      <c r="A179" s="292"/>
      <c r="B179" s="292"/>
      <c r="C179" s="292"/>
      <c r="D179" s="292"/>
      <c r="E179" s="292"/>
      <c r="F179" s="292"/>
      <c r="G179" s="292"/>
      <c r="H179" s="292"/>
      <c r="I179" s="292"/>
      <c r="J179" s="292"/>
      <c r="K179" s="292"/>
      <c r="L179" s="292"/>
      <c r="M179" s="292"/>
      <c r="N179" s="292"/>
      <c r="O179" s="292"/>
      <c r="P179" s="292"/>
      <c r="Q179" s="292"/>
      <c r="R179" s="292"/>
      <c r="S179" s="292"/>
      <c r="T179" s="292"/>
      <c r="U179" s="292"/>
      <c r="V179" s="292"/>
      <c r="W179" s="292"/>
      <c r="X179" s="292"/>
      <c r="Y179" s="292"/>
      <c r="Z179" s="292"/>
      <c r="AA179" s="292"/>
      <c r="AB179" s="292"/>
      <c r="AC179" s="292"/>
    </row>
    <row r="180">
      <c r="A180" s="292"/>
      <c r="B180" s="292"/>
      <c r="C180" s="292"/>
      <c r="D180" s="292"/>
      <c r="E180" s="292"/>
      <c r="F180" s="292"/>
      <c r="G180" s="292"/>
      <c r="H180" s="292"/>
      <c r="I180" s="292"/>
      <c r="J180" s="292"/>
      <c r="K180" s="292"/>
      <c r="L180" s="292"/>
      <c r="M180" s="292"/>
      <c r="N180" s="292"/>
      <c r="O180" s="292"/>
      <c r="P180" s="292"/>
      <c r="Q180" s="292"/>
      <c r="R180" s="292"/>
      <c r="S180" s="292"/>
      <c r="T180" s="292"/>
      <c r="U180" s="292"/>
      <c r="V180" s="292"/>
      <c r="W180" s="292"/>
      <c r="X180" s="292"/>
      <c r="Y180" s="292"/>
      <c r="Z180" s="292"/>
      <c r="AA180" s="292"/>
      <c r="AB180" s="292"/>
      <c r="AC180" s="292"/>
    </row>
    <row r="181">
      <c r="A181" s="292"/>
      <c r="B181" s="292"/>
      <c r="C181" s="292"/>
      <c r="D181" s="292"/>
      <c r="E181" s="292"/>
      <c r="F181" s="292"/>
      <c r="G181" s="292"/>
      <c r="H181" s="292"/>
      <c r="I181" s="292"/>
      <c r="J181" s="292"/>
      <c r="K181" s="292"/>
      <c r="L181" s="292"/>
      <c r="M181" s="292"/>
      <c r="N181" s="292"/>
      <c r="O181" s="292"/>
      <c r="P181" s="292"/>
      <c r="Q181" s="292"/>
      <c r="R181" s="292"/>
      <c r="S181" s="292"/>
      <c r="T181" s="292"/>
      <c r="U181" s="292"/>
      <c r="V181" s="292"/>
      <c r="W181" s="292"/>
      <c r="X181" s="292"/>
      <c r="Y181" s="292"/>
      <c r="Z181" s="292"/>
      <c r="AA181" s="292"/>
      <c r="AB181" s="292"/>
      <c r="AC181" s="292"/>
    </row>
    <row r="182">
      <c r="A182" s="292"/>
      <c r="B182" s="292"/>
      <c r="C182" s="292"/>
      <c r="D182" s="292"/>
      <c r="E182" s="292"/>
      <c r="F182" s="292"/>
      <c r="G182" s="292"/>
      <c r="H182" s="292"/>
      <c r="I182" s="292"/>
      <c r="J182" s="292"/>
      <c r="K182" s="292"/>
      <c r="L182" s="292"/>
      <c r="M182" s="292"/>
      <c r="N182" s="292"/>
      <c r="O182" s="292"/>
      <c r="P182" s="292"/>
      <c r="Q182" s="292"/>
      <c r="R182" s="292"/>
      <c r="S182" s="292"/>
      <c r="T182" s="292"/>
      <c r="U182" s="292"/>
      <c r="V182" s="292"/>
      <c r="W182" s="292"/>
      <c r="X182" s="292"/>
      <c r="Y182" s="292"/>
      <c r="Z182" s="292"/>
      <c r="AA182" s="292"/>
      <c r="AB182" s="292"/>
      <c r="AC182" s="292"/>
    </row>
    <row r="183">
      <c r="A183" s="292"/>
      <c r="B183" s="292"/>
      <c r="C183" s="292"/>
      <c r="D183" s="292"/>
      <c r="E183" s="292"/>
      <c r="F183" s="292"/>
      <c r="G183" s="292"/>
      <c r="H183" s="292"/>
      <c r="I183" s="292"/>
      <c r="J183" s="292"/>
      <c r="K183" s="292"/>
      <c r="L183" s="292"/>
      <c r="M183" s="292"/>
      <c r="N183" s="292"/>
      <c r="O183" s="292"/>
      <c r="P183" s="292"/>
      <c r="Q183" s="292"/>
      <c r="R183" s="292"/>
      <c r="S183" s="292"/>
      <c r="T183" s="292"/>
      <c r="U183" s="292"/>
      <c r="V183" s="292"/>
      <c r="W183" s="292"/>
      <c r="X183" s="292"/>
      <c r="Y183" s="292"/>
      <c r="Z183" s="292"/>
      <c r="AA183" s="292"/>
      <c r="AB183" s="292"/>
      <c r="AC183" s="292"/>
    </row>
    <row r="184">
      <c r="A184" s="292"/>
      <c r="B184" s="292"/>
      <c r="C184" s="292"/>
      <c r="D184" s="292"/>
      <c r="E184" s="292"/>
      <c r="F184" s="292"/>
      <c r="G184" s="292"/>
      <c r="H184" s="292"/>
      <c r="I184" s="292"/>
      <c r="J184" s="292"/>
      <c r="K184" s="292"/>
      <c r="L184" s="292"/>
      <c r="M184" s="292"/>
      <c r="N184" s="292"/>
      <c r="O184" s="292"/>
      <c r="P184" s="292"/>
      <c r="Q184" s="292"/>
      <c r="R184" s="292"/>
      <c r="S184" s="292"/>
      <c r="T184" s="292"/>
      <c r="U184" s="292"/>
      <c r="V184" s="292"/>
      <c r="W184" s="292"/>
      <c r="X184" s="292"/>
      <c r="Y184" s="292"/>
      <c r="Z184" s="292"/>
      <c r="AA184" s="292"/>
      <c r="AB184" s="292"/>
      <c r="AC184" s="292"/>
    </row>
    <row r="185">
      <c r="A185" s="292"/>
      <c r="B185" s="292"/>
      <c r="C185" s="292"/>
      <c r="D185" s="292"/>
      <c r="E185" s="292"/>
      <c r="F185" s="292"/>
      <c r="G185" s="292"/>
      <c r="H185" s="292"/>
      <c r="I185" s="292"/>
      <c r="J185" s="292"/>
      <c r="K185" s="292"/>
      <c r="L185" s="292"/>
      <c r="M185" s="292"/>
      <c r="N185" s="292"/>
      <c r="O185" s="292"/>
      <c r="P185" s="292"/>
      <c r="Q185" s="292"/>
      <c r="R185" s="292"/>
      <c r="S185" s="292"/>
      <c r="T185" s="292"/>
      <c r="U185" s="292"/>
      <c r="V185" s="292"/>
      <c r="W185" s="292"/>
      <c r="X185" s="292"/>
      <c r="Y185" s="292"/>
      <c r="Z185" s="292"/>
      <c r="AA185" s="292"/>
      <c r="AB185" s="292"/>
      <c r="AC185" s="292"/>
    </row>
    <row r="186">
      <c r="A186" s="292"/>
      <c r="B186" s="292"/>
      <c r="C186" s="292"/>
      <c r="D186" s="292"/>
      <c r="E186" s="292"/>
      <c r="F186" s="292"/>
      <c r="G186" s="292"/>
      <c r="H186" s="292"/>
      <c r="I186" s="292"/>
      <c r="J186" s="292"/>
      <c r="K186" s="292"/>
      <c r="L186" s="292"/>
      <c r="M186" s="292"/>
      <c r="N186" s="292"/>
      <c r="O186" s="292"/>
      <c r="P186" s="292"/>
      <c r="Q186" s="292"/>
      <c r="R186" s="292"/>
      <c r="S186" s="292"/>
      <c r="T186" s="292"/>
      <c r="U186" s="292"/>
      <c r="V186" s="292"/>
      <c r="W186" s="292"/>
      <c r="X186" s="292"/>
      <c r="Y186" s="292"/>
      <c r="Z186" s="292"/>
      <c r="AA186" s="292"/>
      <c r="AB186" s="292"/>
      <c r="AC186" s="292"/>
    </row>
    <row r="187">
      <c r="A187" s="292"/>
      <c r="B187" s="292"/>
      <c r="C187" s="292"/>
      <c r="D187" s="292"/>
      <c r="E187" s="292"/>
      <c r="F187" s="292"/>
      <c r="G187" s="292"/>
      <c r="H187" s="292"/>
      <c r="I187" s="292"/>
      <c r="J187" s="292"/>
      <c r="K187" s="292"/>
      <c r="L187" s="292"/>
      <c r="M187" s="292"/>
      <c r="N187" s="292"/>
      <c r="O187" s="292"/>
      <c r="P187" s="292"/>
      <c r="Q187" s="292"/>
      <c r="R187" s="292"/>
      <c r="S187" s="292"/>
      <c r="T187" s="292"/>
      <c r="U187" s="292"/>
      <c r="V187" s="292"/>
      <c r="W187" s="292"/>
      <c r="X187" s="292"/>
      <c r="Y187" s="292"/>
      <c r="Z187" s="292"/>
      <c r="AA187" s="292"/>
      <c r="AB187" s="292"/>
      <c r="AC187" s="292"/>
    </row>
    <row r="188">
      <c r="A188" s="292"/>
      <c r="B188" s="292"/>
      <c r="C188" s="292"/>
      <c r="D188" s="292"/>
      <c r="E188" s="292"/>
      <c r="F188" s="292"/>
      <c r="G188" s="292"/>
      <c r="H188" s="292"/>
      <c r="I188" s="292"/>
      <c r="J188" s="292"/>
      <c r="K188" s="292"/>
      <c r="L188" s="292"/>
      <c r="M188" s="292"/>
      <c r="N188" s="292"/>
      <c r="O188" s="292"/>
      <c r="P188" s="292"/>
      <c r="Q188" s="292"/>
      <c r="R188" s="292"/>
      <c r="S188" s="292"/>
      <c r="T188" s="292"/>
      <c r="U188" s="292"/>
      <c r="V188" s="292"/>
      <c r="W188" s="292"/>
      <c r="X188" s="292"/>
      <c r="Y188" s="292"/>
      <c r="Z188" s="292"/>
      <c r="AA188" s="292"/>
      <c r="AB188" s="292"/>
      <c r="AC188" s="292"/>
    </row>
    <row r="189">
      <c r="A189" s="292"/>
      <c r="B189" s="292"/>
      <c r="C189" s="292"/>
      <c r="D189" s="292"/>
      <c r="E189" s="292"/>
      <c r="F189" s="292"/>
      <c r="G189" s="292"/>
      <c r="H189" s="292"/>
      <c r="I189" s="292"/>
      <c r="J189" s="292"/>
      <c r="K189" s="292"/>
      <c r="L189" s="292"/>
      <c r="M189" s="292"/>
      <c r="N189" s="292"/>
      <c r="O189" s="292"/>
      <c r="P189" s="292"/>
      <c r="Q189" s="292"/>
      <c r="R189" s="292"/>
      <c r="S189" s="292"/>
      <c r="T189" s="292"/>
      <c r="U189" s="292"/>
      <c r="V189" s="292"/>
      <c r="W189" s="292"/>
      <c r="X189" s="292"/>
      <c r="Y189" s="292"/>
      <c r="Z189" s="292"/>
      <c r="AA189" s="292"/>
      <c r="AB189" s="292"/>
      <c r="AC189" s="292"/>
    </row>
    <row r="190">
      <c r="A190" s="292"/>
      <c r="B190" s="292"/>
      <c r="C190" s="292"/>
      <c r="D190" s="292"/>
      <c r="E190" s="292"/>
      <c r="F190" s="292"/>
      <c r="G190" s="292"/>
      <c r="H190" s="292"/>
      <c r="I190" s="292"/>
      <c r="J190" s="292"/>
      <c r="K190" s="292"/>
      <c r="L190" s="292"/>
      <c r="M190" s="292"/>
      <c r="N190" s="292"/>
      <c r="O190" s="292"/>
      <c r="P190" s="292"/>
      <c r="Q190" s="292"/>
      <c r="R190" s="292"/>
      <c r="S190" s="292"/>
      <c r="T190" s="292"/>
      <c r="U190" s="292"/>
      <c r="V190" s="292"/>
      <c r="W190" s="292"/>
      <c r="X190" s="292"/>
      <c r="Y190" s="292"/>
      <c r="Z190" s="292"/>
      <c r="AA190" s="292"/>
      <c r="AB190" s="292"/>
      <c r="AC190" s="292"/>
    </row>
    <row r="191">
      <c r="A191" s="292"/>
      <c r="B191" s="292"/>
      <c r="C191" s="292"/>
      <c r="D191" s="292"/>
      <c r="E191" s="292"/>
      <c r="F191" s="292"/>
      <c r="G191" s="292"/>
      <c r="H191" s="292"/>
      <c r="I191" s="292"/>
      <c r="J191" s="292"/>
      <c r="K191" s="292"/>
      <c r="L191" s="292"/>
      <c r="M191" s="292"/>
      <c r="N191" s="292"/>
      <c r="O191" s="292"/>
      <c r="P191" s="292"/>
      <c r="Q191" s="292"/>
      <c r="R191" s="292"/>
      <c r="S191" s="292"/>
      <c r="T191" s="292"/>
      <c r="U191" s="292"/>
      <c r="V191" s="292"/>
      <c r="W191" s="292"/>
      <c r="X191" s="292"/>
      <c r="Y191" s="292"/>
      <c r="Z191" s="292"/>
      <c r="AA191" s="292"/>
      <c r="AB191" s="292"/>
      <c r="AC191" s="292"/>
    </row>
    <row r="192">
      <c r="A192" s="292"/>
      <c r="B192" s="292"/>
      <c r="C192" s="292"/>
      <c r="D192" s="292"/>
      <c r="E192" s="292"/>
      <c r="F192" s="292"/>
      <c r="G192" s="292"/>
      <c r="H192" s="292"/>
      <c r="I192" s="292"/>
      <c r="J192" s="292"/>
      <c r="K192" s="292"/>
      <c r="L192" s="292"/>
      <c r="M192" s="292"/>
      <c r="N192" s="292"/>
      <c r="O192" s="292"/>
      <c r="P192" s="292"/>
      <c r="Q192" s="292"/>
      <c r="R192" s="292"/>
      <c r="S192" s="292"/>
      <c r="T192" s="292"/>
      <c r="U192" s="292"/>
      <c r="V192" s="292"/>
      <c r="W192" s="292"/>
      <c r="X192" s="292"/>
      <c r="Y192" s="292"/>
      <c r="Z192" s="292"/>
      <c r="AA192" s="292"/>
      <c r="AB192" s="292"/>
      <c r="AC192" s="292"/>
    </row>
    <row r="193">
      <c r="A193" s="292"/>
      <c r="B193" s="292"/>
      <c r="C193" s="292"/>
      <c r="D193" s="292"/>
      <c r="E193" s="292"/>
      <c r="F193" s="292"/>
      <c r="G193" s="292"/>
      <c r="H193" s="292"/>
      <c r="I193" s="292"/>
      <c r="J193" s="292"/>
      <c r="K193" s="292"/>
      <c r="L193" s="292"/>
      <c r="M193" s="292"/>
      <c r="N193" s="292"/>
      <c r="O193" s="292"/>
      <c r="P193" s="292"/>
      <c r="Q193" s="292"/>
      <c r="R193" s="292"/>
      <c r="S193" s="292"/>
      <c r="T193" s="292"/>
      <c r="U193" s="292"/>
      <c r="V193" s="292"/>
      <c r="W193" s="292"/>
      <c r="X193" s="292"/>
      <c r="Y193" s="292"/>
      <c r="Z193" s="292"/>
      <c r="AA193" s="292"/>
      <c r="AB193" s="292"/>
      <c r="AC193" s="292"/>
    </row>
    <row r="194">
      <c r="A194" s="292"/>
      <c r="B194" s="292"/>
      <c r="C194" s="292"/>
      <c r="D194" s="292"/>
      <c r="E194" s="292"/>
      <c r="F194" s="292"/>
      <c r="G194" s="292"/>
      <c r="H194" s="292"/>
      <c r="I194" s="292"/>
      <c r="J194" s="292"/>
      <c r="K194" s="292"/>
      <c r="L194" s="292"/>
      <c r="M194" s="292"/>
      <c r="N194" s="292"/>
      <c r="O194" s="292"/>
      <c r="P194" s="292"/>
      <c r="Q194" s="292"/>
      <c r="R194" s="292"/>
      <c r="S194" s="292"/>
      <c r="T194" s="292"/>
      <c r="U194" s="292"/>
      <c r="V194" s="292"/>
      <c r="W194" s="292"/>
      <c r="X194" s="292"/>
      <c r="Y194" s="292"/>
      <c r="Z194" s="292"/>
      <c r="AA194" s="292"/>
      <c r="AB194" s="292"/>
      <c r="AC194" s="292"/>
    </row>
    <row r="195">
      <c r="A195" s="292"/>
      <c r="B195" s="292"/>
      <c r="C195" s="292"/>
      <c r="D195" s="292"/>
      <c r="E195" s="292"/>
      <c r="F195" s="292"/>
      <c r="G195" s="292"/>
      <c r="H195" s="292"/>
      <c r="I195" s="292"/>
      <c r="J195" s="292"/>
      <c r="K195" s="292"/>
      <c r="L195" s="292"/>
      <c r="M195" s="292"/>
      <c r="N195" s="292"/>
      <c r="O195" s="292"/>
      <c r="P195" s="292"/>
      <c r="Q195" s="292"/>
      <c r="R195" s="292"/>
      <c r="S195" s="292"/>
      <c r="T195" s="292"/>
      <c r="U195" s="292"/>
      <c r="V195" s="292"/>
      <c r="W195" s="292"/>
      <c r="X195" s="292"/>
      <c r="Y195" s="292"/>
      <c r="Z195" s="292"/>
      <c r="AA195" s="292"/>
      <c r="AB195" s="292"/>
      <c r="AC195" s="292"/>
    </row>
    <row r="196">
      <c r="A196" s="292"/>
      <c r="B196" s="292"/>
      <c r="C196" s="292"/>
      <c r="D196" s="292"/>
      <c r="E196" s="292"/>
      <c r="F196" s="292"/>
      <c r="G196" s="292"/>
      <c r="H196" s="292"/>
      <c r="I196" s="292"/>
      <c r="J196" s="292"/>
      <c r="K196" s="292"/>
      <c r="L196" s="292"/>
      <c r="M196" s="292"/>
      <c r="N196" s="292"/>
      <c r="O196" s="292"/>
      <c r="P196" s="292"/>
      <c r="Q196" s="292"/>
      <c r="R196" s="292"/>
      <c r="S196" s="292"/>
      <c r="T196" s="292"/>
      <c r="U196" s="292"/>
      <c r="V196" s="292"/>
      <c r="W196" s="292"/>
      <c r="X196" s="292"/>
      <c r="Y196" s="292"/>
      <c r="Z196" s="292"/>
      <c r="AA196" s="292"/>
      <c r="AB196" s="292"/>
      <c r="AC196" s="292"/>
    </row>
    <row r="197">
      <c r="A197" s="292"/>
      <c r="B197" s="292"/>
      <c r="C197" s="292"/>
      <c r="D197" s="292"/>
      <c r="E197" s="292"/>
      <c r="F197" s="292"/>
      <c r="G197" s="292"/>
      <c r="H197" s="292"/>
      <c r="I197" s="292"/>
      <c r="J197" s="292"/>
      <c r="K197" s="292"/>
      <c r="L197" s="292"/>
      <c r="M197" s="292"/>
      <c r="N197" s="292"/>
      <c r="O197" s="292"/>
      <c r="P197" s="292"/>
      <c r="Q197" s="292"/>
      <c r="R197" s="292"/>
      <c r="S197" s="292"/>
      <c r="T197" s="292"/>
      <c r="U197" s="292"/>
      <c r="V197" s="292"/>
      <c r="W197" s="292"/>
      <c r="X197" s="292"/>
      <c r="Y197" s="292"/>
      <c r="Z197" s="292"/>
      <c r="AA197" s="292"/>
      <c r="AB197" s="292"/>
      <c r="AC197" s="292"/>
    </row>
    <row r="198">
      <c r="A198" s="292"/>
      <c r="B198" s="292"/>
      <c r="C198" s="292"/>
      <c r="D198" s="292"/>
      <c r="E198" s="292"/>
      <c r="F198" s="292"/>
      <c r="G198" s="292"/>
      <c r="H198" s="292"/>
      <c r="I198" s="292"/>
      <c r="J198" s="292"/>
      <c r="K198" s="292"/>
      <c r="L198" s="292"/>
      <c r="M198" s="292"/>
      <c r="N198" s="292"/>
      <c r="O198" s="292"/>
      <c r="P198" s="292"/>
      <c r="Q198" s="292"/>
      <c r="R198" s="292"/>
      <c r="S198" s="292"/>
      <c r="T198" s="292"/>
      <c r="U198" s="292"/>
      <c r="V198" s="292"/>
      <c r="W198" s="292"/>
      <c r="X198" s="292"/>
      <c r="Y198" s="292"/>
      <c r="Z198" s="292"/>
      <c r="AA198" s="292"/>
      <c r="AB198" s="292"/>
      <c r="AC198" s="292"/>
    </row>
    <row r="199">
      <c r="A199" s="292"/>
      <c r="B199" s="292"/>
      <c r="C199" s="292"/>
      <c r="D199" s="292"/>
      <c r="E199" s="292"/>
      <c r="F199" s="292"/>
      <c r="G199" s="292"/>
      <c r="H199" s="292"/>
      <c r="I199" s="292"/>
      <c r="J199" s="292"/>
      <c r="K199" s="292"/>
      <c r="L199" s="292"/>
      <c r="M199" s="292"/>
      <c r="N199" s="292"/>
      <c r="O199" s="292"/>
      <c r="P199" s="292"/>
      <c r="Q199" s="292"/>
      <c r="R199" s="292"/>
      <c r="S199" s="292"/>
      <c r="T199" s="292"/>
      <c r="U199" s="292"/>
      <c r="V199" s="292"/>
      <c r="W199" s="292"/>
      <c r="X199" s="292"/>
      <c r="Y199" s="292"/>
      <c r="Z199" s="292"/>
      <c r="AA199" s="292"/>
      <c r="AB199" s="292"/>
      <c r="AC199" s="292"/>
    </row>
    <row r="200">
      <c r="A200" s="292"/>
      <c r="B200" s="292"/>
      <c r="C200" s="292"/>
      <c r="D200" s="292"/>
      <c r="E200" s="292"/>
      <c r="F200" s="292"/>
      <c r="G200" s="292"/>
      <c r="H200" s="292"/>
      <c r="I200" s="292"/>
      <c r="J200" s="292"/>
      <c r="K200" s="292"/>
      <c r="L200" s="292"/>
      <c r="M200" s="292"/>
      <c r="N200" s="292"/>
      <c r="O200" s="292"/>
      <c r="P200" s="292"/>
      <c r="Q200" s="292"/>
      <c r="R200" s="292"/>
      <c r="S200" s="292"/>
      <c r="T200" s="292"/>
      <c r="U200" s="292"/>
      <c r="V200" s="292"/>
      <c r="W200" s="292"/>
      <c r="X200" s="292"/>
      <c r="Y200" s="292"/>
      <c r="Z200" s="292"/>
      <c r="AA200" s="292"/>
      <c r="AB200" s="292"/>
      <c r="AC200" s="292"/>
    </row>
    <row r="201">
      <c r="A201" s="292"/>
      <c r="B201" s="292"/>
      <c r="C201" s="292"/>
      <c r="D201" s="292"/>
      <c r="E201" s="292"/>
      <c r="F201" s="292"/>
      <c r="G201" s="292"/>
      <c r="H201" s="292"/>
      <c r="I201" s="292"/>
      <c r="J201" s="292"/>
      <c r="K201" s="292"/>
      <c r="L201" s="292"/>
      <c r="M201" s="292"/>
      <c r="N201" s="292"/>
      <c r="O201" s="292"/>
      <c r="P201" s="292"/>
      <c r="Q201" s="292"/>
      <c r="R201" s="292"/>
      <c r="S201" s="292"/>
      <c r="T201" s="292"/>
      <c r="U201" s="292"/>
      <c r="V201" s="292"/>
      <c r="W201" s="292"/>
      <c r="X201" s="292"/>
      <c r="Y201" s="292"/>
      <c r="Z201" s="292"/>
      <c r="AA201" s="292"/>
      <c r="AB201" s="292"/>
      <c r="AC201" s="292"/>
    </row>
    <row r="202">
      <c r="A202" s="292"/>
      <c r="B202" s="292"/>
      <c r="C202" s="292"/>
      <c r="D202" s="292"/>
      <c r="E202" s="292"/>
      <c r="F202" s="292"/>
      <c r="G202" s="292"/>
      <c r="H202" s="292"/>
      <c r="I202" s="292"/>
      <c r="J202" s="292"/>
      <c r="K202" s="292"/>
      <c r="L202" s="292"/>
      <c r="M202" s="292"/>
      <c r="N202" s="292"/>
      <c r="O202" s="292"/>
      <c r="P202" s="292"/>
      <c r="Q202" s="292"/>
      <c r="R202" s="292"/>
      <c r="S202" s="292"/>
      <c r="T202" s="292"/>
      <c r="U202" s="292"/>
      <c r="V202" s="292"/>
      <c r="W202" s="292"/>
      <c r="X202" s="292"/>
      <c r="Y202" s="292"/>
      <c r="Z202" s="292"/>
      <c r="AA202" s="292"/>
      <c r="AB202" s="292"/>
      <c r="AC202" s="292"/>
    </row>
    <row r="203">
      <c r="A203" s="292"/>
      <c r="B203" s="292"/>
      <c r="C203" s="292"/>
      <c r="D203" s="292"/>
      <c r="E203" s="292"/>
      <c r="F203" s="292"/>
      <c r="G203" s="292"/>
      <c r="H203" s="292"/>
      <c r="I203" s="292"/>
      <c r="J203" s="292"/>
      <c r="K203" s="292"/>
      <c r="L203" s="292"/>
      <c r="M203" s="292"/>
      <c r="N203" s="292"/>
      <c r="O203" s="292"/>
      <c r="P203" s="292"/>
      <c r="Q203" s="292"/>
      <c r="R203" s="292"/>
      <c r="S203" s="292"/>
      <c r="T203" s="292"/>
      <c r="U203" s="292"/>
      <c r="V203" s="292"/>
      <c r="W203" s="292"/>
      <c r="X203" s="292"/>
      <c r="Y203" s="292"/>
      <c r="Z203" s="292"/>
      <c r="AA203" s="292"/>
      <c r="AB203" s="292"/>
      <c r="AC203" s="292"/>
    </row>
    <row r="204">
      <c r="A204" s="292"/>
      <c r="B204" s="292"/>
      <c r="C204" s="292"/>
      <c r="D204" s="292"/>
      <c r="E204" s="292"/>
      <c r="F204" s="292"/>
      <c r="G204" s="292"/>
      <c r="H204" s="292"/>
      <c r="I204" s="292"/>
      <c r="J204" s="292"/>
      <c r="K204" s="292"/>
      <c r="L204" s="292"/>
      <c r="M204" s="292"/>
      <c r="N204" s="292"/>
      <c r="O204" s="292"/>
      <c r="P204" s="292"/>
      <c r="Q204" s="292"/>
      <c r="R204" s="292"/>
      <c r="S204" s="292"/>
      <c r="T204" s="292"/>
      <c r="U204" s="292"/>
      <c r="V204" s="292"/>
      <c r="W204" s="292"/>
      <c r="X204" s="292"/>
      <c r="Y204" s="292"/>
      <c r="Z204" s="292"/>
      <c r="AA204" s="292"/>
      <c r="AB204" s="292"/>
      <c r="AC204" s="292"/>
    </row>
    <row r="205">
      <c r="A205" s="292"/>
      <c r="B205" s="292"/>
      <c r="C205" s="292"/>
      <c r="D205" s="292"/>
      <c r="E205" s="292"/>
      <c r="F205" s="292"/>
      <c r="G205" s="292"/>
      <c r="H205" s="292"/>
      <c r="I205" s="292"/>
      <c r="J205" s="292"/>
      <c r="K205" s="292"/>
      <c r="L205" s="292"/>
      <c r="M205" s="292"/>
      <c r="N205" s="292"/>
      <c r="O205" s="292"/>
      <c r="P205" s="292"/>
      <c r="Q205" s="292"/>
      <c r="R205" s="292"/>
      <c r="S205" s="292"/>
      <c r="T205" s="292"/>
      <c r="U205" s="292"/>
      <c r="V205" s="292"/>
      <c r="W205" s="292"/>
      <c r="X205" s="292"/>
      <c r="Y205" s="292"/>
      <c r="Z205" s="292"/>
      <c r="AA205" s="292"/>
      <c r="AB205" s="292"/>
      <c r="AC205" s="292"/>
    </row>
    <row r="206">
      <c r="A206" s="292"/>
      <c r="B206" s="292"/>
      <c r="C206" s="292"/>
      <c r="D206" s="292"/>
      <c r="E206" s="292"/>
      <c r="F206" s="292"/>
      <c r="G206" s="292"/>
      <c r="H206" s="292"/>
      <c r="I206" s="292"/>
      <c r="J206" s="292"/>
      <c r="K206" s="292"/>
      <c r="L206" s="292"/>
      <c r="M206" s="292"/>
      <c r="N206" s="292"/>
      <c r="O206" s="292"/>
      <c r="P206" s="292"/>
      <c r="Q206" s="292"/>
      <c r="R206" s="292"/>
      <c r="S206" s="292"/>
      <c r="T206" s="292"/>
      <c r="U206" s="292"/>
      <c r="V206" s="292"/>
      <c r="W206" s="292"/>
      <c r="X206" s="292"/>
      <c r="Y206" s="292"/>
      <c r="Z206" s="292"/>
      <c r="AA206" s="292"/>
      <c r="AB206" s="292"/>
      <c r="AC206" s="292"/>
    </row>
    <row r="207">
      <c r="A207" s="292"/>
      <c r="B207" s="292"/>
      <c r="C207" s="292"/>
      <c r="D207" s="292"/>
      <c r="E207" s="292"/>
      <c r="F207" s="292"/>
      <c r="G207" s="292"/>
      <c r="H207" s="292"/>
      <c r="I207" s="292"/>
      <c r="J207" s="292"/>
      <c r="K207" s="292"/>
      <c r="L207" s="292"/>
      <c r="M207" s="292"/>
      <c r="N207" s="292"/>
      <c r="O207" s="292"/>
      <c r="P207" s="292"/>
      <c r="Q207" s="292"/>
      <c r="R207" s="292"/>
      <c r="S207" s="292"/>
      <c r="T207" s="292"/>
      <c r="U207" s="292"/>
      <c r="V207" s="292"/>
      <c r="W207" s="292"/>
      <c r="X207" s="292"/>
      <c r="Y207" s="292"/>
      <c r="Z207" s="292"/>
      <c r="AA207" s="292"/>
      <c r="AB207" s="292"/>
      <c r="AC207" s="292"/>
    </row>
    <row r="208">
      <c r="A208" s="292"/>
      <c r="B208" s="292"/>
      <c r="C208" s="292"/>
      <c r="D208" s="292"/>
      <c r="E208" s="292"/>
      <c r="F208" s="292"/>
      <c r="G208" s="292"/>
      <c r="H208" s="292"/>
      <c r="I208" s="292"/>
      <c r="J208" s="292"/>
      <c r="K208" s="292"/>
      <c r="L208" s="292"/>
      <c r="M208" s="292"/>
      <c r="N208" s="292"/>
      <c r="O208" s="292"/>
      <c r="P208" s="292"/>
      <c r="Q208" s="292"/>
      <c r="R208" s="292"/>
      <c r="S208" s="292"/>
      <c r="T208" s="292"/>
      <c r="U208" s="292"/>
      <c r="V208" s="292"/>
      <c r="W208" s="292"/>
      <c r="X208" s="292"/>
      <c r="Y208" s="292"/>
      <c r="Z208" s="292"/>
      <c r="AA208" s="292"/>
      <c r="AB208" s="292"/>
      <c r="AC208" s="292"/>
    </row>
    <row r="209">
      <c r="A209" s="292"/>
      <c r="B209" s="292"/>
      <c r="C209" s="292"/>
      <c r="D209" s="292"/>
      <c r="E209" s="292"/>
      <c r="F209" s="292"/>
      <c r="G209" s="292"/>
      <c r="H209" s="292"/>
      <c r="I209" s="292"/>
      <c r="J209" s="292"/>
      <c r="K209" s="292"/>
      <c r="L209" s="292"/>
      <c r="M209" s="292"/>
      <c r="N209" s="292"/>
      <c r="O209" s="292"/>
      <c r="P209" s="292"/>
      <c r="Q209" s="292"/>
      <c r="R209" s="292"/>
      <c r="S209" s="292"/>
      <c r="T209" s="292"/>
      <c r="U209" s="292"/>
      <c r="V209" s="292"/>
      <c r="W209" s="292"/>
      <c r="X209" s="292"/>
      <c r="Y209" s="292"/>
      <c r="Z209" s="292"/>
      <c r="AA209" s="292"/>
      <c r="AB209" s="292"/>
      <c r="AC209" s="292"/>
    </row>
    <row r="210">
      <c r="A210" s="292"/>
      <c r="B210" s="292"/>
      <c r="C210" s="292"/>
      <c r="D210" s="292"/>
      <c r="E210" s="292"/>
      <c r="F210" s="292"/>
      <c r="G210" s="292"/>
      <c r="H210" s="292"/>
      <c r="I210" s="292"/>
      <c r="J210" s="292"/>
      <c r="K210" s="292"/>
      <c r="L210" s="292"/>
      <c r="M210" s="292"/>
      <c r="N210" s="292"/>
      <c r="O210" s="292"/>
      <c r="P210" s="292"/>
      <c r="Q210" s="292"/>
      <c r="R210" s="292"/>
      <c r="S210" s="292"/>
      <c r="T210" s="292"/>
      <c r="U210" s="292"/>
      <c r="V210" s="292"/>
      <c r="W210" s="292"/>
      <c r="X210" s="292"/>
      <c r="Y210" s="292"/>
      <c r="Z210" s="292"/>
      <c r="AA210" s="292"/>
      <c r="AB210" s="292"/>
      <c r="AC210" s="292"/>
    </row>
    <row r="211">
      <c r="A211" s="292"/>
      <c r="B211" s="292"/>
      <c r="C211" s="292"/>
      <c r="D211" s="292"/>
      <c r="E211" s="292"/>
      <c r="F211" s="292"/>
      <c r="G211" s="292"/>
      <c r="H211" s="292"/>
      <c r="I211" s="292"/>
      <c r="J211" s="292"/>
      <c r="K211" s="292"/>
      <c r="L211" s="292"/>
      <c r="M211" s="292"/>
      <c r="N211" s="292"/>
      <c r="O211" s="292"/>
      <c r="P211" s="292"/>
      <c r="Q211" s="292"/>
      <c r="R211" s="292"/>
      <c r="S211" s="292"/>
      <c r="T211" s="292"/>
      <c r="U211" s="292"/>
      <c r="V211" s="292"/>
      <c r="W211" s="292"/>
      <c r="X211" s="292"/>
      <c r="Y211" s="292"/>
      <c r="Z211" s="292"/>
      <c r="AA211" s="292"/>
      <c r="AB211" s="292"/>
      <c r="AC211" s="292"/>
    </row>
    <row r="212">
      <c r="A212" s="292"/>
      <c r="B212" s="292"/>
      <c r="C212" s="292"/>
      <c r="D212" s="292"/>
      <c r="E212" s="292"/>
      <c r="F212" s="292"/>
      <c r="G212" s="292"/>
      <c r="H212" s="292"/>
      <c r="I212" s="292"/>
      <c r="J212" s="292"/>
      <c r="K212" s="292"/>
      <c r="L212" s="292"/>
      <c r="M212" s="292"/>
      <c r="N212" s="292"/>
      <c r="O212" s="292"/>
      <c r="P212" s="292"/>
      <c r="Q212" s="292"/>
      <c r="R212" s="292"/>
      <c r="S212" s="292"/>
      <c r="T212" s="292"/>
      <c r="U212" s="292"/>
      <c r="V212" s="292"/>
      <c r="W212" s="292"/>
      <c r="X212" s="292"/>
      <c r="Y212" s="292"/>
      <c r="Z212" s="292"/>
      <c r="AA212" s="292"/>
      <c r="AB212" s="292"/>
      <c r="AC212" s="292"/>
    </row>
    <row r="213">
      <c r="A213" s="292"/>
      <c r="B213" s="292"/>
      <c r="C213" s="292"/>
      <c r="D213" s="292"/>
      <c r="E213" s="292"/>
      <c r="F213" s="292"/>
      <c r="G213" s="292"/>
      <c r="H213" s="292"/>
      <c r="I213" s="292"/>
      <c r="J213" s="292"/>
      <c r="K213" s="292"/>
      <c r="L213" s="292"/>
      <c r="M213" s="292"/>
      <c r="N213" s="292"/>
      <c r="O213" s="292"/>
      <c r="P213" s="292"/>
      <c r="Q213" s="292"/>
      <c r="R213" s="292"/>
      <c r="S213" s="292"/>
      <c r="T213" s="292"/>
      <c r="U213" s="292"/>
      <c r="V213" s="292"/>
      <c r="W213" s="292"/>
      <c r="X213" s="292"/>
      <c r="Y213" s="292"/>
      <c r="Z213" s="292"/>
      <c r="AA213" s="292"/>
      <c r="AB213" s="292"/>
      <c r="AC213" s="292"/>
    </row>
    <row r="214">
      <c r="A214" s="292"/>
      <c r="B214" s="292"/>
      <c r="C214" s="292"/>
      <c r="D214" s="292"/>
      <c r="E214" s="292"/>
      <c r="F214" s="292"/>
      <c r="G214" s="292"/>
      <c r="H214" s="292"/>
      <c r="I214" s="292"/>
      <c r="J214" s="292"/>
      <c r="K214" s="292"/>
      <c r="L214" s="292"/>
      <c r="M214" s="292"/>
      <c r="N214" s="292"/>
      <c r="O214" s="292"/>
      <c r="P214" s="292"/>
      <c r="Q214" s="292"/>
      <c r="R214" s="292"/>
      <c r="S214" s="292"/>
      <c r="T214" s="292"/>
      <c r="U214" s="292"/>
      <c r="V214" s="292"/>
      <c r="W214" s="292"/>
      <c r="X214" s="292"/>
      <c r="Y214" s="292"/>
      <c r="Z214" s="292"/>
      <c r="AA214" s="292"/>
      <c r="AB214" s="292"/>
      <c r="AC214" s="292"/>
    </row>
    <row r="215">
      <c r="A215" s="292"/>
      <c r="B215" s="292"/>
      <c r="C215" s="292"/>
      <c r="D215" s="292"/>
      <c r="E215" s="292"/>
      <c r="F215" s="292"/>
      <c r="G215" s="292"/>
      <c r="H215" s="292"/>
      <c r="I215" s="292"/>
      <c r="J215" s="292"/>
      <c r="K215" s="292"/>
      <c r="L215" s="292"/>
      <c r="M215" s="292"/>
      <c r="N215" s="292"/>
      <c r="O215" s="292"/>
      <c r="P215" s="292"/>
      <c r="Q215" s="292"/>
      <c r="R215" s="292"/>
      <c r="S215" s="292"/>
      <c r="T215" s="292"/>
      <c r="U215" s="292"/>
      <c r="V215" s="292"/>
      <c r="W215" s="292"/>
      <c r="X215" s="292"/>
      <c r="Y215" s="292"/>
      <c r="Z215" s="292"/>
      <c r="AA215" s="292"/>
      <c r="AB215" s="292"/>
      <c r="AC215" s="292"/>
    </row>
    <row r="216">
      <c r="A216" s="292"/>
      <c r="B216" s="292"/>
      <c r="C216" s="292"/>
      <c r="D216" s="292"/>
      <c r="E216" s="292"/>
      <c r="F216" s="292"/>
      <c r="G216" s="292"/>
      <c r="H216" s="292"/>
      <c r="I216" s="292"/>
      <c r="J216" s="292"/>
      <c r="K216" s="292"/>
      <c r="L216" s="292"/>
      <c r="M216" s="292"/>
      <c r="N216" s="292"/>
      <c r="O216" s="292"/>
      <c r="P216" s="292"/>
      <c r="Q216" s="292"/>
      <c r="R216" s="292"/>
      <c r="S216" s="292"/>
      <c r="T216" s="292"/>
      <c r="U216" s="292"/>
      <c r="V216" s="292"/>
      <c r="W216" s="292"/>
      <c r="X216" s="292"/>
      <c r="Y216" s="292"/>
      <c r="Z216" s="292"/>
      <c r="AA216" s="292"/>
      <c r="AB216" s="292"/>
      <c r="AC216" s="292"/>
    </row>
    <row r="217">
      <c r="A217" s="292"/>
      <c r="B217" s="292"/>
      <c r="C217" s="292"/>
      <c r="D217" s="292"/>
      <c r="E217" s="292"/>
      <c r="F217" s="292"/>
      <c r="G217" s="292"/>
      <c r="H217" s="292"/>
      <c r="I217" s="292"/>
      <c r="J217" s="292"/>
      <c r="K217" s="292"/>
      <c r="L217" s="292"/>
      <c r="M217" s="292"/>
      <c r="N217" s="292"/>
      <c r="O217" s="292"/>
      <c r="P217" s="292"/>
      <c r="Q217" s="292"/>
      <c r="R217" s="292"/>
      <c r="S217" s="292"/>
      <c r="T217" s="292"/>
      <c r="U217" s="292"/>
      <c r="V217" s="292"/>
      <c r="W217" s="292"/>
      <c r="X217" s="292"/>
      <c r="Y217" s="292"/>
      <c r="Z217" s="292"/>
      <c r="AA217" s="292"/>
      <c r="AB217" s="292"/>
      <c r="AC217" s="292"/>
    </row>
    <row r="218">
      <c r="A218" s="292"/>
      <c r="B218" s="292"/>
      <c r="C218" s="292"/>
      <c r="D218" s="292"/>
      <c r="E218" s="292"/>
      <c r="F218" s="292"/>
      <c r="G218" s="292"/>
      <c r="H218" s="292"/>
      <c r="I218" s="292"/>
      <c r="J218" s="292"/>
      <c r="K218" s="292"/>
      <c r="L218" s="292"/>
      <c r="M218" s="292"/>
      <c r="N218" s="292"/>
      <c r="O218" s="292"/>
      <c r="P218" s="292"/>
      <c r="Q218" s="292"/>
      <c r="R218" s="292"/>
      <c r="S218" s="292"/>
      <c r="T218" s="292"/>
      <c r="U218" s="292"/>
      <c r="V218" s="292"/>
      <c r="W218" s="292"/>
      <c r="X218" s="292"/>
      <c r="Y218" s="292"/>
      <c r="Z218" s="292"/>
      <c r="AA218" s="292"/>
      <c r="AB218" s="292"/>
      <c r="AC218" s="292"/>
    </row>
    <row r="219">
      <c r="A219" s="292"/>
      <c r="B219" s="292"/>
      <c r="C219" s="292"/>
      <c r="D219" s="292"/>
      <c r="E219" s="292"/>
      <c r="F219" s="292"/>
      <c r="G219" s="292"/>
      <c r="H219" s="292"/>
      <c r="I219" s="292"/>
      <c r="J219" s="292"/>
      <c r="K219" s="292"/>
      <c r="L219" s="292"/>
      <c r="M219" s="292"/>
      <c r="N219" s="292"/>
      <c r="O219" s="292"/>
      <c r="P219" s="292"/>
      <c r="Q219" s="292"/>
      <c r="R219" s="292"/>
      <c r="S219" s="292"/>
      <c r="T219" s="292"/>
      <c r="U219" s="292"/>
      <c r="V219" s="292"/>
      <c r="W219" s="292"/>
      <c r="X219" s="292"/>
      <c r="Y219" s="292"/>
      <c r="Z219" s="292"/>
      <c r="AA219" s="292"/>
      <c r="AB219" s="292"/>
      <c r="AC219" s="292"/>
    </row>
    <row r="220">
      <c r="A220" s="292"/>
      <c r="B220" s="292"/>
      <c r="C220" s="292"/>
      <c r="D220" s="292"/>
      <c r="E220" s="292"/>
      <c r="F220" s="292"/>
      <c r="G220" s="292"/>
      <c r="H220" s="292"/>
      <c r="I220" s="292"/>
      <c r="J220" s="292"/>
      <c r="K220" s="292"/>
      <c r="L220" s="292"/>
      <c r="M220" s="292"/>
      <c r="N220" s="292"/>
      <c r="O220" s="292"/>
      <c r="P220" s="292"/>
      <c r="Q220" s="292"/>
      <c r="R220" s="292"/>
      <c r="S220" s="292"/>
      <c r="T220" s="292"/>
      <c r="U220" s="292"/>
      <c r="V220" s="292"/>
      <c r="W220" s="292"/>
      <c r="X220" s="292"/>
      <c r="Y220" s="292"/>
      <c r="Z220" s="292"/>
      <c r="AA220" s="292"/>
      <c r="AB220" s="292"/>
      <c r="AC220" s="292"/>
    </row>
    <row r="221">
      <c r="A221" s="292"/>
      <c r="B221" s="292"/>
      <c r="C221" s="292"/>
      <c r="D221" s="292"/>
      <c r="E221" s="292"/>
      <c r="F221" s="292"/>
      <c r="G221" s="292"/>
      <c r="H221" s="292"/>
      <c r="I221" s="292"/>
      <c r="J221" s="292"/>
      <c r="K221" s="292"/>
      <c r="L221" s="292"/>
      <c r="M221" s="292"/>
      <c r="N221" s="292"/>
      <c r="O221" s="292"/>
      <c r="P221" s="292"/>
      <c r="Q221" s="292"/>
      <c r="R221" s="292"/>
      <c r="S221" s="292"/>
      <c r="T221" s="292"/>
      <c r="U221" s="292"/>
      <c r="V221" s="292"/>
      <c r="W221" s="292"/>
      <c r="X221" s="292"/>
      <c r="Y221" s="292"/>
      <c r="Z221" s="292"/>
      <c r="AA221" s="292"/>
      <c r="AB221" s="292"/>
      <c r="AC221" s="292"/>
    </row>
    <row r="222">
      <c r="A222" s="292"/>
      <c r="B222" s="292"/>
      <c r="C222" s="292"/>
      <c r="D222" s="292"/>
      <c r="E222" s="292"/>
      <c r="F222" s="292"/>
      <c r="G222" s="292"/>
      <c r="H222" s="292"/>
      <c r="I222" s="292"/>
      <c r="J222" s="292"/>
      <c r="K222" s="292"/>
      <c r="L222" s="292"/>
      <c r="M222" s="292"/>
      <c r="N222" s="292"/>
      <c r="O222" s="292"/>
      <c r="P222" s="292"/>
      <c r="Q222" s="292"/>
      <c r="R222" s="292"/>
      <c r="S222" s="292"/>
      <c r="T222" s="292"/>
      <c r="U222" s="292"/>
      <c r="V222" s="292"/>
      <c r="W222" s="292"/>
      <c r="X222" s="292"/>
      <c r="Y222" s="292"/>
      <c r="Z222" s="292"/>
      <c r="AA222" s="292"/>
      <c r="AB222" s="292"/>
      <c r="AC222" s="292"/>
    </row>
    <row r="223">
      <c r="A223" s="292"/>
      <c r="B223" s="292"/>
      <c r="C223" s="292"/>
      <c r="D223" s="292"/>
      <c r="E223" s="292"/>
      <c r="F223" s="292"/>
      <c r="G223" s="292"/>
      <c r="H223" s="292"/>
      <c r="I223" s="292"/>
      <c r="J223" s="292"/>
      <c r="K223" s="292"/>
      <c r="L223" s="292"/>
      <c r="M223" s="292"/>
      <c r="N223" s="292"/>
      <c r="O223" s="292"/>
      <c r="P223" s="292"/>
      <c r="Q223" s="292"/>
      <c r="R223" s="292"/>
      <c r="S223" s="292"/>
      <c r="T223" s="292"/>
      <c r="U223" s="292"/>
      <c r="V223" s="292"/>
      <c r="W223" s="292"/>
      <c r="X223" s="292"/>
      <c r="Y223" s="292"/>
      <c r="Z223" s="292"/>
      <c r="AA223" s="292"/>
      <c r="AB223" s="292"/>
      <c r="AC223" s="292"/>
    </row>
    <row r="224">
      <c r="A224" s="292"/>
      <c r="B224" s="292"/>
      <c r="C224" s="292"/>
      <c r="D224" s="292"/>
      <c r="E224" s="292"/>
      <c r="F224" s="292"/>
      <c r="G224" s="292"/>
      <c r="H224" s="292"/>
      <c r="I224" s="292"/>
      <c r="J224" s="292"/>
      <c r="K224" s="292"/>
      <c r="L224" s="292"/>
      <c r="M224" s="292"/>
      <c r="N224" s="292"/>
      <c r="O224" s="292"/>
      <c r="P224" s="292"/>
      <c r="Q224" s="292"/>
      <c r="R224" s="292"/>
      <c r="S224" s="292"/>
      <c r="T224" s="292"/>
      <c r="U224" s="292"/>
      <c r="V224" s="292"/>
      <c r="W224" s="292"/>
      <c r="X224" s="292"/>
      <c r="Y224" s="292"/>
      <c r="Z224" s="292"/>
      <c r="AA224" s="292"/>
      <c r="AB224" s="292"/>
      <c r="AC224" s="292"/>
    </row>
    <row r="225">
      <c r="A225" s="292"/>
      <c r="B225" s="292"/>
      <c r="C225" s="292"/>
      <c r="D225" s="292"/>
      <c r="E225" s="292"/>
      <c r="F225" s="292"/>
      <c r="G225" s="292"/>
      <c r="H225" s="292"/>
      <c r="I225" s="292"/>
      <c r="J225" s="292"/>
      <c r="K225" s="292"/>
      <c r="L225" s="292"/>
      <c r="M225" s="292"/>
      <c r="N225" s="292"/>
      <c r="O225" s="292"/>
      <c r="P225" s="292"/>
      <c r="Q225" s="292"/>
      <c r="R225" s="292"/>
      <c r="S225" s="292"/>
      <c r="T225" s="292"/>
      <c r="U225" s="292"/>
      <c r="V225" s="292"/>
      <c r="W225" s="292"/>
      <c r="X225" s="292"/>
      <c r="Y225" s="292"/>
      <c r="Z225" s="292"/>
      <c r="AA225" s="292"/>
      <c r="AB225" s="292"/>
      <c r="AC225" s="292"/>
    </row>
    <row r="226">
      <c r="A226" s="292"/>
      <c r="B226" s="292"/>
      <c r="C226" s="292"/>
      <c r="D226" s="292"/>
      <c r="E226" s="292"/>
      <c r="F226" s="292"/>
      <c r="G226" s="292"/>
      <c r="H226" s="292"/>
      <c r="I226" s="292"/>
      <c r="J226" s="292"/>
      <c r="K226" s="292"/>
      <c r="L226" s="292"/>
      <c r="M226" s="292"/>
      <c r="N226" s="292"/>
      <c r="O226" s="292"/>
      <c r="P226" s="292"/>
      <c r="Q226" s="292"/>
      <c r="R226" s="292"/>
      <c r="S226" s="292"/>
      <c r="T226" s="292"/>
      <c r="U226" s="292"/>
      <c r="V226" s="292"/>
      <c r="W226" s="292"/>
      <c r="X226" s="292"/>
      <c r="Y226" s="292"/>
      <c r="Z226" s="292"/>
      <c r="AA226" s="292"/>
      <c r="AB226" s="292"/>
      <c r="AC226" s="292"/>
    </row>
    <row r="227">
      <c r="A227" s="292"/>
      <c r="B227" s="292"/>
      <c r="C227" s="292"/>
      <c r="D227" s="292"/>
      <c r="E227" s="292"/>
      <c r="F227" s="292"/>
      <c r="G227" s="292"/>
      <c r="H227" s="292"/>
      <c r="I227" s="292"/>
      <c r="J227" s="292"/>
      <c r="K227" s="292"/>
      <c r="L227" s="292"/>
      <c r="M227" s="292"/>
      <c r="N227" s="292"/>
      <c r="O227" s="292"/>
      <c r="P227" s="292"/>
      <c r="Q227" s="292"/>
      <c r="R227" s="292"/>
      <c r="S227" s="292"/>
      <c r="T227" s="292"/>
      <c r="U227" s="292"/>
      <c r="V227" s="292"/>
      <c r="W227" s="292"/>
      <c r="X227" s="292"/>
      <c r="Y227" s="292"/>
      <c r="Z227" s="292"/>
      <c r="AA227" s="292"/>
      <c r="AB227" s="292"/>
      <c r="AC227" s="292"/>
    </row>
    <row r="228">
      <c r="A228" s="292"/>
      <c r="B228" s="292"/>
      <c r="C228" s="292"/>
      <c r="D228" s="292"/>
      <c r="E228" s="292"/>
      <c r="F228" s="292"/>
      <c r="G228" s="292"/>
      <c r="H228" s="292"/>
      <c r="I228" s="292"/>
      <c r="J228" s="292"/>
      <c r="K228" s="292"/>
      <c r="L228" s="292"/>
      <c r="M228" s="292"/>
      <c r="N228" s="292"/>
      <c r="O228" s="292"/>
      <c r="P228" s="292"/>
      <c r="Q228" s="292"/>
      <c r="R228" s="292"/>
      <c r="S228" s="292"/>
      <c r="T228" s="292"/>
      <c r="U228" s="292"/>
      <c r="V228" s="292"/>
      <c r="W228" s="292"/>
      <c r="X228" s="292"/>
      <c r="Y228" s="292"/>
      <c r="Z228" s="292"/>
      <c r="AA228" s="292"/>
      <c r="AB228" s="292"/>
      <c r="AC228" s="292"/>
    </row>
    <row r="229">
      <c r="A229" s="292"/>
      <c r="B229" s="292"/>
      <c r="C229" s="292"/>
      <c r="D229" s="292"/>
      <c r="E229" s="292"/>
      <c r="F229" s="292"/>
      <c r="G229" s="292"/>
      <c r="H229" s="292"/>
      <c r="I229" s="292"/>
      <c r="J229" s="292"/>
      <c r="K229" s="292"/>
      <c r="L229" s="292"/>
      <c r="M229" s="292"/>
      <c r="N229" s="292"/>
      <c r="O229" s="292"/>
      <c r="P229" s="292"/>
      <c r="Q229" s="292"/>
      <c r="R229" s="292"/>
      <c r="S229" s="292"/>
      <c r="T229" s="292"/>
      <c r="U229" s="292"/>
      <c r="V229" s="292"/>
      <c r="W229" s="292"/>
      <c r="X229" s="292"/>
      <c r="Y229" s="292"/>
      <c r="Z229" s="292"/>
      <c r="AA229" s="292"/>
      <c r="AB229" s="292"/>
      <c r="AC229" s="292"/>
    </row>
    <row r="230">
      <c r="A230" s="292"/>
      <c r="B230" s="292"/>
      <c r="C230" s="292"/>
      <c r="D230" s="292"/>
      <c r="E230" s="292"/>
      <c r="F230" s="292"/>
      <c r="G230" s="292"/>
      <c r="H230" s="292"/>
      <c r="I230" s="292"/>
      <c r="J230" s="292"/>
      <c r="K230" s="292"/>
      <c r="L230" s="292"/>
      <c r="M230" s="292"/>
      <c r="N230" s="292"/>
      <c r="O230" s="292"/>
      <c r="P230" s="292"/>
      <c r="Q230" s="292"/>
      <c r="R230" s="292"/>
      <c r="S230" s="292"/>
      <c r="T230" s="292"/>
      <c r="U230" s="292"/>
      <c r="V230" s="292"/>
      <c r="W230" s="292"/>
      <c r="X230" s="292"/>
      <c r="Y230" s="292"/>
      <c r="Z230" s="292"/>
      <c r="AA230" s="292"/>
      <c r="AB230" s="292"/>
      <c r="AC230" s="292"/>
    </row>
    <row r="231">
      <c r="A231" s="292"/>
      <c r="B231" s="292"/>
      <c r="C231" s="292"/>
      <c r="D231" s="292"/>
      <c r="E231" s="292"/>
      <c r="F231" s="292"/>
      <c r="G231" s="292"/>
      <c r="H231" s="292"/>
      <c r="I231" s="292"/>
      <c r="J231" s="292"/>
      <c r="K231" s="292"/>
      <c r="L231" s="292"/>
      <c r="M231" s="292"/>
      <c r="N231" s="292"/>
      <c r="O231" s="292"/>
      <c r="P231" s="292"/>
      <c r="Q231" s="292"/>
      <c r="R231" s="292"/>
      <c r="S231" s="292"/>
      <c r="T231" s="292"/>
      <c r="U231" s="292"/>
      <c r="V231" s="292"/>
      <c r="W231" s="292"/>
      <c r="X231" s="292"/>
      <c r="Y231" s="292"/>
      <c r="Z231" s="292"/>
      <c r="AA231" s="292"/>
      <c r="AB231" s="292"/>
      <c r="AC231" s="292"/>
    </row>
    <row r="232">
      <c r="A232" s="292"/>
      <c r="B232" s="292"/>
      <c r="C232" s="292"/>
      <c r="D232" s="292"/>
      <c r="E232" s="292"/>
      <c r="F232" s="292"/>
      <c r="G232" s="292"/>
      <c r="H232" s="292"/>
      <c r="I232" s="292"/>
      <c r="J232" s="292"/>
      <c r="K232" s="292"/>
      <c r="L232" s="292"/>
      <c r="M232" s="292"/>
      <c r="N232" s="292"/>
      <c r="O232" s="292"/>
      <c r="P232" s="292"/>
      <c r="Q232" s="292"/>
      <c r="R232" s="292"/>
      <c r="S232" s="292"/>
      <c r="T232" s="292"/>
      <c r="U232" s="292"/>
      <c r="V232" s="292"/>
      <c r="W232" s="292"/>
      <c r="X232" s="292"/>
      <c r="Y232" s="292"/>
      <c r="Z232" s="292"/>
      <c r="AA232" s="292"/>
      <c r="AB232" s="292"/>
      <c r="AC232" s="292"/>
    </row>
    <row r="233">
      <c r="A233" s="292"/>
      <c r="B233" s="292"/>
      <c r="C233" s="292"/>
      <c r="D233" s="292"/>
      <c r="E233" s="292"/>
      <c r="F233" s="292"/>
      <c r="G233" s="292"/>
      <c r="H233" s="292"/>
      <c r="I233" s="292"/>
      <c r="J233" s="292"/>
      <c r="K233" s="292"/>
      <c r="L233" s="292"/>
      <c r="M233" s="292"/>
      <c r="N233" s="292"/>
      <c r="O233" s="292"/>
      <c r="P233" s="292"/>
      <c r="Q233" s="292"/>
      <c r="R233" s="292"/>
      <c r="S233" s="292"/>
      <c r="T233" s="292"/>
      <c r="U233" s="292"/>
      <c r="V233" s="292"/>
      <c r="W233" s="292"/>
      <c r="X233" s="292"/>
      <c r="Y233" s="292"/>
      <c r="Z233" s="292"/>
      <c r="AA233" s="292"/>
      <c r="AB233" s="292"/>
      <c r="AC233" s="292"/>
    </row>
    <row r="234">
      <c r="A234" s="292"/>
      <c r="B234" s="292"/>
      <c r="C234" s="292"/>
      <c r="D234" s="292"/>
      <c r="E234" s="292"/>
      <c r="F234" s="292"/>
      <c r="G234" s="292"/>
      <c r="H234" s="292"/>
      <c r="I234" s="292"/>
      <c r="J234" s="292"/>
      <c r="K234" s="292"/>
      <c r="L234" s="292"/>
      <c r="M234" s="292"/>
      <c r="N234" s="292"/>
      <c r="O234" s="292"/>
      <c r="P234" s="292"/>
      <c r="Q234" s="292"/>
      <c r="R234" s="292"/>
      <c r="S234" s="292"/>
      <c r="T234" s="292"/>
      <c r="U234" s="292"/>
      <c r="V234" s="292"/>
      <c r="W234" s="292"/>
      <c r="X234" s="292"/>
      <c r="Y234" s="292"/>
      <c r="Z234" s="292"/>
      <c r="AA234" s="292"/>
      <c r="AB234" s="292"/>
      <c r="AC234" s="292"/>
    </row>
    <row r="235">
      <c r="A235" s="292"/>
      <c r="B235" s="292"/>
      <c r="C235" s="292"/>
      <c r="D235" s="292"/>
      <c r="E235" s="292"/>
      <c r="F235" s="292"/>
      <c r="G235" s="292"/>
      <c r="H235" s="292"/>
      <c r="I235" s="292"/>
      <c r="J235" s="292"/>
      <c r="K235" s="292"/>
      <c r="L235" s="292"/>
      <c r="M235" s="292"/>
      <c r="N235" s="292"/>
      <c r="O235" s="292"/>
      <c r="P235" s="292"/>
      <c r="Q235" s="292"/>
      <c r="R235" s="292"/>
      <c r="S235" s="292"/>
      <c r="T235" s="292"/>
      <c r="U235" s="292"/>
      <c r="V235" s="292"/>
      <c r="W235" s="292"/>
      <c r="X235" s="292"/>
      <c r="Y235" s="292"/>
      <c r="Z235" s="292"/>
      <c r="AA235" s="292"/>
      <c r="AB235" s="292"/>
      <c r="AC235" s="292"/>
    </row>
    <row r="236">
      <c r="A236" s="292"/>
      <c r="B236" s="292"/>
      <c r="C236" s="292"/>
      <c r="D236" s="292"/>
      <c r="E236" s="292"/>
      <c r="F236" s="292"/>
      <c r="G236" s="292"/>
      <c r="H236" s="292"/>
      <c r="I236" s="292"/>
      <c r="J236" s="292"/>
      <c r="K236" s="292"/>
      <c r="L236" s="292"/>
      <c r="M236" s="292"/>
      <c r="N236" s="292"/>
      <c r="O236" s="292"/>
      <c r="P236" s="292"/>
      <c r="Q236" s="292"/>
      <c r="R236" s="292"/>
      <c r="S236" s="292"/>
      <c r="T236" s="292"/>
      <c r="U236" s="292"/>
      <c r="V236" s="292"/>
      <c r="W236" s="292"/>
      <c r="X236" s="292"/>
      <c r="Y236" s="292"/>
      <c r="Z236" s="292"/>
      <c r="AA236" s="292"/>
      <c r="AB236" s="292"/>
      <c r="AC236" s="292"/>
    </row>
    <row r="237">
      <c r="A237" s="292"/>
      <c r="B237" s="292"/>
      <c r="C237" s="292"/>
      <c r="D237" s="292"/>
      <c r="E237" s="292"/>
      <c r="F237" s="292"/>
      <c r="G237" s="292"/>
      <c r="H237" s="292"/>
      <c r="I237" s="292"/>
      <c r="J237" s="292"/>
      <c r="K237" s="292"/>
      <c r="L237" s="292"/>
      <c r="M237" s="292"/>
      <c r="N237" s="292"/>
      <c r="O237" s="292"/>
      <c r="P237" s="292"/>
      <c r="Q237" s="292"/>
      <c r="R237" s="292"/>
      <c r="S237" s="292"/>
      <c r="T237" s="292"/>
      <c r="U237" s="292"/>
      <c r="V237" s="292"/>
      <c r="W237" s="292"/>
      <c r="X237" s="292"/>
      <c r="Y237" s="292"/>
      <c r="Z237" s="292"/>
      <c r="AA237" s="292"/>
      <c r="AB237" s="292"/>
      <c r="AC237" s="292"/>
    </row>
    <row r="238">
      <c r="A238" s="292"/>
      <c r="B238" s="292"/>
      <c r="C238" s="292"/>
      <c r="D238" s="292"/>
      <c r="E238" s="292"/>
      <c r="F238" s="292"/>
      <c r="G238" s="292"/>
      <c r="H238" s="292"/>
      <c r="I238" s="292"/>
      <c r="J238" s="292"/>
      <c r="K238" s="292"/>
      <c r="L238" s="292"/>
      <c r="M238" s="292"/>
      <c r="N238" s="292"/>
      <c r="O238" s="292"/>
      <c r="P238" s="292"/>
      <c r="Q238" s="292"/>
      <c r="R238" s="292"/>
      <c r="S238" s="292"/>
      <c r="T238" s="292"/>
      <c r="U238" s="292"/>
      <c r="V238" s="292"/>
      <c r="W238" s="292"/>
      <c r="X238" s="292"/>
      <c r="Y238" s="292"/>
      <c r="Z238" s="292"/>
      <c r="AA238" s="292"/>
      <c r="AB238" s="292"/>
      <c r="AC238" s="292"/>
    </row>
    <row r="239">
      <c r="A239" s="292"/>
      <c r="B239" s="292"/>
      <c r="C239" s="292"/>
      <c r="D239" s="292"/>
      <c r="E239" s="292"/>
      <c r="F239" s="292"/>
      <c r="G239" s="292"/>
      <c r="H239" s="292"/>
      <c r="I239" s="292"/>
      <c r="J239" s="292"/>
      <c r="K239" s="292"/>
      <c r="L239" s="292"/>
      <c r="M239" s="292"/>
      <c r="N239" s="292"/>
      <c r="O239" s="292"/>
      <c r="P239" s="292"/>
      <c r="Q239" s="292"/>
      <c r="R239" s="292"/>
      <c r="S239" s="292"/>
      <c r="T239" s="292"/>
      <c r="U239" s="292"/>
      <c r="V239" s="292"/>
      <c r="W239" s="292"/>
      <c r="X239" s="292"/>
      <c r="Y239" s="292"/>
      <c r="Z239" s="292"/>
      <c r="AA239" s="292"/>
      <c r="AB239" s="292"/>
      <c r="AC239" s="292"/>
    </row>
    <row r="240">
      <c r="A240" s="292"/>
      <c r="B240" s="292"/>
      <c r="C240" s="292"/>
      <c r="D240" s="292"/>
      <c r="E240" s="292"/>
      <c r="F240" s="292"/>
      <c r="G240" s="292"/>
      <c r="H240" s="292"/>
      <c r="I240" s="292"/>
      <c r="J240" s="292"/>
      <c r="K240" s="292"/>
      <c r="L240" s="292"/>
      <c r="M240" s="292"/>
      <c r="N240" s="292"/>
      <c r="O240" s="292"/>
      <c r="P240" s="292"/>
      <c r="Q240" s="292"/>
      <c r="R240" s="292"/>
      <c r="S240" s="292"/>
      <c r="T240" s="292"/>
      <c r="U240" s="292"/>
      <c r="V240" s="292"/>
      <c r="W240" s="292"/>
      <c r="X240" s="292"/>
      <c r="Y240" s="292"/>
      <c r="Z240" s="292"/>
      <c r="AA240" s="292"/>
      <c r="AB240" s="292"/>
      <c r="AC240" s="292"/>
    </row>
    <row r="241">
      <c r="A241" s="292"/>
      <c r="B241" s="292"/>
      <c r="C241" s="292"/>
      <c r="D241" s="292"/>
      <c r="E241" s="292"/>
      <c r="F241" s="292"/>
      <c r="G241" s="292"/>
      <c r="H241" s="292"/>
      <c r="I241" s="292"/>
      <c r="J241" s="292"/>
      <c r="K241" s="292"/>
      <c r="L241" s="292"/>
      <c r="M241" s="292"/>
      <c r="N241" s="292"/>
      <c r="O241" s="292"/>
      <c r="P241" s="292"/>
      <c r="Q241" s="292"/>
      <c r="R241" s="292"/>
      <c r="S241" s="292"/>
      <c r="T241" s="292"/>
      <c r="U241" s="292"/>
      <c r="V241" s="292"/>
      <c r="W241" s="292"/>
      <c r="X241" s="292"/>
      <c r="Y241" s="292"/>
      <c r="Z241" s="292"/>
      <c r="AA241" s="292"/>
      <c r="AB241" s="292"/>
      <c r="AC241" s="292"/>
    </row>
    <row r="242">
      <c r="A242" s="292"/>
      <c r="B242" s="292"/>
      <c r="C242" s="292"/>
      <c r="D242" s="292"/>
      <c r="E242" s="292"/>
      <c r="F242" s="292"/>
      <c r="G242" s="292"/>
      <c r="H242" s="292"/>
      <c r="I242" s="292"/>
      <c r="J242" s="292"/>
      <c r="K242" s="292"/>
      <c r="L242" s="292"/>
      <c r="M242" s="292"/>
      <c r="N242" s="292"/>
      <c r="O242" s="292"/>
      <c r="P242" s="292"/>
      <c r="Q242" s="292"/>
      <c r="R242" s="292"/>
      <c r="S242" s="292"/>
      <c r="T242" s="292"/>
      <c r="U242" s="292"/>
      <c r="V242" s="292"/>
      <c r="W242" s="292"/>
      <c r="X242" s="292"/>
      <c r="Y242" s="292"/>
      <c r="Z242" s="292"/>
      <c r="AA242" s="292"/>
      <c r="AB242" s="292"/>
      <c r="AC242" s="292"/>
    </row>
    <row r="243">
      <c r="A243" s="292"/>
      <c r="B243" s="292"/>
      <c r="C243" s="292"/>
      <c r="D243" s="292"/>
      <c r="E243" s="292"/>
      <c r="F243" s="292"/>
      <c r="G243" s="292"/>
      <c r="H243" s="292"/>
      <c r="I243" s="292"/>
      <c r="J243" s="292"/>
      <c r="K243" s="292"/>
      <c r="L243" s="292"/>
      <c r="M243" s="292"/>
      <c r="N243" s="292"/>
      <c r="O243" s="292"/>
      <c r="P243" s="292"/>
      <c r="Q243" s="292"/>
      <c r="R243" s="292"/>
      <c r="S243" s="292"/>
      <c r="T243" s="292"/>
      <c r="U243" s="292"/>
      <c r="V243" s="292"/>
      <c r="W243" s="292"/>
      <c r="X243" s="292"/>
      <c r="Y243" s="292"/>
      <c r="Z243" s="292"/>
      <c r="AA243" s="292"/>
      <c r="AB243" s="292"/>
      <c r="AC243" s="292"/>
    </row>
    <row r="244">
      <c r="A244" s="292"/>
      <c r="B244" s="292"/>
      <c r="C244" s="292"/>
      <c r="D244" s="292"/>
      <c r="E244" s="292"/>
      <c r="F244" s="292"/>
      <c r="G244" s="292"/>
      <c r="H244" s="292"/>
      <c r="I244" s="292"/>
      <c r="J244" s="292"/>
      <c r="K244" s="292"/>
      <c r="L244" s="292"/>
      <c r="M244" s="292"/>
      <c r="N244" s="292"/>
      <c r="O244" s="292"/>
      <c r="P244" s="292"/>
      <c r="Q244" s="292"/>
      <c r="R244" s="292"/>
      <c r="S244" s="292"/>
      <c r="T244" s="292"/>
      <c r="U244" s="292"/>
      <c r="V244" s="292"/>
      <c r="W244" s="292"/>
      <c r="X244" s="292"/>
      <c r="Y244" s="292"/>
      <c r="Z244" s="292"/>
      <c r="AA244" s="292"/>
      <c r="AB244" s="292"/>
      <c r="AC244" s="292"/>
    </row>
    <row r="245">
      <c r="A245" s="292"/>
      <c r="B245" s="292"/>
      <c r="C245" s="292"/>
      <c r="D245" s="292"/>
      <c r="E245" s="292"/>
      <c r="F245" s="292"/>
      <c r="G245" s="292"/>
      <c r="H245" s="292"/>
      <c r="I245" s="292"/>
      <c r="J245" s="292"/>
      <c r="K245" s="292"/>
      <c r="L245" s="292"/>
      <c r="M245" s="292"/>
      <c r="N245" s="292"/>
      <c r="O245" s="292"/>
      <c r="P245" s="292"/>
      <c r="Q245" s="292"/>
      <c r="R245" s="292"/>
      <c r="S245" s="292"/>
      <c r="T245" s="292"/>
      <c r="U245" s="292"/>
      <c r="V245" s="292"/>
      <c r="W245" s="292"/>
      <c r="X245" s="292"/>
      <c r="Y245" s="292"/>
      <c r="Z245" s="292"/>
      <c r="AA245" s="292"/>
      <c r="AB245" s="292"/>
      <c r="AC245" s="292"/>
    </row>
    <row r="246">
      <c r="A246" s="292"/>
      <c r="B246" s="292"/>
      <c r="C246" s="292"/>
      <c r="D246" s="292"/>
      <c r="E246" s="292"/>
      <c r="F246" s="292"/>
      <c r="G246" s="292"/>
      <c r="H246" s="292"/>
      <c r="I246" s="292"/>
      <c r="J246" s="292"/>
      <c r="K246" s="292"/>
      <c r="L246" s="292"/>
      <c r="M246" s="292"/>
      <c r="N246" s="292"/>
      <c r="O246" s="292"/>
      <c r="P246" s="292"/>
      <c r="Q246" s="292"/>
      <c r="R246" s="292"/>
      <c r="S246" s="292"/>
      <c r="T246" s="292"/>
      <c r="U246" s="292"/>
      <c r="V246" s="292"/>
      <c r="W246" s="292"/>
      <c r="X246" s="292"/>
      <c r="Y246" s="292"/>
      <c r="Z246" s="292"/>
      <c r="AA246" s="292"/>
      <c r="AB246" s="292"/>
      <c r="AC246" s="292"/>
    </row>
    <row r="247">
      <c r="A247" s="292"/>
      <c r="B247" s="292"/>
      <c r="C247" s="292"/>
      <c r="D247" s="292"/>
      <c r="E247" s="292"/>
      <c r="F247" s="292"/>
      <c r="G247" s="292"/>
      <c r="H247" s="292"/>
      <c r="I247" s="292"/>
      <c r="J247" s="292"/>
      <c r="K247" s="292"/>
      <c r="L247" s="292"/>
      <c r="M247" s="292"/>
      <c r="N247" s="292"/>
      <c r="O247" s="292"/>
      <c r="P247" s="292"/>
      <c r="Q247" s="292"/>
      <c r="R247" s="292"/>
      <c r="S247" s="292"/>
      <c r="T247" s="292"/>
      <c r="U247" s="292"/>
      <c r="V247" s="292"/>
      <c r="W247" s="292"/>
      <c r="X247" s="292"/>
      <c r="Y247" s="292"/>
      <c r="Z247" s="292"/>
      <c r="AA247" s="292"/>
      <c r="AB247" s="292"/>
      <c r="AC247" s="292"/>
    </row>
    <row r="248">
      <c r="A248" s="292"/>
      <c r="B248" s="292"/>
      <c r="C248" s="292"/>
      <c r="D248" s="292"/>
      <c r="E248" s="292"/>
      <c r="F248" s="292"/>
      <c r="G248" s="292"/>
      <c r="H248" s="292"/>
      <c r="I248" s="292"/>
      <c r="J248" s="292"/>
      <c r="K248" s="292"/>
      <c r="L248" s="292"/>
      <c r="M248" s="292"/>
      <c r="N248" s="292"/>
      <c r="O248" s="292"/>
      <c r="P248" s="292"/>
      <c r="Q248" s="292"/>
      <c r="R248" s="292"/>
      <c r="S248" s="292"/>
      <c r="T248" s="292"/>
      <c r="U248" s="292"/>
      <c r="V248" s="292"/>
      <c r="W248" s="292"/>
      <c r="X248" s="292"/>
      <c r="Y248" s="292"/>
      <c r="Z248" s="292"/>
      <c r="AA248" s="292"/>
      <c r="AB248" s="292"/>
      <c r="AC248" s="292"/>
    </row>
    <row r="249">
      <c r="A249" s="292"/>
      <c r="B249" s="292"/>
      <c r="C249" s="292"/>
      <c r="D249" s="292"/>
      <c r="E249" s="292"/>
      <c r="F249" s="292"/>
      <c r="G249" s="292"/>
      <c r="H249" s="292"/>
      <c r="I249" s="292"/>
      <c r="J249" s="292"/>
      <c r="K249" s="292"/>
      <c r="L249" s="292"/>
      <c r="M249" s="292"/>
      <c r="N249" s="292"/>
      <c r="O249" s="292"/>
      <c r="P249" s="292"/>
      <c r="Q249" s="292"/>
      <c r="R249" s="292"/>
      <c r="S249" s="292"/>
      <c r="T249" s="292"/>
      <c r="U249" s="292"/>
      <c r="V249" s="292"/>
      <c r="W249" s="292"/>
      <c r="X249" s="292"/>
      <c r="Y249" s="292"/>
      <c r="Z249" s="292"/>
      <c r="AA249" s="292"/>
      <c r="AB249" s="292"/>
      <c r="AC249" s="292"/>
    </row>
    <row r="250">
      <c r="A250" s="292"/>
      <c r="B250" s="292"/>
      <c r="C250" s="292"/>
      <c r="D250" s="292"/>
      <c r="E250" s="292"/>
      <c r="F250" s="292"/>
      <c r="G250" s="292"/>
      <c r="H250" s="292"/>
      <c r="I250" s="292"/>
      <c r="J250" s="292"/>
      <c r="K250" s="292"/>
      <c r="L250" s="292"/>
      <c r="M250" s="292"/>
      <c r="N250" s="292"/>
      <c r="O250" s="292"/>
      <c r="P250" s="292"/>
      <c r="Q250" s="292"/>
      <c r="R250" s="292"/>
      <c r="S250" s="292"/>
      <c r="T250" s="292"/>
      <c r="U250" s="292"/>
      <c r="V250" s="292"/>
      <c r="W250" s="292"/>
      <c r="X250" s="292"/>
      <c r="Y250" s="292"/>
      <c r="Z250" s="292"/>
      <c r="AA250" s="292"/>
      <c r="AB250" s="292"/>
      <c r="AC250" s="292"/>
    </row>
    <row r="251">
      <c r="A251" s="292"/>
      <c r="B251" s="292"/>
      <c r="C251" s="292"/>
      <c r="D251" s="292"/>
      <c r="E251" s="292"/>
      <c r="F251" s="292"/>
      <c r="G251" s="292"/>
      <c r="H251" s="292"/>
      <c r="I251" s="292"/>
      <c r="J251" s="292"/>
      <c r="K251" s="292"/>
      <c r="L251" s="292"/>
      <c r="M251" s="292"/>
      <c r="N251" s="292"/>
      <c r="O251" s="292"/>
      <c r="P251" s="292"/>
      <c r="Q251" s="292"/>
      <c r="R251" s="292"/>
      <c r="S251" s="292"/>
      <c r="T251" s="292"/>
      <c r="U251" s="292"/>
      <c r="V251" s="292"/>
      <c r="W251" s="292"/>
      <c r="X251" s="292"/>
      <c r="Y251" s="292"/>
      <c r="Z251" s="292"/>
      <c r="AA251" s="292"/>
      <c r="AB251" s="292"/>
      <c r="AC251" s="292"/>
    </row>
    <row r="252">
      <c r="A252" s="292"/>
      <c r="B252" s="292"/>
      <c r="C252" s="292"/>
      <c r="D252" s="292"/>
      <c r="E252" s="292"/>
      <c r="F252" s="292"/>
      <c r="G252" s="292"/>
      <c r="H252" s="292"/>
      <c r="I252" s="292"/>
      <c r="J252" s="292"/>
      <c r="K252" s="292"/>
      <c r="L252" s="292"/>
      <c r="M252" s="292"/>
      <c r="N252" s="292"/>
      <c r="O252" s="292"/>
      <c r="P252" s="292"/>
      <c r="Q252" s="292"/>
      <c r="R252" s="292"/>
      <c r="S252" s="292"/>
      <c r="T252" s="292"/>
      <c r="U252" s="292"/>
      <c r="V252" s="292"/>
      <c r="W252" s="292"/>
      <c r="X252" s="292"/>
      <c r="Y252" s="292"/>
      <c r="Z252" s="292"/>
      <c r="AA252" s="292"/>
      <c r="AB252" s="292"/>
      <c r="AC252" s="292"/>
    </row>
    <row r="253">
      <c r="A253" s="292"/>
      <c r="B253" s="292"/>
      <c r="C253" s="292"/>
      <c r="D253" s="292"/>
      <c r="E253" s="292"/>
      <c r="F253" s="292"/>
      <c r="G253" s="292"/>
      <c r="H253" s="292"/>
      <c r="I253" s="292"/>
      <c r="J253" s="292"/>
      <c r="K253" s="292"/>
      <c r="L253" s="292"/>
      <c r="M253" s="292"/>
      <c r="N253" s="292"/>
      <c r="O253" s="292"/>
      <c r="P253" s="292"/>
      <c r="Q253" s="292"/>
      <c r="R253" s="292"/>
      <c r="S253" s="292"/>
      <c r="T253" s="292"/>
      <c r="U253" s="292"/>
      <c r="V253" s="292"/>
      <c r="W253" s="292"/>
      <c r="X253" s="292"/>
      <c r="Y253" s="292"/>
      <c r="Z253" s="292"/>
      <c r="AA253" s="292"/>
      <c r="AB253" s="292"/>
      <c r="AC253" s="292"/>
    </row>
    <row r="254">
      <c r="A254" s="292"/>
      <c r="B254" s="292"/>
      <c r="C254" s="292"/>
      <c r="D254" s="292"/>
      <c r="E254" s="292"/>
      <c r="F254" s="292"/>
      <c r="G254" s="292"/>
      <c r="H254" s="292"/>
      <c r="I254" s="292"/>
      <c r="J254" s="292"/>
      <c r="K254" s="292"/>
      <c r="L254" s="292"/>
      <c r="M254" s="292"/>
      <c r="N254" s="292"/>
      <c r="O254" s="292"/>
      <c r="P254" s="292"/>
      <c r="Q254" s="292"/>
      <c r="R254" s="292"/>
      <c r="S254" s="292"/>
      <c r="T254" s="292"/>
      <c r="U254" s="292"/>
      <c r="V254" s="292"/>
      <c r="W254" s="292"/>
      <c r="X254" s="292"/>
      <c r="Y254" s="292"/>
      <c r="Z254" s="292"/>
      <c r="AA254" s="292"/>
      <c r="AB254" s="292"/>
      <c r="AC254" s="292"/>
    </row>
    <row r="255">
      <c r="A255" s="292"/>
      <c r="B255" s="292"/>
      <c r="C255" s="292"/>
      <c r="D255" s="292"/>
      <c r="E255" s="292"/>
      <c r="F255" s="292"/>
      <c r="G255" s="292"/>
      <c r="H255" s="292"/>
      <c r="I255" s="292"/>
      <c r="J255" s="292"/>
      <c r="K255" s="292"/>
      <c r="L255" s="292"/>
      <c r="M255" s="292"/>
      <c r="N255" s="292"/>
      <c r="O255" s="292"/>
      <c r="P255" s="292"/>
      <c r="Q255" s="292"/>
      <c r="R255" s="292"/>
      <c r="S255" s="292"/>
      <c r="T255" s="292"/>
      <c r="U255" s="292"/>
      <c r="V255" s="292"/>
      <c r="W255" s="292"/>
      <c r="X255" s="292"/>
      <c r="Y255" s="292"/>
      <c r="Z255" s="292"/>
      <c r="AA255" s="292"/>
      <c r="AB255" s="292"/>
      <c r="AC255" s="292"/>
    </row>
    <row r="256">
      <c r="A256" s="292"/>
      <c r="B256" s="292"/>
      <c r="C256" s="292"/>
      <c r="D256" s="292"/>
      <c r="E256" s="292"/>
      <c r="F256" s="292"/>
      <c r="G256" s="292"/>
      <c r="H256" s="292"/>
      <c r="I256" s="292"/>
      <c r="J256" s="292"/>
      <c r="K256" s="292"/>
      <c r="L256" s="292"/>
      <c r="M256" s="292"/>
      <c r="N256" s="292"/>
      <c r="O256" s="292"/>
      <c r="P256" s="292"/>
      <c r="Q256" s="292"/>
      <c r="R256" s="292"/>
      <c r="S256" s="292"/>
      <c r="T256" s="292"/>
      <c r="U256" s="292"/>
      <c r="V256" s="292"/>
      <c r="W256" s="292"/>
      <c r="X256" s="292"/>
      <c r="Y256" s="292"/>
      <c r="Z256" s="292"/>
      <c r="AA256" s="292"/>
      <c r="AB256" s="292"/>
      <c r="AC256" s="292"/>
    </row>
    <row r="257">
      <c r="A257" s="292"/>
      <c r="B257" s="292"/>
      <c r="C257" s="292"/>
      <c r="D257" s="292"/>
      <c r="E257" s="292"/>
      <c r="F257" s="292"/>
      <c r="G257" s="292"/>
      <c r="H257" s="292"/>
      <c r="I257" s="292"/>
      <c r="J257" s="292"/>
      <c r="K257" s="292"/>
      <c r="L257" s="292"/>
      <c r="M257" s="292"/>
      <c r="N257" s="292"/>
      <c r="O257" s="292"/>
      <c r="P257" s="292"/>
      <c r="Q257" s="292"/>
      <c r="R257" s="292"/>
      <c r="S257" s="292"/>
      <c r="T257" s="292"/>
      <c r="U257" s="292"/>
      <c r="V257" s="292"/>
      <c r="W257" s="292"/>
      <c r="X257" s="292"/>
      <c r="Y257" s="292"/>
      <c r="Z257" s="292"/>
      <c r="AA257" s="292"/>
      <c r="AB257" s="292"/>
      <c r="AC257" s="292"/>
    </row>
    <row r="258">
      <c r="A258" s="292"/>
      <c r="B258" s="292"/>
      <c r="C258" s="292"/>
      <c r="D258" s="292"/>
      <c r="E258" s="292"/>
      <c r="F258" s="292"/>
      <c r="G258" s="292"/>
      <c r="H258" s="292"/>
      <c r="I258" s="292"/>
      <c r="J258" s="292"/>
      <c r="K258" s="292"/>
      <c r="L258" s="292"/>
      <c r="M258" s="292"/>
      <c r="N258" s="292"/>
      <c r="O258" s="292"/>
      <c r="P258" s="292"/>
      <c r="Q258" s="292"/>
      <c r="R258" s="292"/>
      <c r="S258" s="292"/>
      <c r="T258" s="292"/>
      <c r="U258" s="292"/>
      <c r="V258" s="292"/>
      <c r="W258" s="292"/>
      <c r="X258" s="292"/>
      <c r="Y258" s="292"/>
      <c r="Z258" s="292"/>
      <c r="AA258" s="292"/>
      <c r="AB258" s="292"/>
      <c r="AC258" s="292"/>
    </row>
    <row r="259">
      <c r="A259" s="292"/>
      <c r="B259" s="292"/>
      <c r="C259" s="292"/>
      <c r="D259" s="292"/>
      <c r="E259" s="292"/>
      <c r="F259" s="292"/>
      <c r="G259" s="292"/>
      <c r="H259" s="292"/>
      <c r="I259" s="292"/>
      <c r="J259" s="292"/>
      <c r="K259" s="292"/>
      <c r="L259" s="292"/>
      <c r="M259" s="292"/>
      <c r="N259" s="292"/>
      <c r="O259" s="292"/>
      <c r="P259" s="292"/>
      <c r="Q259" s="292"/>
      <c r="R259" s="292"/>
      <c r="S259" s="292"/>
      <c r="T259" s="292"/>
      <c r="U259" s="292"/>
      <c r="V259" s="292"/>
      <c r="W259" s="292"/>
      <c r="X259" s="292"/>
      <c r="Y259" s="292"/>
      <c r="Z259" s="292"/>
      <c r="AA259" s="292"/>
      <c r="AB259" s="292"/>
      <c r="AC259" s="292"/>
    </row>
    <row r="260">
      <c r="A260" s="292"/>
      <c r="B260" s="292"/>
      <c r="C260" s="292"/>
      <c r="D260" s="292"/>
      <c r="E260" s="292"/>
      <c r="F260" s="292"/>
      <c r="G260" s="292"/>
      <c r="H260" s="292"/>
      <c r="I260" s="292"/>
      <c r="J260" s="292"/>
      <c r="K260" s="292"/>
      <c r="L260" s="292"/>
      <c r="M260" s="292"/>
      <c r="N260" s="292"/>
      <c r="O260" s="292"/>
      <c r="P260" s="292"/>
      <c r="Q260" s="292"/>
      <c r="R260" s="292"/>
      <c r="S260" s="292"/>
      <c r="T260" s="292"/>
      <c r="U260" s="292"/>
      <c r="V260" s="292"/>
      <c r="W260" s="292"/>
      <c r="X260" s="292"/>
      <c r="Y260" s="292"/>
      <c r="Z260" s="292"/>
      <c r="AA260" s="292"/>
      <c r="AB260" s="292"/>
      <c r="AC260" s="292"/>
    </row>
    <row r="261">
      <c r="A261" s="292"/>
      <c r="B261" s="292"/>
      <c r="C261" s="292"/>
      <c r="D261" s="292"/>
      <c r="E261" s="292"/>
      <c r="F261" s="292"/>
      <c r="G261" s="292"/>
      <c r="H261" s="292"/>
      <c r="I261" s="292"/>
      <c r="J261" s="292"/>
      <c r="K261" s="292"/>
      <c r="L261" s="292"/>
      <c r="M261" s="292"/>
      <c r="N261" s="292"/>
      <c r="O261" s="292"/>
      <c r="P261" s="292"/>
      <c r="Q261" s="292"/>
      <c r="R261" s="292"/>
      <c r="S261" s="292"/>
      <c r="T261" s="292"/>
      <c r="U261" s="292"/>
      <c r="V261" s="292"/>
      <c r="W261" s="292"/>
      <c r="X261" s="292"/>
      <c r="Y261" s="292"/>
      <c r="Z261" s="292"/>
      <c r="AA261" s="292"/>
      <c r="AB261" s="292"/>
      <c r="AC261" s="292"/>
    </row>
    <row r="262">
      <c r="A262" s="292"/>
      <c r="B262" s="292"/>
      <c r="C262" s="292"/>
      <c r="D262" s="292"/>
      <c r="E262" s="292"/>
      <c r="F262" s="292"/>
      <c r="G262" s="292"/>
      <c r="H262" s="292"/>
      <c r="I262" s="292"/>
      <c r="J262" s="292"/>
      <c r="K262" s="292"/>
      <c r="L262" s="292"/>
      <c r="M262" s="292"/>
      <c r="N262" s="292"/>
      <c r="O262" s="292"/>
      <c r="P262" s="292"/>
      <c r="Q262" s="292"/>
      <c r="R262" s="292"/>
      <c r="S262" s="292"/>
      <c r="T262" s="292"/>
      <c r="U262" s="292"/>
      <c r="V262" s="292"/>
      <c r="W262" s="292"/>
      <c r="X262" s="292"/>
      <c r="Y262" s="292"/>
      <c r="Z262" s="292"/>
      <c r="AA262" s="292"/>
      <c r="AB262" s="292"/>
      <c r="AC262" s="292"/>
    </row>
    <row r="263">
      <c r="A263" s="292"/>
      <c r="B263" s="292"/>
      <c r="C263" s="292"/>
      <c r="D263" s="292"/>
      <c r="E263" s="292"/>
      <c r="F263" s="292"/>
      <c r="G263" s="292"/>
      <c r="H263" s="292"/>
      <c r="I263" s="292"/>
      <c r="J263" s="292"/>
      <c r="K263" s="292"/>
      <c r="L263" s="292"/>
      <c r="M263" s="292"/>
      <c r="N263" s="292"/>
      <c r="O263" s="292"/>
      <c r="P263" s="292"/>
      <c r="Q263" s="292"/>
      <c r="R263" s="292"/>
      <c r="S263" s="292"/>
      <c r="T263" s="292"/>
      <c r="U263" s="292"/>
      <c r="V263" s="292"/>
      <c r="W263" s="292"/>
      <c r="X263" s="292"/>
      <c r="Y263" s="292"/>
      <c r="Z263" s="292"/>
      <c r="AA263" s="292"/>
      <c r="AB263" s="292"/>
      <c r="AC263" s="292"/>
    </row>
    <row r="264">
      <c r="A264" s="292"/>
      <c r="B264" s="292"/>
      <c r="C264" s="292"/>
      <c r="D264" s="292"/>
      <c r="E264" s="292"/>
      <c r="F264" s="292"/>
      <c r="G264" s="292"/>
      <c r="H264" s="292"/>
      <c r="I264" s="292"/>
      <c r="J264" s="292"/>
      <c r="K264" s="292"/>
      <c r="L264" s="292"/>
      <c r="M264" s="292"/>
      <c r="N264" s="292"/>
      <c r="O264" s="292"/>
      <c r="P264" s="292"/>
      <c r="Q264" s="292"/>
      <c r="R264" s="292"/>
      <c r="S264" s="292"/>
      <c r="T264" s="292"/>
      <c r="U264" s="292"/>
      <c r="V264" s="292"/>
      <c r="W264" s="292"/>
      <c r="X264" s="292"/>
      <c r="Y264" s="292"/>
      <c r="Z264" s="292"/>
      <c r="AA264" s="292"/>
      <c r="AB264" s="292"/>
      <c r="AC264" s="292"/>
    </row>
    <row r="265">
      <c r="A265" s="292"/>
      <c r="B265" s="292"/>
      <c r="C265" s="292"/>
      <c r="D265" s="292"/>
      <c r="E265" s="292"/>
      <c r="F265" s="292"/>
      <c r="G265" s="292"/>
      <c r="H265" s="292"/>
      <c r="I265" s="292"/>
      <c r="J265" s="292"/>
      <c r="K265" s="292"/>
      <c r="L265" s="292"/>
      <c r="M265" s="292"/>
      <c r="N265" s="292"/>
      <c r="O265" s="292"/>
      <c r="P265" s="292"/>
      <c r="Q265" s="292"/>
      <c r="R265" s="292"/>
      <c r="S265" s="292"/>
      <c r="T265" s="292"/>
      <c r="U265" s="292"/>
      <c r="V265" s="292"/>
      <c r="W265" s="292"/>
      <c r="X265" s="292"/>
      <c r="Y265" s="292"/>
      <c r="Z265" s="292"/>
      <c r="AA265" s="292"/>
      <c r="AB265" s="292"/>
      <c r="AC265" s="292"/>
    </row>
    <row r="266">
      <c r="A266" s="292"/>
      <c r="B266" s="292"/>
      <c r="C266" s="292"/>
      <c r="D266" s="292"/>
      <c r="E266" s="292"/>
      <c r="F266" s="292"/>
      <c r="G266" s="292"/>
      <c r="H266" s="292"/>
      <c r="I266" s="292"/>
      <c r="J266" s="292"/>
      <c r="K266" s="292"/>
      <c r="L266" s="292"/>
      <c r="M266" s="292"/>
      <c r="N266" s="292"/>
      <c r="O266" s="292"/>
      <c r="P266" s="292"/>
      <c r="Q266" s="292"/>
      <c r="R266" s="292"/>
      <c r="S266" s="292"/>
      <c r="T266" s="292"/>
      <c r="U266" s="292"/>
      <c r="V266" s="292"/>
      <c r="W266" s="292"/>
      <c r="X266" s="292"/>
      <c r="Y266" s="292"/>
      <c r="Z266" s="292"/>
      <c r="AA266" s="292"/>
      <c r="AB266" s="292"/>
      <c r="AC266" s="292"/>
    </row>
    <row r="267">
      <c r="A267" s="292"/>
      <c r="B267" s="292"/>
      <c r="C267" s="292"/>
      <c r="D267" s="292"/>
      <c r="E267" s="292"/>
      <c r="F267" s="292"/>
      <c r="G267" s="292"/>
      <c r="H267" s="292"/>
      <c r="I267" s="292"/>
      <c r="J267" s="292"/>
      <c r="K267" s="292"/>
      <c r="L267" s="292"/>
      <c r="M267" s="292"/>
      <c r="N267" s="292"/>
      <c r="O267" s="292"/>
      <c r="P267" s="292"/>
      <c r="Q267" s="292"/>
      <c r="R267" s="292"/>
      <c r="S267" s="292"/>
      <c r="T267" s="292"/>
      <c r="U267" s="292"/>
      <c r="V267" s="292"/>
      <c r="W267" s="292"/>
      <c r="X267" s="292"/>
      <c r="Y267" s="292"/>
      <c r="Z267" s="292"/>
      <c r="AA267" s="292"/>
      <c r="AB267" s="292"/>
      <c r="AC267" s="292"/>
    </row>
    <row r="268">
      <c r="A268" s="292"/>
      <c r="B268" s="292"/>
      <c r="C268" s="292"/>
      <c r="D268" s="292"/>
      <c r="E268" s="292"/>
      <c r="F268" s="292"/>
      <c r="G268" s="292"/>
      <c r="H268" s="292"/>
      <c r="I268" s="292"/>
      <c r="J268" s="292"/>
      <c r="K268" s="292"/>
      <c r="L268" s="292"/>
      <c r="M268" s="292"/>
      <c r="N268" s="292"/>
      <c r="O268" s="292"/>
      <c r="P268" s="292"/>
      <c r="Q268" s="292"/>
      <c r="R268" s="292"/>
      <c r="S268" s="292"/>
      <c r="T268" s="292"/>
      <c r="U268" s="292"/>
      <c r="V268" s="292"/>
      <c r="W268" s="292"/>
      <c r="X268" s="292"/>
      <c r="Y268" s="292"/>
      <c r="Z268" s="292"/>
      <c r="AA268" s="292"/>
      <c r="AB268" s="292"/>
      <c r="AC268" s="292"/>
    </row>
    <row r="269">
      <c r="A269" s="292"/>
      <c r="B269" s="292"/>
      <c r="C269" s="292"/>
      <c r="D269" s="292"/>
      <c r="E269" s="292"/>
      <c r="F269" s="292"/>
      <c r="G269" s="292"/>
      <c r="H269" s="292"/>
      <c r="I269" s="292"/>
      <c r="J269" s="292"/>
      <c r="K269" s="292"/>
      <c r="L269" s="292"/>
      <c r="M269" s="292"/>
      <c r="N269" s="292"/>
      <c r="O269" s="292"/>
      <c r="P269" s="292"/>
      <c r="Q269" s="292"/>
      <c r="R269" s="292"/>
      <c r="S269" s="292"/>
      <c r="T269" s="292"/>
      <c r="U269" s="292"/>
      <c r="V269" s="292"/>
      <c r="W269" s="292"/>
      <c r="X269" s="292"/>
      <c r="Y269" s="292"/>
      <c r="Z269" s="292"/>
      <c r="AA269" s="292"/>
      <c r="AB269" s="292"/>
      <c r="AC269" s="292"/>
    </row>
    <row r="270">
      <c r="A270" s="292"/>
      <c r="B270" s="292"/>
      <c r="C270" s="292"/>
      <c r="D270" s="292"/>
      <c r="E270" s="292"/>
      <c r="F270" s="292"/>
      <c r="G270" s="292"/>
      <c r="H270" s="292"/>
      <c r="I270" s="292"/>
      <c r="J270" s="292"/>
      <c r="K270" s="292"/>
      <c r="L270" s="292"/>
      <c r="M270" s="292"/>
      <c r="N270" s="292"/>
      <c r="O270" s="292"/>
      <c r="P270" s="292"/>
      <c r="Q270" s="292"/>
      <c r="R270" s="292"/>
      <c r="S270" s="292"/>
      <c r="T270" s="292"/>
      <c r="U270" s="292"/>
      <c r="V270" s="292"/>
      <c r="W270" s="292"/>
      <c r="X270" s="292"/>
      <c r="Y270" s="292"/>
      <c r="Z270" s="292"/>
      <c r="AA270" s="292"/>
      <c r="AB270" s="292"/>
      <c r="AC270" s="292"/>
    </row>
    <row r="271">
      <c r="A271" s="292"/>
      <c r="B271" s="292"/>
      <c r="C271" s="292"/>
      <c r="D271" s="292"/>
      <c r="E271" s="292"/>
      <c r="F271" s="292"/>
      <c r="G271" s="292"/>
      <c r="H271" s="292"/>
      <c r="I271" s="292"/>
      <c r="J271" s="292"/>
      <c r="K271" s="292"/>
      <c r="L271" s="292"/>
      <c r="M271" s="292"/>
      <c r="N271" s="292"/>
      <c r="O271" s="292"/>
      <c r="P271" s="292"/>
      <c r="Q271" s="292"/>
      <c r="R271" s="292"/>
      <c r="S271" s="292"/>
      <c r="T271" s="292"/>
      <c r="U271" s="292"/>
      <c r="V271" s="292"/>
      <c r="W271" s="292"/>
      <c r="X271" s="292"/>
      <c r="Y271" s="292"/>
      <c r="Z271" s="292"/>
      <c r="AA271" s="292"/>
      <c r="AB271" s="292"/>
      <c r="AC271" s="292"/>
    </row>
    <row r="272">
      <c r="A272" s="292"/>
      <c r="B272" s="292"/>
      <c r="C272" s="292"/>
      <c r="D272" s="292"/>
      <c r="E272" s="292"/>
      <c r="F272" s="292"/>
      <c r="G272" s="292"/>
      <c r="H272" s="292"/>
      <c r="I272" s="292"/>
      <c r="J272" s="292"/>
      <c r="K272" s="292"/>
      <c r="L272" s="292"/>
      <c r="M272" s="292"/>
      <c r="N272" s="292"/>
      <c r="O272" s="292"/>
      <c r="P272" s="292"/>
      <c r="Q272" s="292"/>
      <c r="R272" s="292"/>
      <c r="S272" s="292"/>
      <c r="T272" s="292"/>
      <c r="U272" s="292"/>
      <c r="V272" s="292"/>
      <c r="W272" s="292"/>
      <c r="X272" s="292"/>
      <c r="Y272" s="292"/>
      <c r="Z272" s="292"/>
      <c r="AA272" s="292"/>
      <c r="AB272" s="292"/>
      <c r="AC272" s="292"/>
    </row>
    <row r="273">
      <c r="A273" s="292"/>
      <c r="B273" s="292"/>
      <c r="C273" s="292"/>
      <c r="D273" s="292"/>
      <c r="E273" s="292"/>
      <c r="F273" s="292"/>
      <c r="G273" s="292"/>
      <c r="H273" s="292"/>
      <c r="I273" s="292"/>
      <c r="J273" s="292"/>
      <c r="K273" s="292"/>
      <c r="L273" s="292"/>
      <c r="M273" s="292"/>
      <c r="N273" s="292"/>
      <c r="O273" s="292"/>
      <c r="P273" s="292"/>
      <c r="Q273" s="292"/>
      <c r="R273" s="292"/>
      <c r="S273" s="292"/>
      <c r="T273" s="292"/>
      <c r="U273" s="292"/>
      <c r="V273" s="292"/>
      <c r="W273" s="292"/>
      <c r="X273" s="292"/>
      <c r="Y273" s="292"/>
      <c r="Z273" s="292"/>
      <c r="AA273" s="292"/>
      <c r="AB273" s="292"/>
      <c r="AC273" s="292"/>
    </row>
    <row r="274">
      <c r="A274" s="292"/>
      <c r="B274" s="292"/>
      <c r="C274" s="292"/>
      <c r="D274" s="292"/>
      <c r="E274" s="292"/>
      <c r="F274" s="292"/>
      <c r="G274" s="292"/>
      <c r="H274" s="292"/>
      <c r="I274" s="292"/>
      <c r="J274" s="292"/>
      <c r="K274" s="292"/>
      <c r="L274" s="292"/>
      <c r="M274" s="292"/>
      <c r="N274" s="292"/>
      <c r="O274" s="292"/>
      <c r="P274" s="292"/>
      <c r="Q274" s="292"/>
      <c r="R274" s="292"/>
      <c r="S274" s="292"/>
      <c r="T274" s="292"/>
      <c r="U274" s="292"/>
      <c r="V274" s="292"/>
      <c r="W274" s="292"/>
      <c r="X274" s="292"/>
      <c r="Y274" s="292"/>
      <c r="Z274" s="292"/>
      <c r="AA274" s="292"/>
      <c r="AB274" s="292"/>
      <c r="AC274" s="292"/>
    </row>
    <row r="275">
      <c r="A275" s="292"/>
      <c r="B275" s="292"/>
      <c r="C275" s="292"/>
      <c r="D275" s="292"/>
      <c r="E275" s="292"/>
      <c r="F275" s="292"/>
      <c r="G275" s="292"/>
      <c r="H275" s="292"/>
      <c r="I275" s="292"/>
      <c r="J275" s="292"/>
      <c r="K275" s="292"/>
      <c r="L275" s="292"/>
      <c r="M275" s="292"/>
      <c r="N275" s="292"/>
      <c r="O275" s="292"/>
      <c r="P275" s="292"/>
      <c r="Q275" s="292"/>
      <c r="R275" s="292"/>
      <c r="S275" s="292"/>
      <c r="T275" s="292"/>
      <c r="U275" s="292"/>
      <c r="V275" s="292"/>
      <c r="W275" s="292"/>
      <c r="X275" s="292"/>
      <c r="Y275" s="292"/>
      <c r="Z275" s="292"/>
      <c r="AA275" s="292"/>
      <c r="AB275" s="292"/>
      <c r="AC275" s="292"/>
    </row>
    <row r="276">
      <c r="A276" s="292"/>
      <c r="B276" s="292"/>
      <c r="C276" s="292"/>
      <c r="D276" s="292"/>
      <c r="E276" s="292"/>
      <c r="F276" s="292"/>
      <c r="G276" s="292"/>
      <c r="H276" s="292"/>
      <c r="I276" s="292"/>
      <c r="J276" s="292"/>
      <c r="K276" s="292"/>
      <c r="L276" s="292"/>
      <c r="M276" s="292"/>
      <c r="N276" s="292"/>
      <c r="O276" s="292"/>
      <c r="P276" s="292"/>
      <c r="Q276" s="292"/>
      <c r="R276" s="292"/>
      <c r="S276" s="292"/>
      <c r="T276" s="292"/>
      <c r="U276" s="292"/>
      <c r="V276" s="292"/>
      <c r="W276" s="292"/>
      <c r="X276" s="292"/>
      <c r="Y276" s="292"/>
      <c r="Z276" s="292"/>
      <c r="AA276" s="292"/>
      <c r="AB276" s="292"/>
      <c r="AC276" s="292"/>
    </row>
    <row r="277">
      <c r="A277" s="292"/>
      <c r="B277" s="292"/>
      <c r="C277" s="292"/>
      <c r="D277" s="292"/>
      <c r="E277" s="292"/>
      <c r="F277" s="292"/>
      <c r="G277" s="292"/>
      <c r="H277" s="292"/>
      <c r="I277" s="292"/>
      <c r="J277" s="292"/>
      <c r="K277" s="292"/>
      <c r="L277" s="292"/>
      <c r="M277" s="292"/>
      <c r="N277" s="292"/>
      <c r="O277" s="292"/>
      <c r="P277" s="292"/>
      <c r="Q277" s="292"/>
      <c r="R277" s="292"/>
      <c r="S277" s="292"/>
      <c r="T277" s="292"/>
      <c r="U277" s="292"/>
      <c r="V277" s="292"/>
      <c r="W277" s="292"/>
      <c r="X277" s="292"/>
      <c r="Y277" s="292"/>
      <c r="Z277" s="292"/>
      <c r="AA277" s="292"/>
      <c r="AB277" s="292"/>
      <c r="AC277" s="292"/>
    </row>
    <row r="278">
      <c r="A278" s="292"/>
      <c r="B278" s="292"/>
      <c r="C278" s="292"/>
      <c r="D278" s="292"/>
      <c r="E278" s="292"/>
      <c r="F278" s="292"/>
      <c r="G278" s="292"/>
      <c r="H278" s="292"/>
      <c r="I278" s="292"/>
      <c r="J278" s="292"/>
      <c r="K278" s="292"/>
      <c r="L278" s="292"/>
      <c r="M278" s="292"/>
      <c r="N278" s="292"/>
      <c r="O278" s="292"/>
      <c r="P278" s="292"/>
      <c r="Q278" s="292"/>
      <c r="R278" s="292"/>
      <c r="S278" s="292"/>
      <c r="T278" s="292"/>
      <c r="U278" s="292"/>
      <c r="V278" s="292"/>
      <c r="W278" s="292"/>
      <c r="X278" s="292"/>
      <c r="Y278" s="292"/>
      <c r="Z278" s="292"/>
      <c r="AA278" s="292"/>
      <c r="AB278" s="292"/>
      <c r="AC278" s="292"/>
    </row>
    <row r="279">
      <c r="A279" s="292"/>
      <c r="B279" s="292"/>
      <c r="C279" s="292"/>
      <c r="D279" s="292"/>
      <c r="E279" s="292"/>
      <c r="F279" s="292"/>
      <c r="G279" s="292"/>
      <c r="H279" s="292"/>
      <c r="I279" s="292"/>
      <c r="J279" s="292"/>
      <c r="K279" s="292"/>
      <c r="L279" s="292"/>
      <c r="M279" s="292"/>
      <c r="N279" s="292"/>
      <c r="O279" s="292"/>
      <c r="P279" s="292"/>
      <c r="Q279" s="292"/>
      <c r="R279" s="292"/>
      <c r="S279" s="292"/>
      <c r="T279" s="292"/>
      <c r="U279" s="292"/>
      <c r="V279" s="292"/>
      <c r="W279" s="292"/>
      <c r="X279" s="292"/>
      <c r="Y279" s="292"/>
      <c r="Z279" s="292"/>
      <c r="AA279" s="292"/>
      <c r="AB279" s="292"/>
      <c r="AC279" s="292"/>
    </row>
    <row r="280">
      <c r="A280" s="292"/>
      <c r="B280" s="292"/>
      <c r="C280" s="292"/>
      <c r="D280" s="292"/>
      <c r="E280" s="292"/>
      <c r="F280" s="292"/>
      <c r="G280" s="292"/>
      <c r="H280" s="292"/>
      <c r="I280" s="292"/>
      <c r="J280" s="292"/>
      <c r="K280" s="292"/>
      <c r="L280" s="292"/>
      <c r="M280" s="292"/>
      <c r="N280" s="292"/>
      <c r="O280" s="292"/>
      <c r="P280" s="292"/>
      <c r="Q280" s="292"/>
      <c r="R280" s="292"/>
      <c r="S280" s="292"/>
      <c r="T280" s="292"/>
      <c r="U280" s="292"/>
      <c r="V280" s="292"/>
      <c r="W280" s="292"/>
      <c r="X280" s="292"/>
      <c r="Y280" s="292"/>
      <c r="Z280" s="292"/>
      <c r="AA280" s="292"/>
      <c r="AB280" s="292"/>
      <c r="AC280" s="292"/>
    </row>
    <row r="281">
      <c r="A281" s="292"/>
      <c r="B281" s="292"/>
      <c r="C281" s="292"/>
      <c r="D281" s="292"/>
      <c r="E281" s="292"/>
      <c r="F281" s="292"/>
      <c r="G281" s="292"/>
      <c r="H281" s="292"/>
      <c r="I281" s="292"/>
      <c r="J281" s="292"/>
      <c r="K281" s="292"/>
      <c r="L281" s="292"/>
      <c r="M281" s="292"/>
      <c r="N281" s="292"/>
      <c r="O281" s="292"/>
      <c r="P281" s="292"/>
      <c r="Q281" s="292"/>
      <c r="R281" s="292"/>
      <c r="S281" s="292"/>
      <c r="T281" s="292"/>
      <c r="U281" s="292"/>
      <c r="V281" s="292"/>
      <c r="W281" s="292"/>
      <c r="X281" s="292"/>
      <c r="Y281" s="292"/>
      <c r="Z281" s="292"/>
      <c r="AA281" s="292"/>
      <c r="AB281" s="292"/>
      <c r="AC281" s="292"/>
    </row>
    <row r="282">
      <c r="A282" s="292"/>
      <c r="B282" s="292"/>
      <c r="C282" s="292"/>
      <c r="D282" s="292"/>
      <c r="E282" s="292"/>
      <c r="F282" s="292"/>
      <c r="G282" s="292"/>
      <c r="H282" s="292"/>
      <c r="I282" s="292"/>
      <c r="J282" s="292"/>
      <c r="K282" s="292"/>
      <c r="L282" s="292"/>
      <c r="M282" s="292"/>
      <c r="N282" s="292"/>
      <c r="O282" s="292"/>
      <c r="P282" s="292"/>
      <c r="Q282" s="292"/>
      <c r="R282" s="292"/>
      <c r="S282" s="292"/>
      <c r="T282" s="292"/>
      <c r="U282" s="292"/>
      <c r="V282" s="292"/>
      <c r="W282" s="292"/>
      <c r="X282" s="292"/>
      <c r="Y282" s="292"/>
      <c r="Z282" s="292"/>
      <c r="AA282" s="292"/>
      <c r="AB282" s="292"/>
      <c r="AC282" s="292"/>
    </row>
    <row r="283">
      <c r="A283" s="292"/>
      <c r="B283" s="292"/>
      <c r="C283" s="292"/>
      <c r="D283" s="292"/>
      <c r="E283" s="292"/>
      <c r="F283" s="292"/>
      <c r="G283" s="292"/>
      <c r="H283" s="292"/>
      <c r="I283" s="292"/>
      <c r="J283" s="292"/>
      <c r="K283" s="292"/>
      <c r="L283" s="292"/>
      <c r="M283" s="292"/>
      <c r="N283" s="292"/>
      <c r="O283" s="292"/>
      <c r="P283" s="292"/>
      <c r="Q283" s="292"/>
      <c r="R283" s="292"/>
      <c r="S283" s="292"/>
      <c r="T283" s="292"/>
      <c r="U283" s="292"/>
      <c r="V283" s="292"/>
      <c r="W283" s="292"/>
      <c r="X283" s="292"/>
      <c r="Y283" s="292"/>
      <c r="Z283" s="292"/>
      <c r="AA283" s="292"/>
      <c r="AB283" s="292"/>
      <c r="AC283" s="292"/>
    </row>
    <row r="284">
      <c r="A284" s="292"/>
      <c r="B284" s="292"/>
      <c r="C284" s="292"/>
      <c r="D284" s="292"/>
      <c r="E284" s="292"/>
      <c r="F284" s="292"/>
      <c r="G284" s="292"/>
      <c r="H284" s="292"/>
      <c r="I284" s="292"/>
      <c r="J284" s="292"/>
      <c r="K284" s="292"/>
      <c r="L284" s="292"/>
      <c r="M284" s="292"/>
      <c r="N284" s="292"/>
      <c r="O284" s="292"/>
      <c r="P284" s="292"/>
      <c r="Q284" s="292"/>
      <c r="R284" s="292"/>
      <c r="S284" s="292"/>
      <c r="T284" s="292"/>
      <c r="U284" s="292"/>
      <c r="V284" s="292"/>
      <c r="W284" s="292"/>
      <c r="X284" s="292"/>
      <c r="Y284" s="292"/>
      <c r="Z284" s="292"/>
      <c r="AA284" s="292"/>
      <c r="AB284" s="292"/>
      <c r="AC284" s="292"/>
    </row>
    <row r="285">
      <c r="A285" s="292"/>
      <c r="B285" s="292"/>
      <c r="C285" s="292"/>
      <c r="D285" s="292"/>
      <c r="E285" s="292"/>
      <c r="F285" s="292"/>
      <c r="G285" s="292"/>
      <c r="H285" s="292"/>
      <c r="I285" s="292"/>
      <c r="J285" s="292"/>
      <c r="K285" s="292"/>
      <c r="L285" s="292"/>
      <c r="M285" s="292"/>
      <c r="N285" s="292"/>
      <c r="O285" s="292"/>
      <c r="P285" s="292"/>
      <c r="Q285" s="292"/>
      <c r="R285" s="292"/>
      <c r="S285" s="292"/>
      <c r="T285" s="292"/>
      <c r="U285" s="292"/>
      <c r="V285" s="292"/>
      <c r="W285" s="292"/>
      <c r="X285" s="292"/>
      <c r="Y285" s="292"/>
      <c r="Z285" s="292"/>
      <c r="AA285" s="292"/>
      <c r="AB285" s="292"/>
      <c r="AC285" s="292"/>
    </row>
    <row r="286">
      <c r="A286" s="292"/>
      <c r="B286" s="292"/>
      <c r="C286" s="292"/>
      <c r="D286" s="292"/>
      <c r="E286" s="292"/>
      <c r="F286" s="292"/>
      <c r="G286" s="292"/>
      <c r="H286" s="292"/>
      <c r="I286" s="292"/>
      <c r="J286" s="292"/>
      <c r="K286" s="292"/>
      <c r="L286" s="292"/>
      <c r="M286" s="292"/>
      <c r="N286" s="292"/>
      <c r="O286" s="292"/>
      <c r="P286" s="292"/>
      <c r="Q286" s="292"/>
      <c r="R286" s="292"/>
      <c r="S286" s="292"/>
      <c r="T286" s="292"/>
      <c r="U286" s="292"/>
      <c r="V286" s="292"/>
      <c r="W286" s="292"/>
      <c r="X286" s="292"/>
      <c r="Y286" s="292"/>
      <c r="Z286" s="292"/>
      <c r="AA286" s="292"/>
      <c r="AB286" s="292"/>
      <c r="AC286" s="292"/>
    </row>
    <row r="287">
      <c r="A287" s="292"/>
      <c r="B287" s="292"/>
      <c r="C287" s="292"/>
      <c r="D287" s="292"/>
      <c r="E287" s="292"/>
      <c r="F287" s="292"/>
      <c r="G287" s="292"/>
      <c r="H287" s="292"/>
      <c r="I287" s="292"/>
      <c r="J287" s="292"/>
      <c r="K287" s="292"/>
      <c r="L287" s="292"/>
      <c r="M287" s="292"/>
      <c r="N287" s="292"/>
      <c r="O287" s="292"/>
      <c r="P287" s="292"/>
      <c r="Q287" s="292"/>
      <c r="R287" s="292"/>
      <c r="S287" s="292"/>
      <c r="T287" s="292"/>
      <c r="U287" s="292"/>
      <c r="V287" s="292"/>
      <c r="W287" s="292"/>
      <c r="X287" s="292"/>
      <c r="Y287" s="292"/>
      <c r="Z287" s="292"/>
      <c r="AA287" s="292"/>
      <c r="AB287" s="292"/>
      <c r="AC287" s="292"/>
    </row>
    <row r="288">
      <c r="A288" s="292"/>
      <c r="B288" s="292"/>
      <c r="C288" s="292"/>
      <c r="D288" s="292"/>
      <c r="E288" s="292"/>
      <c r="F288" s="292"/>
      <c r="G288" s="292"/>
      <c r="H288" s="292"/>
      <c r="I288" s="292"/>
      <c r="J288" s="292"/>
      <c r="K288" s="292"/>
      <c r="L288" s="292"/>
      <c r="M288" s="292"/>
      <c r="N288" s="292"/>
      <c r="O288" s="292"/>
      <c r="P288" s="292"/>
      <c r="Q288" s="292"/>
      <c r="R288" s="292"/>
      <c r="S288" s="292"/>
      <c r="T288" s="292"/>
      <c r="U288" s="292"/>
      <c r="V288" s="292"/>
      <c r="W288" s="292"/>
      <c r="X288" s="292"/>
      <c r="Y288" s="292"/>
      <c r="Z288" s="292"/>
      <c r="AA288" s="292"/>
      <c r="AB288" s="292"/>
      <c r="AC288" s="292"/>
    </row>
    <row r="289">
      <c r="A289" s="292"/>
      <c r="B289" s="292"/>
      <c r="C289" s="292"/>
      <c r="D289" s="292"/>
      <c r="E289" s="292"/>
      <c r="F289" s="292"/>
      <c r="G289" s="292"/>
      <c r="H289" s="292"/>
      <c r="I289" s="292"/>
      <c r="J289" s="292"/>
      <c r="K289" s="292"/>
      <c r="L289" s="292"/>
      <c r="M289" s="292"/>
      <c r="N289" s="292"/>
      <c r="O289" s="292"/>
      <c r="P289" s="292"/>
      <c r="Q289" s="292"/>
      <c r="R289" s="292"/>
      <c r="S289" s="292"/>
      <c r="T289" s="292"/>
      <c r="U289" s="292"/>
      <c r="V289" s="292"/>
      <c r="W289" s="292"/>
      <c r="X289" s="292"/>
      <c r="Y289" s="292"/>
      <c r="Z289" s="292"/>
      <c r="AA289" s="292"/>
      <c r="AB289" s="292"/>
      <c r="AC289" s="292"/>
    </row>
    <row r="290">
      <c r="A290" s="292"/>
      <c r="B290" s="292"/>
      <c r="C290" s="292"/>
      <c r="D290" s="292"/>
      <c r="E290" s="292"/>
      <c r="F290" s="292"/>
      <c r="G290" s="292"/>
      <c r="H290" s="292"/>
      <c r="I290" s="292"/>
      <c r="J290" s="292"/>
      <c r="K290" s="292"/>
      <c r="L290" s="292"/>
      <c r="M290" s="292"/>
      <c r="N290" s="292"/>
      <c r="O290" s="292"/>
      <c r="P290" s="292"/>
      <c r="Q290" s="292"/>
      <c r="R290" s="292"/>
      <c r="S290" s="292"/>
      <c r="T290" s="292"/>
      <c r="U290" s="292"/>
      <c r="V290" s="292"/>
      <c r="W290" s="292"/>
      <c r="X290" s="292"/>
      <c r="Y290" s="292"/>
      <c r="Z290" s="292"/>
      <c r="AA290" s="292"/>
      <c r="AB290" s="292"/>
      <c r="AC290" s="292"/>
    </row>
    <row r="291">
      <c r="A291" s="292"/>
      <c r="B291" s="292"/>
      <c r="C291" s="292"/>
      <c r="D291" s="292"/>
      <c r="E291" s="292"/>
      <c r="F291" s="292"/>
      <c r="G291" s="292"/>
      <c r="H291" s="292"/>
      <c r="I291" s="292"/>
      <c r="J291" s="292"/>
      <c r="K291" s="292"/>
      <c r="L291" s="292"/>
      <c r="M291" s="292"/>
      <c r="N291" s="292"/>
      <c r="O291" s="292"/>
      <c r="P291" s="292"/>
      <c r="Q291" s="292"/>
      <c r="R291" s="292"/>
      <c r="S291" s="292"/>
      <c r="T291" s="292"/>
      <c r="U291" s="292"/>
      <c r="V291" s="292"/>
      <c r="W291" s="292"/>
      <c r="X291" s="292"/>
      <c r="Y291" s="292"/>
      <c r="Z291" s="292"/>
      <c r="AA291" s="292"/>
      <c r="AB291" s="292"/>
      <c r="AC291" s="292"/>
    </row>
    <row r="292">
      <c r="A292" s="292"/>
      <c r="B292" s="292"/>
      <c r="C292" s="292"/>
      <c r="D292" s="292"/>
      <c r="E292" s="292"/>
      <c r="F292" s="292"/>
      <c r="G292" s="292"/>
      <c r="H292" s="292"/>
      <c r="I292" s="292"/>
      <c r="J292" s="292"/>
      <c r="K292" s="292"/>
      <c r="L292" s="292"/>
      <c r="M292" s="292"/>
      <c r="N292" s="292"/>
      <c r="O292" s="292"/>
      <c r="P292" s="292"/>
      <c r="Q292" s="292"/>
      <c r="R292" s="292"/>
      <c r="S292" s="292"/>
      <c r="T292" s="292"/>
      <c r="U292" s="292"/>
      <c r="V292" s="292"/>
      <c r="W292" s="292"/>
      <c r="X292" s="292"/>
      <c r="Y292" s="292"/>
      <c r="Z292" s="292"/>
      <c r="AA292" s="292"/>
      <c r="AB292" s="292"/>
      <c r="AC292" s="292"/>
    </row>
    <row r="293">
      <c r="A293" s="292"/>
      <c r="B293" s="292"/>
      <c r="C293" s="292"/>
      <c r="D293" s="292"/>
      <c r="E293" s="292"/>
      <c r="F293" s="292"/>
      <c r="G293" s="292"/>
      <c r="H293" s="292"/>
      <c r="I293" s="292"/>
      <c r="J293" s="292"/>
      <c r="K293" s="292"/>
      <c r="L293" s="292"/>
      <c r="M293" s="292"/>
      <c r="N293" s="292"/>
      <c r="O293" s="292"/>
      <c r="P293" s="292"/>
      <c r="Q293" s="292"/>
      <c r="R293" s="292"/>
      <c r="S293" s="292"/>
      <c r="T293" s="292"/>
      <c r="U293" s="292"/>
      <c r="V293" s="292"/>
      <c r="W293" s="292"/>
      <c r="X293" s="292"/>
      <c r="Y293" s="292"/>
      <c r="Z293" s="292"/>
      <c r="AA293" s="292"/>
      <c r="AB293" s="292"/>
      <c r="AC293" s="292"/>
    </row>
    <row r="294">
      <c r="A294" s="292"/>
      <c r="B294" s="292"/>
      <c r="C294" s="292"/>
      <c r="D294" s="292"/>
      <c r="E294" s="292"/>
      <c r="F294" s="292"/>
      <c r="G294" s="292"/>
      <c r="H294" s="292"/>
      <c r="I294" s="292"/>
      <c r="J294" s="292"/>
      <c r="K294" s="292"/>
      <c r="L294" s="292"/>
      <c r="M294" s="292"/>
      <c r="N294" s="292"/>
      <c r="O294" s="292"/>
      <c r="P294" s="292"/>
      <c r="Q294" s="292"/>
      <c r="R294" s="292"/>
      <c r="S294" s="292"/>
      <c r="T294" s="292"/>
      <c r="U294" s="292"/>
      <c r="V294" s="292"/>
      <c r="W294" s="292"/>
      <c r="X294" s="292"/>
      <c r="Y294" s="292"/>
      <c r="Z294" s="292"/>
      <c r="AA294" s="292"/>
      <c r="AB294" s="292"/>
      <c r="AC294" s="292"/>
    </row>
    <row r="295">
      <c r="A295" s="292"/>
      <c r="B295" s="292"/>
      <c r="C295" s="292"/>
      <c r="D295" s="292"/>
      <c r="E295" s="292"/>
      <c r="F295" s="292"/>
      <c r="G295" s="292"/>
      <c r="H295" s="292"/>
      <c r="I295" s="292"/>
      <c r="J295" s="292"/>
      <c r="K295" s="292"/>
      <c r="L295" s="292"/>
      <c r="M295" s="292"/>
      <c r="N295" s="292"/>
      <c r="O295" s="292"/>
      <c r="P295" s="292"/>
      <c r="Q295" s="292"/>
      <c r="R295" s="292"/>
      <c r="S295" s="292"/>
      <c r="T295" s="292"/>
      <c r="U295" s="292"/>
      <c r="V295" s="292"/>
      <c r="W295" s="292"/>
      <c r="X295" s="292"/>
      <c r="Y295" s="292"/>
      <c r="Z295" s="292"/>
      <c r="AA295" s="292"/>
      <c r="AB295" s="292"/>
      <c r="AC295" s="292"/>
    </row>
    <row r="296">
      <c r="A296" s="292"/>
      <c r="B296" s="292"/>
      <c r="C296" s="292"/>
      <c r="D296" s="292"/>
      <c r="E296" s="292"/>
      <c r="F296" s="292"/>
      <c r="G296" s="292"/>
      <c r="H296" s="292"/>
      <c r="I296" s="292"/>
      <c r="J296" s="292"/>
      <c r="K296" s="292"/>
      <c r="L296" s="292"/>
      <c r="M296" s="292"/>
      <c r="N296" s="292"/>
      <c r="O296" s="292"/>
      <c r="P296" s="292"/>
      <c r="Q296" s="292"/>
      <c r="R296" s="292"/>
      <c r="S296" s="292"/>
      <c r="T296" s="292"/>
      <c r="U296" s="292"/>
      <c r="V296" s="292"/>
      <c r="W296" s="292"/>
      <c r="X296" s="292"/>
      <c r="Y296" s="292"/>
      <c r="Z296" s="292"/>
      <c r="AA296" s="292"/>
      <c r="AB296" s="292"/>
      <c r="AC296" s="292"/>
    </row>
    <row r="297">
      <c r="A297" s="292"/>
      <c r="B297" s="292"/>
      <c r="C297" s="292"/>
      <c r="D297" s="292"/>
      <c r="E297" s="292"/>
      <c r="F297" s="292"/>
      <c r="G297" s="292"/>
      <c r="H297" s="292"/>
      <c r="I297" s="292"/>
      <c r="J297" s="292"/>
      <c r="K297" s="292"/>
      <c r="L297" s="292"/>
      <c r="M297" s="292"/>
      <c r="N297" s="292"/>
      <c r="O297" s="292"/>
      <c r="P297" s="292"/>
      <c r="Q297" s="292"/>
      <c r="R297" s="292"/>
      <c r="S297" s="292"/>
      <c r="T297" s="292"/>
      <c r="U297" s="292"/>
      <c r="V297" s="292"/>
      <c r="W297" s="292"/>
      <c r="X297" s="292"/>
      <c r="Y297" s="292"/>
      <c r="Z297" s="292"/>
      <c r="AA297" s="292"/>
      <c r="AB297" s="292"/>
      <c r="AC297" s="292"/>
    </row>
    <row r="298">
      <c r="A298" s="292"/>
      <c r="B298" s="292"/>
      <c r="C298" s="292"/>
      <c r="D298" s="292"/>
      <c r="E298" s="292"/>
      <c r="F298" s="292"/>
      <c r="G298" s="292"/>
      <c r="H298" s="292"/>
      <c r="I298" s="292"/>
      <c r="J298" s="292"/>
      <c r="K298" s="292"/>
      <c r="L298" s="292"/>
      <c r="M298" s="292"/>
      <c r="N298" s="292"/>
      <c r="O298" s="292"/>
      <c r="P298" s="292"/>
      <c r="Q298" s="292"/>
      <c r="R298" s="292"/>
      <c r="S298" s="292"/>
      <c r="T298" s="292"/>
      <c r="U298" s="292"/>
      <c r="V298" s="292"/>
      <c r="W298" s="292"/>
      <c r="X298" s="292"/>
      <c r="Y298" s="292"/>
      <c r="Z298" s="292"/>
      <c r="AA298" s="292"/>
      <c r="AB298" s="292"/>
      <c r="AC298" s="292"/>
    </row>
    <row r="299">
      <c r="A299" s="292"/>
      <c r="B299" s="292"/>
      <c r="C299" s="292"/>
      <c r="D299" s="292"/>
      <c r="E299" s="292"/>
      <c r="F299" s="292"/>
      <c r="G299" s="292"/>
      <c r="H299" s="292"/>
      <c r="I299" s="292"/>
      <c r="J299" s="292"/>
      <c r="K299" s="292"/>
      <c r="L299" s="292"/>
      <c r="M299" s="292"/>
      <c r="N299" s="292"/>
      <c r="O299" s="292"/>
      <c r="P299" s="292"/>
      <c r="Q299" s="292"/>
      <c r="R299" s="292"/>
      <c r="S299" s="292"/>
      <c r="T299" s="292"/>
      <c r="U299" s="292"/>
      <c r="V299" s="292"/>
      <c r="W299" s="292"/>
      <c r="X299" s="292"/>
      <c r="Y299" s="292"/>
      <c r="Z299" s="292"/>
      <c r="AA299" s="292"/>
      <c r="AB299" s="292"/>
      <c r="AC299" s="292"/>
    </row>
    <row r="300">
      <c r="A300" s="292"/>
      <c r="B300" s="292"/>
      <c r="C300" s="292"/>
      <c r="D300" s="292"/>
      <c r="E300" s="292"/>
      <c r="F300" s="292"/>
      <c r="G300" s="292"/>
      <c r="H300" s="292"/>
      <c r="I300" s="292"/>
      <c r="J300" s="292"/>
      <c r="K300" s="292"/>
      <c r="L300" s="292"/>
      <c r="M300" s="292"/>
      <c r="N300" s="292"/>
      <c r="O300" s="292"/>
      <c r="P300" s="292"/>
      <c r="Q300" s="292"/>
      <c r="R300" s="292"/>
      <c r="S300" s="292"/>
      <c r="T300" s="292"/>
      <c r="U300" s="292"/>
      <c r="V300" s="292"/>
      <c r="W300" s="292"/>
      <c r="X300" s="292"/>
      <c r="Y300" s="292"/>
      <c r="Z300" s="292"/>
      <c r="AA300" s="292"/>
      <c r="AB300" s="292"/>
      <c r="AC300" s="292"/>
    </row>
    <row r="301">
      <c r="A301" s="292"/>
      <c r="B301" s="292"/>
      <c r="C301" s="292"/>
      <c r="D301" s="292"/>
      <c r="E301" s="292"/>
      <c r="F301" s="292"/>
      <c r="G301" s="292"/>
      <c r="H301" s="292"/>
      <c r="I301" s="292"/>
      <c r="J301" s="292"/>
      <c r="K301" s="292"/>
      <c r="L301" s="292"/>
      <c r="M301" s="292"/>
      <c r="N301" s="292"/>
      <c r="O301" s="292"/>
      <c r="P301" s="292"/>
      <c r="Q301" s="292"/>
      <c r="R301" s="292"/>
      <c r="S301" s="292"/>
      <c r="T301" s="292"/>
      <c r="U301" s="292"/>
      <c r="V301" s="292"/>
      <c r="W301" s="292"/>
      <c r="X301" s="292"/>
      <c r="Y301" s="292"/>
      <c r="Z301" s="292"/>
      <c r="AA301" s="292"/>
      <c r="AB301" s="292"/>
      <c r="AC301" s="292"/>
    </row>
    <row r="302">
      <c r="A302" s="292"/>
      <c r="B302" s="292"/>
      <c r="C302" s="292"/>
      <c r="D302" s="292"/>
      <c r="E302" s="292"/>
      <c r="F302" s="292"/>
      <c r="G302" s="292"/>
      <c r="H302" s="292"/>
      <c r="I302" s="292"/>
      <c r="J302" s="292"/>
      <c r="K302" s="292"/>
      <c r="L302" s="292"/>
      <c r="M302" s="292"/>
      <c r="N302" s="292"/>
      <c r="O302" s="292"/>
      <c r="P302" s="292"/>
      <c r="Q302" s="292"/>
      <c r="R302" s="292"/>
      <c r="S302" s="292"/>
      <c r="T302" s="292"/>
      <c r="U302" s="292"/>
      <c r="V302" s="292"/>
      <c r="W302" s="292"/>
      <c r="X302" s="292"/>
      <c r="Y302" s="292"/>
      <c r="Z302" s="292"/>
      <c r="AA302" s="292"/>
      <c r="AB302" s="292"/>
      <c r="AC302" s="292"/>
    </row>
    <row r="303">
      <c r="A303" s="292"/>
      <c r="B303" s="292"/>
      <c r="C303" s="292"/>
      <c r="D303" s="292"/>
      <c r="E303" s="292"/>
      <c r="F303" s="292"/>
      <c r="G303" s="292"/>
      <c r="H303" s="292"/>
      <c r="I303" s="292"/>
      <c r="J303" s="292"/>
      <c r="K303" s="292"/>
      <c r="L303" s="292"/>
      <c r="M303" s="292"/>
      <c r="N303" s="292"/>
      <c r="O303" s="292"/>
      <c r="P303" s="292"/>
      <c r="Q303" s="292"/>
      <c r="R303" s="292"/>
      <c r="S303" s="292"/>
      <c r="T303" s="292"/>
      <c r="U303" s="292"/>
      <c r="V303" s="292"/>
      <c r="W303" s="292"/>
      <c r="X303" s="292"/>
      <c r="Y303" s="292"/>
      <c r="Z303" s="292"/>
      <c r="AA303" s="292"/>
      <c r="AB303" s="292"/>
      <c r="AC303" s="292"/>
    </row>
    <row r="304">
      <c r="A304" s="292"/>
      <c r="B304" s="292"/>
      <c r="C304" s="292"/>
      <c r="D304" s="292"/>
      <c r="E304" s="292"/>
      <c r="F304" s="292"/>
      <c r="G304" s="292"/>
      <c r="H304" s="292"/>
      <c r="I304" s="292"/>
      <c r="J304" s="292"/>
      <c r="K304" s="292"/>
      <c r="L304" s="292"/>
      <c r="M304" s="292"/>
      <c r="N304" s="292"/>
      <c r="O304" s="292"/>
      <c r="P304" s="292"/>
      <c r="Q304" s="292"/>
      <c r="R304" s="292"/>
      <c r="S304" s="292"/>
      <c r="T304" s="292"/>
      <c r="U304" s="292"/>
      <c r="V304" s="292"/>
      <c r="W304" s="292"/>
      <c r="X304" s="292"/>
      <c r="Y304" s="292"/>
      <c r="Z304" s="292"/>
      <c r="AA304" s="292"/>
      <c r="AB304" s="292"/>
      <c r="AC304" s="292"/>
    </row>
    <row r="305">
      <c r="A305" s="292"/>
      <c r="B305" s="292"/>
      <c r="C305" s="292"/>
      <c r="D305" s="292"/>
      <c r="E305" s="292"/>
      <c r="F305" s="292"/>
      <c r="G305" s="292"/>
      <c r="H305" s="292"/>
      <c r="I305" s="292"/>
      <c r="J305" s="292"/>
      <c r="K305" s="292"/>
      <c r="L305" s="292"/>
      <c r="M305" s="292"/>
      <c r="N305" s="292"/>
      <c r="O305" s="292"/>
      <c r="P305" s="292"/>
      <c r="Q305" s="292"/>
      <c r="R305" s="292"/>
      <c r="S305" s="292"/>
      <c r="T305" s="292"/>
      <c r="U305" s="292"/>
      <c r="V305" s="292"/>
      <c r="W305" s="292"/>
      <c r="X305" s="292"/>
      <c r="Y305" s="292"/>
      <c r="Z305" s="292"/>
      <c r="AA305" s="292"/>
      <c r="AB305" s="292"/>
      <c r="AC305" s="292"/>
    </row>
    <row r="306">
      <c r="A306" s="292"/>
      <c r="B306" s="292"/>
      <c r="C306" s="292"/>
      <c r="D306" s="292"/>
      <c r="E306" s="292"/>
      <c r="F306" s="292"/>
      <c r="G306" s="292"/>
      <c r="H306" s="292"/>
      <c r="I306" s="292"/>
      <c r="J306" s="292"/>
      <c r="K306" s="292"/>
      <c r="L306" s="292"/>
      <c r="M306" s="292"/>
      <c r="N306" s="292"/>
      <c r="O306" s="292"/>
      <c r="P306" s="292"/>
      <c r="Q306" s="292"/>
      <c r="R306" s="292"/>
      <c r="S306" s="292"/>
      <c r="T306" s="292"/>
      <c r="U306" s="292"/>
      <c r="V306" s="292"/>
      <c r="W306" s="292"/>
      <c r="X306" s="292"/>
      <c r="Y306" s="292"/>
      <c r="Z306" s="292"/>
      <c r="AA306" s="292"/>
      <c r="AB306" s="292"/>
      <c r="AC306" s="292"/>
    </row>
    <row r="307">
      <c r="A307" s="292"/>
      <c r="B307" s="292"/>
      <c r="C307" s="292"/>
      <c r="D307" s="292"/>
      <c r="E307" s="292"/>
      <c r="F307" s="292"/>
      <c r="G307" s="292"/>
      <c r="H307" s="292"/>
      <c r="I307" s="292"/>
      <c r="J307" s="292"/>
      <c r="K307" s="292"/>
      <c r="L307" s="292"/>
      <c r="M307" s="292"/>
      <c r="N307" s="292"/>
      <c r="O307" s="292"/>
      <c r="P307" s="292"/>
      <c r="Q307" s="292"/>
      <c r="R307" s="292"/>
      <c r="S307" s="292"/>
      <c r="T307" s="292"/>
      <c r="U307" s="292"/>
      <c r="V307" s="292"/>
      <c r="W307" s="292"/>
      <c r="X307" s="292"/>
      <c r="Y307" s="292"/>
      <c r="Z307" s="292"/>
      <c r="AA307" s="292"/>
      <c r="AB307" s="292"/>
      <c r="AC307" s="292"/>
    </row>
    <row r="308">
      <c r="A308" s="292"/>
      <c r="B308" s="292"/>
      <c r="C308" s="292"/>
      <c r="D308" s="292"/>
      <c r="E308" s="292"/>
      <c r="F308" s="292"/>
      <c r="G308" s="292"/>
      <c r="H308" s="292"/>
      <c r="I308" s="292"/>
      <c r="J308" s="292"/>
      <c r="K308" s="292"/>
      <c r="L308" s="292"/>
      <c r="M308" s="292"/>
      <c r="N308" s="292"/>
      <c r="O308" s="292"/>
      <c r="P308" s="292"/>
      <c r="Q308" s="292"/>
      <c r="R308" s="292"/>
      <c r="S308" s="292"/>
      <c r="T308" s="292"/>
      <c r="U308" s="292"/>
      <c r="V308" s="292"/>
      <c r="W308" s="292"/>
      <c r="X308" s="292"/>
      <c r="Y308" s="292"/>
      <c r="Z308" s="292"/>
      <c r="AA308" s="292"/>
      <c r="AB308" s="292"/>
      <c r="AC308" s="292"/>
    </row>
    <row r="309">
      <c r="A309" s="292"/>
      <c r="B309" s="292"/>
      <c r="C309" s="292"/>
      <c r="D309" s="292"/>
      <c r="E309" s="292"/>
      <c r="F309" s="292"/>
      <c r="G309" s="292"/>
      <c r="H309" s="292"/>
      <c r="I309" s="292"/>
      <c r="J309" s="292"/>
      <c r="K309" s="292"/>
      <c r="L309" s="292"/>
      <c r="M309" s="292"/>
      <c r="N309" s="292"/>
      <c r="O309" s="292"/>
      <c r="P309" s="292"/>
      <c r="Q309" s="292"/>
      <c r="R309" s="292"/>
      <c r="S309" s="292"/>
      <c r="T309" s="292"/>
      <c r="U309" s="292"/>
      <c r="V309" s="292"/>
      <c r="W309" s="292"/>
      <c r="X309" s="292"/>
      <c r="Y309" s="292"/>
      <c r="Z309" s="292"/>
      <c r="AA309" s="292"/>
      <c r="AB309" s="292"/>
      <c r="AC309" s="292"/>
    </row>
    <row r="310">
      <c r="A310" s="292"/>
      <c r="B310" s="292"/>
      <c r="C310" s="292"/>
      <c r="D310" s="292"/>
      <c r="E310" s="292"/>
      <c r="F310" s="292"/>
      <c r="G310" s="292"/>
      <c r="H310" s="292"/>
      <c r="I310" s="292"/>
      <c r="J310" s="292"/>
      <c r="K310" s="292"/>
      <c r="L310" s="292"/>
      <c r="M310" s="292"/>
      <c r="N310" s="292"/>
      <c r="O310" s="292"/>
      <c r="P310" s="292"/>
      <c r="Q310" s="292"/>
      <c r="R310" s="292"/>
      <c r="S310" s="292"/>
      <c r="T310" s="292"/>
      <c r="U310" s="292"/>
      <c r="V310" s="292"/>
      <c r="W310" s="292"/>
      <c r="X310" s="292"/>
      <c r="Y310" s="292"/>
      <c r="Z310" s="292"/>
      <c r="AA310" s="292"/>
      <c r="AB310" s="292"/>
      <c r="AC310" s="292"/>
    </row>
    <row r="311">
      <c r="A311" s="292"/>
      <c r="B311" s="292"/>
      <c r="C311" s="292"/>
      <c r="D311" s="292"/>
      <c r="E311" s="292"/>
      <c r="F311" s="292"/>
      <c r="G311" s="292"/>
      <c r="H311" s="292"/>
      <c r="I311" s="292"/>
      <c r="J311" s="292"/>
      <c r="K311" s="292"/>
      <c r="L311" s="292"/>
      <c r="M311" s="292"/>
      <c r="N311" s="292"/>
      <c r="O311" s="292"/>
      <c r="P311" s="292"/>
      <c r="Q311" s="292"/>
      <c r="R311" s="292"/>
      <c r="S311" s="292"/>
      <c r="T311" s="292"/>
      <c r="U311" s="292"/>
      <c r="V311" s="292"/>
      <c r="W311" s="292"/>
      <c r="X311" s="292"/>
      <c r="Y311" s="292"/>
      <c r="Z311" s="292"/>
      <c r="AA311" s="292"/>
      <c r="AB311" s="292"/>
      <c r="AC311" s="292"/>
    </row>
    <row r="312">
      <c r="A312" s="292"/>
      <c r="B312" s="292"/>
      <c r="C312" s="292"/>
      <c r="D312" s="292"/>
      <c r="E312" s="292"/>
      <c r="F312" s="292"/>
      <c r="G312" s="292"/>
      <c r="H312" s="292"/>
      <c r="I312" s="292"/>
      <c r="J312" s="292"/>
      <c r="K312" s="292"/>
      <c r="L312" s="292"/>
      <c r="M312" s="292"/>
      <c r="N312" s="292"/>
      <c r="O312" s="292"/>
      <c r="P312" s="292"/>
      <c r="Q312" s="292"/>
      <c r="R312" s="292"/>
      <c r="S312" s="292"/>
      <c r="T312" s="292"/>
      <c r="U312" s="292"/>
      <c r="V312" s="292"/>
      <c r="W312" s="292"/>
      <c r="X312" s="292"/>
      <c r="Y312" s="292"/>
      <c r="Z312" s="292"/>
      <c r="AA312" s="292"/>
      <c r="AB312" s="292"/>
      <c r="AC312" s="292"/>
    </row>
    <row r="313">
      <c r="A313" s="292"/>
      <c r="B313" s="292"/>
      <c r="C313" s="292"/>
      <c r="D313" s="292"/>
      <c r="E313" s="292"/>
      <c r="F313" s="292"/>
      <c r="G313" s="292"/>
      <c r="H313" s="292"/>
      <c r="I313" s="292"/>
      <c r="J313" s="292"/>
      <c r="K313" s="292"/>
      <c r="L313" s="292"/>
      <c r="M313" s="292"/>
      <c r="N313" s="292"/>
      <c r="O313" s="292"/>
      <c r="P313" s="292"/>
      <c r="Q313" s="292"/>
      <c r="R313" s="292"/>
      <c r="S313" s="292"/>
      <c r="T313" s="292"/>
      <c r="U313" s="292"/>
      <c r="V313" s="292"/>
      <c r="W313" s="292"/>
      <c r="X313" s="292"/>
      <c r="Y313" s="292"/>
      <c r="Z313" s="292"/>
      <c r="AA313" s="292"/>
      <c r="AB313" s="292"/>
      <c r="AC313" s="292"/>
    </row>
    <row r="314">
      <c r="A314" s="292"/>
      <c r="B314" s="292"/>
      <c r="C314" s="292"/>
      <c r="D314" s="292"/>
      <c r="E314" s="292"/>
      <c r="F314" s="292"/>
      <c r="G314" s="292"/>
      <c r="H314" s="292"/>
      <c r="I314" s="292"/>
      <c r="J314" s="292"/>
      <c r="K314" s="292"/>
      <c r="L314" s="292"/>
      <c r="M314" s="292"/>
      <c r="N314" s="292"/>
      <c r="O314" s="292"/>
      <c r="P314" s="292"/>
      <c r="Q314" s="292"/>
      <c r="R314" s="292"/>
      <c r="S314" s="292"/>
      <c r="T314" s="292"/>
      <c r="U314" s="292"/>
      <c r="V314" s="292"/>
      <c r="W314" s="292"/>
      <c r="X314" s="292"/>
      <c r="Y314" s="292"/>
      <c r="Z314" s="292"/>
      <c r="AA314" s="292"/>
      <c r="AB314" s="292"/>
      <c r="AC314" s="292"/>
    </row>
    <row r="315">
      <c r="A315" s="292"/>
      <c r="B315" s="292"/>
      <c r="C315" s="292"/>
      <c r="D315" s="292"/>
      <c r="E315" s="292"/>
      <c r="F315" s="292"/>
      <c r="G315" s="292"/>
      <c r="H315" s="292"/>
      <c r="I315" s="292"/>
      <c r="J315" s="292"/>
      <c r="K315" s="292"/>
      <c r="L315" s="292"/>
      <c r="M315" s="292"/>
      <c r="N315" s="292"/>
      <c r="O315" s="292"/>
      <c r="P315" s="292"/>
      <c r="Q315" s="292"/>
      <c r="R315" s="292"/>
      <c r="S315" s="292"/>
      <c r="T315" s="292"/>
      <c r="U315" s="292"/>
      <c r="V315" s="292"/>
      <c r="W315" s="292"/>
      <c r="X315" s="292"/>
      <c r="Y315" s="292"/>
      <c r="Z315" s="292"/>
      <c r="AA315" s="292"/>
      <c r="AB315" s="292"/>
      <c r="AC315" s="292"/>
    </row>
    <row r="316">
      <c r="A316" s="292"/>
      <c r="B316" s="292"/>
      <c r="C316" s="292"/>
      <c r="D316" s="292"/>
      <c r="E316" s="292"/>
      <c r="F316" s="292"/>
      <c r="G316" s="292"/>
      <c r="H316" s="292"/>
      <c r="I316" s="292"/>
      <c r="J316" s="292"/>
      <c r="K316" s="292"/>
      <c r="L316" s="292"/>
      <c r="M316" s="292"/>
      <c r="N316" s="292"/>
      <c r="O316" s="292"/>
      <c r="P316" s="292"/>
      <c r="Q316" s="292"/>
      <c r="R316" s="292"/>
      <c r="S316" s="292"/>
      <c r="T316" s="292"/>
      <c r="U316" s="292"/>
      <c r="V316" s="292"/>
      <c r="W316" s="292"/>
      <c r="X316" s="292"/>
      <c r="Y316" s="292"/>
      <c r="Z316" s="292"/>
      <c r="AA316" s="292"/>
      <c r="AB316" s="292"/>
      <c r="AC316" s="292"/>
    </row>
    <row r="317">
      <c r="A317" s="292"/>
      <c r="B317" s="292"/>
      <c r="C317" s="292"/>
      <c r="D317" s="292"/>
      <c r="E317" s="292"/>
      <c r="F317" s="292"/>
      <c r="G317" s="292"/>
      <c r="H317" s="292"/>
      <c r="I317" s="292"/>
      <c r="J317" s="292"/>
      <c r="K317" s="292"/>
      <c r="L317" s="292"/>
      <c r="M317" s="292"/>
      <c r="N317" s="292"/>
      <c r="O317" s="292"/>
      <c r="P317" s="292"/>
      <c r="Q317" s="292"/>
      <c r="R317" s="292"/>
      <c r="S317" s="292"/>
      <c r="T317" s="292"/>
      <c r="U317" s="292"/>
      <c r="V317" s="292"/>
      <c r="W317" s="292"/>
      <c r="X317" s="292"/>
      <c r="Y317" s="292"/>
      <c r="Z317" s="292"/>
      <c r="AA317" s="292"/>
      <c r="AB317" s="292"/>
      <c r="AC317" s="292"/>
    </row>
    <row r="318">
      <c r="A318" s="292"/>
      <c r="B318" s="292"/>
      <c r="C318" s="292"/>
      <c r="D318" s="292"/>
      <c r="E318" s="292"/>
      <c r="F318" s="292"/>
      <c r="G318" s="292"/>
      <c r="H318" s="292"/>
      <c r="I318" s="292"/>
      <c r="J318" s="292"/>
      <c r="K318" s="292"/>
      <c r="L318" s="292"/>
      <c r="M318" s="292"/>
      <c r="N318" s="292"/>
      <c r="O318" s="292"/>
      <c r="P318" s="292"/>
      <c r="Q318" s="292"/>
      <c r="R318" s="292"/>
      <c r="S318" s="292"/>
      <c r="T318" s="292"/>
      <c r="U318" s="292"/>
      <c r="V318" s="292"/>
      <c r="W318" s="292"/>
      <c r="X318" s="292"/>
      <c r="Y318" s="292"/>
      <c r="Z318" s="292"/>
      <c r="AA318" s="292"/>
      <c r="AB318" s="292"/>
      <c r="AC318" s="292"/>
    </row>
    <row r="319">
      <c r="A319" s="292"/>
      <c r="B319" s="292"/>
      <c r="C319" s="292"/>
      <c r="D319" s="292"/>
      <c r="E319" s="292"/>
      <c r="F319" s="292"/>
      <c r="G319" s="292"/>
      <c r="H319" s="292"/>
      <c r="I319" s="292"/>
      <c r="J319" s="292"/>
      <c r="K319" s="292"/>
      <c r="L319" s="292"/>
      <c r="M319" s="292"/>
      <c r="N319" s="292"/>
      <c r="O319" s="292"/>
      <c r="P319" s="292"/>
      <c r="Q319" s="292"/>
      <c r="R319" s="292"/>
      <c r="S319" s="292"/>
      <c r="T319" s="292"/>
      <c r="U319" s="292"/>
      <c r="V319" s="292"/>
      <c r="W319" s="292"/>
      <c r="X319" s="292"/>
      <c r="Y319" s="292"/>
      <c r="Z319" s="292"/>
      <c r="AA319" s="292"/>
      <c r="AB319" s="292"/>
      <c r="AC319" s="292"/>
    </row>
    <row r="320">
      <c r="A320" s="292"/>
      <c r="B320" s="292"/>
      <c r="C320" s="292"/>
      <c r="D320" s="292"/>
      <c r="E320" s="292"/>
      <c r="F320" s="292"/>
      <c r="G320" s="292"/>
      <c r="H320" s="292"/>
      <c r="I320" s="292"/>
      <c r="J320" s="292"/>
      <c r="K320" s="292"/>
      <c r="L320" s="292"/>
      <c r="M320" s="292"/>
      <c r="N320" s="292"/>
      <c r="O320" s="292"/>
      <c r="P320" s="292"/>
      <c r="Q320" s="292"/>
      <c r="R320" s="292"/>
      <c r="S320" s="292"/>
      <c r="T320" s="292"/>
      <c r="U320" s="292"/>
      <c r="V320" s="292"/>
      <c r="W320" s="292"/>
      <c r="X320" s="292"/>
      <c r="Y320" s="292"/>
      <c r="Z320" s="292"/>
      <c r="AA320" s="292"/>
      <c r="AB320" s="292"/>
      <c r="AC320" s="292"/>
    </row>
    <row r="321">
      <c r="A321" s="292"/>
      <c r="B321" s="292"/>
      <c r="C321" s="292"/>
      <c r="D321" s="292"/>
      <c r="E321" s="292"/>
      <c r="F321" s="292"/>
      <c r="G321" s="292"/>
      <c r="H321" s="292"/>
      <c r="I321" s="292"/>
      <c r="J321" s="292"/>
      <c r="K321" s="292"/>
      <c r="L321" s="292"/>
      <c r="M321" s="292"/>
      <c r="N321" s="292"/>
      <c r="O321" s="292"/>
      <c r="P321" s="292"/>
      <c r="Q321" s="292"/>
      <c r="R321" s="292"/>
      <c r="S321" s="292"/>
      <c r="T321" s="292"/>
      <c r="U321" s="292"/>
      <c r="V321" s="292"/>
      <c r="W321" s="292"/>
      <c r="X321" s="292"/>
      <c r="Y321" s="292"/>
      <c r="Z321" s="292"/>
      <c r="AA321" s="292"/>
      <c r="AB321" s="292"/>
      <c r="AC321" s="292"/>
    </row>
    <row r="322">
      <c r="A322" s="292"/>
      <c r="B322" s="292"/>
      <c r="C322" s="292"/>
      <c r="D322" s="292"/>
      <c r="E322" s="292"/>
      <c r="F322" s="292"/>
      <c r="G322" s="292"/>
      <c r="H322" s="292"/>
      <c r="I322" s="292"/>
      <c r="J322" s="292"/>
      <c r="K322" s="292"/>
      <c r="L322" s="292"/>
      <c r="M322" s="292"/>
      <c r="N322" s="292"/>
      <c r="O322" s="292"/>
      <c r="P322" s="292"/>
      <c r="Q322" s="292"/>
      <c r="R322" s="292"/>
      <c r="S322" s="292"/>
      <c r="T322" s="292"/>
      <c r="U322" s="292"/>
      <c r="V322" s="292"/>
      <c r="W322" s="292"/>
      <c r="X322" s="292"/>
      <c r="Y322" s="292"/>
      <c r="Z322" s="292"/>
      <c r="AA322" s="292"/>
      <c r="AB322" s="292"/>
      <c r="AC322" s="292"/>
    </row>
    <row r="323">
      <c r="A323" s="292"/>
      <c r="B323" s="292"/>
      <c r="C323" s="292"/>
      <c r="D323" s="292"/>
      <c r="E323" s="292"/>
      <c r="F323" s="292"/>
      <c r="G323" s="292"/>
      <c r="H323" s="292"/>
      <c r="I323" s="292"/>
      <c r="J323" s="292"/>
      <c r="K323" s="292"/>
      <c r="L323" s="292"/>
      <c r="M323" s="292"/>
      <c r="N323" s="292"/>
      <c r="O323" s="292"/>
      <c r="P323" s="292"/>
      <c r="Q323" s="292"/>
      <c r="R323" s="292"/>
      <c r="S323" s="292"/>
      <c r="T323" s="292"/>
      <c r="U323" s="292"/>
      <c r="V323" s="292"/>
      <c r="W323" s="292"/>
      <c r="X323" s="292"/>
      <c r="Y323" s="292"/>
      <c r="Z323" s="292"/>
      <c r="AA323" s="292"/>
      <c r="AB323" s="292"/>
      <c r="AC323" s="292"/>
    </row>
    <row r="324">
      <c r="A324" s="292"/>
      <c r="B324" s="292"/>
      <c r="C324" s="292"/>
      <c r="D324" s="292"/>
      <c r="E324" s="292"/>
      <c r="F324" s="292"/>
      <c r="G324" s="292"/>
      <c r="H324" s="292"/>
      <c r="I324" s="292"/>
      <c r="J324" s="292"/>
      <c r="K324" s="292"/>
      <c r="L324" s="292"/>
      <c r="M324" s="292"/>
      <c r="N324" s="292"/>
      <c r="O324" s="292"/>
      <c r="P324" s="292"/>
      <c r="Q324" s="292"/>
      <c r="R324" s="292"/>
      <c r="S324" s="292"/>
      <c r="T324" s="292"/>
      <c r="U324" s="292"/>
      <c r="V324" s="292"/>
      <c r="W324" s="292"/>
      <c r="X324" s="292"/>
      <c r="Y324" s="292"/>
      <c r="Z324" s="292"/>
      <c r="AA324" s="292"/>
      <c r="AB324" s="292"/>
      <c r="AC324" s="292"/>
    </row>
    <row r="325">
      <c r="A325" s="292"/>
      <c r="B325" s="292"/>
      <c r="C325" s="292"/>
      <c r="D325" s="292"/>
      <c r="E325" s="292"/>
      <c r="F325" s="292"/>
      <c r="G325" s="292"/>
      <c r="H325" s="292"/>
      <c r="I325" s="292"/>
      <c r="J325" s="292"/>
      <c r="K325" s="292"/>
      <c r="L325" s="292"/>
      <c r="M325" s="292"/>
      <c r="N325" s="292"/>
      <c r="O325" s="292"/>
      <c r="P325" s="292"/>
      <c r="Q325" s="292"/>
      <c r="R325" s="292"/>
      <c r="S325" s="292"/>
      <c r="T325" s="292"/>
      <c r="U325" s="292"/>
      <c r="V325" s="292"/>
      <c r="W325" s="292"/>
      <c r="X325" s="292"/>
      <c r="Y325" s="292"/>
      <c r="Z325" s="292"/>
      <c r="AA325" s="292"/>
      <c r="AB325" s="292"/>
      <c r="AC325" s="292"/>
    </row>
    <row r="326">
      <c r="A326" s="292"/>
      <c r="B326" s="292"/>
      <c r="C326" s="292"/>
      <c r="D326" s="292"/>
      <c r="E326" s="292"/>
      <c r="F326" s="292"/>
      <c r="G326" s="292"/>
      <c r="H326" s="292"/>
      <c r="I326" s="292"/>
      <c r="J326" s="292"/>
      <c r="K326" s="292"/>
      <c r="L326" s="292"/>
      <c r="M326" s="292"/>
      <c r="N326" s="292"/>
      <c r="O326" s="292"/>
      <c r="P326" s="292"/>
      <c r="Q326" s="292"/>
      <c r="R326" s="292"/>
      <c r="S326" s="292"/>
      <c r="T326" s="292"/>
      <c r="U326" s="292"/>
      <c r="V326" s="292"/>
      <c r="W326" s="292"/>
      <c r="X326" s="292"/>
      <c r="Y326" s="292"/>
      <c r="Z326" s="292"/>
      <c r="AA326" s="292"/>
      <c r="AB326" s="292"/>
      <c r="AC326" s="292"/>
    </row>
    <row r="327">
      <c r="A327" s="292"/>
      <c r="B327" s="292"/>
      <c r="C327" s="292"/>
      <c r="D327" s="292"/>
      <c r="E327" s="292"/>
      <c r="F327" s="292"/>
      <c r="G327" s="292"/>
      <c r="H327" s="292"/>
      <c r="I327" s="292"/>
      <c r="J327" s="292"/>
      <c r="K327" s="292"/>
      <c r="L327" s="292"/>
      <c r="M327" s="292"/>
      <c r="N327" s="292"/>
      <c r="O327" s="292"/>
      <c r="P327" s="292"/>
      <c r="Q327" s="292"/>
      <c r="R327" s="292"/>
      <c r="S327" s="292"/>
      <c r="T327" s="292"/>
      <c r="U327" s="292"/>
      <c r="V327" s="292"/>
      <c r="W327" s="292"/>
      <c r="X327" s="292"/>
      <c r="Y327" s="292"/>
      <c r="Z327" s="292"/>
      <c r="AA327" s="292"/>
      <c r="AB327" s="292"/>
      <c r="AC327" s="292"/>
    </row>
    <row r="328">
      <c r="A328" s="292"/>
      <c r="B328" s="292"/>
      <c r="C328" s="292"/>
      <c r="D328" s="292"/>
      <c r="E328" s="292"/>
      <c r="F328" s="292"/>
      <c r="G328" s="292"/>
      <c r="H328" s="292"/>
      <c r="I328" s="292"/>
      <c r="J328" s="292"/>
      <c r="K328" s="292"/>
      <c r="L328" s="292"/>
      <c r="M328" s="292"/>
      <c r="N328" s="292"/>
      <c r="O328" s="292"/>
      <c r="P328" s="292"/>
      <c r="Q328" s="292"/>
      <c r="R328" s="292"/>
      <c r="S328" s="292"/>
      <c r="T328" s="292"/>
      <c r="U328" s="292"/>
      <c r="V328" s="292"/>
      <c r="W328" s="292"/>
      <c r="X328" s="292"/>
      <c r="Y328" s="292"/>
      <c r="Z328" s="292"/>
      <c r="AA328" s="292"/>
      <c r="AB328" s="292"/>
      <c r="AC328" s="292"/>
    </row>
    <row r="329">
      <c r="A329" s="292"/>
      <c r="B329" s="292"/>
      <c r="C329" s="292"/>
      <c r="D329" s="292"/>
      <c r="E329" s="292"/>
      <c r="F329" s="292"/>
      <c r="G329" s="292"/>
      <c r="H329" s="292"/>
      <c r="I329" s="292"/>
      <c r="J329" s="292"/>
      <c r="K329" s="292"/>
      <c r="L329" s="292"/>
      <c r="M329" s="292"/>
      <c r="N329" s="292"/>
      <c r="O329" s="292"/>
      <c r="P329" s="292"/>
      <c r="Q329" s="292"/>
      <c r="R329" s="292"/>
      <c r="S329" s="292"/>
      <c r="T329" s="292"/>
      <c r="U329" s="292"/>
      <c r="V329" s="292"/>
      <c r="W329" s="292"/>
      <c r="X329" s="292"/>
      <c r="Y329" s="292"/>
      <c r="Z329" s="292"/>
      <c r="AA329" s="292"/>
      <c r="AB329" s="292"/>
      <c r="AC329" s="292"/>
    </row>
    <row r="330">
      <c r="A330" s="292"/>
      <c r="B330" s="292"/>
      <c r="C330" s="292"/>
      <c r="D330" s="292"/>
      <c r="E330" s="292"/>
      <c r="F330" s="292"/>
      <c r="G330" s="292"/>
      <c r="H330" s="292"/>
      <c r="I330" s="292"/>
      <c r="J330" s="292"/>
      <c r="K330" s="292"/>
      <c r="L330" s="292"/>
      <c r="M330" s="292"/>
      <c r="N330" s="292"/>
      <c r="O330" s="292"/>
      <c r="P330" s="292"/>
      <c r="Q330" s="292"/>
      <c r="R330" s="292"/>
      <c r="S330" s="292"/>
      <c r="T330" s="292"/>
      <c r="U330" s="292"/>
      <c r="V330" s="292"/>
      <c r="W330" s="292"/>
      <c r="X330" s="292"/>
      <c r="Y330" s="292"/>
      <c r="Z330" s="292"/>
      <c r="AA330" s="292"/>
      <c r="AB330" s="292"/>
      <c r="AC330" s="292"/>
    </row>
    <row r="331">
      <c r="A331" s="292"/>
      <c r="B331" s="292"/>
      <c r="C331" s="292"/>
      <c r="D331" s="292"/>
      <c r="E331" s="292"/>
      <c r="F331" s="292"/>
      <c r="G331" s="292"/>
      <c r="H331" s="292"/>
      <c r="I331" s="292"/>
      <c r="J331" s="292"/>
      <c r="K331" s="292"/>
      <c r="L331" s="292"/>
      <c r="M331" s="292"/>
      <c r="N331" s="292"/>
      <c r="O331" s="292"/>
      <c r="P331" s="292"/>
      <c r="Q331" s="292"/>
      <c r="R331" s="292"/>
      <c r="S331" s="292"/>
      <c r="T331" s="292"/>
      <c r="U331" s="292"/>
      <c r="V331" s="292"/>
      <c r="W331" s="292"/>
      <c r="X331" s="292"/>
      <c r="Y331" s="292"/>
      <c r="Z331" s="292"/>
      <c r="AA331" s="292"/>
      <c r="AB331" s="292"/>
      <c r="AC331" s="292"/>
    </row>
    <row r="332">
      <c r="A332" s="292"/>
      <c r="B332" s="292"/>
      <c r="C332" s="292"/>
      <c r="D332" s="292"/>
      <c r="E332" s="292"/>
      <c r="F332" s="292"/>
      <c r="G332" s="292"/>
      <c r="H332" s="292"/>
      <c r="I332" s="292"/>
      <c r="J332" s="292"/>
      <c r="K332" s="292"/>
      <c r="L332" s="292"/>
      <c r="M332" s="292"/>
      <c r="N332" s="292"/>
      <c r="O332" s="292"/>
      <c r="P332" s="292"/>
      <c r="Q332" s="292"/>
      <c r="R332" s="292"/>
      <c r="S332" s="292"/>
      <c r="T332" s="292"/>
      <c r="U332" s="292"/>
      <c r="V332" s="292"/>
      <c r="W332" s="292"/>
      <c r="X332" s="292"/>
      <c r="Y332" s="292"/>
      <c r="Z332" s="292"/>
      <c r="AA332" s="292"/>
      <c r="AB332" s="292"/>
      <c r="AC332" s="292"/>
    </row>
    <row r="333">
      <c r="A333" s="292"/>
      <c r="B333" s="292"/>
      <c r="C333" s="292"/>
      <c r="D333" s="292"/>
      <c r="E333" s="292"/>
      <c r="F333" s="292"/>
      <c r="G333" s="292"/>
      <c r="H333" s="292"/>
      <c r="I333" s="292"/>
      <c r="J333" s="292"/>
      <c r="K333" s="292"/>
      <c r="L333" s="292"/>
      <c r="M333" s="292"/>
      <c r="N333" s="292"/>
      <c r="O333" s="292"/>
      <c r="P333" s="292"/>
      <c r="Q333" s="292"/>
      <c r="R333" s="292"/>
      <c r="S333" s="292"/>
      <c r="T333" s="292"/>
      <c r="U333" s="292"/>
      <c r="V333" s="292"/>
      <c r="W333" s="292"/>
      <c r="X333" s="292"/>
      <c r="Y333" s="292"/>
      <c r="Z333" s="292"/>
      <c r="AA333" s="292"/>
      <c r="AB333" s="292"/>
      <c r="AC333" s="292"/>
    </row>
    <row r="334">
      <c r="A334" s="292"/>
      <c r="B334" s="292"/>
      <c r="C334" s="292"/>
      <c r="D334" s="292"/>
      <c r="E334" s="292"/>
      <c r="F334" s="292"/>
      <c r="G334" s="292"/>
      <c r="H334" s="292"/>
      <c r="I334" s="292"/>
      <c r="J334" s="292"/>
      <c r="K334" s="292"/>
      <c r="L334" s="292"/>
      <c r="M334" s="292"/>
      <c r="N334" s="292"/>
      <c r="O334" s="292"/>
      <c r="P334" s="292"/>
      <c r="Q334" s="292"/>
      <c r="R334" s="292"/>
      <c r="S334" s="292"/>
      <c r="T334" s="292"/>
      <c r="U334" s="292"/>
      <c r="V334" s="292"/>
      <c r="W334" s="292"/>
      <c r="X334" s="292"/>
      <c r="Y334" s="292"/>
      <c r="Z334" s="292"/>
      <c r="AA334" s="292"/>
      <c r="AB334" s="292"/>
      <c r="AC334" s="292"/>
    </row>
    <row r="335">
      <c r="A335" s="292"/>
      <c r="B335" s="292"/>
      <c r="C335" s="292"/>
      <c r="D335" s="292"/>
      <c r="E335" s="292"/>
      <c r="F335" s="292"/>
      <c r="G335" s="292"/>
      <c r="H335" s="292"/>
      <c r="I335" s="292"/>
      <c r="J335" s="292"/>
      <c r="K335" s="292"/>
      <c r="L335" s="292"/>
      <c r="M335" s="292"/>
      <c r="N335" s="292"/>
      <c r="O335" s="292"/>
      <c r="P335" s="292"/>
      <c r="Q335" s="292"/>
      <c r="R335" s="292"/>
      <c r="S335" s="292"/>
      <c r="T335" s="292"/>
      <c r="U335" s="292"/>
      <c r="V335" s="292"/>
      <c r="W335" s="292"/>
      <c r="X335" s="292"/>
      <c r="Y335" s="292"/>
      <c r="Z335" s="292"/>
      <c r="AA335" s="292"/>
      <c r="AB335" s="292"/>
      <c r="AC335" s="292"/>
    </row>
    <row r="336">
      <c r="A336" s="292"/>
      <c r="B336" s="292"/>
      <c r="C336" s="292"/>
      <c r="D336" s="292"/>
      <c r="E336" s="292"/>
      <c r="F336" s="292"/>
      <c r="G336" s="292"/>
      <c r="H336" s="292"/>
      <c r="I336" s="292"/>
      <c r="J336" s="292"/>
      <c r="K336" s="292"/>
      <c r="L336" s="292"/>
      <c r="M336" s="292"/>
      <c r="N336" s="292"/>
      <c r="O336" s="292"/>
      <c r="P336" s="292"/>
      <c r="Q336" s="292"/>
      <c r="R336" s="292"/>
      <c r="S336" s="292"/>
      <c r="T336" s="292"/>
      <c r="U336" s="292"/>
      <c r="V336" s="292"/>
      <c r="W336" s="292"/>
      <c r="X336" s="292"/>
      <c r="Y336" s="292"/>
      <c r="Z336" s="292"/>
      <c r="AA336" s="292"/>
      <c r="AB336" s="292"/>
      <c r="AC336" s="292"/>
    </row>
    <row r="337">
      <c r="A337" s="292"/>
      <c r="B337" s="292"/>
      <c r="C337" s="292"/>
      <c r="D337" s="292"/>
      <c r="E337" s="292"/>
      <c r="F337" s="292"/>
      <c r="G337" s="292"/>
      <c r="H337" s="292"/>
      <c r="I337" s="292"/>
      <c r="J337" s="292"/>
      <c r="K337" s="292"/>
      <c r="L337" s="292"/>
      <c r="M337" s="292"/>
      <c r="N337" s="292"/>
      <c r="O337" s="292"/>
      <c r="P337" s="292"/>
      <c r="Q337" s="292"/>
      <c r="R337" s="292"/>
      <c r="S337" s="292"/>
      <c r="T337" s="292"/>
      <c r="U337" s="292"/>
      <c r="V337" s="292"/>
      <c r="W337" s="292"/>
      <c r="X337" s="292"/>
      <c r="Y337" s="292"/>
      <c r="Z337" s="292"/>
      <c r="AA337" s="292"/>
      <c r="AB337" s="292"/>
      <c r="AC337" s="292"/>
    </row>
    <row r="338">
      <c r="A338" s="292"/>
      <c r="B338" s="292"/>
      <c r="C338" s="292"/>
      <c r="D338" s="292"/>
      <c r="E338" s="292"/>
      <c r="F338" s="292"/>
      <c r="G338" s="292"/>
      <c r="H338" s="292"/>
      <c r="I338" s="292"/>
      <c r="J338" s="292"/>
      <c r="K338" s="292"/>
      <c r="L338" s="292"/>
      <c r="M338" s="292"/>
      <c r="N338" s="292"/>
      <c r="O338" s="292"/>
      <c r="P338" s="292"/>
      <c r="Q338" s="292"/>
      <c r="R338" s="292"/>
      <c r="S338" s="292"/>
      <c r="T338" s="292"/>
      <c r="U338" s="292"/>
      <c r="V338" s="292"/>
      <c r="W338" s="292"/>
      <c r="X338" s="292"/>
      <c r="Y338" s="292"/>
      <c r="Z338" s="292"/>
      <c r="AA338" s="292"/>
      <c r="AB338" s="292"/>
      <c r="AC338" s="292"/>
    </row>
    <row r="339">
      <c r="A339" s="292"/>
      <c r="B339" s="292"/>
      <c r="C339" s="292"/>
      <c r="D339" s="292"/>
      <c r="E339" s="292"/>
      <c r="F339" s="292"/>
      <c r="G339" s="292"/>
      <c r="H339" s="292"/>
      <c r="I339" s="292"/>
      <c r="J339" s="292"/>
      <c r="K339" s="292"/>
      <c r="L339" s="292"/>
      <c r="M339" s="292"/>
      <c r="N339" s="292"/>
      <c r="O339" s="292"/>
      <c r="P339" s="292"/>
      <c r="Q339" s="292"/>
      <c r="R339" s="292"/>
      <c r="S339" s="292"/>
      <c r="T339" s="292"/>
      <c r="U339" s="292"/>
      <c r="V339" s="292"/>
      <c r="W339" s="292"/>
      <c r="X339" s="292"/>
      <c r="Y339" s="292"/>
      <c r="Z339" s="292"/>
      <c r="AA339" s="292"/>
      <c r="AB339" s="292"/>
      <c r="AC339" s="292"/>
    </row>
    <row r="340">
      <c r="A340" s="292"/>
      <c r="B340" s="292"/>
      <c r="C340" s="292"/>
      <c r="D340" s="292"/>
      <c r="E340" s="292"/>
      <c r="F340" s="292"/>
      <c r="G340" s="292"/>
      <c r="H340" s="292"/>
      <c r="I340" s="292"/>
      <c r="J340" s="292"/>
      <c r="K340" s="292"/>
      <c r="L340" s="292"/>
      <c r="M340" s="292"/>
      <c r="N340" s="292"/>
      <c r="O340" s="292"/>
      <c r="P340" s="292"/>
      <c r="Q340" s="292"/>
      <c r="R340" s="292"/>
      <c r="S340" s="292"/>
      <c r="T340" s="292"/>
      <c r="U340" s="292"/>
      <c r="V340" s="292"/>
      <c r="W340" s="292"/>
      <c r="X340" s="292"/>
      <c r="Y340" s="292"/>
      <c r="Z340" s="292"/>
      <c r="AA340" s="292"/>
      <c r="AB340" s="292"/>
      <c r="AC340" s="292"/>
    </row>
    <row r="341">
      <c r="A341" s="292"/>
      <c r="B341" s="292"/>
      <c r="C341" s="292"/>
      <c r="D341" s="292"/>
      <c r="E341" s="292"/>
      <c r="F341" s="292"/>
      <c r="G341" s="292"/>
      <c r="H341" s="292"/>
      <c r="I341" s="292"/>
      <c r="J341" s="292"/>
      <c r="K341" s="292"/>
      <c r="L341" s="292"/>
      <c r="M341" s="292"/>
      <c r="N341" s="292"/>
      <c r="O341" s="292"/>
      <c r="P341" s="292"/>
      <c r="Q341" s="292"/>
      <c r="R341" s="292"/>
      <c r="S341" s="292"/>
      <c r="T341" s="292"/>
      <c r="U341" s="292"/>
      <c r="V341" s="292"/>
      <c r="W341" s="292"/>
      <c r="X341" s="292"/>
      <c r="Y341" s="292"/>
      <c r="Z341" s="292"/>
      <c r="AA341" s="292"/>
      <c r="AB341" s="292"/>
      <c r="AC341" s="292"/>
    </row>
    <row r="342">
      <c r="A342" s="292"/>
      <c r="B342" s="292"/>
      <c r="C342" s="292"/>
      <c r="D342" s="292"/>
      <c r="E342" s="292"/>
      <c r="F342" s="292"/>
      <c r="G342" s="292"/>
      <c r="H342" s="292"/>
      <c r="I342" s="292"/>
      <c r="J342" s="292"/>
      <c r="K342" s="292"/>
      <c r="L342" s="292"/>
      <c r="M342" s="292"/>
      <c r="N342" s="292"/>
      <c r="O342" s="292"/>
      <c r="P342" s="292"/>
      <c r="Q342" s="292"/>
      <c r="R342" s="292"/>
      <c r="S342" s="292"/>
      <c r="T342" s="292"/>
      <c r="U342" s="292"/>
      <c r="V342" s="292"/>
      <c r="W342" s="292"/>
      <c r="X342" s="292"/>
      <c r="Y342" s="292"/>
      <c r="Z342" s="292"/>
      <c r="AA342" s="292"/>
      <c r="AB342" s="292"/>
      <c r="AC342" s="292"/>
    </row>
    <row r="343">
      <c r="A343" s="292"/>
      <c r="B343" s="292"/>
      <c r="C343" s="292"/>
      <c r="D343" s="292"/>
      <c r="E343" s="292"/>
      <c r="F343" s="292"/>
      <c r="G343" s="292"/>
      <c r="H343" s="292"/>
      <c r="I343" s="292"/>
      <c r="J343" s="292"/>
      <c r="K343" s="292"/>
      <c r="L343" s="292"/>
      <c r="M343" s="292"/>
      <c r="N343" s="292"/>
      <c r="O343" s="292"/>
      <c r="P343" s="292"/>
      <c r="Q343" s="292"/>
      <c r="R343" s="292"/>
      <c r="S343" s="292"/>
      <c r="T343" s="292"/>
      <c r="U343" s="292"/>
      <c r="V343" s="292"/>
      <c r="W343" s="292"/>
      <c r="X343" s="292"/>
      <c r="Y343" s="292"/>
      <c r="Z343" s="292"/>
      <c r="AA343" s="292"/>
      <c r="AB343" s="292"/>
      <c r="AC343" s="292"/>
    </row>
    <row r="344">
      <c r="A344" s="292"/>
      <c r="B344" s="292"/>
      <c r="C344" s="292"/>
      <c r="D344" s="292"/>
      <c r="E344" s="292"/>
      <c r="F344" s="292"/>
      <c r="G344" s="292"/>
      <c r="H344" s="292"/>
      <c r="I344" s="292"/>
      <c r="J344" s="292"/>
      <c r="K344" s="292"/>
      <c r="L344" s="292"/>
      <c r="M344" s="292"/>
      <c r="N344" s="292"/>
      <c r="O344" s="292"/>
      <c r="P344" s="292"/>
      <c r="Q344" s="292"/>
      <c r="R344" s="292"/>
      <c r="S344" s="292"/>
      <c r="T344" s="292"/>
      <c r="U344" s="292"/>
      <c r="V344" s="292"/>
      <c r="W344" s="292"/>
      <c r="X344" s="292"/>
      <c r="Y344" s="292"/>
      <c r="Z344" s="292"/>
      <c r="AA344" s="292"/>
      <c r="AB344" s="292"/>
      <c r="AC344" s="292"/>
    </row>
    <row r="345">
      <c r="A345" s="292"/>
      <c r="B345" s="292"/>
      <c r="C345" s="292"/>
      <c r="D345" s="292"/>
      <c r="E345" s="292"/>
      <c r="F345" s="292"/>
      <c r="G345" s="292"/>
      <c r="H345" s="292"/>
      <c r="I345" s="292"/>
      <c r="J345" s="292"/>
      <c r="K345" s="292"/>
      <c r="L345" s="292"/>
      <c r="M345" s="292"/>
      <c r="N345" s="292"/>
      <c r="O345" s="292"/>
      <c r="P345" s="292"/>
      <c r="Q345" s="292"/>
      <c r="R345" s="292"/>
      <c r="S345" s="292"/>
      <c r="T345" s="292"/>
      <c r="U345" s="292"/>
      <c r="V345" s="292"/>
      <c r="W345" s="292"/>
      <c r="X345" s="292"/>
      <c r="Y345" s="292"/>
      <c r="Z345" s="292"/>
      <c r="AA345" s="292"/>
      <c r="AB345" s="292"/>
      <c r="AC345" s="292"/>
    </row>
    <row r="346">
      <c r="A346" s="292"/>
      <c r="B346" s="292"/>
      <c r="C346" s="292"/>
      <c r="D346" s="292"/>
      <c r="E346" s="292"/>
      <c r="F346" s="292"/>
      <c r="G346" s="292"/>
      <c r="H346" s="292"/>
      <c r="I346" s="292"/>
      <c r="J346" s="292"/>
      <c r="K346" s="292"/>
      <c r="L346" s="292"/>
      <c r="M346" s="292"/>
      <c r="N346" s="292"/>
      <c r="O346" s="292"/>
      <c r="P346" s="292"/>
      <c r="Q346" s="292"/>
      <c r="R346" s="292"/>
      <c r="S346" s="292"/>
      <c r="T346" s="292"/>
      <c r="U346" s="292"/>
      <c r="V346" s="292"/>
      <c r="W346" s="292"/>
      <c r="X346" s="292"/>
      <c r="Y346" s="292"/>
      <c r="Z346" s="292"/>
      <c r="AA346" s="292"/>
      <c r="AB346" s="292"/>
      <c r="AC346" s="292"/>
    </row>
    <row r="347">
      <c r="A347" s="292"/>
      <c r="B347" s="292"/>
      <c r="C347" s="292"/>
      <c r="D347" s="292"/>
      <c r="E347" s="292"/>
      <c r="F347" s="292"/>
      <c r="G347" s="292"/>
      <c r="H347" s="292"/>
      <c r="I347" s="292"/>
      <c r="J347" s="292"/>
      <c r="K347" s="292"/>
      <c r="L347" s="292"/>
      <c r="M347" s="292"/>
      <c r="N347" s="292"/>
      <c r="O347" s="292"/>
      <c r="P347" s="292"/>
      <c r="Q347" s="292"/>
      <c r="R347" s="292"/>
      <c r="S347" s="292"/>
      <c r="T347" s="292"/>
      <c r="U347" s="292"/>
      <c r="V347" s="292"/>
      <c r="W347" s="292"/>
      <c r="X347" s="292"/>
      <c r="Y347" s="292"/>
      <c r="Z347" s="292"/>
      <c r="AA347" s="292"/>
      <c r="AB347" s="292"/>
      <c r="AC347" s="292"/>
    </row>
    <row r="348">
      <c r="A348" s="292"/>
      <c r="B348" s="292"/>
      <c r="C348" s="292"/>
      <c r="D348" s="292"/>
      <c r="E348" s="292"/>
      <c r="F348" s="292"/>
      <c r="G348" s="292"/>
      <c r="H348" s="292"/>
      <c r="I348" s="292"/>
      <c r="J348" s="292"/>
      <c r="K348" s="292"/>
      <c r="L348" s="292"/>
      <c r="M348" s="292"/>
      <c r="N348" s="292"/>
      <c r="O348" s="292"/>
      <c r="P348" s="292"/>
      <c r="Q348" s="292"/>
      <c r="R348" s="292"/>
      <c r="S348" s="292"/>
      <c r="T348" s="292"/>
      <c r="U348" s="292"/>
      <c r="V348" s="292"/>
      <c r="W348" s="292"/>
      <c r="X348" s="292"/>
      <c r="Y348" s="292"/>
      <c r="Z348" s="292"/>
      <c r="AA348" s="292"/>
      <c r="AB348" s="292"/>
      <c r="AC348" s="292"/>
    </row>
    <row r="349">
      <c r="A349" s="292"/>
      <c r="B349" s="292"/>
      <c r="C349" s="292"/>
      <c r="D349" s="292"/>
      <c r="E349" s="292"/>
      <c r="F349" s="292"/>
      <c r="G349" s="292"/>
      <c r="H349" s="292"/>
      <c r="I349" s="292"/>
      <c r="J349" s="292"/>
      <c r="K349" s="292"/>
      <c r="L349" s="292"/>
      <c r="M349" s="292"/>
      <c r="N349" s="292"/>
      <c r="O349" s="292"/>
      <c r="P349" s="292"/>
      <c r="Q349" s="292"/>
      <c r="R349" s="292"/>
      <c r="S349" s="292"/>
      <c r="T349" s="292"/>
      <c r="U349" s="292"/>
      <c r="V349" s="292"/>
      <c r="W349" s="292"/>
      <c r="X349" s="292"/>
      <c r="Y349" s="292"/>
      <c r="Z349" s="292"/>
      <c r="AA349" s="292"/>
      <c r="AB349" s="292"/>
      <c r="AC349" s="292"/>
    </row>
    <row r="350">
      <c r="A350" s="292"/>
      <c r="B350" s="292"/>
      <c r="C350" s="292"/>
      <c r="D350" s="292"/>
      <c r="E350" s="292"/>
      <c r="F350" s="292"/>
      <c r="G350" s="292"/>
      <c r="H350" s="292"/>
      <c r="I350" s="292"/>
      <c r="J350" s="292"/>
      <c r="K350" s="292"/>
      <c r="L350" s="292"/>
      <c r="M350" s="292"/>
      <c r="N350" s="292"/>
      <c r="O350" s="292"/>
      <c r="P350" s="292"/>
      <c r="Q350" s="292"/>
      <c r="R350" s="292"/>
      <c r="S350" s="292"/>
      <c r="T350" s="292"/>
      <c r="U350" s="292"/>
      <c r="V350" s="292"/>
      <c r="W350" s="292"/>
      <c r="X350" s="292"/>
      <c r="Y350" s="292"/>
      <c r="Z350" s="292"/>
      <c r="AA350" s="292"/>
      <c r="AB350" s="292"/>
      <c r="AC350" s="292"/>
    </row>
    <row r="351">
      <c r="A351" s="292"/>
      <c r="B351" s="292"/>
      <c r="C351" s="292"/>
      <c r="D351" s="292"/>
      <c r="E351" s="292"/>
      <c r="F351" s="292"/>
      <c r="G351" s="292"/>
      <c r="H351" s="292"/>
      <c r="I351" s="292"/>
      <c r="J351" s="292"/>
      <c r="K351" s="292"/>
      <c r="L351" s="292"/>
      <c r="M351" s="292"/>
      <c r="N351" s="292"/>
      <c r="O351" s="292"/>
      <c r="P351" s="292"/>
      <c r="Q351" s="292"/>
      <c r="R351" s="292"/>
      <c r="S351" s="292"/>
      <c r="T351" s="292"/>
      <c r="U351" s="292"/>
      <c r="V351" s="292"/>
      <c r="W351" s="292"/>
      <c r="X351" s="292"/>
      <c r="Y351" s="292"/>
      <c r="Z351" s="292"/>
      <c r="AA351" s="292"/>
      <c r="AB351" s="292"/>
      <c r="AC351" s="292"/>
    </row>
    <row r="352">
      <c r="A352" s="292"/>
      <c r="B352" s="292"/>
      <c r="C352" s="292"/>
      <c r="D352" s="292"/>
      <c r="E352" s="292"/>
      <c r="F352" s="292"/>
      <c r="G352" s="292"/>
      <c r="H352" s="292"/>
      <c r="I352" s="292"/>
      <c r="J352" s="292"/>
      <c r="K352" s="292"/>
      <c r="L352" s="292"/>
      <c r="M352" s="292"/>
      <c r="N352" s="292"/>
      <c r="O352" s="292"/>
      <c r="P352" s="292"/>
      <c r="Q352" s="292"/>
      <c r="R352" s="292"/>
      <c r="S352" s="292"/>
      <c r="T352" s="292"/>
      <c r="U352" s="292"/>
      <c r="V352" s="292"/>
      <c r="W352" s="292"/>
      <c r="X352" s="292"/>
      <c r="Y352" s="292"/>
      <c r="Z352" s="292"/>
      <c r="AA352" s="292"/>
      <c r="AB352" s="292"/>
      <c r="AC352" s="292"/>
    </row>
    <row r="353">
      <c r="A353" s="292"/>
      <c r="B353" s="292"/>
      <c r="C353" s="292"/>
      <c r="D353" s="292"/>
      <c r="E353" s="292"/>
      <c r="F353" s="292"/>
      <c r="G353" s="292"/>
      <c r="H353" s="292"/>
      <c r="I353" s="292"/>
      <c r="J353" s="292"/>
      <c r="K353" s="292"/>
      <c r="L353" s="292"/>
      <c r="M353" s="292"/>
      <c r="N353" s="292"/>
      <c r="O353" s="292"/>
      <c r="P353" s="292"/>
      <c r="Q353" s="292"/>
      <c r="R353" s="292"/>
      <c r="S353" s="292"/>
      <c r="T353" s="292"/>
      <c r="U353" s="292"/>
      <c r="V353" s="292"/>
      <c r="W353" s="292"/>
      <c r="X353" s="292"/>
      <c r="Y353" s="292"/>
      <c r="Z353" s="292"/>
      <c r="AA353" s="292"/>
      <c r="AB353" s="292"/>
      <c r="AC353" s="292"/>
    </row>
    <row r="354">
      <c r="A354" s="292"/>
      <c r="B354" s="292"/>
      <c r="C354" s="292"/>
      <c r="D354" s="292"/>
      <c r="E354" s="292"/>
      <c r="F354" s="292"/>
      <c r="G354" s="292"/>
      <c r="H354" s="292"/>
      <c r="I354" s="292"/>
      <c r="J354" s="292"/>
      <c r="K354" s="292"/>
      <c r="L354" s="292"/>
      <c r="M354" s="292"/>
      <c r="N354" s="292"/>
      <c r="O354" s="292"/>
      <c r="P354" s="292"/>
      <c r="Q354" s="292"/>
      <c r="R354" s="292"/>
      <c r="S354" s="292"/>
      <c r="T354" s="292"/>
      <c r="U354" s="292"/>
      <c r="V354" s="292"/>
      <c r="W354" s="292"/>
      <c r="X354" s="292"/>
      <c r="Y354" s="292"/>
      <c r="Z354" s="292"/>
      <c r="AA354" s="292"/>
      <c r="AB354" s="292"/>
      <c r="AC354" s="292"/>
    </row>
    <row r="355">
      <c r="A355" s="292"/>
      <c r="B355" s="292"/>
      <c r="C355" s="292"/>
      <c r="D355" s="292"/>
      <c r="E355" s="292"/>
      <c r="F355" s="292"/>
      <c r="G355" s="292"/>
      <c r="H355" s="292"/>
      <c r="I355" s="292"/>
      <c r="J355" s="292"/>
      <c r="K355" s="292"/>
      <c r="L355" s="292"/>
      <c r="M355" s="292"/>
      <c r="N355" s="292"/>
      <c r="O355" s="292"/>
      <c r="P355" s="292"/>
      <c r="Q355" s="292"/>
      <c r="R355" s="292"/>
      <c r="S355" s="292"/>
      <c r="T355" s="292"/>
      <c r="U355" s="292"/>
      <c r="V355" s="292"/>
      <c r="W355" s="292"/>
      <c r="X355" s="292"/>
      <c r="Y355" s="292"/>
      <c r="Z355" s="292"/>
      <c r="AA355" s="292"/>
      <c r="AB355" s="292"/>
      <c r="AC355" s="292"/>
    </row>
    <row r="356">
      <c r="A356" s="292"/>
      <c r="B356" s="292"/>
      <c r="C356" s="292"/>
      <c r="D356" s="292"/>
      <c r="E356" s="292"/>
      <c r="F356" s="292"/>
      <c r="G356" s="292"/>
      <c r="H356" s="292"/>
      <c r="I356" s="292"/>
      <c r="J356" s="292"/>
      <c r="K356" s="292"/>
      <c r="L356" s="292"/>
      <c r="M356" s="292"/>
      <c r="N356" s="292"/>
      <c r="O356" s="292"/>
      <c r="P356" s="292"/>
      <c r="Q356" s="292"/>
      <c r="R356" s="292"/>
      <c r="S356" s="292"/>
      <c r="T356" s="292"/>
      <c r="U356" s="292"/>
      <c r="V356" s="292"/>
      <c r="W356" s="292"/>
      <c r="X356" s="292"/>
      <c r="Y356" s="292"/>
      <c r="Z356" s="292"/>
      <c r="AA356" s="292"/>
      <c r="AB356" s="292"/>
      <c r="AC356" s="292"/>
    </row>
    <row r="357">
      <c r="A357" s="292"/>
      <c r="B357" s="292"/>
      <c r="C357" s="292"/>
      <c r="D357" s="292"/>
      <c r="E357" s="292"/>
      <c r="F357" s="292"/>
      <c r="G357" s="292"/>
      <c r="H357" s="292"/>
      <c r="I357" s="292"/>
      <c r="J357" s="292"/>
      <c r="K357" s="292"/>
      <c r="L357" s="292"/>
      <c r="M357" s="292"/>
      <c r="N357" s="292"/>
      <c r="O357" s="292"/>
      <c r="P357" s="292"/>
      <c r="Q357" s="292"/>
      <c r="R357" s="292"/>
      <c r="S357" s="292"/>
      <c r="T357" s="292"/>
      <c r="U357" s="292"/>
      <c r="V357" s="292"/>
      <c r="W357" s="292"/>
      <c r="X357" s="292"/>
      <c r="Y357" s="292"/>
      <c r="Z357" s="292"/>
      <c r="AA357" s="292"/>
      <c r="AB357" s="292"/>
      <c r="AC357" s="292"/>
    </row>
    <row r="358">
      <c r="A358" s="292"/>
      <c r="B358" s="292"/>
      <c r="C358" s="292"/>
      <c r="D358" s="292"/>
      <c r="E358" s="292"/>
      <c r="F358" s="292"/>
      <c r="G358" s="292"/>
      <c r="H358" s="292"/>
      <c r="I358" s="292"/>
      <c r="J358" s="292"/>
      <c r="K358" s="292"/>
      <c r="L358" s="292"/>
      <c r="M358" s="292"/>
      <c r="N358" s="292"/>
      <c r="O358" s="292"/>
      <c r="P358" s="292"/>
      <c r="Q358" s="292"/>
      <c r="R358" s="292"/>
      <c r="S358" s="292"/>
      <c r="T358" s="292"/>
      <c r="U358" s="292"/>
      <c r="V358" s="292"/>
      <c r="W358" s="292"/>
      <c r="X358" s="292"/>
      <c r="Y358" s="292"/>
      <c r="Z358" s="292"/>
      <c r="AA358" s="292"/>
      <c r="AB358" s="292"/>
      <c r="AC358" s="292"/>
    </row>
    <row r="359">
      <c r="A359" s="292"/>
      <c r="B359" s="292"/>
      <c r="C359" s="292"/>
      <c r="D359" s="292"/>
      <c r="E359" s="292"/>
      <c r="F359" s="292"/>
      <c r="G359" s="292"/>
      <c r="H359" s="292"/>
      <c r="I359" s="292"/>
      <c r="J359" s="292"/>
      <c r="K359" s="292"/>
      <c r="L359" s="292"/>
      <c r="M359" s="292"/>
      <c r="N359" s="292"/>
      <c r="O359" s="292"/>
      <c r="P359" s="292"/>
      <c r="Q359" s="292"/>
      <c r="R359" s="292"/>
      <c r="S359" s="292"/>
      <c r="T359" s="292"/>
      <c r="U359" s="292"/>
      <c r="V359" s="292"/>
      <c r="W359" s="292"/>
      <c r="X359" s="292"/>
      <c r="Y359" s="292"/>
      <c r="Z359" s="292"/>
      <c r="AA359" s="292"/>
      <c r="AB359" s="292"/>
      <c r="AC359" s="292"/>
    </row>
    <row r="360">
      <c r="A360" s="292"/>
      <c r="B360" s="292"/>
      <c r="C360" s="292"/>
      <c r="D360" s="292"/>
      <c r="E360" s="292"/>
      <c r="F360" s="292"/>
      <c r="G360" s="292"/>
      <c r="H360" s="292"/>
      <c r="I360" s="292"/>
      <c r="J360" s="292"/>
      <c r="K360" s="292"/>
      <c r="L360" s="292"/>
      <c r="M360" s="292"/>
      <c r="N360" s="292"/>
      <c r="O360" s="292"/>
      <c r="P360" s="292"/>
      <c r="Q360" s="292"/>
      <c r="R360" s="292"/>
      <c r="S360" s="292"/>
      <c r="T360" s="292"/>
      <c r="U360" s="292"/>
      <c r="V360" s="292"/>
      <c r="W360" s="292"/>
      <c r="X360" s="292"/>
      <c r="Y360" s="292"/>
      <c r="Z360" s="292"/>
      <c r="AA360" s="292"/>
      <c r="AB360" s="292"/>
      <c r="AC360" s="292"/>
    </row>
    <row r="361">
      <c r="A361" s="292"/>
      <c r="B361" s="292"/>
      <c r="C361" s="292"/>
      <c r="D361" s="292"/>
      <c r="E361" s="292"/>
      <c r="F361" s="292"/>
      <c r="G361" s="292"/>
      <c r="H361" s="292"/>
      <c r="I361" s="292"/>
      <c r="J361" s="292"/>
      <c r="K361" s="292"/>
      <c r="L361" s="292"/>
      <c r="M361" s="292"/>
      <c r="N361" s="292"/>
      <c r="O361" s="292"/>
      <c r="P361" s="292"/>
      <c r="Q361" s="292"/>
      <c r="R361" s="292"/>
      <c r="S361" s="292"/>
      <c r="T361" s="292"/>
      <c r="U361" s="292"/>
      <c r="V361" s="292"/>
      <c r="W361" s="292"/>
      <c r="X361" s="292"/>
      <c r="Y361" s="292"/>
      <c r="Z361" s="292"/>
      <c r="AA361" s="292"/>
      <c r="AB361" s="292"/>
      <c r="AC361" s="292"/>
    </row>
    <row r="362">
      <c r="A362" s="292"/>
      <c r="B362" s="292"/>
      <c r="C362" s="292"/>
      <c r="D362" s="292"/>
      <c r="E362" s="292"/>
      <c r="F362" s="292"/>
      <c r="G362" s="292"/>
      <c r="H362" s="292"/>
      <c r="I362" s="292"/>
      <c r="J362" s="292"/>
      <c r="K362" s="292"/>
      <c r="L362" s="292"/>
      <c r="M362" s="292"/>
      <c r="N362" s="292"/>
      <c r="O362" s="292"/>
      <c r="P362" s="292"/>
      <c r="Q362" s="292"/>
      <c r="R362" s="292"/>
      <c r="S362" s="292"/>
      <c r="T362" s="292"/>
      <c r="U362" s="292"/>
      <c r="V362" s="292"/>
      <c r="W362" s="292"/>
      <c r="X362" s="292"/>
      <c r="Y362" s="292"/>
      <c r="Z362" s="292"/>
      <c r="AA362" s="292"/>
      <c r="AB362" s="292"/>
      <c r="AC362" s="292"/>
    </row>
    <row r="363">
      <c r="A363" s="292"/>
      <c r="B363" s="292"/>
      <c r="C363" s="292"/>
      <c r="D363" s="292"/>
      <c r="E363" s="292"/>
      <c r="F363" s="292"/>
      <c r="G363" s="292"/>
      <c r="H363" s="292"/>
      <c r="I363" s="292"/>
      <c r="J363" s="292"/>
      <c r="K363" s="292"/>
      <c r="L363" s="292"/>
      <c r="M363" s="292"/>
      <c r="N363" s="292"/>
      <c r="O363" s="292"/>
      <c r="P363" s="292"/>
      <c r="Q363" s="292"/>
      <c r="R363" s="292"/>
      <c r="S363" s="292"/>
      <c r="T363" s="292"/>
      <c r="U363" s="292"/>
      <c r="V363" s="292"/>
      <c r="W363" s="292"/>
      <c r="X363" s="292"/>
      <c r="Y363" s="292"/>
      <c r="Z363" s="292"/>
      <c r="AA363" s="292"/>
      <c r="AB363" s="292"/>
      <c r="AC363" s="292"/>
    </row>
    <row r="364">
      <c r="A364" s="292"/>
      <c r="B364" s="292"/>
      <c r="C364" s="292"/>
      <c r="D364" s="292"/>
      <c r="E364" s="292"/>
      <c r="F364" s="292"/>
      <c r="G364" s="292"/>
      <c r="H364" s="292"/>
      <c r="I364" s="292"/>
      <c r="J364" s="292"/>
      <c r="K364" s="292"/>
      <c r="L364" s="292"/>
      <c r="M364" s="292"/>
      <c r="N364" s="292"/>
      <c r="O364" s="292"/>
      <c r="P364" s="292"/>
      <c r="Q364" s="292"/>
      <c r="R364" s="292"/>
      <c r="S364" s="292"/>
      <c r="T364" s="292"/>
      <c r="U364" s="292"/>
      <c r="V364" s="292"/>
      <c r="W364" s="292"/>
      <c r="X364" s="292"/>
      <c r="Y364" s="292"/>
      <c r="Z364" s="292"/>
      <c r="AA364" s="292"/>
      <c r="AB364" s="292"/>
      <c r="AC364" s="292"/>
    </row>
    <row r="365">
      <c r="A365" s="292"/>
      <c r="B365" s="292"/>
      <c r="C365" s="292"/>
      <c r="D365" s="292"/>
      <c r="E365" s="292"/>
      <c r="F365" s="292"/>
      <c r="G365" s="292"/>
      <c r="H365" s="292"/>
      <c r="I365" s="292"/>
      <c r="J365" s="292"/>
      <c r="K365" s="292"/>
      <c r="L365" s="292"/>
      <c r="M365" s="292"/>
      <c r="N365" s="292"/>
      <c r="O365" s="292"/>
      <c r="P365" s="292"/>
      <c r="Q365" s="292"/>
      <c r="R365" s="292"/>
      <c r="S365" s="292"/>
      <c r="T365" s="292"/>
      <c r="U365" s="292"/>
      <c r="V365" s="292"/>
      <c r="W365" s="292"/>
      <c r="X365" s="292"/>
      <c r="Y365" s="292"/>
      <c r="Z365" s="292"/>
      <c r="AA365" s="292"/>
      <c r="AB365" s="292"/>
      <c r="AC365" s="292"/>
    </row>
    <row r="366">
      <c r="A366" s="292"/>
      <c r="B366" s="292"/>
      <c r="C366" s="292"/>
      <c r="D366" s="292"/>
      <c r="E366" s="292"/>
      <c r="F366" s="292"/>
      <c r="G366" s="292"/>
      <c r="H366" s="292"/>
      <c r="I366" s="292"/>
      <c r="J366" s="292"/>
      <c r="K366" s="292"/>
      <c r="L366" s="292"/>
      <c r="M366" s="292"/>
      <c r="N366" s="292"/>
      <c r="O366" s="292"/>
      <c r="P366" s="292"/>
      <c r="Q366" s="292"/>
      <c r="R366" s="292"/>
      <c r="S366" s="292"/>
      <c r="T366" s="292"/>
      <c r="U366" s="292"/>
      <c r="V366" s="292"/>
      <c r="W366" s="292"/>
      <c r="X366" s="292"/>
      <c r="Y366" s="292"/>
      <c r="Z366" s="292"/>
      <c r="AA366" s="292"/>
      <c r="AB366" s="292"/>
      <c r="AC366" s="292"/>
    </row>
    <row r="367">
      <c r="A367" s="292"/>
      <c r="B367" s="292"/>
      <c r="C367" s="292"/>
      <c r="D367" s="292"/>
      <c r="E367" s="292"/>
      <c r="F367" s="292"/>
      <c r="G367" s="292"/>
      <c r="H367" s="292"/>
      <c r="I367" s="292"/>
      <c r="J367" s="292"/>
      <c r="K367" s="292"/>
      <c r="L367" s="292"/>
      <c r="M367" s="292"/>
      <c r="N367" s="292"/>
      <c r="O367" s="292"/>
      <c r="P367" s="292"/>
      <c r="Q367" s="292"/>
      <c r="R367" s="292"/>
      <c r="S367" s="292"/>
      <c r="T367" s="292"/>
      <c r="U367" s="292"/>
      <c r="V367" s="292"/>
      <c r="W367" s="292"/>
      <c r="X367" s="292"/>
      <c r="Y367" s="292"/>
      <c r="Z367" s="292"/>
      <c r="AA367" s="292"/>
      <c r="AB367" s="292"/>
      <c r="AC367" s="292"/>
    </row>
    <row r="368">
      <c r="A368" s="292"/>
      <c r="B368" s="292"/>
      <c r="C368" s="292"/>
      <c r="D368" s="292"/>
      <c r="E368" s="292"/>
      <c r="F368" s="292"/>
      <c r="G368" s="292"/>
      <c r="H368" s="292"/>
      <c r="I368" s="292"/>
      <c r="J368" s="292"/>
      <c r="K368" s="292"/>
      <c r="L368" s="292"/>
      <c r="M368" s="292"/>
      <c r="N368" s="292"/>
      <c r="O368" s="292"/>
      <c r="P368" s="292"/>
      <c r="Q368" s="292"/>
      <c r="R368" s="292"/>
      <c r="S368" s="292"/>
      <c r="T368" s="292"/>
      <c r="U368" s="292"/>
      <c r="V368" s="292"/>
      <c r="W368" s="292"/>
      <c r="X368" s="292"/>
      <c r="Y368" s="292"/>
      <c r="Z368" s="292"/>
      <c r="AA368" s="292"/>
      <c r="AB368" s="292"/>
      <c r="AC368" s="292"/>
    </row>
    <row r="369">
      <c r="A369" s="292"/>
      <c r="B369" s="292"/>
      <c r="C369" s="292"/>
      <c r="D369" s="292"/>
      <c r="E369" s="292"/>
      <c r="F369" s="292"/>
      <c r="G369" s="292"/>
      <c r="H369" s="292"/>
      <c r="I369" s="292"/>
      <c r="J369" s="292"/>
      <c r="K369" s="292"/>
      <c r="L369" s="292"/>
      <c r="M369" s="292"/>
      <c r="N369" s="292"/>
      <c r="O369" s="292"/>
      <c r="P369" s="292"/>
      <c r="Q369" s="292"/>
      <c r="R369" s="292"/>
      <c r="S369" s="292"/>
      <c r="T369" s="292"/>
      <c r="U369" s="292"/>
      <c r="V369" s="292"/>
      <c r="W369" s="292"/>
      <c r="X369" s="292"/>
      <c r="Y369" s="292"/>
      <c r="Z369" s="292"/>
      <c r="AA369" s="292"/>
      <c r="AB369" s="292"/>
      <c r="AC369" s="292"/>
    </row>
    <row r="370">
      <c r="A370" s="292"/>
      <c r="B370" s="292"/>
      <c r="C370" s="292"/>
      <c r="D370" s="292"/>
      <c r="E370" s="292"/>
      <c r="F370" s="292"/>
      <c r="G370" s="292"/>
      <c r="H370" s="292"/>
      <c r="I370" s="292"/>
      <c r="J370" s="292"/>
      <c r="K370" s="292"/>
      <c r="L370" s="292"/>
      <c r="M370" s="292"/>
      <c r="N370" s="292"/>
      <c r="O370" s="292"/>
      <c r="P370" s="292"/>
      <c r="Q370" s="292"/>
      <c r="R370" s="292"/>
      <c r="S370" s="292"/>
      <c r="T370" s="292"/>
      <c r="U370" s="292"/>
      <c r="V370" s="292"/>
      <c r="W370" s="292"/>
      <c r="X370" s="292"/>
      <c r="Y370" s="292"/>
      <c r="Z370" s="292"/>
      <c r="AA370" s="292"/>
      <c r="AB370" s="292"/>
      <c r="AC370" s="292"/>
    </row>
    <row r="371">
      <c r="A371" s="292"/>
      <c r="B371" s="292"/>
      <c r="C371" s="292"/>
      <c r="D371" s="292"/>
      <c r="E371" s="292"/>
      <c r="F371" s="292"/>
      <c r="G371" s="292"/>
      <c r="H371" s="292"/>
      <c r="I371" s="292"/>
      <c r="J371" s="292"/>
      <c r="K371" s="292"/>
      <c r="L371" s="292"/>
      <c r="M371" s="292"/>
      <c r="N371" s="292"/>
      <c r="O371" s="292"/>
      <c r="P371" s="292"/>
      <c r="Q371" s="292"/>
      <c r="R371" s="292"/>
      <c r="S371" s="292"/>
      <c r="T371" s="292"/>
      <c r="U371" s="292"/>
      <c r="V371" s="292"/>
      <c r="W371" s="292"/>
      <c r="X371" s="292"/>
      <c r="Y371" s="292"/>
      <c r="Z371" s="292"/>
      <c r="AA371" s="292"/>
      <c r="AB371" s="292"/>
      <c r="AC371" s="292"/>
    </row>
    <row r="372">
      <c r="A372" s="292"/>
      <c r="B372" s="292"/>
      <c r="C372" s="292"/>
      <c r="D372" s="292"/>
      <c r="E372" s="292"/>
      <c r="F372" s="292"/>
      <c r="G372" s="292"/>
      <c r="H372" s="292"/>
      <c r="I372" s="292"/>
      <c r="J372" s="292"/>
      <c r="K372" s="292"/>
      <c r="L372" s="292"/>
      <c r="M372" s="292"/>
      <c r="N372" s="292"/>
      <c r="O372" s="292"/>
      <c r="P372" s="292"/>
      <c r="Q372" s="292"/>
      <c r="R372" s="292"/>
      <c r="S372" s="292"/>
      <c r="T372" s="292"/>
      <c r="U372" s="292"/>
      <c r="V372" s="292"/>
      <c r="W372" s="292"/>
      <c r="X372" s="292"/>
      <c r="Y372" s="292"/>
      <c r="Z372" s="292"/>
      <c r="AA372" s="292"/>
      <c r="AB372" s="292"/>
      <c r="AC372" s="292"/>
    </row>
    <row r="373">
      <c r="A373" s="292"/>
      <c r="B373" s="292"/>
      <c r="C373" s="292"/>
      <c r="D373" s="292"/>
      <c r="E373" s="292"/>
      <c r="F373" s="292"/>
      <c r="G373" s="292"/>
      <c r="H373" s="292"/>
      <c r="I373" s="292"/>
      <c r="J373" s="292"/>
      <c r="K373" s="292"/>
      <c r="L373" s="292"/>
      <c r="M373" s="292"/>
      <c r="N373" s="292"/>
      <c r="O373" s="292"/>
      <c r="P373" s="292"/>
      <c r="Q373" s="292"/>
      <c r="R373" s="292"/>
      <c r="S373" s="292"/>
      <c r="T373" s="292"/>
      <c r="U373" s="292"/>
      <c r="V373" s="292"/>
      <c r="W373" s="292"/>
      <c r="X373" s="292"/>
      <c r="Y373" s="292"/>
      <c r="Z373" s="292"/>
      <c r="AA373" s="292"/>
      <c r="AB373" s="292"/>
      <c r="AC373" s="292"/>
    </row>
    <row r="374">
      <c r="A374" s="292"/>
      <c r="B374" s="292"/>
      <c r="C374" s="292"/>
      <c r="D374" s="292"/>
      <c r="E374" s="292"/>
      <c r="F374" s="292"/>
      <c r="G374" s="292"/>
      <c r="H374" s="292"/>
      <c r="I374" s="292"/>
      <c r="J374" s="292"/>
      <c r="K374" s="292"/>
      <c r="L374" s="292"/>
      <c r="M374" s="292"/>
      <c r="N374" s="292"/>
      <c r="O374" s="292"/>
      <c r="P374" s="292"/>
      <c r="Q374" s="292"/>
      <c r="R374" s="292"/>
      <c r="S374" s="292"/>
      <c r="T374" s="292"/>
      <c r="U374" s="292"/>
      <c r="V374" s="292"/>
      <c r="W374" s="292"/>
      <c r="X374" s="292"/>
      <c r="Y374" s="292"/>
      <c r="Z374" s="292"/>
      <c r="AA374" s="292"/>
      <c r="AB374" s="292"/>
      <c r="AC374" s="292"/>
    </row>
    <row r="375">
      <c r="A375" s="292"/>
      <c r="B375" s="292"/>
      <c r="C375" s="292"/>
      <c r="D375" s="292"/>
      <c r="E375" s="292"/>
      <c r="F375" s="292"/>
      <c r="G375" s="292"/>
      <c r="H375" s="292"/>
      <c r="I375" s="292"/>
      <c r="J375" s="292"/>
      <c r="K375" s="292"/>
      <c r="L375" s="292"/>
      <c r="M375" s="292"/>
      <c r="N375" s="292"/>
      <c r="O375" s="292"/>
      <c r="P375" s="292"/>
      <c r="Q375" s="292"/>
      <c r="R375" s="292"/>
      <c r="S375" s="292"/>
      <c r="T375" s="292"/>
      <c r="U375" s="292"/>
      <c r="V375" s="292"/>
      <c r="W375" s="292"/>
      <c r="X375" s="292"/>
      <c r="Y375" s="292"/>
      <c r="Z375" s="292"/>
      <c r="AA375" s="292"/>
      <c r="AB375" s="292"/>
      <c r="AC375" s="292"/>
    </row>
    <row r="376">
      <c r="A376" s="292"/>
      <c r="B376" s="292"/>
      <c r="C376" s="292"/>
      <c r="D376" s="292"/>
      <c r="E376" s="292"/>
      <c r="F376" s="292"/>
      <c r="G376" s="292"/>
      <c r="H376" s="292"/>
      <c r="I376" s="292"/>
      <c r="J376" s="292"/>
      <c r="K376" s="292"/>
      <c r="L376" s="292"/>
      <c r="M376" s="292"/>
      <c r="N376" s="292"/>
      <c r="O376" s="292"/>
      <c r="P376" s="292"/>
      <c r="Q376" s="292"/>
      <c r="R376" s="292"/>
      <c r="S376" s="292"/>
      <c r="T376" s="292"/>
      <c r="U376" s="292"/>
      <c r="V376" s="292"/>
      <c r="W376" s="292"/>
      <c r="X376" s="292"/>
      <c r="Y376" s="292"/>
      <c r="Z376" s="292"/>
      <c r="AA376" s="292"/>
      <c r="AB376" s="292"/>
      <c r="AC376" s="292"/>
    </row>
    <row r="377">
      <c r="A377" s="292"/>
      <c r="B377" s="292"/>
      <c r="C377" s="292"/>
      <c r="D377" s="292"/>
      <c r="E377" s="292"/>
      <c r="F377" s="292"/>
      <c r="G377" s="292"/>
      <c r="H377" s="292"/>
      <c r="I377" s="292"/>
      <c r="J377" s="292"/>
      <c r="K377" s="292"/>
      <c r="L377" s="292"/>
      <c r="M377" s="292"/>
      <c r="N377" s="292"/>
      <c r="O377" s="292"/>
      <c r="P377" s="292"/>
      <c r="Q377" s="292"/>
      <c r="R377" s="292"/>
      <c r="S377" s="292"/>
      <c r="T377" s="292"/>
      <c r="U377" s="292"/>
      <c r="V377" s="292"/>
      <c r="W377" s="292"/>
      <c r="X377" s="292"/>
      <c r="Y377" s="292"/>
      <c r="Z377" s="292"/>
      <c r="AA377" s="292"/>
      <c r="AB377" s="292"/>
      <c r="AC377" s="292"/>
    </row>
    <row r="378">
      <c r="A378" s="292"/>
      <c r="B378" s="292"/>
      <c r="C378" s="292"/>
      <c r="D378" s="292"/>
      <c r="E378" s="292"/>
      <c r="F378" s="292"/>
      <c r="G378" s="292"/>
      <c r="H378" s="292"/>
      <c r="I378" s="292"/>
      <c r="J378" s="292"/>
      <c r="K378" s="292"/>
      <c r="L378" s="292"/>
      <c r="M378" s="292"/>
      <c r="N378" s="292"/>
      <c r="O378" s="292"/>
      <c r="P378" s="292"/>
      <c r="Q378" s="292"/>
      <c r="R378" s="292"/>
      <c r="S378" s="292"/>
      <c r="T378" s="292"/>
      <c r="U378" s="292"/>
      <c r="V378" s="292"/>
      <c r="W378" s="292"/>
      <c r="X378" s="292"/>
      <c r="Y378" s="292"/>
      <c r="Z378" s="292"/>
      <c r="AA378" s="292"/>
      <c r="AB378" s="292"/>
      <c r="AC378" s="292"/>
    </row>
    <row r="379">
      <c r="A379" s="292"/>
      <c r="B379" s="292"/>
      <c r="C379" s="292"/>
      <c r="D379" s="292"/>
      <c r="E379" s="292"/>
      <c r="F379" s="292"/>
      <c r="G379" s="292"/>
      <c r="H379" s="292"/>
      <c r="I379" s="292"/>
      <c r="J379" s="292"/>
      <c r="K379" s="292"/>
      <c r="L379" s="292"/>
      <c r="M379" s="292"/>
      <c r="N379" s="292"/>
      <c r="O379" s="292"/>
      <c r="P379" s="292"/>
      <c r="Q379" s="292"/>
      <c r="R379" s="292"/>
      <c r="S379" s="292"/>
      <c r="T379" s="292"/>
      <c r="U379" s="292"/>
      <c r="V379" s="292"/>
      <c r="W379" s="292"/>
      <c r="X379" s="292"/>
      <c r="Y379" s="292"/>
      <c r="Z379" s="292"/>
      <c r="AA379" s="292"/>
      <c r="AB379" s="292"/>
      <c r="AC379" s="292"/>
    </row>
    <row r="380">
      <c r="A380" s="292"/>
      <c r="B380" s="292"/>
      <c r="C380" s="292"/>
      <c r="D380" s="292"/>
      <c r="E380" s="292"/>
      <c r="F380" s="292"/>
      <c r="G380" s="292"/>
      <c r="H380" s="292"/>
      <c r="I380" s="292"/>
      <c r="J380" s="292"/>
      <c r="K380" s="292"/>
      <c r="L380" s="292"/>
      <c r="M380" s="292"/>
      <c r="N380" s="292"/>
      <c r="O380" s="292"/>
      <c r="P380" s="292"/>
      <c r="Q380" s="292"/>
      <c r="R380" s="292"/>
      <c r="S380" s="292"/>
      <c r="T380" s="292"/>
      <c r="U380" s="292"/>
      <c r="V380" s="292"/>
      <c r="W380" s="292"/>
      <c r="X380" s="292"/>
      <c r="Y380" s="292"/>
      <c r="Z380" s="292"/>
      <c r="AA380" s="292"/>
      <c r="AB380" s="292"/>
      <c r="AC380" s="292"/>
    </row>
    <row r="381">
      <c r="A381" s="292"/>
      <c r="B381" s="292"/>
      <c r="C381" s="292"/>
      <c r="D381" s="292"/>
      <c r="E381" s="292"/>
      <c r="F381" s="292"/>
      <c r="G381" s="292"/>
      <c r="H381" s="292"/>
      <c r="I381" s="292"/>
      <c r="J381" s="292"/>
      <c r="K381" s="292"/>
      <c r="L381" s="292"/>
      <c r="M381" s="292"/>
      <c r="N381" s="292"/>
      <c r="O381" s="292"/>
      <c r="P381" s="292"/>
      <c r="Q381" s="292"/>
      <c r="R381" s="292"/>
      <c r="S381" s="292"/>
      <c r="T381" s="292"/>
      <c r="U381" s="292"/>
      <c r="V381" s="292"/>
      <c r="W381" s="292"/>
      <c r="X381" s="292"/>
      <c r="Y381" s="292"/>
      <c r="Z381" s="292"/>
      <c r="AA381" s="292"/>
      <c r="AB381" s="292"/>
      <c r="AC381" s="292"/>
    </row>
    <row r="382">
      <c r="A382" s="292"/>
      <c r="B382" s="292"/>
      <c r="C382" s="292"/>
      <c r="D382" s="292"/>
      <c r="E382" s="292"/>
      <c r="F382" s="292"/>
      <c r="G382" s="292"/>
      <c r="H382" s="292"/>
      <c r="I382" s="292"/>
      <c r="J382" s="292"/>
      <c r="K382" s="292"/>
      <c r="L382" s="292"/>
      <c r="M382" s="292"/>
      <c r="N382" s="292"/>
      <c r="O382" s="292"/>
      <c r="P382" s="292"/>
      <c r="Q382" s="292"/>
      <c r="R382" s="292"/>
      <c r="S382" s="292"/>
      <c r="T382" s="292"/>
      <c r="U382" s="292"/>
      <c r="V382" s="292"/>
      <c r="W382" s="292"/>
      <c r="X382" s="292"/>
      <c r="Y382" s="292"/>
      <c r="Z382" s="292"/>
      <c r="AA382" s="292"/>
      <c r="AB382" s="292"/>
      <c r="AC382" s="292"/>
    </row>
    <row r="383">
      <c r="A383" s="292"/>
      <c r="B383" s="292"/>
      <c r="C383" s="292"/>
      <c r="D383" s="292"/>
      <c r="E383" s="292"/>
      <c r="F383" s="292"/>
      <c r="G383" s="292"/>
      <c r="H383" s="292"/>
      <c r="I383" s="292"/>
      <c r="J383" s="292"/>
      <c r="K383" s="292"/>
      <c r="L383" s="292"/>
      <c r="M383" s="292"/>
      <c r="N383" s="292"/>
      <c r="O383" s="292"/>
      <c r="P383" s="292"/>
      <c r="Q383" s="292"/>
      <c r="R383" s="292"/>
      <c r="S383" s="292"/>
      <c r="T383" s="292"/>
      <c r="U383" s="292"/>
      <c r="V383" s="292"/>
      <c r="W383" s="292"/>
      <c r="X383" s="292"/>
      <c r="Y383" s="292"/>
      <c r="Z383" s="292"/>
      <c r="AA383" s="292"/>
      <c r="AB383" s="292"/>
      <c r="AC383" s="292"/>
    </row>
    <row r="384">
      <c r="A384" s="292"/>
      <c r="B384" s="292"/>
      <c r="C384" s="292"/>
      <c r="D384" s="292"/>
      <c r="E384" s="292"/>
      <c r="F384" s="292"/>
      <c r="G384" s="292"/>
      <c r="H384" s="292"/>
      <c r="I384" s="292"/>
      <c r="J384" s="292"/>
      <c r="K384" s="292"/>
      <c r="L384" s="292"/>
      <c r="M384" s="292"/>
      <c r="N384" s="292"/>
      <c r="O384" s="292"/>
      <c r="P384" s="292"/>
      <c r="Q384" s="292"/>
      <c r="R384" s="292"/>
      <c r="S384" s="292"/>
      <c r="T384" s="292"/>
      <c r="U384" s="292"/>
      <c r="V384" s="292"/>
      <c r="W384" s="292"/>
      <c r="X384" s="292"/>
      <c r="Y384" s="292"/>
      <c r="Z384" s="292"/>
      <c r="AA384" s="292"/>
      <c r="AB384" s="292"/>
      <c r="AC384" s="292"/>
    </row>
    <row r="385">
      <c r="A385" s="292"/>
      <c r="B385" s="292"/>
      <c r="C385" s="292"/>
      <c r="D385" s="292"/>
      <c r="E385" s="292"/>
      <c r="F385" s="292"/>
      <c r="G385" s="292"/>
      <c r="H385" s="292"/>
      <c r="I385" s="292"/>
      <c r="J385" s="292"/>
      <c r="K385" s="292"/>
      <c r="L385" s="292"/>
      <c r="M385" s="292"/>
      <c r="N385" s="292"/>
      <c r="O385" s="292"/>
      <c r="P385" s="292"/>
      <c r="Q385" s="292"/>
      <c r="R385" s="292"/>
      <c r="S385" s="292"/>
      <c r="T385" s="292"/>
      <c r="U385" s="292"/>
      <c r="V385" s="292"/>
      <c r="W385" s="292"/>
      <c r="X385" s="292"/>
      <c r="Y385" s="292"/>
      <c r="Z385" s="292"/>
      <c r="AA385" s="292"/>
      <c r="AB385" s="292"/>
      <c r="AC385" s="292"/>
    </row>
    <row r="386">
      <c r="A386" s="292"/>
      <c r="B386" s="292"/>
      <c r="C386" s="292"/>
      <c r="D386" s="292"/>
      <c r="E386" s="292"/>
      <c r="F386" s="292"/>
      <c r="G386" s="292"/>
      <c r="H386" s="292"/>
      <c r="I386" s="292"/>
      <c r="J386" s="292"/>
      <c r="K386" s="292"/>
      <c r="L386" s="292"/>
      <c r="M386" s="292"/>
      <c r="N386" s="292"/>
      <c r="O386" s="292"/>
      <c r="P386" s="292"/>
      <c r="Q386" s="292"/>
      <c r="R386" s="292"/>
      <c r="S386" s="292"/>
      <c r="T386" s="292"/>
      <c r="U386" s="292"/>
      <c r="V386" s="292"/>
      <c r="W386" s="292"/>
      <c r="X386" s="292"/>
      <c r="Y386" s="292"/>
      <c r="Z386" s="292"/>
      <c r="AA386" s="292"/>
      <c r="AB386" s="292"/>
      <c r="AC386" s="292"/>
    </row>
    <row r="387">
      <c r="A387" s="292"/>
      <c r="B387" s="292"/>
      <c r="C387" s="292"/>
      <c r="D387" s="292"/>
      <c r="E387" s="292"/>
      <c r="F387" s="292"/>
      <c r="G387" s="292"/>
      <c r="H387" s="292"/>
      <c r="I387" s="292"/>
      <c r="J387" s="292"/>
      <c r="K387" s="292"/>
      <c r="L387" s="292"/>
      <c r="M387" s="292"/>
      <c r="N387" s="292"/>
      <c r="O387" s="292"/>
      <c r="P387" s="292"/>
      <c r="Q387" s="292"/>
      <c r="R387" s="292"/>
      <c r="S387" s="292"/>
      <c r="T387" s="292"/>
      <c r="U387" s="292"/>
      <c r="V387" s="292"/>
      <c r="W387" s="292"/>
      <c r="X387" s="292"/>
      <c r="Y387" s="292"/>
      <c r="Z387" s="292"/>
      <c r="AA387" s="292"/>
      <c r="AB387" s="292"/>
      <c r="AC387" s="292"/>
    </row>
    <row r="388">
      <c r="A388" s="292"/>
      <c r="B388" s="292"/>
      <c r="C388" s="292"/>
      <c r="D388" s="292"/>
      <c r="E388" s="292"/>
      <c r="F388" s="292"/>
      <c r="G388" s="292"/>
      <c r="H388" s="292"/>
      <c r="I388" s="292"/>
      <c r="J388" s="292"/>
      <c r="K388" s="292"/>
      <c r="L388" s="292"/>
      <c r="M388" s="292"/>
      <c r="N388" s="292"/>
      <c r="O388" s="292"/>
      <c r="P388" s="292"/>
      <c r="Q388" s="292"/>
      <c r="R388" s="292"/>
      <c r="S388" s="292"/>
      <c r="T388" s="292"/>
      <c r="U388" s="292"/>
      <c r="V388" s="292"/>
      <c r="W388" s="292"/>
      <c r="X388" s="292"/>
      <c r="Y388" s="292"/>
      <c r="Z388" s="292"/>
      <c r="AA388" s="292"/>
      <c r="AB388" s="292"/>
      <c r="AC388" s="292"/>
    </row>
    <row r="389">
      <c r="A389" s="292"/>
      <c r="B389" s="292"/>
      <c r="C389" s="292"/>
      <c r="D389" s="292"/>
      <c r="E389" s="292"/>
      <c r="F389" s="292"/>
      <c r="G389" s="292"/>
      <c r="H389" s="292"/>
      <c r="I389" s="292"/>
      <c r="J389" s="292"/>
      <c r="K389" s="292"/>
      <c r="L389" s="292"/>
      <c r="M389" s="292"/>
      <c r="N389" s="292"/>
      <c r="O389" s="292"/>
      <c r="P389" s="292"/>
      <c r="Q389" s="292"/>
      <c r="R389" s="292"/>
      <c r="S389" s="292"/>
      <c r="T389" s="292"/>
      <c r="U389" s="292"/>
      <c r="V389" s="292"/>
      <c r="W389" s="292"/>
      <c r="X389" s="292"/>
      <c r="Y389" s="292"/>
      <c r="Z389" s="292"/>
      <c r="AA389" s="292"/>
      <c r="AB389" s="292"/>
      <c r="AC389" s="292"/>
    </row>
    <row r="390">
      <c r="A390" s="292"/>
      <c r="B390" s="292"/>
      <c r="C390" s="292"/>
      <c r="D390" s="292"/>
      <c r="E390" s="292"/>
      <c r="F390" s="292"/>
      <c r="G390" s="292"/>
      <c r="H390" s="292"/>
      <c r="I390" s="292"/>
      <c r="J390" s="292"/>
      <c r="K390" s="292"/>
      <c r="L390" s="292"/>
      <c r="M390" s="292"/>
      <c r="N390" s="292"/>
      <c r="O390" s="292"/>
      <c r="P390" s="292"/>
      <c r="Q390" s="292"/>
      <c r="R390" s="292"/>
      <c r="S390" s="292"/>
      <c r="T390" s="292"/>
      <c r="U390" s="292"/>
      <c r="V390" s="292"/>
      <c r="W390" s="292"/>
      <c r="X390" s="292"/>
      <c r="Y390" s="292"/>
      <c r="Z390" s="292"/>
      <c r="AA390" s="292"/>
      <c r="AB390" s="292"/>
      <c r="AC390" s="292"/>
    </row>
    <row r="391">
      <c r="A391" s="292"/>
      <c r="B391" s="292"/>
      <c r="C391" s="292"/>
      <c r="D391" s="292"/>
      <c r="E391" s="292"/>
      <c r="F391" s="292"/>
      <c r="G391" s="292"/>
      <c r="H391" s="292"/>
      <c r="I391" s="292"/>
      <c r="J391" s="292"/>
      <c r="K391" s="292"/>
      <c r="L391" s="292"/>
      <c r="M391" s="292"/>
      <c r="N391" s="292"/>
      <c r="O391" s="292"/>
      <c r="P391" s="292"/>
      <c r="Q391" s="292"/>
      <c r="R391" s="292"/>
      <c r="S391" s="292"/>
      <c r="T391" s="292"/>
      <c r="U391" s="292"/>
      <c r="V391" s="292"/>
      <c r="W391" s="292"/>
      <c r="X391" s="292"/>
      <c r="Y391" s="292"/>
      <c r="Z391" s="292"/>
      <c r="AA391" s="292"/>
      <c r="AB391" s="292"/>
      <c r="AC391" s="292"/>
    </row>
    <row r="392">
      <c r="A392" s="292"/>
      <c r="B392" s="292"/>
      <c r="C392" s="292"/>
      <c r="D392" s="292"/>
      <c r="E392" s="292"/>
      <c r="F392" s="292"/>
      <c r="G392" s="292"/>
      <c r="H392" s="292"/>
      <c r="I392" s="292"/>
      <c r="J392" s="292"/>
      <c r="K392" s="292"/>
      <c r="L392" s="292"/>
      <c r="M392" s="292"/>
      <c r="N392" s="292"/>
      <c r="O392" s="292"/>
      <c r="P392" s="292"/>
      <c r="Q392" s="292"/>
      <c r="R392" s="292"/>
      <c r="S392" s="292"/>
      <c r="T392" s="292"/>
      <c r="U392" s="292"/>
      <c r="V392" s="292"/>
      <c r="W392" s="292"/>
      <c r="X392" s="292"/>
      <c r="Y392" s="292"/>
      <c r="Z392" s="292"/>
      <c r="AA392" s="292"/>
      <c r="AB392" s="292"/>
      <c r="AC392" s="292"/>
    </row>
    <row r="393">
      <c r="A393" s="292"/>
      <c r="B393" s="292"/>
      <c r="C393" s="292"/>
      <c r="D393" s="292"/>
      <c r="E393" s="292"/>
      <c r="F393" s="292"/>
      <c r="G393" s="292"/>
      <c r="H393" s="292"/>
      <c r="I393" s="292"/>
      <c r="J393" s="292"/>
      <c r="K393" s="292"/>
      <c r="L393" s="292"/>
      <c r="M393" s="292"/>
      <c r="N393" s="292"/>
      <c r="O393" s="292"/>
      <c r="P393" s="292"/>
      <c r="Q393" s="292"/>
      <c r="R393" s="292"/>
      <c r="S393" s="292"/>
      <c r="T393" s="292"/>
      <c r="U393" s="292"/>
      <c r="V393" s="292"/>
      <c r="W393" s="292"/>
      <c r="X393" s="292"/>
      <c r="Y393" s="292"/>
      <c r="Z393" s="292"/>
      <c r="AA393" s="292"/>
      <c r="AB393" s="292"/>
      <c r="AC393" s="292"/>
    </row>
    <row r="394">
      <c r="A394" s="292"/>
      <c r="B394" s="292"/>
      <c r="C394" s="292"/>
      <c r="D394" s="292"/>
      <c r="E394" s="292"/>
      <c r="F394" s="292"/>
      <c r="G394" s="292"/>
      <c r="H394" s="292"/>
      <c r="I394" s="292"/>
      <c r="J394" s="292"/>
      <c r="K394" s="292"/>
      <c r="L394" s="292"/>
      <c r="M394" s="292"/>
      <c r="N394" s="292"/>
      <c r="O394" s="292"/>
      <c r="P394" s="292"/>
      <c r="Q394" s="292"/>
      <c r="R394" s="292"/>
      <c r="S394" s="292"/>
      <c r="T394" s="292"/>
      <c r="U394" s="292"/>
      <c r="V394" s="292"/>
      <c r="W394" s="292"/>
      <c r="X394" s="292"/>
      <c r="Y394" s="292"/>
      <c r="Z394" s="292"/>
      <c r="AA394" s="292"/>
      <c r="AB394" s="292"/>
      <c r="AC394" s="292"/>
    </row>
    <row r="395">
      <c r="A395" s="292"/>
      <c r="B395" s="292"/>
      <c r="C395" s="292"/>
      <c r="D395" s="292"/>
      <c r="E395" s="292"/>
      <c r="F395" s="292"/>
      <c r="G395" s="292"/>
      <c r="H395" s="292"/>
      <c r="I395" s="292"/>
      <c r="J395" s="292"/>
      <c r="K395" s="292"/>
      <c r="L395" s="292"/>
      <c r="M395" s="292"/>
      <c r="N395" s="292"/>
      <c r="O395" s="292"/>
      <c r="P395" s="292"/>
      <c r="Q395" s="292"/>
      <c r="R395" s="292"/>
      <c r="S395" s="292"/>
      <c r="T395" s="292"/>
      <c r="U395" s="292"/>
      <c r="V395" s="292"/>
      <c r="W395" s="292"/>
      <c r="X395" s="292"/>
      <c r="Y395" s="292"/>
      <c r="Z395" s="292"/>
      <c r="AA395" s="292"/>
      <c r="AB395" s="292"/>
      <c r="AC395" s="292"/>
    </row>
    <row r="396">
      <c r="A396" s="292"/>
      <c r="B396" s="292"/>
      <c r="C396" s="292"/>
      <c r="D396" s="292"/>
      <c r="E396" s="292"/>
      <c r="F396" s="292"/>
      <c r="G396" s="292"/>
      <c r="H396" s="292"/>
      <c r="I396" s="292"/>
      <c r="J396" s="292"/>
      <c r="K396" s="292"/>
      <c r="L396" s="292"/>
      <c r="M396" s="292"/>
      <c r="N396" s="292"/>
      <c r="O396" s="292"/>
      <c r="P396" s="292"/>
      <c r="Q396" s="292"/>
      <c r="R396" s="292"/>
      <c r="S396" s="292"/>
      <c r="T396" s="292"/>
      <c r="U396" s="292"/>
      <c r="V396" s="292"/>
      <c r="W396" s="292"/>
      <c r="X396" s="292"/>
      <c r="Y396" s="292"/>
      <c r="Z396" s="292"/>
      <c r="AA396" s="292"/>
      <c r="AB396" s="292"/>
      <c r="AC396" s="292"/>
    </row>
    <row r="397">
      <c r="A397" s="292"/>
      <c r="B397" s="292"/>
      <c r="C397" s="292"/>
      <c r="D397" s="292"/>
      <c r="E397" s="292"/>
      <c r="F397" s="292"/>
      <c r="G397" s="292"/>
      <c r="H397" s="292"/>
      <c r="I397" s="292"/>
      <c r="J397" s="292"/>
      <c r="K397" s="292"/>
      <c r="L397" s="292"/>
      <c r="M397" s="292"/>
      <c r="N397" s="292"/>
      <c r="O397" s="292"/>
      <c r="P397" s="292"/>
      <c r="Q397" s="292"/>
      <c r="R397" s="292"/>
      <c r="S397" s="292"/>
      <c r="T397" s="292"/>
      <c r="U397" s="292"/>
      <c r="V397" s="292"/>
      <c r="W397" s="292"/>
      <c r="X397" s="292"/>
      <c r="Y397" s="292"/>
      <c r="Z397" s="292"/>
      <c r="AA397" s="292"/>
      <c r="AB397" s="292"/>
      <c r="AC397" s="292"/>
    </row>
    <row r="398">
      <c r="A398" s="292"/>
      <c r="B398" s="292"/>
      <c r="C398" s="292"/>
      <c r="D398" s="292"/>
      <c r="E398" s="292"/>
      <c r="F398" s="292"/>
      <c r="G398" s="292"/>
      <c r="H398" s="292"/>
      <c r="I398" s="292"/>
      <c r="J398" s="292"/>
      <c r="K398" s="292"/>
      <c r="L398" s="292"/>
      <c r="M398" s="292"/>
      <c r="N398" s="292"/>
      <c r="O398" s="292"/>
      <c r="P398" s="292"/>
      <c r="Q398" s="292"/>
      <c r="R398" s="292"/>
      <c r="S398" s="292"/>
      <c r="T398" s="292"/>
      <c r="U398" s="292"/>
      <c r="V398" s="292"/>
      <c r="W398" s="292"/>
      <c r="X398" s="292"/>
      <c r="Y398" s="292"/>
      <c r="Z398" s="292"/>
      <c r="AA398" s="292"/>
      <c r="AB398" s="292"/>
      <c r="AC398" s="292"/>
    </row>
    <row r="399">
      <c r="A399" s="292"/>
      <c r="B399" s="292"/>
      <c r="C399" s="292"/>
      <c r="D399" s="292"/>
      <c r="E399" s="292"/>
      <c r="F399" s="292"/>
      <c r="G399" s="292"/>
      <c r="H399" s="292"/>
      <c r="I399" s="292"/>
      <c r="J399" s="292"/>
      <c r="K399" s="292"/>
      <c r="L399" s="292"/>
      <c r="M399" s="292"/>
      <c r="N399" s="292"/>
      <c r="O399" s="292"/>
      <c r="P399" s="292"/>
      <c r="Q399" s="292"/>
      <c r="R399" s="292"/>
      <c r="S399" s="292"/>
      <c r="T399" s="292"/>
      <c r="U399" s="292"/>
      <c r="V399" s="292"/>
      <c r="W399" s="292"/>
      <c r="X399" s="292"/>
      <c r="Y399" s="292"/>
      <c r="Z399" s="292"/>
      <c r="AA399" s="292"/>
      <c r="AB399" s="292"/>
      <c r="AC399" s="292"/>
    </row>
    <row r="400">
      <c r="A400" s="292"/>
      <c r="B400" s="292"/>
      <c r="C400" s="292"/>
      <c r="D400" s="292"/>
      <c r="E400" s="292"/>
      <c r="F400" s="292"/>
      <c r="G400" s="292"/>
      <c r="H400" s="292"/>
      <c r="I400" s="292"/>
      <c r="J400" s="292"/>
      <c r="K400" s="292"/>
      <c r="L400" s="292"/>
      <c r="M400" s="292"/>
      <c r="N400" s="292"/>
      <c r="O400" s="292"/>
      <c r="P400" s="292"/>
      <c r="Q400" s="292"/>
      <c r="R400" s="292"/>
      <c r="S400" s="292"/>
      <c r="T400" s="292"/>
      <c r="U400" s="292"/>
      <c r="V400" s="292"/>
      <c r="W400" s="292"/>
      <c r="X400" s="292"/>
      <c r="Y400" s="292"/>
      <c r="Z400" s="292"/>
      <c r="AA400" s="292"/>
      <c r="AB400" s="292"/>
      <c r="AC400" s="292"/>
    </row>
    <row r="401">
      <c r="A401" s="292"/>
      <c r="B401" s="292"/>
      <c r="C401" s="292"/>
      <c r="D401" s="292"/>
      <c r="E401" s="292"/>
      <c r="F401" s="292"/>
      <c r="G401" s="292"/>
      <c r="H401" s="292"/>
      <c r="I401" s="292"/>
      <c r="J401" s="292"/>
      <c r="K401" s="292"/>
      <c r="L401" s="292"/>
      <c r="M401" s="292"/>
      <c r="N401" s="292"/>
      <c r="O401" s="292"/>
      <c r="P401" s="292"/>
      <c r="Q401" s="292"/>
      <c r="R401" s="292"/>
      <c r="S401" s="292"/>
      <c r="T401" s="292"/>
      <c r="U401" s="292"/>
      <c r="V401" s="292"/>
      <c r="W401" s="292"/>
      <c r="X401" s="292"/>
      <c r="Y401" s="292"/>
      <c r="Z401" s="292"/>
      <c r="AA401" s="292"/>
      <c r="AB401" s="292"/>
      <c r="AC401" s="292"/>
    </row>
    <row r="402">
      <c r="A402" s="292"/>
      <c r="B402" s="292"/>
      <c r="C402" s="292"/>
      <c r="D402" s="292"/>
      <c r="E402" s="292"/>
      <c r="F402" s="292"/>
      <c r="G402" s="292"/>
      <c r="H402" s="292"/>
      <c r="I402" s="292"/>
      <c r="J402" s="292"/>
      <c r="K402" s="292"/>
      <c r="L402" s="292"/>
      <c r="M402" s="292"/>
      <c r="N402" s="292"/>
      <c r="O402" s="292"/>
      <c r="P402" s="292"/>
      <c r="Q402" s="292"/>
      <c r="R402" s="292"/>
      <c r="S402" s="292"/>
      <c r="T402" s="292"/>
      <c r="U402" s="292"/>
      <c r="V402" s="292"/>
      <c r="W402" s="292"/>
      <c r="X402" s="292"/>
      <c r="Y402" s="292"/>
      <c r="Z402" s="292"/>
      <c r="AA402" s="292"/>
      <c r="AB402" s="292"/>
      <c r="AC402" s="292"/>
    </row>
    <row r="403">
      <c r="A403" s="292"/>
      <c r="B403" s="292"/>
      <c r="C403" s="292"/>
      <c r="D403" s="292"/>
      <c r="E403" s="292"/>
      <c r="F403" s="292"/>
      <c r="G403" s="292"/>
      <c r="H403" s="292"/>
      <c r="I403" s="292"/>
      <c r="J403" s="292"/>
      <c r="K403" s="292"/>
      <c r="L403" s="292"/>
      <c r="M403" s="292"/>
      <c r="N403" s="292"/>
      <c r="O403" s="292"/>
      <c r="P403" s="292"/>
      <c r="Q403" s="292"/>
      <c r="R403" s="292"/>
      <c r="S403" s="292"/>
      <c r="T403" s="292"/>
      <c r="U403" s="292"/>
      <c r="V403" s="292"/>
      <c r="W403" s="292"/>
      <c r="X403" s="292"/>
      <c r="Y403" s="292"/>
      <c r="Z403" s="292"/>
      <c r="AA403" s="292"/>
      <c r="AB403" s="292"/>
      <c r="AC403" s="292"/>
    </row>
    <row r="404">
      <c r="A404" s="292"/>
      <c r="B404" s="292"/>
      <c r="C404" s="292"/>
      <c r="D404" s="292"/>
      <c r="E404" s="292"/>
      <c r="F404" s="292"/>
      <c r="G404" s="292"/>
      <c r="H404" s="292"/>
      <c r="I404" s="292"/>
      <c r="J404" s="292"/>
      <c r="K404" s="292"/>
      <c r="L404" s="292"/>
      <c r="M404" s="292"/>
      <c r="N404" s="292"/>
      <c r="O404" s="292"/>
      <c r="P404" s="292"/>
      <c r="Q404" s="292"/>
      <c r="R404" s="292"/>
      <c r="S404" s="292"/>
      <c r="T404" s="292"/>
      <c r="U404" s="292"/>
      <c r="V404" s="292"/>
      <c r="W404" s="292"/>
      <c r="X404" s="292"/>
      <c r="Y404" s="292"/>
      <c r="Z404" s="292"/>
      <c r="AA404" s="292"/>
      <c r="AB404" s="292"/>
      <c r="AC404" s="292"/>
    </row>
    <row r="405">
      <c r="A405" s="292"/>
      <c r="B405" s="292"/>
      <c r="C405" s="292"/>
      <c r="D405" s="292"/>
      <c r="E405" s="292"/>
      <c r="F405" s="292"/>
      <c r="G405" s="292"/>
      <c r="H405" s="292"/>
      <c r="I405" s="292"/>
      <c r="J405" s="292"/>
      <c r="K405" s="292"/>
      <c r="L405" s="292"/>
      <c r="M405" s="292"/>
      <c r="N405" s="292"/>
      <c r="O405" s="292"/>
      <c r="P405" s="292"/>
      <c r="Q405" s="292"/>
      <c r="R405" s="292"/>
      <c r="S405" s="292"/>
      <c r="T405" s="292"/>
      <c r="U405" s="292"/>
      <c r="V405" s="292"/>
      <c r="W405" s="292"/>
      <c r="X405" s="292"/>
      <c r="Y405" s="292"/>
      <c r="Z405" s="292"/>
      <c r="AA405" s="292"/>
      <c r="AB405" s="292"/>
      <c r="AC405" s="292"/>
    </row>
    <row r="406">
      <c r="A406" s="292"/>
      <c r="B406" s="292"/>
      <c r="C406" s="292"/>
      <c r="D406" s="292"/>
      <c r="E406" s="292"/>
      <c r="F406" s="292"/>
      <c r="G406" s="292"/>
      <c r="H406" s="292"/>
      <c r="I406" s="292"/>
      <c r="J406" s="292"/>
      <c r="K406" s="292"/>
      <c r="L406" s="292"/>
      <c r="M406" s="292"/>
      <c r="N406" s="292"/>
      <c r="O406" s="292"/>
      <c r="P406" s="292"/>
      <c r="Q406" s="292"/>
      <c r="R406" s="292"/>
      <c r="S406" s="292"/>
      <c r="T406" s="292"/>
      <c r="U406" s="292"/>
      <c r="V406" s="292"/>
      <c r="W406" s="292"/>
      <c r="X406" s="292"/>
      <c r="Y406" s="292"/>
      <c r="Z406" s="292"/>
      <c r="AA406" s="292"/>
      <c r="AB406" s="292"/>
      <c r="AC406" s="292"/>
    </row>
    <row r="407">
      <c r="A407" s="292"/>
      <c r="B407" s="292"/>
      <c r="C407" s="292"/>
      <c r="D407" s="292"/>
      <c r="E407" s="292"/>
      <c r="F407" s="292"/>
      <c r="G407" s="292"/>
      <c r="H407" s="292"/>
      <c r="I407" s="292"/>
      <c r="J407" s="292"/>
      <c r="K407" s="292"/>
      <c r="L407" s="292"/>
      <c r="M407" s="292"/>
      <c r="N407" s="292"/>
      <c r="O407" s="292"/>
      <c r="P407" s="292"/>
      <c r="Q407" s="292"/>
      <c r="R407" s="292"/>
      <c r="S407" s="292"/>
      <c r="T407" s="292"/>
      <c r="U407" s="292"/>
      <c r="V407" s="292"/>
      <c r="W407" s="292"/>
      <c r="X407" s="292"/>
      <c r="Y407" s="292"/>
      <c r="Z407" s="292"/>
      <c r="AA407" s="292"/>
      <c r="AB407" s="292"/>
      <c r="AC407" s="292"/>
    </row>
    <row r="408">
      <c r="A408" s="292"/>
      <c r="B408" s="292"/>
      <c r="C408" s="292"/>
      <c r="D408" s="292"/>
      <c r="E408" s="292"/>
      <c r="F408" s="292"/>
      <c r="G408" s="292"/>
      <c r="H408" s="292"/>
      <c r="I408" s="292"/>
      <c r="J408" s="292"/>
      <c r="K408" s="292"/>
      <c r="L408" s="292"/>
      <c r="M408" s="292"/>
      <c r="N408" s="292"/>
      <c r="O408" s="292"/>
      <c r="P408" s="292"/>
      <c r="Q408" s="292"/>
      <c r="R408" s="292"/>
      <c r="S408" s="292"/>
      <c r="T408" s="292"/>
      <c r="U408" s="292"/>
      <c r="V408" s="292"/>
      <c r="W408" s="292"/>
      <c r="X408" s="292"/>
      <c r="Y408" s="292"/>
      <c r="Z408" s="292"/>
      <c r="AA408" s="292"/>
      <c r="AB408" s="292"/>
      <c r="AC408" s="292"/>
    </row>
    <row r="409">
      <c r="A409" s="292"/>
      <c r="B409" s="292"/>
      <c r="C409" s="292"/>
      <c r="D409" s="292"/>
      <c r="E409" s="292"/>
      <c r="F409" s="292"/>
      <c r="G409" s="292"/>
      <c r="H409" s="292"/>
      <c r="I409" s="292"/>
      <c r="J409" s="292"/>
      <c r="K409" s="292"/>
      <c r="L409" s="292"/>
      <c r="M409" s="292"/>
      <c r="N409" s="292"/>
      <c r="O409" s="292"/>
      <c r="P409" s="292"/>
      <c r="Q409" s="292"/>
      <c r="R409" s="292"/>
      <c r="S409" s="292"/>
      <c r="T409" s="292"/>
      <c r="U409" s="292"/>
      <c r="V409" s="292"/>
      <c r="W409" s="292"/>
      <c r="X409" s="292"/>
      <c r="Y409" s="292"/>
      <c r="Z409" s="292"/>
      <c r="AA409" s="292"/>
      <c r="AB409" s="292"/>
      <c r="AC409" s="292"/>
    </row>
    <row r="410">
      <c r="A410" s="292"/>
      <c r="B410" s="292"/>
      <c r="C410" s="292"/>
      <c r="D410" s="292"/>
      <c r="E410" s="292"/>
      <c r="F410" s="292"/>
      <c r="G410" s="292"/>
      <c r="H410" s="292"/>
      <c r="I410" s="292"/>
      <c r="J410" s="292"/>
      <c r="K410" s="292"/>
      <c r="L410" s="292"/>
      <c r="M410" s="292"/>
      <c r="N410" s="292"/>
      <c r="O410" s="292"/>
      <c r="P410" s="292"/>
      <c r="Q410" s="292"/>
      <c r="R410" s="292"/>
      <c r="S410" s="292"/>
      <c r="T410" s="292"/>
      <c r="U410" s="292"/>
      <c r="V410" s="292"/>
      <c r="W410" s="292"/>
      <c r="X410" s="292"/>
      <c r="Y410" s="292"/>
      <c r="Z410" s="292"/>
      <c r="AA410" s="292"/>
      <c r="AB410" s="292"/>
      <c r="AC410" s="292"/>
    </row>
    <row r="411">
      <c r="A411" s="292"/>
      <c r="B411" s="292"/>
      <c r="C411" s="292"/>
      <c r="D411" s="292"/>
      <c r="E411" s="292"/>
      <c r="F411" s="292"/>
      <c r="G411" s="292"/>
      <c r="H411" s="292"/>
      <c r="I411" s="292"/>
      <c r="J411" s="292"/>
      <c r="K411" s="292"/>
      <c r="L411" s="292"/>
      <c r="M411" s="292"/>
      <c r="N411" s="292"/>
      <c r="O411" s="292"/>
      <c r="P411" s="292"/>
      <c r="Q411" s="292"/>
      <c r="R411" s="292"/>
      <c r="S411" s="292"/>
      <c r="T411" s="292"/>
      <c r="U411" s="292"/>
      <c r="V411" s="292"/>
      <c r="W411" s="292"/>
      <c r="X411" s="292"/>
      <c r="Y411" s="292"/>
      <c r="Z411" s="292"/>
      <c r="AA411" s="292"/>
      <c r="AB411" s="292"/>
      <c r="AC411" s="292"/>
    </row>
    <row r="412">
      <c r="A412" s="292"/>
      <c r="B412" s="292"/>
      <c r="C412" s="292"/>
      <c r="D412" s="292"/>
      <c r="E412" s="292"/>
      <c r="F412" s="292"/>
      <c r="G412" s="292"/>
      <c r="H412" s="292"/>
      <c r="I412" s="292"/>
      <c r="J412" s="292"/>
      <c r="K412" s="292"/>
      <c r="L412" s="292"/>
      <c r="M412" s="292"/>
      <c r="N412" s="292"/>
      <c r="O412" s="292"/>
      <c r="P412" s="292"/>
      <c r="Q412" s="292"/>
      <c r="R412" s="292"/>
      <c r="S412" s="292"/>
      <c r="T412" s="292"/>
      <c r="U412" s="292"/>
      <c r="V412" s="292"/>
      <c r="W412" s="292"/>
      <c r="X412" s="292"/>
      <c r="Y412" s="292"/>
      <c r="Z412" s="292"/>
      <c r="AA412" s="292"/>
      <c r="AB412" s="292"/>
      <c r="AC412" s="292"/>
    </row>
    <row r="413">
      <c r="A413" s="292"/>
      <c r="B413" s="292"/>
      <c r="C413" s="292"/>
      <c r="D413" s="292"/>
      <c r="E413" s="292"/>
      <c r="F413" s="292"/>
      <c r="G413" s="292"/>
      <c r="H413" s="292"/>
      <c r="I413" s="292"/>
      <c r="J413" s="292"/>
      <c r="K413" s="292"/>
      <c r="L413" s="292"/>
      <c r="M413" s="292"/>
      <c r="N413" s="292"/>
      <c r="O413" s="292"/>
      <c r="P413" s="292"/>
      <c r="Q413" s="292"/>
      <c r="R413" s="292"/>
      <c r="S413" s="292"/>
      <c r="T413" s="292"/>
      <c r="U413" s="292"/>
      <c r="V413" s="292"/>
      <c r="W413" s="292"/>
      <c r="X413" s="292"/>
      <c r="Y413" s="292"/>
      <c r="Z413" s="292"/>
      <c r="AA413" s="292"/>
      <c r="AB413" s="292"/>
      <c r="AC413" s="292"/>
    </row>
    <row r="414">
      <c r="A414" s="292"/>
      <c r="B414" s="292"/>
      <c r="C414" s="292"/>
      <c r="D414" s="292"/>
      <c r="E414" s="292"/>
      <c r="F414" s="292"/>
      <c r="G414" s="292"/>
      <c r="H414" s="292"/>
      <c r="I414" s="292"/>
      <c r="J414" s="292"/>
      <c r="K414" s="292"/>
      <c r="L414" s="292"/>
      <c r="M414" s="292"/>
      <c r="N414" s="292"/>
      <c r="O414" s="292"/>
      <c r="P414" s="292"/>
      <c r="Q414" s="292"/>
      <c r="R414" s="292"/>
      <c r="S414" s="292"/>
      <c r="T414" s="292"/>
      <c r="U414" s="292"/>
      <c r="V414" s="292"/>
      <c r="W414" s="292"/>
      <c r="X414" s="292"/>
      <c r="Y414" s="292"/>
      <c r="Z414" s="292"/>
      <c r="AA414" s="292"/>
      <c r="AB414" s="292"/>
      <c r="AC414" s="292"/>
    </row>
    <row r="415">
      <c r="A415" s="292"/>
      <c r="B415" s="292"/>
      <c r="C415" s="292"/>
      <c r="D415" s="292"/>
      <c r="E415" s="292"/>
      <c r="F415" s="292"/>
      <c r="G415" s="292"/>
      <c r="H415" s="292"/>
      <c r="I415" s="292"/>
      <c r="J415" s="292"/>
      <c r="K415" s="292"/>
      <c r="L415" s="292"/>
      <c r="M415" s="292"/>
      <c r="N415" s="292"/>
      <c r="O415" s="292"/>
      <c r="P415" s="292"/>
      <c r="Q415" s="292"/>
      <c r="R415" s="292"/>
      <c r="S415" s="292"/>
      <c r="T415" s="292"/>
      <c r="U415" s="292"/>
      <c r="V415" s="292"/>
      <c r="W415" s="292"/>
      <c r="X415" s="292"/>
      <c r="Y415" s="292"/>
      <c r="Z415" s="292"/>
      <c r="AA415" s="292"/>
      <c r="AB415" s="292"/>
      <c r="AC415" s="292"/>
    </row>
    <row r="416">
      <c r="A416" s="292"/>
      <c r="B416" s="292"/>
      <c r="C416" s="292"/>
      <c r="D416" s="292"/>
      <c r="E416" s="292"/>
      <c r="F416" s="292"/>
      <c r="G416" s="292"/>
      <c r="H416" s="292"/>
      <c r="I416" s="292"/>
      <c r="J416" s="292"/>
      <c r="K416" s="292"/>
      <c r="L416" s="292"/>
      <c r="M416" s="292"/>
      <c r="N416" s="292"/>
      <c r="O416" s="292"/>
      <c r="P416" s="292"/>
      <c r="Q416" s="292"/>
      <c r="R416" s="292"/>
      <c r="S416" s="292"/>
      <c r="T416" s="292"/>
      <c r="U416" s="292"/>
      <c r="V416" s="292"/>
      <c r="W416" s="292"/>
      <c r="X416" s="292"/>
      <c r="Y416" s="292"/>
      <c r="Z416" s="292"/>
      <c r="AA416" s="292"/>
      <c r="AB416" s="292"/>
      <c r="AC416" s="292"/>
    </row>
    <row r="417">
      <c r="A417" s="292"/>
      <c r="B417" s="292"/>
      <c r="C417" s="292"/>
      <c r="D417" s="292"/>
      <c r="E417" s="292"/>
      <c r="F417" s="292"/>
      <c r="G417" s="292"/>
      <c r="H417" s="292"/>
      <c r="I417" s="292"/>
      <c r="J417" s="292"/>
      <c r="K417" s="292"/>
      <c r="L417" s="292"/>
      <c r="M417" s="292"/>
      <c r="N417" s="292"/>
      <c r="O417" s="292"/>
      <c r="P417" s="292"/>
      <c r="Q417" s="292"/>
      <c r="R417" s="292"/>
      <c r="S417" s="292"/>
      <c r="T417" s="292"/>
      <c r="U417" s="292"/>
      <c r="V417" s="292"/>
      <c r="W417" s="292"/>
      <c r="X417" s="292"/>
      <c r="Y417" s="292"/>
      <c r="Z417" s="292"/>
      <c r="AA417" s="292"/>
      <c r="AB417" s="292"/>
      <c r="AC417" s="292"/>
    </row>
    <row r="418">
      <c r="A418" s="292"/>
      <c r="B418" s="292"/>
      <c r="C418" s="292"/>
      <c r="D418" s="292"/>
      <c r="E418" s="292"/>
      <c r="F418" s="292"/>
      <c r="G418" s="292"/>
      <c r="H418" s="292"/>
      <c r="I418" s="292"/>
      <c r="J418" s="292"/>
      <c r="K418" s="292"/>
      <c r="L418" s="292"/>
      <c r="M418" s="292"/>
      <c r="N418" s="292"/>
      <c r="O418" s="292"/>
      <c r="P418" s="292"/>
      <c r="Q418" s="292"/>
      <c r="R418" s="292"/>
      <c r="S418" s="292"/>
      <c r="T418" s="292"/>
      <c r="U418" s="292"/>
      <c r="V418" s="292"/>
      <c r="W418" s="292"/>
      <c r="X418" s="292"/>
      <c r="Y418" s="292"/>
      <c r="Z418" s="292"/>
      <c r="AA418" s="292"/>
      <c r="AB418" s="292"/>
      <c r="AC418" s="292"/>
    </row>
    <row r="419">
      <c r="A419" s="292"/>
      <c r="B419" s="292"/>
      <c r="C419" s="292"/>
      <c r="D419" s="292"/>
      <c r="E419" s="292"/>
      <c r="F419" s="292"/>
      <c r="G419" s="292"/>
      <c r="H419" s="292"/>
      <c r="I419" s="292"/>
      <c r="J419" s="292"/>
      <c r="K419" s="292"/>
      <c r="L419" s="292"/>
      <c r="M419" s="292"/>
      <c r="N419" s="292"/>
      <c r="O419" s="292"/>
      <c r="P419" s="292"/>
      <c r="Q419" s="292"/>
      <c r="R419" s="292"/>
      <c r="S419" s="292"/>
      <c r="T419" s="292"/>
      <c r="U419" s="292"/>
      <c r="V419" s="292"/>
      <c r="W419" s="292"/>
      <c r="X419" s="292"/>
      <c r="Y419" s="292"/>
      <c r="Z419" s="292"/>
      <c r="AA419" s="292"/>
      <c r="AB419" s="292"/>
      <c r="AC419" s="292"/>
    </row>
    <row r="420">
      <c r="A420" s="292"/>
      <c r="B420" s="292"/>
      <c r="C420" s="292"/>
      <c r="D420" s="292"/>
      <c r="E420" s="292"/>
      <c r="F420" s="292"/>
      <c r="G420" s="292"/>
      <c r="H420" s="292"/>
      <c r="I420" s="292"/>
      <c r="J420" s="292"/>
      <c r="K420" s="292"/>
      <c r="L420" s="292"/>
      <c r="M420" s="292"/>
      <c r="N420" s="292"/>
      <c r="O420" s="292"/>
      <c r="P420" s="292"/>
      <c r="Q420" s="292"/>
      <c r="R420" s="292"/>
      <c r="S420" s="292"/>
      <c r="T420" s="292"/>
      <c r="U420" s="292"/>
      <c r="V420" s="292"/>
      <c r="W420" s="292"/>
      <c r="X420" s="292"/>
      <c r="Y420" s="292"/>
      <c r="Z420" s="292"/>
      <c r="AA420" s="292"/>
      <c r="AB420" s="292"/>
      <c r="AC420" s="292"/>
    </row>
    <row r="421">
      <c r="A421" s="292"/>
      <c r="B421" s="292"/>
      <c r="C421" s="292"/>
      <c r="D421" s="292"/>
      <c r="E421" s="292"/>
      <c r="F421" s="292"/>
      <c r="G421" s="292"/>
      <c r="H421" s="292"/>
      <c r="I421" s="292"/>
      <c r="J421" s="292"/>
      <c r="K421" s="292"/>
      <c r="L421" s="292"/>
      <c r="M421" s="292"/>
      <c r="N421" s="292"/>
      <c r="O421" s="292"/>
      <c r="P421" s="292"/>
      <c r="Q421" s="292"/>
      <c r="R421" s="292"/>
      <c r="S421" s="292"/>
      <c r="T421" s="292"/>
      <c r="U421" s="292"/>
      <c r="V421" s="292"/>
      <c r="W421" s="292"/>
      <c r="X421" s="292"/>
      <c r="Y421" s="292"/>
      <c r="Z421" s="292"/>
      <c r="AA421" s="292"/>
      <c r="AB421" s="292"/>
      <c r="AC421" s="292"/>
    </row>
    <row r="422">
      <c r="A422" s="292"/>
      <c r="B422" s="292"/>
      <c r="C422" s="292"/>
      <c r="D422" s="292"/>
      <c r="E422" s="292"/>
      <c r="F422" s="292"/>
      <c r="G422" s="292"/>
      <c r="H422" s="292"/>
      <c r="I422" s="292"/>
      <c r="J422" s="292"/>
      <c r="K422" s="292"/>
      <c r="L422" s="292"/>
      <c r="M422" s="292"/>
      <c r="N422" s="292"/>
      <c r="O422" s="292"/>
      <c r="P422" s="292"/>
      <c r="Q422" s="292"/>
      <c r="R422" s="292"/>
      <c r="S422" s="292"/>
      <c r="T422" s="292"/>
      <c r="U422" s="292"/>
      <c r="V422" s="292"/>
      <c r="W422" s="292"/>
      <c r="X422" s="292"/>
      <c r="Y422" s="292"/>
      <c r="Z422" s="292"/>
      <c r="AA422" s="292"/>
      <c r="AB422" s="292"/>
      <c r="AC422" s="292"/>
    </row>
    <row r="423">
      <c r="A423" s="292"/>
      <c r="B423" s="292"/>
      <c r="C423" s="292"/>
      <c r="D423" s="292"/>
      <c r="E423" s="292"/>
      <c r="F423" s="292"/>
      <c r="G423" s="292"/>
      <c r="H423" s="292"/>
      <c r="I423" s="292"/>
      <c r="J423" s="292"/>
      <c r="K423" s="292"/>
      <c r="L423" s="292"/>
      <c r="M423" s="292"/>
      <c r="N423" s="292"/>
      <c r="O423" s="292"/>
      <c r="P423" s="292"/>
      <c r="Q423" s="292"/>
      <c r="R423" s="292"/>
      <c r="S423" s="292"/>
      <c r="T423" s="292"/>
      <c r="U423" s="292"/>
      <c r="V423" s="292"/>
      <c r="W423" s="292"/>
      <c r="X423" s="292"/>
      <c r="Y423" s="292"/>
      <c r="Z423" s="292"/>
      <c r="AA423" s="292"/>
      <c r="AB423" s="292"/>
      <c r="AC423" s="292"/>
    </row>
    <row r="424">
      <c r="A424" s="292"/>
      <c r="B424" s="292"/>
      <c r="C424" s="292"/>
      <c r="D424" s="292"/>
      <c r="E424" s="292"/>
      <c r="F424" s="292"/>
      <c r="G424" s="292"/>
      <c r="H424" s="292"/>
      <c r="I424" s="292"/>
      <c r="J424" s="292"/>
      <c r="K424" s="292"/>
      <c r="L424" s="292"/>
      <c r="M424" s="292"/>
      <c r="N424" s="292"/>
      <c r="O424" s="292"/>
      <c r="P424" s="292"/>
      <c r="Q424" s="292"/>
      <c r="R424" s="292"/>
      <c r="S424" s="292"/>
      <c r="T424" s="292"/>
      <c r="U424" s="292"/>
      <c r="V424" s="292"/>
      <c r="W424" s="292"/>
      <c r="X424" s="292"/>
      <c r="Y424" s="292"/>
      <c r="Z424" s="292"/>
      <c r="AA424" s="292"/>
      <c r="AB424" s="292"/>
      <c r="AC424" s="292"/>
    </row>
    <row r="425">
      <c r="A425" s="292"/>
      <c r="B425" s="292"/>
      <c r="C425" s="292"/>
      <c r="D425" s="292"/>
      <c r="E425" s="292"/>
      <c r="F425" s="292"/>
      <c r="G425" s="292"/>
      <c r="H425" s="292"/>
      <c r="I425" s="292"/>
      <c r="J425" s="292"/>
      <c r="K425" s="292"/>
      <c r="L425" s="292"/>
      <c r="M425" s="292"/>
      <c r="N425" s="292"/>
      <c r="O425" s="292"/>
      <c r="P425" s="292"/>
      <c r="Q425" s="292"/>
      <c r="R425" s="292"/>
      <c r="S425" s="292"/>
      <c r="T425" s="292"/>
      <c r="U425" s="292"/>
      <c r="V425" s="292"/>
      <c r="W425" s="292"/>
      <c r="X425" s="292"/>
      <c r="Y425" s="292"/>
      <c r="Z425" s="292"/>
      <c r="AA425" s="292"/>
      <c r="AB425" s="292"/>
      <c r="AC425" s="292"/>
    </row>
    <row r="426">
      <c r="A426" s="292"/>
      <c r="B426" s="292"/>
      <c r="C426" s="292"/>
      <c r="D426" s="292"/>
      <c r="E426" s="292"/>
      <c r="F426" s="292"/>
      <c r="G426" s="292"/>
      <c r="H426" s="292"/>
      <c r="I426" s="292"/>
      <c r="J426" s="292"/>
      <c r="K426" s="292"/>
      <c r="L426" s="292"/>
      <c r="M426" s="292"/>
      <c r="N426" s="292"/>
      <c r="O426" s="292"/>
      <c r="P426" s="292"/>
      <c r="Q426" s="292"/>
      <c r="R426" s="292"/>
      <c r="S426" s="292"/>
      <c r="T426" s="292"/>
      <c r="U426" s="292"/>
      <c r="V426" s="292"/>
      <c r="W426" s="292"/>
      <c r="X426" s="292"/>
      <c r="Y426" s="292"/>
      <c r="Z426" s="292"/>
      <c r="AA426" s="292"/>
      <c r="AB426" s="292"/>
      <c r="AC426" s="292"/>
    </row>
    <row r="427">
      <c r="A427" s="292"/>
      <c r="B427" s="292"/>
      <c r="C427" s="292"/>
      <c r="D427" s="292"/>
      <c r="E427" s="292"/>
      <c r="F427" s="292"/>
      <c r="G427" s="292"/>
      <c r="H427" s="292"/>
      <c r="I427" s="292"/>
      <c r="J427" s="292"/>
      <c r="K427" s="292"/>
      <c r="L427" s="292"/>
      <c r="M427" s="292"/>
      <c r="N427" s="292"/>
      <c r="O427" s="292"/>
      <c r="P427" s="292"/>
      <c r="Q427" s="292"/>
      <c r="R427" s="292"/>
      <c r="S427" s="292"/>
      <c r="T427" s="292"/>
      <c r="U427" s="292"/>
      <c r="V427" s="292"/>
      <c r="W427" s="292"/>
      <c r="X427" s="292"/>
      <c r="Y427" s="292"/>
      <c r="Z427" s="292"/>
      <c r="AA427" s="292"/>
      <c r="AB427" s="292"/>
      <c r="AC427" s="292"/>
    </row>
    <row r="428">
      <c r="A428" s="292"/>
      <c r="B428" s="292"/>
      <c r="C428" s="292"/>
      <c r="D428" s="292"/>
      <c r="E428" s="292"/>
      <c r="F428" s="292"/>
      <c r="G428" s="292"/>
      <c r="H428" s="292"/>
      <c r="I428" s="292"/>
      <c r="J428" s="292"/>
      <c r="K428" s="292"/>
      <c r="L428" s="292"/>
      <c r="M428" s="292"/>
      <c r="N428" s="292"/>
      <c r="O428" s="292"/>
      <c r="P428" s="292"/>
      <c r="Q428" s="292"/>
      <c r="R428" s="292"/>
      <c r="S428" s="292"/>
      <c r="T428" s="292"/>
      <c r="U428" s="292"/>
      <c r="V428" s="292"/>
      <c r="W428" s="292"/>
      <c r="X428" s="292"/>
      <c r="Y428" s="292"/>
      <c r="Z428" s="292"/>
      <c r="AA428" s="292"/>
      <c r="AB428" s="292"/>
      <c r="AC428" s="292"/>
    </row>
    <row r="429">
      <c r="A429" s="292"/>
      <c r="B429" s="292"/>
      <c r="C429" s="292"/>
      <c r="D429" s="292"/>
      <c r="E429" s="292"/>
      <c r="F429" s="292"/>
      <c r="G429" s="292"/>
      <c r="H429" s="292"/>
      <c r="I429" s="292"/>
      <c r="J429" s="292"/>
      <c r="K429" s="292"/>
      <c r="L429" s="292"/>
      <c r="M429" s="292"/>
      <c r="N429" s="292"/>
      <c r="O429" s="292"/>
      <c r="P429" s="292"/>
      <c r="Q429" s="292"/>
      <c r="R429" s="292"/>
      <c r="S429" s="292"/>
      <c r="T429" s="292"/>
      <c r="U429" s="292"/>
      <c r="V429" s="292"/>
      <c r="W429" s="292"/>
      <c r="X429" s="292"/>
      <c r="Y429" s="292"/>
      <c r="Z429" s="292"/>
      <c r="AA429" s="292"/>
      <c r="AB429" s="292"/>
      <c r="AC429" s="292"/>
    </row>
    <row r="430">
      <c r="A430" s="292"/>
      <c r="B430" s="292"/>
      <c r="C430" s="292"/>
      <c r="D430" s="292"/>
      <c r="E430" s="292"/>
      <c r="F430" s="292"/>
      <c r="G430" s="292"/>
      <c r="H430" s="292"/>
      <c r="I430" s="292"/>
      <c r="J430" s="292"/>
      <c r="K430" s="292"/>
      <c r="L430" s="292"/>
      <c r="M430" s="292"/>
      <c r="N430" s="292"/>
      <c r="O430" s="292"/>
      <c r="P430" s="292"/>
      <c r="Q430" s="292"/>
      <c r="R430" s="292"/>
      <c r="S430" s="292"/>
      <c r="T430" s="292"/>
      <c r="U430" s="292"/>
      <c r="V430" s="292"/>
      <c r="W430" s="292"/>
      <c r="X430" s="292"/>
      <c r="Y430" s="292"/>
      <c r="Z430" s="292"/>
      <c r="AA430" s="292"/>
      <c r="AB430" s="292"/>
      <c r="AC430" s="292"/>
    </row>
    <row r="431">
      <c r="A431" s="292"/>
      <c r="B431" s="292"/>
      <c r="C431" s="292"/>
      <c r="D431" s="292"/>
      <c r="E431" s="292"/>
      <c r="F431" s="292"/>
      <c r="G431" s="292"/>
      <c r="H431" s="292"/>
      <c r="I431" s="292"/>
      <c r="J431" s="292"/>
      <c r="K431" s="292"/>
      <c r="L431" s="292"/>
      <c r="M431" s="292"/>
      <c r="N431" s="292"/>
      <c r="O431" s="292"/>
      <c r="P431" s="292"/>
      <c r="Q431" s="292"/>
      <c r="R431" s="292"/>
      <c r="S431" s="292"/>
      <c r="T431" s="292"/>
      <c r="U431" s="292"/>
      <c r="V431" s="292"/>
      <c r="W431" s="292"/>
      <c r="X431" s="292"/>
      <c r="Y431" s="292"/>
      <c r="Z431" s="292"/>
      <c r="AA431" s="292"/>
      <c r="AB431" s="292"/>
      <c r="AC431" s="292"/>
    </row>
    <row r="432">
      <c r="A432" s="292"/>
      <c r="B432" s="292"/>
      <c r="C432" s="292"/>
      <c r="D432" s="292"/>
      <c r="E432" s="292"/>
      <c r="F432" s="292"/>
      <c r="G432" s="292"/>
      <c r="H432" s="292"/>
      <c r="I432" s="292"/>
      <c r="J432" s="292"/>
      <c r="K432" s="292"/>
      <c r="L432" s="292"/>
      <c r="M432" s="292"/>
      <c r="N432" s="292"/>
      <c r="O432" s="292"/>
      <c r="P432" s="292"/>
      <c r="Q432" s="292"/>
      <c r="R432" s="292"/>
      <c r="S432" s="292"/>
      <c r="T432" s="292"/>
      <c r="U432" s="292"/>
      <c r="V432" s="292"/>
      <c r="W432" s="292"/>
      <c r="X432" s="292"/>
      <c r="Y432" s="292"/>
      <c r="Z432" s="292"/>
      <c r="AA432" s="292"/>
      <c r="AB432" s="292"/>
      <c r="AC432" s="292"/>
    </row>
    <row r="433">
      <c r="A433" s="292"/>
      <c r="B433" s="292"/>
      <c r="C433" s="292"/>
      <c r="D433" s="292"/>
      <c r="E433" s="292"/>
      <c r="F433" s="292"/>
      <c r="G433" s="292"/>
      <c r="H433" s="292"/>
      <c r="I433" s="292"/>
      <c r="J433" s="292"/>
      <c r="K433" s="292"/>
      <c r="L433" s="292"/>
      <c r="M433" s="292"/>
      <c r="N433" s="292"/>
      <c r="O433" s="292"/>
      <c r="P433" s="292"/>
      <c r="Q433" s="292"/>
      <c r="R433" s="292"/>
      <c r="S433" s="292"/>
      <c r="T433" s="292"/>
      <c r="U433" s="292"/>
      <c r="V433" s="292"/>
      <c r="W433" s="292"/>
      <c r="X433" s="292"/>
      <c r="Y433" s="292"/>
      <c r="Z433" s="292"/>
      <c r="AA433" s="292"/>
      <c r="AB433" s="292"/>
      <c r="AC433" s="292"/>
    </row>
    <row r="434">
      <c r="A434" s="292"/>
      <c r="B434" s="292"/>
      <c r="C434" s="292"/>
      <c r="D434" s="292"/>
      <c r="E434" s="292"/>
      <c r="F434" s="292"/>
      <c r="G434" s="292"/>
      <c r="H434" s="292"/>
      <c r="I434" s="292"/>
      <c r="J434" s="292"/>
      <c r="K434" s="292"/>
      <c r="L434" s="292"/>
      <c r="M434" s="292"/>
      <c r="N434" s="292"/>
      <c r="O434" s="292"/>
      <c r="P434" s="292"/>
      <c r="Q434" s="292"/>
      <c r="R434" s="292"/>
      <c r="S434" s="292"/>
      <c r="T434" s="292"/>
      <c r="U434" s="292"/>
      <c r="V434" s="292"/>
      <c r="W434" s="292"/>
      <c r="X434" s="292"/>
      <c r="Y434" s="292"/>
      <c r="Z434" s="292"/>
      <c r="AA434" s="292"/>
      <c r="AB434" s="292"/>
      <c r="AC434" s="292"/>
    </row>
    <row r="435">
      <c r="A435" s="292"/>
      <c r="B435" s="292"/>
      <c r="C435" s="292"/>
      <c r="D435" s="292"/>
      <c r="E435" s="292"/>
      <c r="F435" s="292"/>
      <c r="G435" s="292"/>
      <c r="H435" s="292"/>
      <c r="I435" s="292"/>
      <c r="J435" s="292"/>
      <c r="K435" s="292"/>
      <c r="L435" s="292"/>
      <c r="M435" s="292"/>
      <c r="N435" s="292"/>
      <c r="O435" s="292"/>
      <c r="P435" s="292"/>
      <c r="Q435" s="292"/>
      <c r="R435" s="292"/>
      <c r="S435" s="292"/>
      <c r="T435" s="292"/>
      <c r="U435" s="292"/>
      <c r="V435" s="292"/>
      <c r="W435" s="292"/>
      <c r="X435" s="292"/>
      <c r="Y435" s="292"/>
      <c r="Z435" s="292"/>
      <c r="AA435" s="292"/>
      <c r="AB435" s="292"/>
      <c r="AC435" s="292"/>
    </row>
    <row r="436">
      <c r="A436" s="292"/>
      <c r="B436" s="292"/>
      <c r="C436" s="292"/>
      <c r="D436" s="292"/>
      <c r="E436" s="292"/>
      <c r="F436" s="292"/>
      <c r="G436" s="292"/>
      <c r="H436" s="292"/>
      <c r="I436" s="292"/>
      <c r="J436" s="292"/>
      <c r="K436" s="292"/>
      <c r="L436" s="292"/>
      <c r="M436" s="292"/>
      <c r="N436" s="292"/>
      <c r="O436" s="292"/>
      <c r="P436" s="292"/>
      <c r="Q436" s="292"/>
      <c r="R436" s="292"/>
      <c r="S436" s="292"/>
      <c r="T436" s="292"/>
      <c r="U436" s="292"/>
      <c r="V436" s="292"/>
      <c r="W436" s="292"/>
      <c r="X436" s="292"/>
      <c r="Y436" s="292"/>
      <c r="Z436" s="292"/>
      <c r="AA436" s="292"/>
      <c r="AB436" s="292"/>
      <c r="AC436" s="292"/>
    </row>
    <row r="437">
      <c r="A437" s="292"/>
      <c r="B437" s="292"/>
      <c r="C437" s="292"/>
      <c r="D437" s="292"/>
      <c r="E437" s="292"/>
      <c r="F437" s="292"/>
      <c r="G437" s="292"/>
      <c r="H437" s="292"/>
      <c r="I437" s="292"/>
      <c r="J437" s="292"/>
      <c r="K437" s="292"/>
      <c r="L437" s="292"/>
      <c r="M437" s="292"/>
      <c r="N437" s="292"/>
      <c r="O437" s="292"/>
      <c r="P437" s="292"/>
      <c r="Q437" s="292"/>
      <c r="R437" s="292"/>
      <c r="S437" s="292"/>
      <c r="T437" s="292"/>
      <c r="U437" s="292"/>
      <c r="V437" s="292"/>
      <c r="W437" s="292"/>
      <c r="X437" s="292"/>
      <c r="Y437" s="292"/>
      <c r="Z437" s="292"/>
      <c r="AA437" s="292"/>
      <c r="AB437" s="292"/>
      <c r="AC437" s="292"/>
    </row>
    <row r="438">
      <c r="A438" s="292"/>
      <c r="B438" s="292"/>
      <c r="C438" s="292"/>
      <c r="D438" s="292"/>
      <c r="E438" s="292"/>
      <c r="F438" s="292"/>
      <c r="G438" s="292"/>
      <c r="H438" s="292"/>
      <c r="I438" s="292"/>
      <c r="J438" s="292"/>
      <c r="K438" s="292"/>
      <c r="L438" s="292"/>
      <c r="M438" s="292"/>
      <c r="N438" s="292"/>
      <c r="O438" s="292"/>
      <c r="P438" s="292"/>
      <c r="Q438" s="292"/>
      <c r="R438" s="292"/>
      <c r="S438" s="292"/>
      <c r="T438" s="292"/>
      <c r="U438" s="292"/>
      <c r="V438" s="292"/>
      <c r="W438" s="292"/>
      <c r="X438" s="292"/>
      <c r="Y438" s="292"/>
      <c r="Z438" s="292"/>
      <c r="AA438" s="292"/>
      <c r="AB438" s="292"/>
      <c r="AC438" s="292"/>
    </row>
    <row r="439">
      <c r="A439" s="292"/>
      <c r="B439" s="292"/>
      <c r="C439" s="292"/>
      <c r="D439" s="292"/>
      <c r="E439" s="292"/>
      <c r="F439" s="292"/>
      <c r="G439" s="292"/>
      <c r="H439" s="292"/>
      <c r="I439" s="292"/>
      <c r="J439" s="292"/>
      <c r="K439" s="292"/>
      <c r="L439" s="292"/>
      <c r="M439" s="292"/>
      <c r="N439" s="292"/>
      <c r="O439" s="292"/>
      <c r="P439" s="292"/>
      <c r="Q439" s="292"/>
      <c r="R439" s="292"/>
      <c r="S439" s="292"/>
      <c r="T439" s="292"/>
      <c r="U439" s="292"/>
      <c r="V439" s="292"/>
      <c r="W439" s="292"/>
      <c r="X439" s="292"/>
      <c r="Y439" s="292"/>
      <c r="Z439" s="292"/>
      <c r="AA439" s="292"/>
      <c r="AB439" s="292"/>
      <c r="AC439" s="292"/>
    </row>
    <row r="440">
      <c r="A440" s="292"/>
      <c r="B440" s="292"/>
      <c r="C440" s="292"/>
      <c r="D440" s="292"/>
      <c r="E440" s="292"/>
      <c r="F440" s="292"/>
      <c r="G440" s="292"/>
      <c r="H440" s="292"/>
      <c r="I440" s="292"/>
      <c r="J440" s="292"/>
      <c r="K440" s="292"/>
      <c r="L440" s="292"/>
      <c r="M440" s="292"/>
      <c r="N440" s="292"/>
      <c r="O440" s="292"/>
      <c r="P440" s="292"/>
      <c r="Q440" s="292"/>
      <c r="R440" s="292"/>
      <c r="S440" s="292"/>
      <c r="T440" s="292"/>
      <c r="U440" s="292"/>
      <c r="V440" s="292"/>
      <c r="W440" s="292"/>
      <c r="X440" s="292"/>
      <c r="Y440" s="292"/>
      <c r="Z440" s="292"/>
      <c r="AA440" s="292"/>
      <c r="AB440" s="292"/>
      <c r="AC440" s="292"/>
    </row>
    <row r="441">
      <c r="A441" s="292"/>
      <c r="B441" s="292"/>
      <c r="C441" s="292"/>
      <c r="D441" s="292"/>
      <c r="E441" s="292"/>
      <c r="F441" s="292"/>
      <c r="G441" s="292"/>
      <c r="H441" s="292"/>
      <c r="I441" s="292"/>
      <c r="J441" s="292"/>
      <c r="K441" s="292"/>
      <c r="L441" s="292"/>
      <c r="M441" s="292"/>
      <c r="N441" s="292"/>
      <c r="O441" s="292"/>
      <c r="P441" s="292"/>
      <c r="Q441" s="292"/>
      <c r="R441" s="292"/>
      <c r="S441" s="292"/>
      <c r="T441" s="292"/>
      <c r="U441" s="292"/>
      <c r="V441" s="292"/>
      <c r="W441" s="292"/>
      <c r="X441" s="292"/>
      <c r="Y441" s="292"/>
      <c r="Z441" s="292"/>
      <c r="AA441" s="292"/>
      <c r="AB441" s="292"/>
      <c r="AC441" s="292"/>
    </row>
    <row r="442">
      <c r="A442" s="292"/>
      <c r="B442" s="292"/>
      <c r="C442" s="292"/>
      <c r="D442" s="292"/>
      <c r="E442" s="292"/>
      <c r="F442" s="292"/>
      <c r="G442" s="292"/>
      <c r="H442" s="292"/>
      <c r="I442" s="292"/>
      <c r="J442" s="292"/>
      <c r="K442" s="292"/>
      <c r="L442" s="292"/>
      <c r="M442" s="292"/>
      <c r="N442" s="292"/>
      <c r="O442" s="292"/>
      <c r="P442" s="292"/>
      <c r="Q442" s="292"/>
      <c r="R442" s="292"/>
      <c r="S442" s="292"/>
      <c r="T442" s="292"/>
      <c r="U442" s="292"/>
      <c r="V442" s="292"/>
      <c r="W442" s="292"/>
      <c r="X442" s="292"/>
      <c r="Y442" s="292"/>
      <c r="Z442" s="292"/>
      <c r="AA442" s="292"/>
      <c r="AB442" s="292"/>
      <c r="AC442" s="292"/>
    </row>
    <row r="443">
      <c r="A443" s="292"/>
      <c r="B443" s="292"/>
      <c r="C443" s="292"/>
      <c r="D443" s="292"/>
      <c r="E443" s="292"/>
      <c r="F443" s="292"/>
      <c r="G443" s="292"/>
      <c r="H443" s="292"/>
      <c r="I443" s="292"/>
      <c r="J443" s="292"/>
      <c r="K443" s="292"/>
      <c r="L443" s="292"/>
      <c r="M443" s="292"/>
      <c r="N443" s="292"/>
      <c r="O443" s="292"/>
      <c r="P443" s="292"/>
      <c r="Q443" s="292"/>
      <c r="R443" s="292"/>
      <c r="S443" s="292"/>
      <c r="T443" s="292"/>
      <c r="U443" s="292"/>
      <c r="V443" s="292"/>
      <c r="W443" s="292"/>
      <c r="X443" s="292"/>
      <c r="Y443" s="292"/>
      <c r="Z443" s="292"/>
      <c r="AA443" s="292"/>
      <c r="AB443" s="292"/>
      <c r="AC443" s="292"/>
    </row>
    <row r="444">
      <c r="A444" s="292"/>
      <c r="B444" s="292"/>
      <c r="C444" s="292"/>
      <c r="D444" s="292"/>
      <c r="E444" s="292"/>
      <c r="F444" s="292"/>
      <c r="G444" s="292"/>
      <c r="H444" s="292"/>
      <c r="I444" s="292"/>
      <c r="J444" s="292"/>
      <c r="K444" s="292"/>
      <c r="L444" s="292"/>
      <c r="M444" s="292"/>
      <c r="N444" s="292"/>
      <c r="O444" s="292"/>
      <c r="P444" s="292"/>
      <c r="Q444" s="292"/>
      <c r="R444" s="292"/>
      <c r="S444" s="292"/>
      <c r="T444" s="292"/>
      <c r="U444" s="292"/>
      <c r="V444" s="292"/>
      <c r="W444" s="292"/>
      <c r="X444" s="292"/>
      <c r="Y444" s="292"/>
      <c r="Z444" s="292"/>
      <c r="AA444" s="292"/>
      <c r="AB444" s="292"/>
      <c r="AC444" s="292"/>
    </row>
    <row r="445">
      <c r="A445" s="292"/>
      <c r="B445" s="292"/>
      <c r="C445" s="292"/>
      <c r="D445" s="292"/>
      <c r="E445" s="292"/>
      <c r="F445" s="292"/>
      <c r="G445" s="292"/>
      <c r="H445" s="292"/>
      <c r="I445" s="292"/>
      <c r="J445" s="292"/>
      <c r="K445" s="292"/>
      <c r="L445" s="292"/>
      <c r="M445" s="292"/>
      <c r="N445" s="292"/>
      <c r="O445" s="292"/>
      <c r="P445" s="292"/>
      <c r="Q445" s="292"/>
      <c r="R445" s="292"/>
      <c r="S445" s="292"/>
      <c r="T445" s="292"/>
      <c r="U445" s="292"/>
      <c r="V445" s="292"/>
      <c r="W445" s="292"/>
      <c r="X445" s="292"/>
      <c r="Y445" s="292"/>
      <c r="Z445" s="292"/>
      <c r="AA445" s="292"/>
      <c r="AB445" s="292"/>
      <c r="AC445" s="292"/>
    </row>
    <row r="446">
      <c r="A446" s="292"/>
      <c r="B446" s="292"/>
      <c r="C446" s="292"/>
      <c r="D446" s="292"/>
      <c r="E446" s="292"/>
      <c r="F446" s="292"/>
      <c r="G446" s="292"/>
      <c r="H446" s="292"/>
      <c r="I446" s="292"/>
      <c r="J446" s="292"/>
      <c r="K446" s="292"/>
      <c r="L446" s="292"/>
      <c r="M446" s="292"/>
      <c r="N446" s="292"/>
      <c r="O446" s="292"/>
      <c r="P446" s="292"/>
      <c r="Q446" s="292"/>
      <c r="R446" s="292"/>
      <c r="S446" s="292"/>
      <c r="T446" s="292"/>
      <c r="U446" s="292"/>
      <c r="V446" s="292"/>
      <c r="W446" s="292"/>
      <c r="X446" s="292"/>
      <c r="Y446" s="292"/>
      <c r="Z446" s="292"/>
      <c r="AA446" s="292"/>
      <c r="AB446" s="292"/>
      <c r="AC446" s="292"/>
    </row>
    <row r="447">
      <c r="A447" s="292"/>
      <c r="B447" s="292"/>
      <c r="C447" s="292"/>
      <c r="D447" s="292"/>
      <c r="E447" s="292"/>
      <c r="F447" s="292"/>
      <c r="G447" s="292"/>
      <c r="H447" s="292"/>
      <c r="I447" s="292"/>
      <c r="J447" s="292"/>
      <c r="K447" s="292"/>
      <c r="L447" s="292"/>
      <c r="M447" s="292"/>
      <c r="N447" s="292"/>
      <c r="O447" s="292"/>
      <c r="P447" s="292"/>
      <c r="Q447" s="292"/>
      <c r="R447" s="292"/>
      <c r="S447" s="292"/>
      <c r="T447" s="292"/>
      <c r="U447" s="292"/>
      <c r="V447" s="292"/>
      <c r="W447" s="292"/>
      <c r="X447" s="292"/>
      <c r="Y447" s="292"/>
      <c r="Z447" s="292"/>
      <c r="AA447" s="292"/>
      <c r="AB447" s="292"/>
      <c r="AC447" s="292"/>
    </row>
    <row r="448">
      <c r="A448" s="292"/>
      <c r="B448" s="292"/>
      <c r="C448" s="292"/>
      <c r="D448" s="292"/>
      <c r="E448" s="292"/>
      <c r="F448" s="292"/>
      <c r="G448" s="292"/>
      <c r="H448" s="292"/>
      <c r="I448" s="292"/>
      <c r="J448" s="292"/>
      <c r="K448" s="292"/>
      <c r="L448" s="292"/>
      <c r="M448" s="292"/>
      <c r="N448" s="292"/>
      <c r="O448" s="292"/>
      <c r="P448" s="292"/>
      <c r="Q448" s="292"/>
      <c r="R448" s="292"/>
      <c r="S448" s="292"/>
      <c r="T448" s="292"/>
      <c r="U448" s="292"/>
      <c r="V448" s="292"/>
      <c r="W448" s="292"/>
      <c r="X448" s="292"/>
      <c r="Y448" s="292"/>
      <c r="Z448" s="292"/>
      <c r="AA448" s="292"/>
      <c r="AB448" s="292"/>
      <c r="AC448" s="292"/>
    </row>
    <row r="449">
      <c r="A449" s="292"/>
      <c r="B449" s="292"/>
      <c r="C449" s="292"/>
      <c r="D449" s="292"/>
      <c r="E449" s="292"/>
      <c r="F449" s="292"/>
      <c r="G449" s="292"/>
      <c r="H449" s="292"/>
      <c r="I449" s="292"/>
      <c r="J449" s="292"/>
      <c r="K449" s="292"/>
      <c r="L449" s="292"/>
      <c r="M449" s="292"/>
      <c r="N449" s="292"/>
      <c r="O449" s="292"/>
      <c r="P449" s="292"/>
      <c r="Q449" s="292"/>
      <c r="R449" s="292"/>
      <c r="S449" s="292"/>
      <c r="T449" s="292"/>
      <c r="U449" s="292"/>
      <c r="V449" s="292"/>
      <c r="W449" s="292"/>
      <c r="X449" s="292"/>
      <c r="Y449" s="292"/>
      <c r="Z449" s="292"/>
      <c r="AA449" s="292"/>
      <c r="AB449" s="292"/>
      <c r="AC449" s="292"/>
    </row>
    <row r="450">
      <c r="A450" s="292"/>
      <c r="B450" s="292"/>
      <c r="C450" s="292"/>
      <c r="D450" s="292"/>
      <c r="E450" s="292"/>
      <c r="F450" s="292"/>
      <c r="G450" s="292"/>
      <c r="H450" s="292"/>
      <c r="I450" s="292"/>
      <c r="J450" s="292"/>
      <c r="K450" s="292"/>
      <c r="L450" s="292"/>
      <c r="M450" s="292"/>
      <c r="N450" s="292"/>
      <c r="O450" s="292"/>
      <c r="P450" s="292"/>
      <c r="Q450" s="292"/>
      <c r="R450" s="292"/>
      <c r="S450" s="292"/>
      <c r="T450" s="292"/>
      <c r="U450" s="292"/>
      <c r="V450" s="292"/>
      <c r="W450" s="292"/>
      <c r="X450" s="292"/>
      <c r="Y450" s="292"/>
      <c r="Z450" s="292"/>
      <c r="AA450" s="292"/>
      <c r="AB450" s="292"/>
      <c r="AC450" s="292"/>
    </row>
    <row r="451">
      <c r="A451" s="292"/>
      <c r="B451" s="292"/>
      <c r="C451" s="292"/>
      <c r="D451" s="292"/>
      <c r="E451" s="292"/>
      <c r="F451" s="292"/>
      <c r="G451" s="292"/>
      <c r="H451" s="292"/>
      <c r="I451" s="292"/>
      <c r="J451" s="292"/>
      <c r="K451" s="292"/>
      <c r="L451" s="292"/>
      <c r="M451" s="292"/>
      <c r="N451" s="292"/>
      <c r="O451" s="292"/>
      <c r="P451" s="292"/>
      <c r="Q451" s="292"/>
      <c r="R451" s="292"/>
      <c r="S451" s="292"/>
      <c r="T451" s="292"/>
      <c r="U451" s="292"/>
      <c r="V451" s="292"/>
      <c r="W451" s="292"/>
      <c r="X451" s="292"/>
      <c r="Y451" s="292"/>
      <c r="Z451" s="292"/>
      <c r="AA451" s="292"/>
      <c r="AB451" s="292"/>
      <c r="AC451" s="292"/>
    </row>
    <row r="452">
      <c r="A452" s="292"/>
      <c r="B452" s="292"/>
      <c r="C452" s="292"/>
      <c r="D452" s="292"/>
      <c r="E452" s="292"/>
      <c r="F452" s="292"/>
      <c r="G452" s="292"/>
      <c r="H452" s="292"/>
      <c r="I452" s="292"/>
      <c r="J452" s="292"/>
      <c r="K452" s="292"/>
      <c r="L452" s="292"/>
      <c r="M452" s="292"/>
      <c r="N452" s="292"/>
      <c r="O452" s="292"/>
      <c r="P452" s="292"/>
      <c r="Q452" s="292"/>
      <c r="R452" s="292"/>
      <c r="S452" s="292"/>
      <c r="T452" s="292"/>
      <c r="U452" s="292"/>
      <c r="V452" s="292"/>
      <c r="W452" s="292"/>
      <c r="X452" s="292"/>
      <c r="Y452" s="292"/>
      <c r="Z452" s="292"/>
      <c r="AA452" s="292"/>
      <c r="AB452" s="292"/>
      <c r="AC452" s="292"/>
    </row>
    <row r="453">
      <c r="A453" s="292"/>
      <c r="B453" s="292"/>
      <c r="C453" s="292"/>
      <c r="D453" s="292"/>
      <c r="E453" s="292"/>
      <c r="F453" s="292"/>
      <c r="G453" s="292"/>
      <c r="H453" s="292"/>
      <c r="I453" s="292"/>
      <c r="J453" s="292"/>
      <c r="K453" s="292"/>
      <c r="L453" s="292"/>
      <c r="M453" s="292"/>
      <c r="N453" s="292"/>
      <c r="O453" s="292"/>
      <c r="P453" s="292"/>
      <c r="Q453" s="292"/>
      <c r="R453" s="292"/>
      <c r="S453" s="292"/>
      <c r="T453" s="292"/>
      <c r="U453" s="292"/>
      <c r="V453" s="292"/>
      <c r="W453" s="292"/>
      <c r="X453" s="292"/>
      <c r="Y453" s="292"/>
      <c r="Z453" s="292"/>
      <c r="AA453" s="292"/>
      <c r="AB453" s="292"/>
      <c r="AC453" s="292"/>
    </row>
    <row r="454">
      <c r="A454" s="292"/>
      <c r="B454" s="292"/>
      <c r="C454" s="292"/>
      <c r="D454" s="292"/>
      <c r="E454" s="292"/>
      <c r="F454" s="292"/>
      <c r="G454" s="292"/>
      <c r="H454" s="292"/>
      <c r="I454" s="292"/>
      <c r="J454" s="292"/>
      <c r="K454" s="292"/>
      <c r="L454" s="292"/>
      <c r="M454" s="292"/>
      <c r="N454" s="292"/>
      <c r="O454" s="292"/>
      <c r="P454" s="292"/>
      <c r="Q454" s="292"/>
      <c r="R454" s="292"/>
      <c r="S454" s="292"/>
      <c r="T454" s="292"/>
      <c r="U454" s="292"/>
      <c r="V454" s="292"/>
      <c r="W454" s="292"/>
      <c r="X454" s="292"/>
      <c r="Y454" s="292"/>
      <c r="Z454" s="292"/>
      <c r="AA454" s="292"/>
      <c r="AB454" s="292"/>
      <c r="AC454" s="292"/>
    </row>
    <row r="455">
      <c r="A455" s="292"/>
      <c r="B455" s="292"/>
      <c r="C455" s="292"/>
      <c r="D455" s="292"/>
      <c r="E455" s="292"/>
      <c r="F455" s="292"/>
      <c r="G455" s="292"/>
      <c r="H455" s="292"/>
      <c r="I455" s="292"/>
      <c r="J455" s="292"/>
      <c r="K455" s="292"/>
      <c r="L455" s="292"/>
      <c r="M455" s="292"/>
      <c r="N455" s="292"/>
      <c r="O455" s="292"/>
      <c r="P455" s="292"/>
      <c r="Q455" s="292"/>
      <c r="R455" s="292"/>
      <c r="S455" s="292"/>
      <c r="T455" s="292"/>
      <c r="U455" s="292"/>
      <c r="V455" s="292"/>
      <c r="W455" s="292"/>
      <c r="X455" s="292"/>
      <c r="Y455" s="292"/>
      <c r="Z455" s="292"/>
      <c r="AA455" s="292"/>
      <c r="AB455" s="292"/>
      <c r="AC455" s="292"/>
    </row>
    <row r="456">
      <c r="A456" s="292"/>
      <c r="B456" s="292"/>
      <c r="C456" s="292"/>
      <c r="D456" s="292"/>
      <c r="E456" s="292"/>
      <c r="F456" s="292"/>
      <c r="G456" s="292"/>
      <c r="H456" s="292"/>
      <c r="I456" s="292"/>
      <c r="J456" s="292"/>
      <c r="K456" s="292"/>
      <c r="L456" s="292"/>
      <c r="M456" s="292"/>
      <c r="N456" s="292"/>
      <c r="O456" s="292"/>
      <c r="P456" s="292"/>
      <c r="Q456" s="292"/>
      <c r="R456" s="292"/>
      <c r="S456" s="292"/>
      <c r="T456" s="292"/>
      <c r="U456" s="292"/>
      <c r="V456" s="292"/>
      <c r="W456" s="292"/>
      <c r="X456" s="292"/>
      <c r="Y456" s="292"/>
      <c r="Z456" s="292"/>
      <c r="AA456" s="292"/>
      <c r="AB456" s="292"/>
      <c r="AC456" s="292"/>
    </row>
    <row r="457">
      <c r="A457" s="292"/>
      <c r="B457" s="292"/>
      <c r="C457" s="292"/>
      <c r="D457" s="292"/>
      <c r="E457" s="292"/>
      <c r="F457" s="292"/>
      <c r="G457" s="292"/>
      <c r="H457" s="292"/>
      <c r="I457" s="292"/>
      <c r="J457" s="292"/>
      <c r="K457" s="292"/>
      <c r="L457" s="292"/>
      <c r="M457" s="292"/>
      <c r="N457" s="292"/>
      <c r="O457" s="292"/>
      <c r="P457" s="292"/>
      <c r="Q457" s="292"/>
      <c r="R457" s="292"/>
      <c r="S457" s="292"/>
      <c r="T457" s="292"/>
      <c r="U457" s="292"/>
      <c r="V457" s="292"/>
      <c r="W457" s="292"/>
      <c r="X457" s="292"/>
      <c r="Y457" s="292"/>
      <c r="Z457" s="292"/>
      <c r="AA457" s="292"/>
      <c r="AB457" s="292"/>
      <c r="AC457" s="292"/>
    </row>
    <row r="458">
      <c r="A458" s="292"/>
      <c r="B458" s="292"/>
      <c r="C458" s="292"/>
      <c r="D458" s="292"/>
      <c r="E458" s="292"/>
      <c r="F458" s="292"/>
      <c r="G458" s="292"/>
      <c r="H458" s="292"/>
      <c r="I458" s="292"/>
      <c r="J458" s="292"/>
      <c r="K458" s="292"/>
      <c r="L458" s="292"/>
      <c r="M458" s="292"/>
      <c r="N458" s="292"/>
      <c r="O458" s="292"/>
      <c r="P458" s="292"/>
      <c r="Q458" s="292"/>
      <c r="R458" s="292"/>
      <c r="S458" s="292"/>
      <c r="T458" s="292"/>
      <c r="U458" s="292"/>
      <c r="V458" s="292"/>
      <c r="W458" s="292"/>
      <c r="X458" s="292"/>
      <c r="Y458" s="292"/>
      <c r="Z458" s="292"/>
      <c r="AA458" s="292"/>
      <c r="AB458" s="292"/>
      <c r="AC458" s="292"/>
    </row>
    <row r="459">
      <c r="A459" s="292"/>
      <c r="B459" s="292"/>
      <c r="C459" s="292"/>
      <c r="D459" s="292"/>
      <c r="E459" s="292"/>
      <c r="F459" s="292"/>
      <c r="G459" s="292"/>
      <c r="H459" s="292"/>
      <c r="I459" s="292"/>
      <c r="J459" s="292"/>
      <c r="K459" s="292"/>
      <c r="L459" s="292"/>
      <c r="M459" s="292"/>
      <c r="N459" s="292"/>
      <c r="O459" s="292"/>
      <c r="P459" s="292"/>
      <c r="Q459" s="292"/>
      <c r="R459" s="292"/>
      <c r="S459" s="292"/>
      <c r="T459" s="292"/>
      <c r="U459" s="292"/>
      <c r="V459" s="292"/>
      <c r="W459" s="292"/>
      <c r="X459" s="292"/>
      <c r="Y459" s="292"/>
      <c r="Z459" s="292"/>
      <c r="AA459" s="292"/>
      <c r="AB459" s="292"/>
      <c r="AC459" s="292"/>
    </row>
    <row r="460">
      <c r="A460" s="292"/>
      <c r="B460" s="292"/>
      <c r="C460" s="292"/>
      <c r="D460" s="292"/>
      <c r="E460" s="292"/>
      <c r="F460" s="292"/>
      <c r="G460" s="292"/>
      <c r="H460" s="292"/>
      <c r="I460" s="292"/>
      <c r="J460" s="292"/>
      <c r="K460" s="292"/>
      <c r="L460" s="292"/>
      <c r="M460" s="292"/>
      <c r="N460" s="292"/>
      <c r="O460" s="292"/>
      <c r="P460" s="292"/>
      <c r="Q460" s="292"/>
      <c r="R460" s="292"/>
      <c r="S460" s="292"/>
      <c r="T460" s="292"/>
      <c r="U460" s="292"/>
      <c r="V460" s="292"/>
      <c r="W460" s="292"/>
      <c r="X460" s="292"/>
      <c r="Y460" s="292"/>
      <c r="Z460" s="292"/>
      <c r="AA460" s="292"/>
      <c r="AB460" s="292"/>
      <c r="AC460" s="292"/>
    </row>
    <row r="461">
      <c r="A461" s="292"/>
      <c r="B461" s="292"/>
      <c r="C461" s="292"/>
      <c r="D461" s="292"/>
      <c r="E461" s="292"/>
      <c r="F461" s="292"/>
      <c r="G461" s="292"/>
      <c r="H461" s="292"/>
      <c r="I461" s="292"/>
      <c r="J461" s="292"/>
      <c r="K461" s="292"/>
      <c r="L461" s="292"/>
      <c r="M461" s="292"/>
      <c r="N461" s="292"/>
      <c r="O461" s="292"/>
      <c r="P461" s="292"/>
      <c r="Q461" s="292"/>
      <c r="R461" s="292"/>
      <c r="S461" s="292"/>
      <c r="T461" s="292"/>
      <c r="U461" s="292"/>
      <c r="V461" s="292"/>
      <c r="W461" s="292"/>
      <c r="X461" s="292"/>
      <c r="Y461" s="292"/>
      <c r="Z461" s="292"/>
      <c r="AA461" s="292"/>
      <c r="AB461" s="292"/>
      <c r="AC461" s="292"/>
    </row>
    <row r="462">
      <c r="A462" s="292"/>
      <c r="B462" s="292"/>
      <c r="C462" s="292"/>
      <c r="D462" s="292"/>
      <c r="E462" s="292"/>
      <c r="F462" s="292"/>
      <c r="G462" s="292"/>
      <c r="H462" s="292"/>
      <c r="I462" s="292"/>
      <c r="J462" s="292"/>
      <c r="K462" s="292"/>
      <c r="L462" s="292"/>
      <c r="M462" s="292"/>
      <c r="N462" s="292"/>
      <c r="O462" s="292"/>
      <c r="P462" s="292"/>
      <c r="Q462" s="292"/>
      <c r="R462" s="292"/>
      <c r="S462" s="292"/>
      <c r="T462" s="292"/>
      <c r="U462" s="292"/>
      <c r="V462" s="292"/>
      <c r="W462" s="292"/>
      <c r="X462" s="292"/>
      <c r="Y462" s="292"/>
      <c r="Z462" s="292"/>
      <c r="AA462" s="292"/>
      <c r="AB462" s="292"/>
      <c r="AC462" s="292"/>
    </row>
    <row r="463">
      <c r="A463" s="292"/>
      <c r="B463" s="292"/>
      <c r="C463" s="292"/>
      <c r="D463" s="292"/>
      <c r="E463" s="292"/>
      <c r="F463" s="292"/>
      <c r="G463" s="292"/>
      <c r="H463" s="292"/>
      <c r="I463" s="292"/>
      <c r="J463" s="292"/>
      <c r="K463" s="292"/>
      <c r="L463" s="292"/>
      <c r="M463" s="292"/>
      <c r="N463" s="292"/>
      <c r="O463" s="292"/>
      <c r="P463" s="292"/>
      <c r="Q463" s="292"/>
      <c r="R463" s="292"/>
      <c r="S463" s="292"/>
      <c r="T463" s="292"/>
      <c r="U463" s="292"/>
      <c r="V463" s="292"/>
      <c r="W463" s="292"/>
      <c r="X463" s="292"/>
      <c r="Y463" s="292"/>
      <c r="Z463" s="292"/>
      <c r="AA463" s="292"/>
      <c r="AB463" s="292"/>
      <c r="AC463" s="292"/>
    </row>
    <row r="464">
      <c r="A464" s="292"/>
      <c r="B464" s="292"/>
      <c r="C464" s="292"/>
      <c r="D464" s="292"/>
      <c r="E464" s="292"/>
      <c r="F464" s="292"/>
      <c r="G464" s="292"/>
      <c r="H464" s="292"/>
      <c r="I464" s="292"/>
      <c r="J464" s="292"/>
      <c r="K464" s="292"/>
      <c r="L464" s="292"/>
      <c r="M464" s="292"/>
      <c r="N464" s="292"/>
      <c r="O464" s="292"/>
      <c r="P464" s="292"/>
      <c r="Q464" s="292"/>
      <c r="R464" s="292"/>
      <c r="S464" s="292"/>
      <c r="T464" s="292"/>
      <c r="U464" s="292"/>
      <c r="V464" s="292"/>
      <c r="W464" s="292"/>
      <c r="X464" s="292"/>
      <c r="Y464" s="292"/>
      <c r="Z464" s="292"/>
      <c r="AA464" s="292"/>
      <c r="AB464" s="292"/>
      <c r="AC464" s="292"/>
    </row>
    <row r="465">
      <c r="A465" s="292"/>
      <c r="B465" s="292"/>
      <c r="C465" s="292"/>
      <c r="D465" s="292"/>
      <c r="E465" s="292"/>
      <c r="F465" s="292"/>
      <c r="G465" s="292"/>
      <c r="H465" s="292"/>
      <c r="I465" s="292"/>
      <c r="J465" s="292"/>
      <c r="K465" s="292"/>
      <c r="L465" s="292"/>
      <c r="M465" s="292"/>
      <c r="N465" s="292"/>
      <c r="O465" s="292"/>
      <c r="P465" s="292"/>
      <c r="Q465" s="292"/>
      <c r="R465" s="292"/>
      <c r="S465" s="292"/>
      <c r="T465" s="292"/>
      <c r="U465" s="292"/>
      <c r="V465" s="292"/>
      <c r="W465" s="292"/>
      <c r="X465" s="292"/>
      <c r="Y465" s="292"/>
      <c r="Z465" s="292"/>
      <c r="AA465" s="292"/>
      <c r="AB465" s="292"/>
      <c r="AC465" s="292"/>
    </row>
    <row r="466">
      <c r="A466" s="292"/>
      <c r="B466" s="292"/>
      <c r="C466" s="292"/>
      <c r="D466" s="292"/>
      <c r="E466" s="292"/>
      <c r="F466" s="292"/>
      <c r="G466" s="292"/>
      <c r="H466" s="292"/>
      <c r="I466" s="292"/>
      <c r="J466" s="292"/>
      <c r="K466" s="292"/>
      <c r="L466" s="292"/>
      <c r="M466" s="292"/>
      <c r="N466" s="292"/>
      <c r="O466" s="292"/>
      <c r="P466" s="292"/>
      <c r="Q466" s="292"/>
      <c r="R466" s="292"/>
      <c r="S466" s="292"/>
      <c r="T466" s="292"/>
      <c r="U466" s="292"/>
      <c r="V466" s="292"/>
      <c r="W466" s="292"/>
      <c r="X466" s="292"/>
      <c r="Y466" s="292"/>
      <c r="Z466" s="292"/>
      <c r="AA466" s="292"/>
      <c r="AB466" s="292"/>
      <c r="AC466" s="292"/>
    </row>
    <row r="467">
      <c r="A467" s="292"/>
      <c r="B467" s="292"/>
      <c r="C467" s="292"/>
      <c r="D467" s="292"/>
      <c r="E467" s="292"/>
      <c r="F467" s="292"/>
      <c r="G467" s="292"/>
      <c r="H467" s="292"/>
      <c r="I467" s="292"/>
      <c r="J467" s="292"/>
      <c r="K467" s="292"/>
      <c r="L467" s="292"/>
      <c r="M467" s="292"/>
      <c r="N467" s="292"/>
      <c r="O467" s="292"/>
      <c r="P467" s="292"/>
      <c r="Q467" s="292"/>
      <c r="R467" s="292"/>
      <c r="S467" s="292"/>
      <c r="T467" s="292"/>
      <c r="U467" s="292"/>
      <c r="V467" s="292"/>
      <c r="W467" s="292"/>
      <c r="X467" s="292"/>
      <c r="Y467" s="292"/>
      <c r="Z467" s="292"/>
      <c r="AA467" s="292"/>
      <c r="AB467" s="292"/>
      <c r="AC467" s="292"/>
    </row>
    <row r="468">
      <c r="A468" s="292"/>
      <c r="B468" s="292"/>
      <c r="C468" s="292"/>
      <c r="D468" s="292"/>
      <c r="E468" s="292"/>
      <c r="F468" s="292"/>
      <c r="G468" s="292"/>
      <c r="H468" s="292"/>
      <c r="I468" s="292"/>
      <c r="J468" s="292"/>
      <c r="K468" s="292"/>
      <c r="L468" s="292"/>
      <c r="M468" s="292"/>
      <c r="N468" s="292"/>
      <c r="O468" s="292"/>
      <c r="P468" s="292"/>
      <c r="Q468" s="292"/>
      <c r="R468" s="292"/>
      <c r="S468" s="292"/>
      <c r="T468" s="292"/>
      <c r="U468" s="292"/>
      <c r="V468" s="292"/>
      <c r="W468" s="292"/>
      <c r="X468" s="292"/>
      <c r="Y468" s="292"/>
      <c r="Z468" s="292"/>
      <c r="AA468" s="292"/>
      <c r="AB468" s="292"/>
      <c r="AC468" s="292"/>
    </row>
    <row r="469">
      <c r="A469" s="292"/>
      <c r="B469" s="292"/>
      <c r="C469" s="292"/>
      <c r="D469" s="292"/>
      <c r="E469" s="292"/>
      <c r="F469" s="292"/>
      <c r="G469" s="292"/>
      <c r="H469" s="292"/>
      <c r="I469" s="292"/>
      <c r="J469" s="292"/>
      <c r="K469" s="292"/>
      <c r="L469" s="292"/>
      <c r="M469" s="292"/>
      <c r="N469" s="292"/>
      <c r="O469" s="292"/>
      <c r="P469" s="292"/>
      <c r="Q469" s="292"/>
      <c r="R469" s="292"/>
      <c r="S469" s="292"/>
      <c r="T469" s="292"/>
      <c r="U469" s="292"/>
      <c r="V469" s="292"/>
      <c r="W469" s="292"/>
      <c r="X469" s="292"/>
      <c r="Y469" s="292"/>
      <c r="Z469" s="292"/>
      <c r="AA469" s="292"/>
      <c r="AB469" s="292"/>
      <c r="AC469" s="292"/>
    </row>
    <row r="470">
      <c r="A470" s="292"/>
      <c r="B470" s="292"/>
      <c r="C470" s="292"/>
      <c r="D470" s="292"/>
      <c r="E470" s="292"/>
      <c r="F470" s="292"/>
      <c r="G470" s="292"/>
      <c r="H470" s="292"/>
      <c r="I470" s="292"/>
      <c r="J470" s="292"/>
      <c r="K470" s="292"/>
      <c r="L470" s="292"/>
      <c r="M470" s="292"/>
      <c r="N470" s="292"/>
      <c r="O470" s="292"/>
      <c r="P470" s="292"/>
      <c r="Q470" s="292"/>
      <c r="R470" s="292"/>
      <c r="S470" s="292"/>
      <c r="T470" s="292"/>
      <c r="U470" s="292"/>
      <c r="V470" s="292"/>
      <c r="W470" s="292"/>
      <c r="X470" s="292"/>
      <c r="Y470" s="292"/>
      <c r="Z470" s="292"/>
      <c r="AA470" s="292"/>
      <c r="AB470" s="292"/>
      <c r="AC470" s="292"/>
    </row>
    <row r="471">
      <c r="A471" s="292"/>
      <c r="B471" s="292"/>
      <c r="C471" s="292"/>
      <c r="D471" s="292"/>
      <c r="E471" s="292"/>
      <c r="F471" s="292"/>
      <c r="G471" s="292"/>
      <c r="H471" s="292"/>
      <c r="I471" s="292"/>
      <c r="J471" s="292"/>
      <c r="K471" s="292"/>
      <c r="L471" s="292"/>
      <c r="M471" s="292"/>
      <c r="N471" s="292"/>
      <c r="O471" s="292"/>
      <c r="P471" s="292"/>
      <c r="Q471" s="292"/>
      <c r="R471" s="292"/>
      <c r="S471" s="292"/>
      <c r="T471" s="292"/>
      <c r="U471" s="292"/>
      <c r="V471" s="292"/>
      <c r="W471" s="292"/>
      <c r="X471" s="292"/>
      <c r="Y471" s="292"/>
      <c r="Z471" s="292"/>
      <c r="AA471" s="292"/>
      <c r="AB471" s="292"/>
      <c r="AC471" s="292"/>
    </row>
    <row r="472">
      <c r="A472" s="292"/>
      <c r="B472" s="292"/>
      <c r="C472" s="292"/>
      <c r="D472" s="292"/>
      <c r="E472" s="292"/>
      <c r="F472" s="292"/>
      <c r="G472" s="292"/>
      <c r="H472" s="292"/>
      <c r="I472" s="292"/>
      <c r="J472" s="292"/>
      <c r="K472" s="292"/>
      <c r="L472" s="292"/>
      <c r="M472" s="292"/>
      <c r="N472" s="292"/>
      <c r="O472" s="292"/>
      <c r="P472" s="292"/>
      <c r="Q472" s="292"/>
      <c r="R472" s="292"/>
      <c r="S472" s="292"/>
      <c r="T472" s="292"/>
      <c r="U472" s="292"/>
      <c r="V472" s="292"/>
      <c r="W472" s="292"/>
      <c r="X472" s="292"/>
      <c r="Y472" s="292"/>
      <c r="Z472" s="292"/>
      <c r="AA472" s="292"/>
      <c r="AB472" s="292"/>
      <c r="AC472" s="292"/>
    </row>
    <row r="473">
      <c r="A473" s="292"/>
      <c r="B473" s="292"/>
      <c r="C473" s="292"/>
      <c r="D473" s="292"/>
      <c r="E473" s="292"/>
      <c r="F473" s="292"/>
      <c r="G473" s="292"/>
      <c r="H473" s="292"/>
      <c r="I473" s="292"/>
      <c r="J473" s="292"/>
      <c r="K473" s="292"/>
      <c r="L473" s="292"/>
      <c r="M473" s="292"/>
      <c r="N473" s="292"/>
      <c r="O473" s="292"/>
      <c r="P473" s="292"/>
      <c r="Q473" s="292"/>
      <c r="R473" s="292"/>
      <c r="S473" s="292"/>
      <c r="T473" s="292"/>
      <c r="U473" s="292"/>
      <c r="V473" s="292"/>
      <c r="W473" s="292"/>
      <c r="X473" s="292"/>
      <c r="Y473" s="292"/>
      <c r="Z473" s="292"/>
      <c r="AA473" s="292"/>
      <c r="AB473" s="292"/>
      <c r="AC473" s="292"/>
    </row>
    <row r="474">
      <c r="A474" s="292"/>
      <c r="B474" s="292"/>
      <c r="C474" s="292"/>
      <c r="D474" s="292"/>
      <c r="E474" s="292"/>
      <c r="F474" s="292"/>
      <c r="G474" s="292"/>
      <c r="H474" s="292"/>
      <c r="I474" s="292"/>
      <c r="J474" s="292"/>
      <c r="K474" s="292"/>
      <c r="L474" s="292"/>
      <c r="M474" s="292"/>
      <c r="N474" s="292"/>
      <c r="O474" s="292"/>
      <c r="P474" s="292"/>
      <c r="Q474" s="292"/>
      <c r="R474" s="292"/>
      <c r="S474" s="292"/>
      <c r="T474" s="292"/>
      <c r="U474" s="292"/>
      <c r="V474" s="292"/>
      <c r="W474" s="292"/>
      <c r="X474" s="292"/>
      <c r="Y474" s="292"/>
      <c r="Z474" s="292"/>
      <c r="AA474" s="292"/>
      <c r="AB474" s="292"/>
      <c r="AC474" s="292"/>
    </row>
    <row r="475">
      <c r="A475" s="292"/>
      <c r="B475" s="292"/>
      <c r="C475" s="292"/>
      <c r="D475" s="292"/>
      <c r="E475" s="292"/>
      <c r="F475" s="292"/>
      <c r="G475" s="292"/>
      <c r="H475" s="292"/>
      <c r="I475" s="292"/>
      <c r="J475" s="292"/>
      <c r="K475" s="292"/>
      <c r="L475" s="292"/>
      <c r="M475" s="292"/>
      <c r="N475" s="292"/>
      <c r="O475" s="292"/>
      <c r="P475" s="292"/>
      <c r="Q475" s="292"/>
      <c r="R475" s="292"/>
      <c r="S475" s="292"/>
      <c r="T475" s="292"/>
      <c r="U475" s="292"/>
      <c r="V475" s="292"/>
      <c r="W475" s="292"/>
      <c r="X475" s="292"/>
      <c r="Y475" s="292"/>
      <c r="Z475" s="292"/>
      <c r="AA475" s="292"/>
      <c r="AB475" s="292"/>
      <c r="AC475" s="292"/>
    </row>
    <row r="476">
      <c r="A476" s="292"/>
      <c r="B476" s="292"/>
      <c r="C476" s="292"/>
      <c r="D476" s="292"/>
      <c r="E476" s="292"/>
      <c r="F476" s="292"/>
      <c r="G476" s="292"/>
      <c r="H476" s="292"/>
      <c r="I476" s="292"/>
      <c r="J476" s="292"/>
      <c r="K476" s="292"/>
      <c r="L476" s="292"/>
      <c r="M476" s="292"/>
      <c r="N476" s="292"/>
      <c r="O476" s="292"/>
      <c r="P476" s="292"/>
      <c r="Q476" s="292"/>
      <c r="R476" s="292"/>
      <c r="S476" s="292"/>
      <c r="T476" s="292"/>
      <c r="U476" s="292"/>
      <c r="V476" s="292"/>
      <c r="W476" s="292"/>
      <c r="X476" s="292"/>
      <c r="Y476" s="292"/>
      <c r="Z476" s="292"/>
      <c r="AA476" s="292"/>
      <c r="AB476" s="292"/>
      <c r="AC476" s="292"/>
    </row>
    <row r="477">
      <c r="A477" s="292"/>
      <c r="B477" s="292"/>
      <c r="C477" s="292"/>
      <c r="D477" s="292"/>
      <c r="E477" s="292"/>
      <c r="F477" s="292"/>
      <c r="G477" s="292"/>
      <c r="H477" s="292"/>
      <c r="I477" s="292"/>
      <c r="J477" s="292"/>
      <c r="K477" s="292"/>
      <c r="L477" s="292"/>
      <c r="M477" s="292"/>
      <c r="N477" s="292"/>
      <c r="O477" s="292"/>
      <c r="P477" s="292"/>
      <c r="Q477" s="292"/>
      <c r="R477" s="292"/>
      <c r="S477" s="292"/>
      <c r="T477" s="292"/>
      <c r="U477" s="292"/>
      <c r="V477" s="292"/>
      <c r="W477" s="292"/>
      <c r="X477" s="292"/>
      <c r="Y477" s="292"/>
      <c r="Z477" s="292"/>
      <c r="AA477" s="292"/>
      <c r="AB477" s="292"/>
      <c r="AC477" s="292"/>
    </row>
    <row r="478">
      <c r="A478" s="292"/>
      <c r="B478" s="292"/>
      <c r="C478" s="292"/>
      <c r="D478" s="292"/>
      <c r="E478" s="292"/>
      <c r="F478" s="292"/>
      <c r="G478" s="292"/>
      <c r="H478" s="292"/>
      <c r="I478" s="292"/>
      <c r="J478" s="292"/>
      <c r="K478" s="292"/>
      <c r="L478" s="292"/>
      <c r="M478" s="292"/>
      <c r="N478" s="292"/>
      <c r="O478" s="292"/>
      <c r="P478" s="292"/>
      <c r="Q478" s="292"/>
      <c r="R478" s="292"/>
      <c r="S478" s="292"/>
      <c r="T478" s="292"/>
      <c r="U478" s="292"/>
      <c r="V478" s="292"/>
      <c r="W478" s="292"/>
      <c r="X478" s="292"/>
      <c r="Y478" s="292"/>
      <c r="Z478" s="292"/>
      <c r="AA478" s="292"/>
      <c r="AB478" s="292"/>
      <c r="AC478" s="292"/>
    </row>
    <row r="479">
      <c r="A479" s="292"/>
      <c r="B479" s="292"/>
      <c r="C479" s="292"/>
      <c r="D479" s="292"/>
      <c r="E479" s="292"/>
      <c r="F479" s="292"/>
      <c r="G479" s="292"/>
      <c r="H479" s="292"/>
      <c r="I479" s="292"/>
      <c r="J479" s="292"/>
      <c r="K479" s="292"/>
      <c r="L479" s="292"/>
      <c r="M479" s="292"/>
      <c r="N479" s="292"/>
      <c r="O479" s="292"/>
      <c r="P479" s="292"/>
      <c r="Q479" s="292"/>
      <c r="R479" s="292"/>
      <c r="S479" s="292"/>
      <c r="T479" s="292"/>
      <c r="U479" s="292"/>
      <c r="V479" s="292"/>
      <c r="W479" s="292"/>
      <c r="X479" s="292"/>
      <c r="Y479" s="292"/>
      <c r="Z479" s="292"/>
      <c r="AA479" s="292"/>
      <c r="AB479" s="292"/>
      <c r="AC479" s="292"/>
    </row>
    <row r="480">
      <c r="A480" s="292"/>
      <c r="B480" s="292"/>
      <c r="C480" s="292"/>
      <c r="D480" s="292"/>
      <c r="E480" s="292"/>
      <c r="F480" s="292"/>
      <c r="G480" s="292"/>
      <c r="H480" s="292"/>
      <c r="I480" s="292"/>
      <c r="J480" s="292"/>
      <c r="K480" s="292"/>
      <c r="L480" s="292"/>
      <c r="M480" s="292"/>
      <c r="N480" s="292"/>
      <c r="O480" s="292"/>
      <c r="P480" s="292"/>
      <c r="Q480" s="292"/>
      <c r="R480" s="292"/>
      <c r="S480" s="292"/>
      <c r="T480" s="292"/>
      <c r="U480" s="292"/>
      <c r="V480" s="292"/>
      <c r="W480" s="292"/>
      <c r="X480" s="292"/>
      <c r="Y480" s="292"/>
      <c r="Z480" s="292"/>
      <c r="AA480" s="292"/>
      <c r="AB480" s="292"/>
      <c r="AC480" s="292"/>
    </row>
    <row r="481">
      <c r="A481" s="292"/>
      <c r="B481" s="292"/>
      <c r="C481" s="292"/>
      <c r="D481" s="292"/>
      <c r="E481" s="292"/>
      <c r="F481" s="292"/>
      <c r="G481" s="292"/>
      <c r="H481" s="292"/>
      <c r="I481" s="292"/>
      <c r="J481" s="292"/>
      <c r="K481" s="292"/>
      <c r="L481" s="292"/>
      <c r="M481" s="292"/>
      <c r="N481" s="292"/>
      <c r="O481" s="292"/>
      <c r="P481" s="292"/>
      <c r="Q481" s="292"/>
      <c r="R481" s="292"/>
      <c r="S481" s="292"/>
      <c r="T481" s="292"/>
      <c r="U481" s="292"/>
      <c r="V481" s="292"/>
      <c r="W481" s="292"/>
      <c r="X481" s="292"/>
      <c r="Y481" s="292"/>
      <c r="Z481" s="292"/>
      <c r="AA481" s="292"/>
      <c r="AB481" s="292"/>
      <c r="AC481" s="292"/>
    </row>
    <row r="482">
      <c r="A482" s="292"/>
      <c r="B482" s="292"/>
      <c r="C482" s="292"/>
      <c r="D482" s="292"/>
      <c r="E482" s="292"/>
      <c r="F482" s="292"/>
      <c r="G482" s="292"/>
      <c r="H482" s="292"/>
      <c r="I482" s="292"/>
      <c r="J482" s="292"/>
      <c r="K482" s="292"/>
      <c r="L482" s="292"/>
      <c r="M482" s="292"/>
      <c r="N482" s="292"/>
      <c r="O482" s="292"/>
      <c r="P482" s="292"/>
      <c r="Q482" s="292"/>
      <c r="R482" s="292"/>
      <c r="S482" s="292"/>
      <c r="T482" s="292"/>
      <c r="U482" s="292"/>
      <c r="V482" s="292"/>
      <c r="W482" s="292"/>
      <c r="X482" s="292"/>
      <c r="Y482" s="292"/>
      <c r="Z482" s="292"/>
      <c r="AA482" s="292"/>
      <c r="AB482" s="292"/>
      <c r="AC482" s="292"/>
    </row>
    <row r="483">
      <c r="A483" s="292"/>
      <c r="B483" s="292"/>
      <c r="C483" s="292"/>
      <c r="D483" s="292"/>
      <c r="E483" s="292"/>
      <c r="F483" s="292"/>
      <c r="G483" s="292"/>
      <c r="H483" s="292"/>
      <c r="I483" s="292"/>
      <c r="J483" s="292"/>
      <c r="K483" s="292"/>
      <c r="L483" s="292"/>
      <c r="M483" s="292"/>
      <c r="N483" s="292"/>
      <c r="O483" s="292"/>
      <c r="P483" s="292"/>
      <c r="Q483" s="292"/>
      <c r="R483" s="292"/>
      <c r="S483" s="292"/>
      <c r="T483" s="292"/>
      <c r="U483" s="292"/>
      <c r="V483" s="292"/>
      <c r="W483" s="292"/>
      <c r="X483" s="292"/>
      <c r="Y483" s="292"/>
      <c r="Z483" s="292"/>
      <c r="AA483" s="292"/>
      <c r="AB483" s="292"/>
      <c r="AC483" s="292"/>
    </row>
    <row r="484">
      <c r="A484" s="292"/>
      <c r="B484" s="292"/>
      <c r="C484" s="292"/>
      <c r="D484" s="292"/>
      <c r="E484" s="292"/>
      <c r="F484" s="292"/>
      <c r="G484" s="292"/>
      <c r="H484" s="292"/>
      <c r="I484" s="292"/>
      <c r="J484" s="292"/>
      <c r="K484" s="292"/>
      <c r="L484" s="292"/>
      <c r="M484" s="292"/>
      <c r="N484" s="292"/>
      <c r="O484" s="292"/>
      <c r="P484" s="292"/>
      <c r="Q484" s="292"/>
      <c r="R484" s="292"/>
      <c r="S484" s="292"/>
      <c r="T484" s="292"/>
      <c r="U484" s="292"/>
      <c r="V484" s="292"/>
      <c r="W484" s="292"/>
      <c r="X484" s="292"/>
      <c r="Y484" s="292"/>
      <c r="Z484" s="292"/>
      <c r="AA484" s="292"/>
      <c r="AB484" s="292"/>
      <c r="AC484" s="292"/>
    </row>
    <row r="485">
      <c r="A485" s="292"/>
      <c r="B485" s="292"/>
      <c r="C485" s="292"/>
      <c r="D485" s="292"/>
      <c r="E485" s="292"/>
      <c r="F485" s="292"/>
      <c r="G485" s="292"/>
      <c r="H485" s="292"/>
      <c r="I485" s="292"/>
      <c r="J485" s="292"/>
      <c r="K485" s="292"/>
      <c r="L485" s="292"/>
      <c r="M485" s="292"/>
      <c r="N485" s="292"/>
      <c r="O485" s="292"/>
      <c r="P485" s="292"/>
      <c r="Q485" s="292"/>
      <c r="R485" s="292"/>
      <c r="S485" s="292"/>
      <c r="T485" s="292"/>
      <c r="U485" s="292"/>
      <c r="V485" s="292"/>
      <c r="W485" s="292"/>
      <c r="X485" s="292"/>
      <c r="Y485" s="292"/>
      <c r="Z485" s="292"/>
      <c r="AA485" s="292"/>
      <c r="AB485" s="292"/>
      <c r="AC485" s="292"/>
    </row>
    <row r="486">
      <c r="A486" s="292"/>
      <c r="B486" s="292"/>
      <c r="C486" s="292"/>
      <c r="D486" s="292"/>
      <c r="E486" s="292"/>
      <c r="F486" s="292"/>
      <c r="G486" s="292"/>
      <c r="H486" s="292"/>
      <c r="I486" s="292"/>
      <c r="J486" s="292"/>
      <c r="K486" s="292"/>
      <c r="L486" s="292"/>
      <c r="M486" s="292"/>
      <c r="N486" s="292"/>
      <c r="O486" s="292"/>
      <c r="P486" s="292"/>
      <c r="Q486" s="292"/>
      <c r="R486" s="292"/>
      <c r="S486" s="292"/>
      <c r="T486" s="292"/>
      <c r="U486" s="292"/>
      <c r="V486" s="292"/>
      <c r="W486" s="292"/>
      <c r="X486" s="292"/>
      <c r="Y486" s="292"/>
      <c r="Z486" s="292"/>
      <c r="AA486" s="292"/>
      <c r="AB486" s="292"/>
      <c r="AC486" s="292"/>
    </row>
    <row r="487">
      <c r="A487" s="292"/>
      <c r="B487" s="292"/>
      <c r="C487" s="292"/>
      <c r="D487" s="292"/>
      <c r="E487" s="292"/>
      <c r="F487" s="292"/>
      <c r="G487" s="292"/>
      <c r="H487" s="292"/>
      <c r="I487" s="292"/>
      <c r="J487" s="292"/>
      <c r="K487" s="292"/>
      <c r="L487" s="292"/>
      <c r="M487" s="292"/>
      <c r="N487" s="292"/>
      <c r="O487" s="292"/>
      <c r="P487" s="292"/>
      <c r="Q487" s="292"/>
      <c r="R487" s="292"/>
      <c r="S487" s="292"/>
      <c r="T487" s="292"/>
      <c r="U487" s="292"/>
      <c r="V487" s="292"/>
      <c r="W487" s="292"/>
      <c r="X487" s="292"/>
      <c r="Y487" s="292"/>
      <c r="Z487" s="292"/>
      <c r="AA487" s="292"/>
      <c r="AB487" s="292"/>
      <c r="AC487" s="292"/>
    </row>
    <row r="488">
      <c r="A488" s="292"/>
      <c r="B488" s="292"/>
      <c r="C488" s="292"/>
      <c r="D488" s="292"/>
      <c r="E488" s="292"/>
      <c r="F488" s="292"/>
      <c r="G488" s="292"/>
      <c r="H488" s="292"/>
      <c r="I488" s="292"/>
      <c r="J488" s="292"/>
      <c r="K488" s="292"/>
      <c r="L488" s="292"/>
      <c r="M488" s="292"/>
      <c r="N488" s="292"/>
      <c r="O488" s="292"/>
      <c r="P488" s="292"/>
      <c r="Q488" s="292"/>
      <c r="R488" s="292"/>
      <c r="S488" s="292"/>
      <c r="T488" s="292"/>
      <c r="U488" s="292"/>
      <c r="V488" s="292"/>
      <c r="W488" s="292"/>
      <c r="X488" s="292"/>
      <c r="Y488" s="292"/>
      <c r="Z488" s="292"/>
      <c r="AA488" s="292"/>
      <c r="AB488" s="292"/>
      <c r="AC488" s="292"/>
    </row>
    <row r="489">
      <c r="A489" s="292"/>
      <c r="B489" s="292"/>
      <c r="C489" s="292"/>
      <c r="D489" s="292"/>
      <c r="E489" s="292"/>
      <c r="F489" s="292"/>
      <c r="G489" s="292"/>
      <c r="H489" s="292"/>
      <c r="I489" s="292"/>
      <c r="J489" s="292"/>
      <c r="K489" s="292"/>
      <c r="L489" s="292"/>
      <c r="M489" s="292"/>
      <c r="N489" s="292"/>
      <c r="O489" s="292"/>
      <c r="P489" s="292"/>
      <c r="Q489" s="292"/>
      <c r="R489" s="292"/>
      <c r="S489" s="292"/>
      <c r="T489" s="292"/>
      <c r="U489" s="292"/>
      <c r="V489" s="292"/>
      <c r="W489" s="292"/>
      <c r="X489" s="292"/>
      <c r="Y489" s="292"/>
      <c r="Z489" s="292"/>
      <c r="AA489" s="292"/>
      <c r="AB489" s="292"/>
      <c r="AC489" s="292"/>
    </row>
    <row r="490">
      <c r="A490" s="292"/>
      <c r="B490" s="292"/>
      <c r="C490" s="292"/>
      <c r="D490" s="292"/>
      <c r="E490" s="292"/>
      <c r="F490" s="292"/>
      <c r="G490" s="292"/>
      <c r="H490" s="292"/>
      <c r="I490" s="292"/>
      <c r="J490" s="292"/>
      <c r="K490" s="292"/>
      <c r="L490" s="292"/>
      <c r="M490" s="292"/>
      <c r="N490" s="292"/>
      <c r="O490" s="292"/>
      <c r="P490" s="292"/>
      <c r="Q490" s="292"/>
      <c r="R490" s="292"/>
      <c r="S490" s="292"/>
      <c r="T490" s="292"/>
      <c r="U490" s="292"/>
      <c r="V490" s="292"/>
      <c r="W490" s="292"/>
      <c r="X490" s="292"/>
      <c r="Y490" s="292"/>
      <c r="Z490" s="292"/>
      <c r="AA490" s="292"/>
      <c r="AB490" s="292"/>
      <c r="AC490" s="292"/>
    </row>
    <row r="491">
      <c r="A491" s="292"/>
      <c r="B491" s="292"/>
      <c r="C491" s="292"/>
      <c r="D491" s="292"/>
      <c r="E491" s="292"/>
      <c r="F491" s="292"/>
      <c r="G491" s="292"/>
      <c r="H491" s="292"/>
      <c r="I491" s="292"/>
      <c r="J491" s="292"/>
      <c r="K491" s="292"/>
      <c r="L491" s="292"/>
      <c r="M491" s="292"/>
      <c r="N491" s="292"/>
      <c r="O491" s="292"/>
      <c r="P491" s="292"/>
      <c r="Q491" s="292"/>
      <c r="R491" s="292"/>
      <c r="S491" s="292"/>
      <c r="T491" s="292"/>
      <c r="U491" s="292"/>
      <c r="V491" s="292"/>
      <c r="W491" s="292"/>
      <c r="X491" s="292"/>
      <c r="Y491" s="292"/>
      <c r="Z491" s="292"/>
      <c r="AA491" s="292"/>
      <c r="AB491" s="292"/>
      <c r="AC491" s="292"/>
    </row>
    <row r="492">
      <c r="A492" s="292"/>
      <c r="B492" s="292"/>
      <c r="C492" s="292"/>
      <c r="D492" s="292"/>
      <c r="E492" s="292"/>
      <c r="F492" s="292"/>
      <c r="G492" s="292"/>
      <c r="H492" s="292"/>
      <c r="I492" s="292"/>
      <c r="J492" s="292"/>
      <c r="K492" s="292"/>
      <c r="L492" s="292"/>
      <c r="M492" s="292"/>
      <c r="N492" s="292"/>
      <c r="O492" s="292"/>
      <c r="P492" s="292"/>
      <c r="Q492" s="292"/>
      <c r="R492" s="292"/>
      <c r="S492" s="292"/>
      <c r="T492" s="292"/>
      <c r="U492" s="292"/>
      <c r="V492" s="292"/>
      <c r="W492" s="292"/>
      <c r="X492" s="292"/>
      <c r="Y492" s="292"/>
      <c r="Z492" s="292"/>
      <c r="AA492" s="292"/>
      <c r="AB492" s="292"/>
      <c r="AC492" s="292"/>
    </row>
    <row r="493">
      <c r="A493" s="292"/>
      <c r="B493" s="292"/>
      <c r="C493" s="292"/>
      <c r="D493" s="292"/>
      <c r="E493" s="292"/>
      <c r="F493" s="292"/>
      <c r="G493" s="292"/>
      <c r="H493" s="292"/>
      <c r="I493" s="292"/>
      <c r="J493" s="292"/>
      <c r="K493" s="292"/>
      <c r="L493" s="292"/>
      <c r="M493" s="292"/>
      <c r="N493" s="292"/>
      <c r="O493" s="292"/>
      <c r="P493" s="292"/>
      <c r="Q493" s="292"/>
      <c r="R493" s="292"/>
      <c r="S493" s="292"/>
      <c r="T493" s="292"/>
      <c r="U493" s="292"/>
      <c r="V493" s="292"/>
      <c r="W493" s="292"/>
      <c r="X493" s="292"/>
      <c r="Y493" s="292"/>
      <c r="Z493" s="292"/>
      <c r="AA493" s="292"/>
      <c r="AB493" s="292"/>
      <c r="AC493" s="292"/>
    </row>
    <row r="494">
      <c r="A494" s="292"/>
      <c r="B494" s="292"/>
      <c r="C494" s="292"/>
      <c r="D494" s="292"/>
      <c r="E494" s="292"/>
      <c r="F494" s="292"/>
      <c r="G494" s="292"/>
      <c r="H494" s="292"/>
      <c r="I494" s="292"/>
      <c r="J494" s="292"/>
      <c r="K494" s="292"/>
      <c r="L494" s="292"/>
      <c r="M494" s="292"/>
      <c r="N494" s="292"/>
      <c r="O494" s="292"/>
      <c r="P494" s="292"/>
      <c r="Q494" s="292"/>
      <c r="R494" s="292"/>
      <c r="S494" s="292"/>
      <c r="T494" s="292"/>
      <c r="U494" s="292"/>
      <c r="V494" s="292"/>
      <c r="W494" s="292"/>
      <c r="X494" s="292"/>
      <c r="Y494" s="292"/>
      <c r="Z494" s="292"/>
      <c r="AA494" s="292"/>
      <c r="AB494" s="292"/>
      <c r="AC494" s="292"/>
    </row>
    <row r="495">
      <c r="A495" s="292"/>
      <c r="B495" s="292"/>
      <c r="C495" s="292"/>
      <c r="D495" s="292"/>
      <c r="E495" s="292"/>
      <c r="F495" s="292"/>
      <c r="G495" s="292"/>
      <c r="H495" s="292"/>
      <c r="I495" s="292"/>
      <c r="J495" s="292"/>
      <c r="K495" s="292"/>
      <c r="L495" s="292"/>
      <c r="M495" s="292"/>
      <c r="N495" s="292"/>
      <c r="O495" s="292"/>
      <c r="P495" s="292"/>
      <c r="Q495" s="292"/>
      <c r="R495" s="292"/>
      <c r="S495" s="292"/>
      <c r="T495" s="292"/>
      <c r="U495" s="292"/>
      <c r="V495" s="292"/>
      <c r="W495" s="292"/>
      <c r="X495" s="292"/>
      <c r="Y495" s="292"/>
      <c r="Z495" s="292"/>
      <c r="AA495" s="292"/>
      <c r="AB495" s="292"/>
      <c r="AC495" s="292"/>
    </row>
    <row r="496">
      <c r="A496" s="292"/>
      <c r="B496" s="292"/>
      <c r="C496" s="292"/>
      <c r="D496" s="292"/>
      <c r="E496" s="292"/>
      <c r="F496" s="292"/>
      <c r="G496" s="292"/>
      <c r="H496" s="292"/>
      <c r="I496" s="292"/>
      <c r="J496" s="292"/>
      <c r="K496" s="292"/>
      <c r="L496" s="292"/>
      <c r="M496" s="292"/>
      <c r="N496" s="292"/>
      <c r="O496" s="292"/>
      <c r="P496" s="292"/>
      <c r="Q496" s="292"/>
      <c r="R496" s="292"/>
      <c r="S496" s="292"/>
      <c r="T496" s="292"/>
      <c r="U496" s="292"/>
      <c r="V496" s="292"/>
      <c r="W496" s="292"/>
      <c r="X496" s="292"/>
      <c r="Y496" s="292"/>
      <c r="Z496" s="292"/>
      <c r="AA496" s="292"/>
      <c r="AB496" s="292"/>
      <c r="AC496" s="292"/>
    </row>
    <row r="497">
      <c r="A497" s="292"/>
      <c r="B497" s="292"/>
      <c r="C497" s="292"/>
      <c r="D497" s="292"/>
      <c r="E497" s="292"/>
      <c r="F497" s="292"/>
      <c r="G497" s="292"/>
      <c r="H497" s="292"/>
      <c r="I497" s="292"/>
      <c r="J497" s="292"/>
      <c r="K497" s="292"/>
      <c r="L497" s="292"/>
      <c r="M497" s="292"/>
      <c r="N497" s="292"/>
      <c r="O497" s="292"/>
      <c r="P497" s="292"/>
      <c r="Q497" s="292"/>
      <c r="R497" s="292"/>
      <c r="S497" s="292"/>
      <c r="T497" s="292"/>
      <c r="U497" s="292"/>
      <c r="V497" s="292"/>
      <c r="W497" s="292"/>
      <c r="X497" s="292"/>
      <c r="Y497" s="292"/>
      <c r="Z497" s="292"/>
      <c r="AA497" s="292"/>
      <c r="AB497" s="292"/>
      <c r="AC497" s="292"/>
    </row>
    <row r="498">
      <c r="A498" s="292"/>
      <c r="B498" s="292"/>
      <c r="C498" s="292"/>
      <c r="D498" s="292"/>
      <c r="E498" s="292"/>
      <c r="F498" s="292"/>
      <c r="G498" s="292"/>
      <c r="H498" s="292"/>
      <c r="I498" s="292"/>
      <c r="J498" s="292"/>
      <c r="K498" s="292"/>
      <c r="L498" s="292"/>
      <c r="M498" s="292"/>
      <c r="N498" s="292"/>
      <c r="O498" s="292"/>
      <c r="P498" s="292"/>
      <c r="Q498" s="292"/>
      <c r="R498" s="292"/>
      <c r="S498" s="292"/>
      <c r="T498" s="292"/>
      <c r="U498" s="292"/>
      <c r="V498" s="292"/>
      <c r="W498" s="292"/>
      <c r="X498" s="292"/>
      <c r="Y498" s="292"/>
      <c r="Z498" s="292"/>
      <c r="AA498" s="292"/>
      <c r="AB498" s="292"/>
      <c r="AC498" s="292"/>
    </row>
    <row r="499">
      <c r="A499" s="292"/>
      <c r="B499" s="292"/>
      <c r="C499" s="292"/>
      <c r="D499" s="292"/>
      <c r="E499" s="292"/>
      <c r="F499" s="292"/>
      <c r="G499" s="292"/>
      <c r="H499" s="292"/>
      <c r="I499" s="292"/>
      <c r="J499" s="292"/>
      <c r="K499" s="292"/>
      <c r="L499" s="292"/>
      <c r="M499" s="292"/>
      <c r="N499" s="292"/>
      <c r="O499" s="292"/>
      <c r="P499" s="292"/>
      <c r="Q499" s="292"/>
      <c r="R499" s="292"/>
      <c r="S499" s="292"/>
      <c r="T499" s="292"/>
      <c r="U499" s="292"/>
      <c r="V499" s="292"/>
      <c r="W499" s="292"/>
      <c r="X499" s="292"/>
      <c r="Y499" s="292"/>
      <c r="Z499" s="292"/>
      <c r="AA499" s="292"/>
      <c r="AB499" s="292"/>
      <c r="AC499" s="292"/>
    </row>
    <row r="500">
      <c r="A500" s="292"/>
      <c r="B500" s="292"/>
      <c r="C500" s="292"/>
      <c r="D500" s="292"/>
      <c r="E500" s="292"/>
      <c r="F500" s="292"/>
      <c r="G500" s="292"/>
      <c r="H500" s="292"/>
      <c r="I500" s="292"/>
      <c r="J500" s="292"/>
      <c r="K500" s="292"/>
      <c r="L500" s="292"/>
      <c r="M500" s="292"/>
      <c r="N500" s="292"/>
      <c r="O500" s="292"/>
      <c r="P500" s="292"/>
      <c r="Q500" s="292"/>
      <c r="R500" s="292"/>
      <c r="S500" s="292"/>
      <c r="T500" s="292"/>
      <c r="U500" s="292"/>
      <c r="V500" s="292"/>
      <c r="W500" s="292"/>
      <c r="X500" s="292"/>
      <c r="Y500" s="292"/>
      <c r="Z500" s="292"/>
      <c r="AA500" s="292"/>
      <c r="AB500" s="292"/>
      <c r="AC500" s="292"/>
    </row>
    <row r="501">
      <c r="A501" s="292"/>
      <c r="B501" s="292"/>
      <c r="C501" s="292"/>
      <c r="D501" s="292"/>
      <c r="E501" s="292"/>
      <c r="F501" s="292"/>
      <c r="G501" s="292"/>
      <c r="H501" s="292"/>
      <c r="I501" s="292"/>
      <c r="J501" s="292"/>
      <c r="K501" s="292"/>
      <c r="L501" s="292"/>
      <c r="M501" s="292"/>
      <c r="N501" s="292"/>
      <c r="O501" s="292"/>
      <c r="P501" s="292"/>
      <c r="Q501" s="292"/>
      <c r="R501" s="292"/>
      <c r="S501" s="292"/>
      <c r="T501" s="292"/>
      <c r="U501" s="292"/>
      <c r="V501" s="292"/>
      <c r="W501" s="292"/>
      <c r="X501" s="292"/>
      <c r="Y501" s="292"/>
      <c r="Z501" s="292"/>
      <c r="AA501" s="292"/>
      <c r="AB501" s="292"/>
      <c r="AC501" s="292"/>
    </row>
    <row r="502">
      <c r="A502" s="292"/>
      <c r="B502" s="292"/>
      <c r="C502" s="292"/>
      <c r="D502" s="292"/>
      <c r="E502" s="292"/>
      <c r="F502" s="292"/>
      <c r="G502" s="292"/>
      <c r="H502" s="292"/>
      <c r="I502" s="292"/>
      <c r="J502" s="292"/>
      <c r="K502" s="292"/>
      <c r="L502" s="292"/>
      <c r="M502" s="292"/>
      <c r="N502" s="292"/>
      <c r="O502" s="292"/>
      <c r="P502" s="292"/>
      <c r="Q502" s="292"/>
      <c r="R502" s="292"/>
      <c r="S502" s="292"/>
      <c r="T502" s="292"/>
      <c r="U502" s="292"/>
      <c r="V502" s="292"/>
      <c r="W502" s="292"/>
      <c r="X502" s="292"/>
      <c r="Y502" s="292"/>
      <c r="Z502" s="292"/>
      <c r="AA502" s="292"/>
      <c r="AB502" s="292"/>
      <c r="AC502" s="292"/>
    </row>
    <row r="503">
      <c r="A503" s="292"/>
      <c r="B503" s="292"/>
      <c r="C503" s="292"/>
      <c r="D503" s="292"/>
      <c r="E503" s="292"/>
      <c r="F503" s="292"/>
      <c r="G503" s="292"/>
      <c r="H503" s="292"/>
      <c r="I503" s="292"/>
      <c r="J503" s="292"/>
      <c r="K503" s="292"/>
      <c r="L503" s="292"/>
      <c r="M503" s="292"/>
      <c r="N503" s="292"/>
      <c r="O503" s="292"/>
      <c r="P503" s="292"/>
      <c r="Q503" s="292"/>
      <c r="R503" s="292"/>
      <c r="S503" s="292"/>
      <c r="T503" s="292"/>
      <c r="U503" s="292"/>
      <c r="V503" s="292"/>
      <c r="W503" s="292"/>
      <c r="X503" s="292"/>
      <c r="Y503" s="292"/>
      <c r="Z503" s="292"/>
      <c r="AA503" s="292"/>
      <c r="AB503" s="292"/>
      <c r="AC503" s="292"/>
    </row>
    <row r="504">
      <c r="A504" s="292"/>
      <c r="B504" s="292"/>
      <c r="C504" s="292"/>
      <c r="D504" s="292"/>
      <c r="E504" s="292"/>
      <c r="F504" s="292"/>
      <c r="G504" s="292"/>
      <c r="H504" s="292"/>
      <c r="I504" s="292"/>
      <c r="J504" s="292"/>
      <c r="K504" s="292"/>
      <c r="L504" s="292"/>
      <c r="M504" s="292"/>
      <c r="N504" s="292"/>
      <c r="O504" s="292"/>
      <c r="P504" s="292"/>
      <c r="Q504" s="292"/>
      <c r="R504" s="292"/>
      <c r="S504" s="292"/>
      <c r="T504" s="292"/>
      <c r="U504" s="292"/>
      <c r="V504" s="292"/>
      <c r="W504" s="292"/>
      <c r="X504" s="292"/>
      <c r="Y504" s="292"/>
      <c r="Z504" s="292"/>
      <c r="AA504" s="292"/>
      <c r="AB504" s="292"/>
      <c r="AC504" s="292"/>
    </row>
    <row r="505">
      <c r="A505" s="292"/>
      <c r="B505" s="292"/>
      <c r="C505" s="292"/>
      <c r="D505" s="292"/>
      <c r="E505" s="292"/>
      <c r="F505" s="292"/>
      <c r="G505" s="292"/>
      <c r="H505" s="292"/>
      <c r="I505" s="292"/>
      <c r="J505" s="292"/>
      <c r="K505" s="292"/>
      <c r="L505" s="292"/>
      <c r="M505" s="292"/>
      <c r="N505" s="292"/>
      <c r="O505" s="292"/>
      <c r="P505" s="292"/>
      <c r="Q505" s="292"/>
      <c r="R505" s="292"/>
      <c r="S505" s="292"/>
      <c r="T505" s="292"/>
      <c r="U505" s="292"/>
      <c r="V505" s="292"/>
      <c r="W505" s="292"/>
      <c r="X505" s="292"/>
      <c r="Y505" s="292"/>
      <c r="Z505" s="292"/>
      <c r="AA505" s="292"/>
      <c r="AB505" s="292"/>
      <c r="AC505" s="292"/>
    </row>
    <row r="506">
      <c r="A506" s="292"/>
      <c r="B506" s="292"/>
      <c r="C506" s="292"/>
      <c r="D506" s="292"/>
      <c r="E506" s="292"/>
      <c r="F506" s="292"/>
      <c r="G506" s="292"/>
      <c r="H506" s="292"/>
      <c r="I506" s="292"/>
      <c r="J506" s="292"/>
      <c r="K506" s="292"/>
      <c r="L506" s="292"/>
      <c r="M506" s="292"/>
      <c r="N506" s="292"/>
      <c r="O506" s="292"/>
      <c r="P506" s="292"/>
      <c r="Q506" s="292"/>
      <c r="R506" s="292"/>
      <c r="S506" s="292"/>
      <c r="T506" s="292"/>
      <c r="U506" s="292"/>
      <c r="V506" s="292"/>
      <c r="W506" s="292"/>
      <c r="X506" s="292"/>
      <c r="Y506" s="292"/>
      <c r="Z506" s="292"/>
      <c r="AA506" s="292"/>
      <c r="AB506" s="292"/>
      <c r="AC506" s="292"/>
    </row>
    <row r="507">
      <c r="A507" s="292"/>
      <c r="B507" s="292"/>
      <c r="C507" s="292"/>
      <c r="D507" s="292"/>
      <c r="E507" s="292"/>
      <c r="F507" s="292"/>
      <c r="G507" s="292"/>
      <c r="H507" s="292"/>
      <c r="I507" s="292"/>
      <c r="J507" s="292"/>
      <c r="K507" s="292"/>
      <c r="L507" s="292"/>
      <c r="M507" s="292"/>
      <c r="N507" s="292"/>
      <c r="O507" s="292"/>
      <c r="P507" s="292"/>
      <c r="Q507" s="292"/>
      <c r="R507" s="292"/>
      <c r="S507" s="292"/>
      <c r="T507" s="292"/>
      <c r="U507" s="292"/>
      <c r="V507" s="292"/>
      <c r="W507" s="292"/>
      <c r="X507" s="292"/>
      <c r="Y507" s="292"/>
      <c r="Z507" s="292"/>
      <c r="AA507" s="292"/>
      <c r="AB507" s="292"/>
      <c r="AC507" s="292"/>
    </row>
    <row r="508">
      <c r="A508" s="292"/>
      <c r="B508" s="292"/>
      <c r="C508" s="292"/>
      <c r="D508" s="292"/>
      <c r="E508" s="292"/>
      <c r="F508" s="292"/>
      <c r="G508" s="292"/>
      <c r="H508" s="292"/>
      <c r="I508" s="292"/>
      <c r="J508" s="292"/>
      <c r="K508" s="292"/>
      <c r="L508" s="292"/>
      <c r="M508" s="292"/>
      <c r="N508" s="292"/>
      <c r="O508" s="292"/>
      <c r="P508" s="292"/>
      <c r="Q508" s="292"/>
      <c r="R508" s="292"/>
      <c r="S508" s="292"/>
      <c r="T508" s="292"/>
      <c r="U508" s="292"/>
      <c r="V508" s="292"/>
      <c r="W508" s="292"/>
      <c r="X508" s="292"/>
      <c r="Y508" s="292"/>
      <c r="Z508" s="292"/>
      <c r="AA508" s="292"/>
      <c r="AB508" s="292"/>
      <c r="AC508" s="292"/>
    </row>
    <row r="509">
      <c r="A509" s="292"/>
      <c r="B509" s="292"/>
      <c r="C509" s="292"/>
      <c r="D509" s="292"/>
      <c r="E509" s="292"/>
      <c r="F509" s="292"/>
      <c r="G509" s="292"/>
      <c r="H509" s="292"/>
      <c r="I509" s="292"/>
      <c r="J509" s="292"/>
      <c r="K509" s="292"/>
      <c r="L509" s="292"/>
      <c r="M509" s="292"/>
      <c r="N509" s="292"/>
      <c r="O509" s="292"/>
      <c r="P509" s="292"/>
      <c r="Q509" s="292"/>
      <c r="R509" s="292"/>
      <c r="S509" s="292"/>
      <c r="T509" s="292"/>
      <c r="U509" s="292"/>
      <c r="V509" s="292"/>
      <c r="W509" s="292"/>
      <c r="X509" s="292"/>
      <c r="Y509" s="292"/>
      <c r="Z509" s="292"/>
      <c r="AA509" s="292"/>
      <c r="AB509" s="292"/>
      <c r="AC509" s="292"/>
    </row>
    <row r="510">
      <c r="A510" s="292"/>
      <c r="B510" s="292"/>
      <c r="C510" s="292"/>
      <c r="D510" s="292"/>
      <c r="E510" s="292"/>
      <c r="F510" s="292"/>
      <c r="G510" s="292"/>
      <c r="H510" s="292"/>
      <c r="I510" s="292"/>
      <c r="J510" s="292"/>
      <c r="K510" s="292"/>
      <c r="L510" s="292"/>
      <c r="M510" s="292"/>
      <c r="N510" s="292"/>
      <c r="O510" s="292"/>
      <c r="P510" s="292"/>
      <c r="Q510" s="292"/>
      <c r="R510" s="292"/>
      <c r="S510" s="292"/>
      <c r="T510" s="292"/>
      <c r="U510" s="292"/>
      <c r="V510" s="292"/>
      <c r="W510" s="292"/>
      <c r="X510" s="292"/>
      <c r="Y510" s="292"/>
      <c r="Z510" s="292"/>
      <c r="AA510" s="292"/>
      <c r="AB510" s="292"/>
      <c r="AC510" s="292"/>
    </row>
    <row r="511">
      <c r="A511" s="292"/>
      <c r="B511" s="292"/>
      <c r="C511" s="292"/>
      <c r="D511" s="292"/>
      <c r="E511" s="292"/>
      <c r="F511" s="292"/>
      <c r="G511" s="292"/>
      <c r="H511" s="292"/>
      <c r="I511" s="292"/>
      <c r="J511" s="292"/>
      <c r="K511" s="292"/>
      <c r="L511" s="292"/>
      <c r="M511" s="292"/>
      <c r="N511" s="292"/>
      <c r="O511" s="292"/>
      <c r="P511" s="292"/>
      <c r="Q511" s="292"/>
      <c r="R511" s="292"/>
      <c r="S511" s="292"/>
      <c r="T511" s="292"/>
      <c r="U511" s="292"/>
      <c r="V511" s="292"/>
      <c r="W511" s="292"/>
      <c r="X511" s="292"/>
      <c r="Y511" s="292"/>
      <c r="Z511" s="292"/>
      <c r="AA511" s="292"/>
      <c r="AB511" s="292"/>
      <c r="AC511" s="292"/>
    </row>
    <row r="512">
      <c r="A512" s="292"/>
      <c r="B512" s="292"/>
      <c r="C512" s="292"/>
      <c r="D512" s="292"/>
      <c r="E512" s="292"/>
      <c r="F512" s="292"/>
      <c r="G512" s="292"/>
      <c r="H512" s="292"/>
      <c r="I512" s="292"/>
      <c r="J512" s="292"/>
      <c r="K512" s="292"/>
      <c r="L512" s="292"/>
      <c r="M512" s="292"/>
      <c r="N512" s="292"/>
      <c r="O512" s="292"/>
      <c r="P512" s="292"/>
      <c r="Q512" s="292"/>
      <c r="R512" s="292"/>
      <c r="S512" s="292"/>
      <c r="T512" s="292"/>
      <c r="U512" s="292"/>
      <c r="V512" s="292"/>
      <c r="W512" s="292"/>
      <c r="X512" s="292"/>
      <c r="Y512" s="292"/>
      <c r="Z512" s="292"/>
      <c r="AA512" s="292"/>
      <c r="AB512" s="292"/>
      <c r="AC512" s="292"/>
    </row>
    <row r="513">
      <c r="A513" s="292"/>
      <c r="B513" s="292"/>
      <c r="C513" s="292"/>
      <c r="D513" s="292"/>
      <c r="E513" s="292"/>
      <c r="F513" s="292"/>
      <c r="G513" s="292"/>
      <c r="H513" s="292"/>
      <c r="I513" s="292"/>
      <c r="J513" s="292"/>
      <c r="K513" s="292"/>
      <c r="L513" s="292"/>
      <c r="M513" s="292"/>
      <c r="N513" s="292"/>
      <c r="O513" s="292"/>
      <c r="P513" s="292"/>
      <c r="Q513" s="292"/>
      <c r="R513" s="292"/>
      <c r="S513" s="292"/>
      <c r="T513" s="292"/>
      <c r="U513" s="292"/>
      <c r="V513" s="292"/>
      <c r="W513" s="292"/>
      <c r="X513" s="292"/>
      <c r="Y513" s="292"/>
      <c r="Z513" s="292"/>
      <c r="AA513" s="292"/>
      <c r="AB513" s="292"/>
      <c r="AC513" s="292"/>
    </row>
    <row r="514">
      <c r="A514" s="292"/>
      <c r="B514" s="292"/>
      <c r="C514" s="292"/>
      <c r="D514" s="292"/>
      <c r="E514" s="292"/>
      <c r="F514" s="292"/>
      <c r="G514" s="292"/>
      <c r="H514" s="292"/>
      <c r="I514" s="292"/>
      <c r="J514" s="292"/>
      <c r="K514" s="292"/>
      <c r="L514" s="292"/>
      <c r="M514" s="292"/>
      <c r="N514" s="292"/>
      <c r="O514" s="292"/>
      <c r="P514" s="292"/>
      <c r="Q514" s="292"/>
      <c r="R514" s="292"/>
      <c r="S514" s="292"/>
      <c r="T514" s="292"/>
      <c r="U514" s="292"/>
      <c r="V514" s="292"/>
      <c r="W514" s="292"/>
      <c r="X514" s="292"/>
      <c r="Y514" s="292"/>
      <c r="Z514" s="292"/>
      <c r="AA514" s="292"/>
      <c r="AB514" s="292"/>
      <c r="AC514" s="292"/>
    </row>
    <row r="515">
      <c r="A515" s="292"/>
      <c r="B515" s="292"/>
      <c r="C515" s="292"/>
      <c r="D515" s="292"/>
      <c r="E515" s="292"/>
      <c r="F515" s="292"/>
      <c r="G515" s="292"/>
      <c r="H515" s="292"/>
      <c r="I515" s="292"/>
      <c r="J515" s="292"/>
      <c r="K515" s="292"/>
      <c r="L515" s="292"/>
      <c r="M515" s="292"/>
      <c r="N515" s="292"/>
      <c r="O515" s="292"/>
      <c r="P515" s="292"/>
      <c r="Q515" s="292"/>
      <c r="R515" s="292"/>
      <c r="S515" s="292"/>
      <c r="T515" s="292"/>
      <c r="U515" s="292"/>
      <c r="V515" s="292"/>
      <c r="W515" s="292"/>
      <c r="X515" s="292"/>
      <c r="Y515" s="292"/>
      <c r="Z515" s="292"/>
      <c r="AA515" s="292"/>
      <c r="AB515" s="292"/>
      <c r="AC515" s="292"/>
    </row>
    <row r="516">
      <c r="A516" s="292"/>
      <c r="B516" s="292"/>
      <c r="C516" s="292"/>
      <c r="D516" s="292"/>
      <c r="E516" s="292"/>
      <c r="F516" s="292"/>
      <c r="G516" s="292"/>
      <c r="H516" s="292"/>
      <c r="I516" s="292"/>
      <c r="J516" s="292"/>
      <c r="K516" s="292"/>
      <c r="L516" s="292"/>
      <c r="M516" s="292"/>
      <c r="N516" s="292"/>
      <c r="O516" s="292"/>
      <c r="P516" s="292"/>
      <c r="Q516" s="292"/>
      <c r="R516" s="292"/>
      <c r="S516" s="292"/>
      <c r="T516" s="292"/>
      <c r="U516" s="292"/>
      <c r="V516" s="292"/>
      <c r="W516" s="292"/>
      <c r="X516" s="292"/>
      <c r="Y516" s="292"/>
      <c r="Z516" s="292"/>
      <c r="AA516" s="292"/>
      <c r="AB516" s="292"/>
      <c r="AC516" s="292"/>
    </row>
    <row r="517">
      <c r="A517" s="292"/>
      <c r="B517" s="292"/>
      <c r="C517" s="292"/>
      <c r="D517" s="292"/>
      <c r="E517" s="292"/>
      <c r="F517" s="292"/>
      <c r="G517" s="292"/>
      <c r="H517" s="292"/>
      <c r="I517" s="292"/>
      <c r="J517" s="292"/>
      <c r="K517" s="292"/>
      <c r="L517" s="292"/>
      <c r="M517" s="292"/>
      <c r="N517" s="292"/>
      <c r="O517" s="292"/>
      <c r="P517" s="292"/>
      <c r="Q517" s="292"/>
      <c r="R517" s="292"/>
      <c r="S517" s="292"/>
      <c r="T517" s="292"/>
      <c r="U517" s="292"/>
      <c r="V517" s="292"/>
      <c r="W517" s="292"/>
      <c r="X517" s="292"/>
      <c r="Y517" s="292"/>
      <c r="Z517" s="292"/>
      <c r="AA517" s="292"/>
      <c r="AB517" s="292"/>
      <c r="AC517" s="292"/>
    </row>
    <row r="518">
      <c r="A518" s="292"/>
      <c r="B518" s="292"/>
      <c r="C518" s="292"/>
      <c r="D518" s="292"/>
      <c r="E518" s="292"/>
      <c r="F518" s="292"/>
      <c r="G518" s="292"/>
      <c r="H518" s="292"/>
      <c r="I518" s="292"/>
      <c r="J518" s="292"/>
      <c r="K518" s="292"/>
      <c r="L518" s="292"/>
      <c r="M518" s="292"/>
      <c r="N518" s="292"/>
      <c r="O518" s="292"/>
      <c r="P518" s="292"/>
      <c r="Q518" s="292"/>
      <c r="R518" s="292"/>
      <c r="S518" s="292"/>
      <c r="T518" s="292"/>
      <c r="U518" s="292"/>
      <c r="V518" s="292"/>
      <c r="W518" s="292"/>
      <c r="X518" s="292"/>
      <c r="Y518" s="292"/>
      <c r="Z518" s="292"/>
      <c r="AA518" s="292"/>
      <c r="AB518" s="292"/>
      <c r="AC518" s="292"/>
    </row>
    <row r="519">
      <c r="A519" s="292"/>
      <c r="B519" s="292"/>
      <c r="C519" s="292"/>
      <c r="D519" s="292"/>
      <c r="E519" s="292"/>
      <c r="F519" s="292"/>
      <c r="G519" s="292"/>
      <c r="H519" s="292"/>
      <c r="I519" s="292"/>
      <c r="J519" s="292"/>
      <c r="K519" s="292"/>
      <c r="L519" s="292"/>
      <c r="M519" s="292"/>
      <c r="N519" s="292"/>
      <c r="O519" s="292"/>
      <c r="P519" s="292"/>
      <c r="Q519" s="292"/>
      <c r="R519" s="292"/>
      <c r="S519" s="292"/>
      <c r="T519" s="292"/>
      <c r="U519" s="292"/>
      <c r="V519" s="292"/>
      <c r="W519" s="292"/>
      <c r="X519" s="292"/>
      <c r="Y519" s="292"/>
      <c r="Z519" s="292"/>
      <c r="AA519" s="292"/>
      <c r="AB519" s="292"/>
      <c r="AC519" s="292"/>
    </row>
    <row r="520">
      <c r="A520" s="292"/>
      <c r="B520" s="292"/>
      <c r="C520" s="292"/>
      <c r="D520" s="292"/>
      <c r="E520" s="292"/>
      <c r="F520" s="292"/>
      <c r="G520" s="292"/>
      <c r="H520" s="292"/>
      <c r="I520" s="292"/>
      <c r="J520" s="292"/>
      <c r="K520" s="292"/>
      <c r="L520" s="292"/>
      <c r="M520" s="292"/>
      <c r="N520" s="292"/>
      <c r="O520" s="292"/>
      <c r="P520" s="292"/>
      <c r="Q520" s="292"/>
      <c r="R520" s="292"/>
      <c r="S520" s="292"/>
      <c r="T520" s="292"/>
      <c r="U520" s="292"/>
      <c r="V520" s="292"/>
      <c r="W520" s="292"/>
      <c r="X520" s="292"/>
      <c r="Y520" s="292"/>
      <c r="Z520" s="292"/>
      <c r="AA520" s="292"/>
      <c r="AB520" s="292"/>
      <c r="AC520" s="292"/>
    </row>
    <row r="521">
      <c r="A521" s="292"/>
      <c r="B521" s="292"/>
      <c r="C521" s="292"/>
      <c r="D521" s="292"/>
      <c r="E521" s="292"/>
      <c r="F521" s="292"/>
      <c r="G521" s="292"/>
      <c r="H521" s="292"/>
      <c r="I521" s="292"/>
      <c r="J521" s="292"/>
      <c r="K521" s="292"/>
      <c r="L521" s="292"/>
      <c r="M521" s="292"/>
      <c r="N521" s="292"/>
      <c r="O521" s="292"/>
      <c r="P521" s="292"/>
      <c r="Q521" s="292"/>
      <c r="R521" s="292"/>
      <c r="S521" s="292"/>
      <c r="T521" s="292"/>
      <c r="U521" s="292"/>
      <c r="V521" s="292"/>
      <c r="W521" s="292"/>
      <c r="X521" s="292"/>
      <c r="Y521" s="292"/>
      <c r="Z521" s="292"/>
      <c r="AA521" s="292"/>
      <c r="AB521" s="292"/>
      <c r="AC521" s="292"/>
    </row>
    <row r="522">
      <c r="A522" s="292"/>
      <c r="B522" s="292"/>
      <c r="C522" s="292"/>
      <c r="D522" s="292"/>
      <c r="E522" s="292"/>
      <c r="F522" s="292"/>
      <c r="G522" s="292"/>
      <c r="H522" s="292"/>
      <c r="I522" s="292"/>
      <c r="J522" s="292"/>
      <c r="K522" s="292"/>
      <c r="L522" s="292"/>
      <c r="M522" s="292"/>
      <c r="N522" s="292"/>
      <c r="O522" s="292"/>
      <c r="P522" s="292"/>
      <c r="Q522" s="292"/>
      <c r="R522" s="292"/>
      <c r="S522" s="292"/>
      <c r="T522" s="292"/>
      <c r="U522" s="292"/>
      <c r="V522" s="292"/>
      <c r="W522" s="292"/>
      <c r="X522" s="292"/>
      <c r="Y522" s="292"/>
      <c r="Z522" s="292"/>
      <c r="AA522" s="292"/>
      <c r="AB522" s="292"/>
      <c r="AC522" s="292"/>
    </row>
    <row r="523">
      <c r="A523" s="292"/>
      <c r="B523" s="292"/>
      <c r="C523" s="292"/>
      <c r="D523" s="292"/>
      <c r="E523" s="292"/>
      <c r="F523" s="292"/>
      <c r="G523" s="292"/>
      <c r="H523" s="292"/>
      <c r="I523" s="292"/>
      <c r="J523" s="292"/>
      <c r="K523" s="292"/>
      <c r="L523" s="292"/>
      <c r="M523" s="292"/>
      <c r="N523" s="292"/>
      <c r="O523" s="292"/>
      <c r="P523" s="292"/>
      <c r="Q523" s="292"/>
      <c r="R523" s="292"/>
      <c r="S523" s="292"/>
      <c r="T523" s="292"/>
      <c r="U523" s="292"/>
      <c r="V523" s="292"/>
      <c r="W523" s="292"/>
      <c r="X523" s="292"/>
      <c r="Y523" s="292"/>
      <c r="Z523" s="292"/>
      <c r="AA523" s="292"/>
      <c r="AB523" s="292"/>
      <c r="AC523" s="292"/>
    </row>
    <row r="524">
      <c r="A524" s="292"/>
      <c r="B524" s="292"/>
      <c r="C524" s="292"/>
      <c r="D524" s="292"/>
      <c r="E524" s="292"/>
      <c r="F524" s="292"/>
      <c r="G524" s="292"/>
      <c r="H524" s="292"/>
      <c r="I524" s="292"/>
      <c r="J524" s="292"/>
      <c r="K524" s="292"/>
      <c r="L524" s="292"/>
      <c r="M524" s="292"/>
      <c r="N524" s="292"/>
      <c r="O524" s="292"/>
      <c r="P524" s="292"/>
      <c r="Q524" s="292"/>
      <c r="R524" s="292"/>
      <c r="S524" s="292"/>
      <c r="T524" s="292"/>
      <c r="U524" s="292"/>
      <c r="V524" s="292"/>
      <c r="W524" s="292"/>
      <c r="X524" s="292"/>
      <c r="Y524" s="292"/>
      <c r="Z524" s="292"/>
      <c r="AA524" s="292"/>
      <c r="AB524" s="292"/>
      <c r="AC524" s="292"/>
    </row>
    <row r="525">
      <c r="A525" s="292"/>
      <c r="B525" s="292"/>
      <c r="C525" s="292"/>
      <c r="D525" s="292"/>
      <c r="E525" s="292"/>
      <c r="F525" s="292"/>
      <c r="G525" s="292"/>
      <c r="H525" s="292"/>
      <c r="I525" s="292"/>
      <c r="J525" s="292"/>
      <c r="K525" s="292"/>
      <c r="L525" s="292"/>
      <c r="M525" s="292"/>
      <c r="N525" s="292"/>
      <c r="O525" s="292"/>
      <c r="P525" s="292"/>
      <c r="Q525" s="292"/>
      <c r="R525" s="292"/>
      <c r="S525" s="292"/>
      <c r="T525" s="292"/>
      <c r="U525" s="292"/>
      <c r="V525" s="292"/>
      <c r="W525" s="292"/>
      <c r="X525" s="292"/>
      <c r="Y525" s="292"/>
      <c r="Z525" s="292"/>
      <c r="AA525" s="292"/>
      <c r="AB525" s="292"/>
      <c r="AC525" s="292"/>
    </row>
    <row r="526">
      <c r="A526" s="292"/>
      <c r="B526" s="292"/>
      <c r="C526" s="292"/>
      <c r="D526" s="292"/>
      <c r="E526" s="292"/>
      <c r="F526" s="292"/>
      <c r="G526" s="292"/>
      <c r="H526" s="292"/>
      <c r="I526" s="292"/>
      <c r="J526" s="292"/>
      <c r="K526" s="292"/>
      <c r="L526" s="292"/>
      <c r="M526" s="292"/>
      <c r="N526" s="292"/>
      <c r="O526" s="292"/>
      <c r="P526" s="292"/>
      <c r="Q526" s="292"/>
      <c r="R526" s="292"/>
      <c r="S526" s="292"/>
      <c r="T526" s="292"/>
      <c r="U526" s="292"/>
      <c r="V526" s="292"/>
      <c r="W526" s="292"/>
      <c r="X526" s="292"/>
      <c r="Y526" s="292"/>
      <c r="Z526" s="292"/>
      <c r="AA526" s="292"/>
      <c r="AB526" s="292"/>
      <c r="AC526" s="292"/>
    </row>
    <row r="527">
      <c r="A527" s="292"/>
      <c r="B527" s="292"/>
      <c r="C527" s="292"/>
      <c r="D527" s="292"/>
      <c r="E527" s="292"/>
      <c r="F527" s="292"/>
      <c r="G527" s="292"/>
      <c r="H527" s="292"/>
      <c r="I527" s="292"/>
      <c r="J527" s="292"/>
      <c r="K527" s="292"/>
      <c r="L527" s="292"/>
      <c r="M527" s="292"/>
      <c r="N527" s="292"/>
      <c r="O527" s="292"/>
      <c r="P527" s="292"/>
      <c r="Q527" s="292"/>
      <c r="R527" s="292"/>
      <c r="S527" s="292"/>
      <c r="T527" s="292"/>
      <c r="U527" s="292"/>
      <c r="V527" s="292"/>
      <c r="W527" s="292"/>
      <c r="X527" s="292"/>
      <c r="Y527" s="292"/>
      <c r="Z527" s="292"/>
      <c r="AA527" s="292"/>
      <c r="AB527" s="292"/>
      <c r="AC527" s="292"/>
    </row>
    <row r="528">
      <c r="A528" s="292"/>
      <c r="B528" s="292"/>
      <c r="C528" s="292"/>
      <c r="D528" s="292"/>
      <c r="E528" s="292"/>
      <c r="F528" s="292"/>
      <c r="G528" s="292"/>
      <c r="H528" s="292"/>
      <c r="I528" s="292"/>
      <c r="J528" s="292"/>
      <c r="K528" s="292"/>
      <c r="L528" s="292"/>
      <c r="M528" s="292"/>
      <c r="N528" s="292"/>
      <c r="O528" s="292"/>
      <c r="P528" s="292"/>
      <c r="Q528" s="292"/>
      <c r="R528" s="292"/>
      <c r="S528" s="292"/>
      <c r="T528" s="292"/>
      <c r="U528" s="292"/>
      <c r="V528" s="292"/>
      <c r="W528" s="292"/>
      <c r="X528" s="292"/>
      <c r="Y528" s="292"/>
      <c r="Z528" s="292"/>
      <c r="AA528" s="292"/>
      <c r="AB528" s="292"/>
      <c r="AC528" s="292"/>
    </row>
    <row r="529">
      <c r="A529" s="292"/>
      <c r="B529" s="292"/>
      <c r="C529" s="292"/>
      <c r="D529" s="292"/>
      <c r="E529" s="292"/>
      <c r="F529" s="292"/>
      <c r="G529" s="292"/>
      <c r="H529" s="292"/>
      <c r="I529" s="292"/>
      <c r="J529" s="292"/>
      <c r="K529" s="292"/>
      <c r="L529" s="292"/>
      <c r="M529" s="292"/>
      <c r="N529" s="292"/>
      <c r="O529" s="292"/>
      <c r="P529" s="292"/>
      <c r="Q529" s="292"/>
      <c r="R529" s="292"/>
      <c r="S529" s="292"/>
      <c r="T529" s="292"/>
      <c r="U529" s="292"/>
      <c r="V529" s="292"/>
      <c r="W529" s="292"/>
      <c r="X529" s="292"/>
      <c r="Y529" s="292"/>
      <c r="Z529" s="292"/>
      <c r="AA529" s="292"/>
      <c r="AB529" s="292"/>
      <c r="AC529" s="292"/>
    </row>
    <row r="530">
      <c r="A530" s="292"/>
      <c r="B530" s="292"/>
      <c r="C530" s="292"/>
      <c r="D530" s="292"/>
      <c r="E530" s="292"/>
      <c r="F530" s="292"/>
      <c r="G530" s="292"/>
      <c r="H530" s="292"/>
      <c r="I530" s="292"/>
      <c r="J530" s="292"/>
      <c r="K530" s="292"/>
      <c r="L530" s="292"/>
      <c r="M530" s="292"/>
      <c r="N530" s="292"/>
      <c r="O530" s="292"/>
      <c r="P530" s="292"/>
      <c r="Q530" s="292"/>
      <c r="R530" s="292"/>
      <c r="S530" s="292"/>
      <c r="T530" s="292"/>
      <c r="U530" s="292"/>
      <c r="V530" s="292"/>
      <c r="W530" s="292"/>
      <c r="X530" s="292"/>
      <c r="Y530" s="292"/>
      <c r="Z530" s="292"/>
      <c r="AA530" s="292"/>
      <c r="AB530" s="292"/>
      <c r="AC530" s="292"/>
    </row>
    <row r="531">
      <c r="A531" s="292"/>
      <c r="B531" s="292"/>
      <c r="C531" s="292"/>
      <c r="D531" s="292"/>
      <c r="E531" s="292"/>
      <c r="F531" s="292"/>
      <c r="G531" s="292"/>
      <c r="H531" s="292"/>
      <c r="I531" s="292"/>
      <c r="J531" s="292"/>
      <c r="K531" s="292"/>
      <c r="L531" s="292"/>
      <c r="M531" s="292"/>
      <c r="N531" s="292"/>
      <c r="O531" s="292"/>
      <c r="P531" s="292"/>
      <c r="Q531" s="292"/>
      <c r="R531" s="292"/>
      <c r="S531" s="292"/>
      <c r="T531" s="292"/>
      <c r="U531" s="292"/>
      <c r="V531" s="292"/>
      <c r="W531" s="292"/>
      <c r="X531" s="292"/>
      <c r="Y531" s="292"/>
      <c r="Z531" s="292"/>
      <c r="AA531" s="292"/>
      <c r="AB531" s="292"/>
      <c r="AC531" s="292"/>
    </row>
    <row r="532">
      <c r="A532" s="292"/>
      <c r="B532" s="292"/>
      <c r="C532" s="292"/>
      <c r="D532" s="292"/>
      <c r="E532" s="292"/>
      <c r="F532" s="292"/>
      <c r="G532" s="292"/>
      <c r="H532" s="292"/>
      <c r="I532" s="292"/>
      <c r="J532" s="292"/>
      <c r="K532" s="292"/>
      <c r="L532" s="292"/>
      <c r="M532" s="292"/>
      <c r="N532" s="292"/>
      <c r="O532" s="292"/>
      <c r="P532" s="292"/>
      <c r="Q532" s="292"/>
      <c r="R532" s="292"/>
      <c r="S532" s="292"/>
      <c r="T532" s="292"/>
      <c r="U532" s="292"/>
      <c r="V532" s="292"/>
      <c r="W532" s="292"/>
      <c r="X532" s="292"/>
      <c r="Y532" s="292"/>
      <c r="Z532" s="292"/>
      <c r="AA532" s="292"/>
      <c r="AB532" s="292"/>
      <c r="AC532" s="292"/>
    </row>
    <row r="533">
      <c r="A533" s="292"/>
      <c r="B533" s="292"/>
      <c r="C533" s="292"/>
      <c r="D533" s="292"/>
      <c r="E533" s="292"/>
      <c r="F533" s="292"/>
      <c r="G533" s="292"/>
      <c r="H533" s="292"/>
      <c r="I533" s="292"/>
      <c r="J533" s="292"/>
      <c r="K533" s="292"/>
      <c r="L533" s="292"/>
      <c r="M533" s="292"/>
      <c r="N533" s="292"/>
      <c r="O533" s="292"/>
      <c r="P533" s="292"/>
      <c r="Q533" s="292"/>
      <c r="R533" s="292"/>
      <c r="S533" s="292"/>
      <c r="T533" s="292"/>
      <c r="U533" s="292"/>
      <c r="V533" s="292"/>
      <c r="W533" s="292"/>
      <c r="X533" s="292"/>
      <c r="Y533" s="292"/>
      <c r="Z533" s="292"/>
      <c r="AA533" s="292"/>
      <c r="AB533" s="292"/>
      <c r="AC533" s="292"/>
    </row>
    <row r="534">
      <c r="A534" s="292"/>
      <c r="B534" s="292"/>
      <c r="C534" s="292"/>
      <c r="D534" s="292"/>
      <c r="E534" s="292"/>
      <c r="F534" s="292"/>
      <c r="G534" s="292"/>
      <c r="H534" s="292"/>
      <c r="I534" s="292"/>
      <c r="J534" s="292"/>
      <c r="K534" s="292"/>
      <c r="L534" s="292"/>
      <c r="M534" s="292"/>
      <c r="N534" s="292"/>
      <c r="O534" s="292"/>
      <c r="P534" s="292"/>
      <c r="Q534" s="292"/>
      <c r="R534" s="292"/>
      <c r="S534" s="292"/>
      <c r="T534" s="292"/>
      <c r="U534" s="292"/>
      <c r="V534" s="292"/>
      <c r="W534" s="292"/>
      <c r="X534" s="292"/>
      <c r="Y534" s="292"/>
      <c r="Z534" s="292"/>
      <c r="AA534" s="292"/>
      <c r="AB534" s="292"/>
      <c r="AC534" s="292"/>
    </row>
    <row r="535">
      <c r="A535" s="292"/>
      <c r="B535" s="292"/>
      <c r="C535" s="292"/>
      <c r="D535" s="292"/>
      <c r="E535" s="292"/>
      <c r="F535" s="292"/>
      <c r="G535" s="292"/>
      <c r="H535" s="292"/>
      <c r="I535" s="292"/>
      <c r="J535" s="292"/>
      <c r="K535" s="292"/>
      <c r="L535" s="292"/>
      <c r="M535" s="292"/>
      <c r="N535" s="292"/>
      <c r="O535" s="292"/>
      <c r="P535" s="292"/>
      <c r="Q535" s="292"/>
      <c r="R535" s="292"/>
      <c r="S535" s="292"/>
      <c r="T535" s="292"/>
      <c r="U535" s="292"/>
      <c r="V535" s="292"/>
      <c r="W535" s="292"/>
      <c r="X535" s="292"/>
      <c r="Y535" s="292"/>
      <c r="Z535" s="292"/>
      <c r="AA535" s="292"/>
      <c r="AB535" s="292"/>
      <c r="AC535" s="292"/>
    </row>
    <row r="536">
      <c r="A536" s="292"/>
      <c r="B536" s="292"/>
      <c r="C536" s="292"/>
      <c r="D536" s="292"/>
      <c r="E536" s="292"/>
      <c r="F536" s="292"/>
      <c r="G536" s="292"/>
      <c r="H536" s="292"/>
      <c r="I536" s="292"/>
      <c r="J536" s="292"/>
      <c r="K536" s="292"/>
      <c r="L536" s="292"/>
      <c r="M536" s="292"/>
      <c r="N536" s="292"/>
      <c r="O536" s="292"/>
      <c r="P536" s="292"/>
      <c r="Q536" s="292"/>
      <c r="R536" s="292"/>
      <c r="S536" s="292"/>
      <c r="T536" s="292"/>
      <c r="U536" s="292"/>
      <c r="V536" s="292"/>
      <c r="W536" s="292"/>
      <c r="X536" s="292"/>
      <c r="Y536" s="292"/>
      <c r="Z536" s="292"/>
      <c r="AA536" s="292"/>
      <c r="AB536" s="292"/>
      <c r="AC536" s="292"/>
    </row>
    <row r="537">
      <c r="A537" s="292"/>
      <c r="B537" s="292"/>
      <c r="C537" s="292"/>
      <c r="D537" s="292"/>
      <c r="E537" s="292"/>
      <c r="F537" s="292"/>
      <c r="G537" s="292"/>
      <c r="H537" s="292"/>
      <c r="I537" s="292"/>
      <c r="J537" s="292"/>
      <c r="K537" s="292"/>
      <c r="L537" s="292"/>
      <c r="M537" s="292"/>
      <c r="N537" s="292"/>
      <c r="O537" s="292"/>
      <c r="P537" s="292"/>
      <c r="Q537" s="292"/>
      <c r="R537" s="292"/>
      <c r="S537" s="292"/>
      <c r="T537" s="292"/>
      <c r="U537" s="292"/>
      <c r="V537" s="292"/>
      <c r="W537" s="292"/>
      <c r="X537" s="292"/>
      <c r="Y537" s="292"/>
      <c r="Z537" s="292"/>
      <c r="AA537" s="292"/>
      <c r="AB537" s="292"/>
      <c r="AC537" s="292"/>
    </row>
    <row r="538">
      <c r="A538" s="292"/>
      <c r="B538" s="292"/>
      <c r="C538" s="292"/>
      <c r="D538" s="292"/>
      <c r="E538" s="292"/>
      <c r="F538" s="292"/>
      <c r="G538" s="292"/>
      <c r="H538" s="292"/>
      <c r="I538" s="292"/>
      <c r="J538" s="292"/>
      <c r="K538" s="292"/>
      <c r="L538" s="292"/>
      <c r="M538" s="292"/>
      <c r="N538" s="292"/>
      <c r="O538" s="292"/>
      <c r="P538" s="292"/>
      <c r="Q538" s="292"/>
      <c r="R538" s="292"/>
      <c r="S538" s="292"/>
      <c r="T538" s="292"/>
      <c r="U538" s="292"/>
      <c r="V538" s="292"/>
      <c r="W538" s="292"/>
      <c r="X538" s="292"/>
      <c r="Y538" s="292"/>
      <c r="Z538" s="292"/>
      <c r="AA538" s="292"/>
      <c r="AB538" s="292"/>
      <c r="AC538" s="292"/>
    </row>
    <row r="539">
      <c r="A539" s="292"/>
      <c r="B539" s="292"/>
      <c r="C539" s="292"/>
      <c r="D539" s="292"/>
      <c r="E539" s="292"/>
      <c r="F539" s="292"/>
      <c r="G539" s="292"/>
      <c r="H539" s="292"/>
      <c r="I539" s="292"/>
      <c r="J539" s="292"/>
      <c r="K539" s="292"/>
      <c r="L539" s="292"/>
      <c r="M539" s="292"/>
      <c r="N539" s="292"/>
      <c r="O539" s="292"/>
      <c r="P539" s="292"/>
      <c r="Q539" s="292"/>
      <c r="R539" s="292"/>
      <c r="S539" s="292"/>
      <c r="T539" s="292"/>
      <c r="U539" s="292"/>
      <c r="V539" s="292"/>
      <c r="W539" s="292"/>
      <c r="X539" s="292"/>
      <c r="Y539" s="292"/>
      <c r="Z539" s="292"/>
      <c r="AA539" s="292"/>
      <c r="AB539" s="292"/>
      <c r="AC539" s="292"/>
    </row>
    <row r="540">
      <c r="A540" s="292"/>
      <c r="B540" s="292"/>
      <c r="C540" s="292"/>
      <c r="D540" s="292"/>
      <c r="E540" s="292"/>
      <c r="F540" s="292"/>
      <c r="G540" s="292"/>
      <c r="H540" s="292"/>
      <c r="I540" s="292"/>
      <c r="J540" s="292"/>
      <c r="K540" s="292"/>
      <c r="L540" s="292"/>
      <c r="M540" s="292"/>
      <c r="N540" s="292"/>
      <c r="O540" s="292"/>
      <c r="P540" s="292"/>
      <c r="Q540" s="292"/>
      <c r="R540" s="292"/>
      <c r="S540" s="292"/>
      <c r="T540" s="292"/>
      <c r="U540" s="292"/>
      <c r="V540" s="292"/>
      <c r="W540" s="292"/>
      <c r="X540" s="292"/>
      <c r="Y540" s="292"/>
      <c r="Z540" s="292"/>
      <c r="AA540" s="292"/>
      <c r="AB540" s="292"/>
      <c r="AC540" s="292"/>
    </row>
    <row r="541">
      <c r="A541" s="292"/>
      <c r="B541" s="292"/>
      <c r="C541" s="292"/>
      <c r="D541" s="292"/>
      <c r="E541" s="292"/>
      <c r="F541" s="292"/>
      <c r="G541" s="292"/>
      <c r="H541" s="292"/>
      <c r="I541" s="292"/>
      <c r="J541" s="292"/>
      <c r="K541" s="292"/>
      <c r="L541" s="292"/>
      <c r="M541" s="292"/>
      <c r="N541" s="292"/>
      <c r="O541" s="292"/>
      <c r="P541" s="292"/>
      <c r="Q541" s="292"/>
      <c r="R541" s="292"/>
      <c r="S541" s="292"/>
      <c r="T541" s="292"/>
      <c r="U541" s="292"/>
      <c r="V541" s="292"/>
      <c r="W541" s="292"/>
      <c r="X541" s="292"/>
      <c r="Y541" s="292"/>
      <c r="Z541" s="292"/>
      <c r="AA541" s="292"/>
      <c r="AB541" s="292"/>
      <c r="AC541" s="292"/>
    </row>
    <row r="542">
      <c r="A542" s="292"/>
      <c r="B542" s="292"/>
      <c r="C542" s="292"/>
      <c r="D542" s="292"/>
      <c r="E542" s="292"/>
      <c r="F542" s="292"/>
      <c r="G542" s="292"/>
      <c r="H542" s="292"/>
      <c r="I542" s="292"/>
      <c r="J542" s="292"/>
      <c r="K542" s="292"/>
      <c r="L542" s="292"/>
      <c r="M542" s="292"/>
      <c r="N542" s="292"/>
      <c r="O542" s="292"/>
      <c r="P542" s="292"/>
      <c r="Q542" s="292"/>
      <c r="R542" s="292"/>
      <c r="S542" s="292"/>
      <c r="T542" s="292"/>
      <c r="U542" s="292"/>
      <c r="V542" s="292"/>
      <c r="W542" s="292"/>
      <c r="X542" s="292"/>
      <c r="Y542" s="292"/>
      <c r="Z542" s="292"/>
      <c r="AA542" s="292"/>
      <c r="AB542" s="292"/>
      <c r="AC542" s="292"/>
    </row>
    <row r="543">
      <c r="A543" s="292"/>
      <c r="B543" s="292"/>
      <c r="C543" s="292"/>
      <c r="D543" s="292"/>
      <c r="E543" s="292"/>
      <c r="F543" s="292"/>
      <c r="G543" s="292"/>
      <c r="H543" s="292"/>
      <c r="I543" s="292"/>
      <c r="J543" s="292"/>
      <c r="K543" s="292"/>
      <c r="L543" s="292"/>
      <c r="M543" s="292"/>
      <c r="N543" s="292"/>
      <c r="O543" s="292"/>
      <c r="P543" s="292"/>
      <c r="Q543" s="292"/>
      <c r="R543" s="292"/>
      <c r="S543" s="292"/>
      <c r="T543" s="292"/>
      <c r="U543" s="292"/>
      <c r="V543" s="292"/>
      <c r="W543" s="292"/>
      <c r="X543" s="292"/>
      <c r="Y543" s="292"/>
      <c r="Z543" s="292"/>
      <c r="AA543" s="292"/>
      <c r="AB543" s="292"/>
      <c r="AC543" s="292"/>
    </row>
    <row r="544">
      <c r="A544" s="292"/>
      <c r="B544" s="292"/>
      <c r="C544" s="292"/>
      <c r="D544" s="292"/>
      <c r="E544" s="292"/>
      <c r="F544" s="292"/>
      <c r="G544" s="292"/>
      <c r="H544" s="292"/>
      <c r="I544" s="292"/>
      <c r="J544" s="292"/>
      <c r="K544" s="292"/>
      <c r="L544" s="292"/>
      <c r="M544" s="292"/>
      <c r="N544" s="292"/>
      <c r="O544" s="292"/>
      <c r="P544" s="292"/>
      <c r="Q544" s="292"/>
      <c r="R544" s="292"/>
      <c r="S544" s="292"/>
      <c r="T544" s="292"/>
      <c r="U544" s="292"/>
      <c r="V544" s="292"/>
      <c r="W544" s="292"/>
      <c r="X544" s="292"/>
      <c r="Y544" s="292"/>
      <c r="Z544" s="292"/>
      <c r="AA544" s="292"/>
      <c r="AB544" s="292"/>
      <c r="AC544" s="292"/>
    </row>
    <row r="545">
      <c r="A545" s="292"/>
      <c r="B545" s="292"/>
      <c r="C545" s="292"/>
      <c r="D545" s="292"/>
      <c r="E545" s="292"/>
      <c r="F545" s="292"/>
      <c r="G545" s="292"/>
      <c r="H545" s="292"/>
      <c r="I545" s="292"/>
      <c r="J545" s="292"/>
      <c r="K545" s="292"/>
      <c r="L545" s="292"/>
      <c r="M545" s="292"/>
      <c r="N545" s="292"/>
      <c r="O545" s="292"/>
      <c r="P545" s="292"/>
      <c r="Q545" s="292"/>
      <c r="R545" s="292"/>
      <c r="S545" s="292"/>
      <c r="T545" s="292"/>
      <c r="U545" s="292"/>
      <c r="V545" s="292"/>
      <c r="W545" s="292"/>
      <c r="X545" s="292"/>
      <c r="Y545" s="292"/>
      <c r="Z545" s="292"/>
      <c r="AA545" s="292"/>
      <c r="AB545" s="292"/>
      <c r="AC545" s="292"/>
    </row>
    <row r="546">
      <c r="A546" s="292"/>
      <c r="B546" s="292"/>
      <c r="C546" s="292"/>
      <c r="D546" s="292"/>
      <c r="E546" s="292"/>
      <c r="F546" s="292"/>
      <c r="G546" s="292"/>
      <c r="H546" s="292"/>
      <c r="I546" s="292"/>
      <c r="J546" s="292"/>
      <c r="K546" s="292"/>
      <c r="L546" s="292"/>
      <c r="M546" s="292"/>
      <c r="N546" s="292"/>
      <c r="O546" s="292"/>
      <c r="P546" s="292"/>
      <c r="Q546" s="292"/>
      <c r="R546" s="292"/>
      <c r="S546" s="292"/>
      <c r="T546" s="292"/>
      <c r="U546" s="292"/>
      <c r="V546" s="292"/>
      <c r="W546" s="292"/>
      <c r="X546" s="292"/>
      <c r="Y546" s="292"/>
      <c r="Z546" s="292"/>
      <c r="AA546" s="292"/>
      <c r="AB546" s="292"/>
      <c r="AC546" s="292"/>
    </row>
    <row r="547">
      <c r="A547" s="292"/>
      <c r="B547" s="292"/>
      <c r="C547" s="292"/>
      <c r="D547" s="292"/>
      <c r="E547" s="292"/>
      <c r="F547" s="292"/>
      <c r="G547" s="292"/>
      <c r="H547" s="292"/>
      <c r="I547" s="292"/>
      <c r="J547" s="292"/>
      <c r="K547" s="292"/>
      <c r="L547" s="292"/>
      <c r="M547" s="292"/>
      <c r="N547" s="292"/>
      <c r="O547" s="292"/>
      <c r="P547" s="292"/>
      <c r="Q547" s="292"/>
      <c r="R547" s="292"/>
      <c r="S547" s="292"/>
      <c r="T547" s="292"/>
      <c r="U547" s="292"/>
      <c r="V547" s="292"/>
      <c r="W547" s="292"/>
      <c r="X547" s="292"/>
      <c r="Y547" s="292"/>
      <c r="Z547" s="292"/>
      <c r="AA547" s="292"/>
      <c r="AB547" s="292"/>
      <c r="AC547" s="292"/>
    </row>
    <row r="548">
      <c r="A548" s="292"/>
      <c r="B548" s="292"/>
      <c r="C548" s="292"/>
      <c r="D548" s="292"/>
      <c r="E548" s="292"/>
      <c r="F548" s="292"/>
      <c r="G548" s="292"/>
      <c r="H548" s="292"/>
      <c r="I548" s="292"/>
      <c r="J548" s="292"/>
      <c r="K548" s="292"/>
      <c r="L548" s="292"/>
      <c r="M548" s="292"/>
      <c r="N548" s="292"/>
      <c r="O548" s="292"/>
      <c r="P548" s="292"/>
      <c r="Q548" s="292"/>
      <c r="R548" s="292"/>
      <c r="S548" s="292"/>
      <c r="T548" s="292"/>
      <c r="U548" s="292"/>
      <c r="V548" s="292"/>
      <c r="W548" s="292"/>
      <c r="X548" s="292"/>
      <c r="Y548" s="292"/>
      <c r="Z548" s="292"/>
      <c r="AA548" s="292"/>
      <c r="AB548" s="292"/>
      <c r="AC548" s="292"/>
    </row>
    <row r="549">
      <c r="A549" s="292"/>
      <c r="B549" s="292"/>
      <c r="C549" s="292"/>
      <c r="D549" s="292"/>
      <c r="E549" s="292"/>
      <c r="F549" s="292"/>
      <c r="G549" s="292"/>
      <c r="H549" s="292"/>
      <c r="I549" s="292"/>
      <c r="J549" s="292"/>
      <c r="K549" s="292"/>
      <c r="L549" s="292"/>
      <c r="M549" s="292"/>
      <c r="N549" s="292"/>
      <c r="O549" s="292"/>
      <c r="P549" s="292"/>
      <c r="Q549" s="292"/>
      <c r="R549" s="292"/>
      <c r="S549" s="292"/>
      <c r="T549" s="292"/>
      <c r="U549" s="292"/>
      <c r="V549" s="292"/>
      <c r="W549" s="292"/>
      <c r="X549" s="292"/>
      <c r="Y549" s="292"/>
      <c r="Z549" s="292"/>
      <c r="AA549" s="292"/>
      <c r="AB549" s="292"/>
      <c r="AC549" s="292"/>
    </row>
    <row r="550">
      <c r="A550" s="292"/>
      <c r="B550" s="292"/>
      <c r="C550" s="292"/>
      <c r="D550" s="292"/>
      <c r="E550" s="292"/>
      <c r="F550" s="292"/>
      <c r="G550" s="292"/>
      <c r="H550" s="292"/>
      <c r="I550" s="292"/>
      <c r="J550" s="292"/>
      <c r="K550" s="292"/>
      <c r="L550" s="292"/>
      <c r="M550" s="292"/>
      <c r="N550" s="292"/>
      <c r="O550" s="292"/>
      <c r="P550" s="292"/>
      <c r="Q550" s="292"/>
      <c r="R550" s="292"/>
      <c r="S550" s="292"/>
      <c r="T550" s="292"/>
      <c r="U550" s="292"/>
      <c r="V550" s="292"/>
      <c r="W550" s="292"/>
      <c r="X550" s="292"/>
      <c r="Y550" s="292"/>
      <c r="Z550" s="292"/>
      <c r="AA550" s="292"/>
      <c r="AB550" s="292"/>
      <c r="AC550" s="292"/>
    </row>
    <row r="551">
      <c r="A551" s="292"/>
      <c r="B551" s="292"/>
      <c r="C551" s="292"/>
      <c r="D551" s="292"/>
      <c r="E551" s="292"/>
      <c r="F551" s="292"/>
      <c r="G551" s="292"/>
      <c r="H551" s="292"/>
      <c r="I551" s="292"/>
      <c r="J551" s="292"/>
      <c r="K551" s="292"/>
      <c r="L551" s="292"/>
      <c r="M551" s="292"/>
      <c r="N551" s="292"/>
      <c r="O551" s="292"/>
      <c r="P551" s="292"/>
      <c r="Q551" s="292"/>
      <c r="R551" s="292"/>
      <c r="S551" s="292"/>
      <c r="T551" s="292"/>
      <c r="U551" s="292"/>
      <c r="V551" s="292"/>
      <c r="W551" s="292"/>
      <c r="X551" s="292"/>
      <c r="Y551" s="292"/>
      <c r="Z551" s="292"/>
      <c r="AA551" s="292"/>
      <c r="AB551" s="292"/>
      <c r="AC551" s="292"/>
    </row>
    <row r="552">
      <c r="A552" s="292"/>
      <c r="B552" s="292"/>
      <c r="C552" s="292"/>
      <c r="D552" s="292"/>
      <c r="E552" s="292"/>
      <c r="F552" s="292"/>
      <c r="G552" s="292"/>
      <c r="H552" s="292"/>
      <c r="I552" s="292"/>
      <c r="J552" s="292"/>
      <c r="K552" s="292"/>
      <c r="L552" s="292"/>
      <c r="M552" s="292"/>
      <c r="N552" s="292"/>
      <c r="O552" s="292"/>
      <c r="P552" s="292"/>
      <c r="Q552" s="292"/>
      <c r="R552" s="292"/>
      <c r="S552" s="292"/>
      <c r="T552" s="292"/>
      <c r="U552" s="292"/>
      <c r="V552" s="292"/>
      <c r="W552" s="292"/>
      <c r="X552" s="292"/>
      <c r="Y552" s="292"/>
      <c r="Z552" s="292"/>
      <c r="AA552" s="292"/>
      <c r="AB552" s="292"/>
      <c r="AC552" s="292"/>
    </row>
    <row r="553">
      <c r="A553" s="292"/>
      <c r="B553" s="292"/>
      <c r="C553" s="292"/>
      <c r="D553" s="292"/>
      <c r="E553" s="292"/>
      <c r="F553" s="292"/>
      <c r="G553" s="292"/>
      <c r="H553" s="292"/>
      <c r="I553" s="292"/>
      <c r="J553" s="292"/>
      <c r="K553" s="292"/>
      <c r="L553" s="292"/>
      <c r="M553" s="292"/>
      <c r="N553" s="292"/>
      <c r="O553" s="292"/>
      <c r="P553" s="292"/>
      <c r="Q553" s="292"/>
      <c r="R553" s="292"/>
      <c r="S553" s="292"/>
      <c r="T553" s="292"/>
      <c r="U553" s="292"/>
      <c r="V553" s="292"/>
      <c r="W553" s="292"/>
      <c r="X553" s="292"/>
      <c r="Y553" s="292"/>
      <c r="Z553" s="292"/>
      <c r="AA553" s="292"/>
      <c r="AB553" s="292"/>
      <c r="AC553" s="292"/>
    </row>
    <row r="554">
      <c r="A554" s="292"/>
      <c r="B554" s="292"/>
      <c r="C554" s="292"/>
      <c r="D554" s="292"/>
      <c r="E554" s="292"/>
      <c r="F554" s="292"/>
      <c r="G554" s="292"/>
      <c r="H554" s="292"/>
      <c r="I554" s="292"/>
      <c r="J554" s="292"/>
      <c r="K554" s="292"/>
      <c r="L554" s="292"/>
      <c r="M554" s="292"/>
      <c r="N554" s="292"/>
      <c r="O554" s="292"/>
      <c r="P554" s="292"/>
      <c r="Q554" s="292"/>
      <c r="R554" s="292"/>
      <c r="S554" s="292"/>
      <c r="T554" s="292"/>
      <c r="U554" s="292"/>
      <c r="V554" s="292"/>
      <c r="W554" s="292"/>
      <c r="X554" s="292"/>
      <c r="Y554" s="292"/>
      <c r="Z554" s="292"/>
      <c r="AA554" s="292"/>
      <c r="AB554" s="292"/>
      <c r="AC554" s="292"/>
    </row>
    <row r="555">
      <c r="A555" s="292"/>
      <c r="B555" s="292"/>
      <c r="C555" s="292"/>
      <c r="D555" s="292"/>
      <c r="E555" s="292"/>
      <c r="F555" s="292"/>
      <c r="G555" s="292"/>
      <c r="H555" s="292"/>
      <c r="I555" s="292"/>
      <c r="J555" s="292"/>
      <c r="K555" s="292"/>
      <c r="L555" s="292"/>
      <c r="M555" s="292"/>
      <c r="N555" s="292"/>
      <c r="O555" s="292"/>
      <c r="P555" s="292"/>
      <c r="Q555" s="292"/>
      <c r="R555" s="292"/>
      <c r="S555" s="292"/>
      <c r="T555" s="292"/>
      <c r="U555" s="292"/>
      <c r="V555" s="292"/>
      <c r="W555" s="292"/>
      <c r="X555" s="292"/>
      <c r="Y555" s="292"/>
      <c r="Z555" s="292"/>
      <c r="AA555" s="292"/>
      <c r="AB555" s="292"/>
      <c r="AC555" s="292"/>
    </row>
    <row r="556">
      <c r="A556" s="292"/>
      <c r="B556" s="292"/>
      <c r="C556" s="292"/>
      <c r="D556" s="292"/>
      <c r="E556" s="292"/>
      <c r="F556" s="292"/>
      <c r="G556" s="292"/>
      <c r="H556" s="292"/>
      <c r="I556" s="292"/>
      <c r="J556" s="292"/>
      <c r="K556" s="292"/>
      <c r="L556" s="292"/>
      <c r="M556" s="292"/>
      <c r="N556" s="292"/>
      <c r="O556" s="292"/>
      <c r="P556" s="292"/>
      <c r="Q556" s="292"/>
      <c r="R556" s="292"/>
      <c r="S556" s="292"/>
      <c r="T556" s="292"/>
      <c r="U556" s="292"/>
      <c r="V556" s="292"/>
      <c r="W556" s="292"/>
      <c r="X556" s="292"/>
      <c r="Y556" s="292"/>
      <c r="Z556" s="292"/>
      <c r="AA556" s="292"/>
      <c r="AB556" s="292"/>
      <c r="AC556" s="292"/>
    </row>
    <row r="557">
      <c r="A557" s="292"/>
      <c r="B557" s="292"/>
      <c r="C557" s="292"/>
      <c r="D557" s="292"/>
      <c r="E557" s="292"/>
      <c r="F557" s="292"/>
      <c r="G557" s="292"/>
      <c r="H557" s="292"/>
      <c r="I557" s="292"/>
      <c r="J557" s="292"/>
      <c r="K557" s="292"/>
      <c r="L557" s="292"/>
      <c r="M557" s="292"/>
      <c r="N557" s="292"/>
      <c r="O557" s="292"/>
      <c r="P557" s="292"/>
      <c r="Q557" s="292"/>
      <c r="R557" s="292"/>
      <c r="S557" s="292"/>
      <c r="T557" s="292"/>
      <c r="U557" s="292"/>
      <c r="V557" s="292"/>
      <c r="W557" s="292"/>
      <c r="X557" s="292"/>
      <c r="Y557" s="292"/>
      <c r="Z557" s="292"/>
      <c r="AA557" s="292"/>
      <c r="AB557" s="292"/>
      <c r="AC557" s="292"/>
    </row>
    <row r="558">
      <c r="A558" s="292"/>
      <c r="B558" s="292"/>
      <c r="C558" s="292"/>
      <c r="D558" s="292"/>
      <c r="E558" s="292"/>
      <c r="F558" s="292"/>
      <c r="G558" s="292"/>
      <c r="H558" s="292"/>
      <c r="I558" s="292"/>
      <c r="J558" s="292"/>
      <c r="K558" s="292"/>
      <c r="L558" s="292"/>
      <c r="M558" s="292"/>
      <c r="N558" s="292"/>
      <c r="O558" s="292"/>
      <c r="P558" s="292"/>
      <c r="Q558" s="292"/>
      <c r="R558" s="292"/>
      <c r="S558" s="292"/>
      <c r="T558" s="292"/>
      <c r="U558" s="292"/>
      <c r="V558" s="292"/>
      <c r="W558" s="292"/>
      <c r="X558" s="292"/>
      <c r="Y558" s="292"/>
      <c r="Z558" s="292"/>
      <c r="AA558" s="292"/>
      <c r="AB558" s="292"/>
      <c r="AC558" s="292"/>
    </row>
    <row r="559">
      <c r="A559" s="292"/>
      <c r="B559" s="292"/>
      <c r="C559" s="292"/>
      <c r="D559" s="292"/>
      <c r="E559" s="292"/>
      <c r="F559" s="292"/>
      <c r="G559" s="292"/>
      <c r="H559" s="292"/>
      <c r="I559" s="292"/>
      <c r="J559" s="292"/>
      <c r="K559" s="292"/>
      <c r="L559" s="292"/>
      <c r="M559" s="292"/>
      <c r="N559" s="292"/>
      <c r="O559" s="292"/>
      <c r="P559" s="292"/>
      <c r="Q559" s="292"/>
      <c r="R559" s="292"/>
      <c r="S559" s="292"/>
      <c r="T559" s="292"/>
      <c r="U559" s="292"/>
      <c r="V559" s="292"/>
      <c r="W559" s="292"/>
      <c r="X559" s="292"/>
      <c r="Y559" s="292"/>
      <c r="Z559" s="292"/>
      <c r="AA559" s="292"/>
      <c r="AB559" s="292"/>
      <c r="AC559" s="292"/>
    </row>
    <row r="560">
      <c r="A560" s="292"/>
      <c r="B560" s="292"/>
      <c r="C560" s="292"/>
      <c r="D560" s="292"/>
      <c r="E560" s="292"/>
      <c r="F560" s="292"/>
      <c r="G560" s="292"/>
      <c r="H560" s="292"/>
      <c r="I560" s="292"/>
      <c r="J560" s="292"/>
      <c r="K560" s="292"/>
      <c r="L560" s="292"/>
      <c r="M560" s="292"/>
      <c r="N560" s="292"/>
      <c r="O560" s="292"/>
      <c r="P560" s="292"/>
      <c r="Q560" s="292"/>
      <c r="R560" s="292"/>
      <c r="S560" s="292"/>
      <c r="T560" s="292"/>
      <c r="U560" s="292"/>
      <c r="V560" s="292"/>
      <c r="W560" s="292"/>
      <c r="X560" s="292"/>
      <c r="Y560" s="292"/>
      <c r="Z560" s="292"/>
      <c r="AA560" s="292"/>
      <c r="AB560" s="292"/>
      <c r="AC560" s="292"/>
    </row>
    <row r="561">
      <c r="A561" s="292"/>
      <c r="B561" s="292"/>
      <c r="C561" s="292"/>
      <c r="D561" s="292"/>
      <c r="E561" s="292"/>
      <c r="F561" s="292"/>
      <c r="G561" s="292"/>
      <c r="H561" s="292"/>
      <c r="I561" s="292"/>
      <c r="J561" s="292"/>
      <c r="K561" s="292"/>
      <c r="L561" s="292"/>
      <c r="M561" s="292"/>
      <c r="N561" s="292"/>
      <c r="O561" s="292"/>
      <c r="P561" s="292"/>
      <c r="Q561" s="292"/>
      <c r="R561" s="292"/>
      <c r="S561" s="292"/>
      <c r="T561" s="292"/>
      <c r="U561" s="292"/>
      <c r="V561" s="292"/>
      <c r="W561" s="292"/>
      <c r="X561" s="292"/>
      <c r="Y561" s="292"/>
      <c r="Z561" s="292"/>
      <c r="AA561" s="292"/>
      <c r="AB561" s="292"/>
      <c r="AC561" s="292"/>
    </row>
    <row r="562">
      <c r="A562" s="292"/>
      <c r="B562" s="292"/>
      <c r="C562" s="292"/>
      <c r="D562" s="292"/>
      <c r="E562" s="292"/>
      <c r="F562" s="292"/>
      <c r="G562" s="292"/>
      <c r="H562" s="292"/>
      <c r="I562" s="292"/>
      <c r="J562" s="292"/>
      <c r="K562" s="292"/>
      <c r="L562" s="292"/>
      <c r="M562" s="292"/>
      <c r="N562" s="292"/>
      <c r="O562" s="292"/>
      <c r="P562" s="292"/>
      <c r="Q562" s="292"/>
      <c r="R562" s="292"/>
      <c r="S562" s="292"/>
      <c r="T562" s="292"/>
      <c r="U562" s="292"/>
      <c r="V562" s="292"/>
      <c r="W562" s="292"/>
      <c r="X562" s="292"/>
      <c r="Y562" s="292"/>
      <c r="Z562" s="292"/>
      <c r="AA562" s="292"/>
      <c r="AB562" s="292"/>
      <c r="AC562" s="292"/>
    </row>
    <row r="563">
      <c r="A563" s="292"/>
      <c r="B563" s="292"/>
      <c r="C563" s="292"/>
      <c r="D563" s="292"/>
      <c r="E563" s="292"/>
      <c r="F563" s="292"/>
      <c r="G563" s="292"/>
      <c r="H563" s="292"/>
      <c r="I563" s="292"/>
      <c r="J563" s="292"/>
      <c r="K563" s="292"/>
      <c r="L563" s="292"/>
      <c r="M563" s="292"/>
      <c r="N563" s="292"/>
      <c r="O563" s="292"/>
      <c r="P563" s="292"/>
      <c r="Q563" s="292"/>
      <c r="R563" s="292"/>
      <c r="S563" s="292"/>
      <c r="T563" s="292"/>
      <c r="U563" s="292"/>
      <c r="V563" s="292"/>
      <c r="W563" s="292"/>
      <c r="X563" s="292"/>
      <c r="Y563" s="292"/>
      <c r="Z563" s="292"/>
      <c r="AA563" s="292"/>
      <c r="AB563" s="292"/>
      <c r="AC563" s="292"/>
    </row>
    <row r="564">
      <c r="A564" s="292"/>
      <c r="B564" s="292"/>
      <c r="C564" s="292"/>
      <c r="D564" s="292"/>
      <c r="E564" s="292"/>
      <c r="F564" s="292"/>
      <c r="G564" s="292"/>
      <c r="H564" s="292"/>
      <c r="I564" s="292"/>
      <c r="J564" s="292"/>
      <c r="K564" s="292"/>
      <c r="L564" s="292"/>
      <c r="M564" s="292"/>
      <c r="N564" s="292"/>
      <c r="O564" s="292"/>
      <c r="P564" s="292"/>
      <c r="Q564" s="292"/>
      <c r="R564" s="292"/>
      <c r="S564" s="292"/>
      <c r="T564" s="292"/>
      <c r="U564" s="292"/>
      <c r="V564" s="292"/>
      <c r="W564" s="292"/>
      <c r="X564" s="292"/>
      <c r="Y564" s="292"/>
      <c r="Z564" s="292"/>
      <c r="AA564" s="292"/>
      <c r="AB564" s="292"/>
      <c r="AC564" s="292"/>
    </row>
    <row r="565">
      <c r="A565" s="292"/>
      <c r="B565" s="292"/>
      <c r="C565" s="292"/>
      <c r="D565" s="292"/>
      <c r="E565" s="292"/>
      <c r="F565" s="292"/>
      <c r="G565" s="292"/>
      <c r="H565" s="292"/>
      <c r="I565" s="292"/>
      <c r="J565" s="292"/>
      <c r="K565" s="292"/>
      <c r="L565" s="292"/>
      <c r="M565" s="292"/>
      <c r="N565" s="292"/>
      <c r="O565" s="292"/>
      <c r="P565" s="292"/>
      <c r="Q565" s="292"/>
      <c r="R565" s="292"/>
      <c r="S565" s="292"/>
      <c r="T565" s="292"/>
      <c r="U565" s="292"/>
      <c r="V565" s="292"/>
      <c r="W565" s="292"/>
      <c r="X565" s="292"/>
      <c r="Y565" s="292"/>
      <c r="Z565" s="292"/>
      <c r="AA565" s="292"/>
      <c r="AB565" s="292"/>
      <c r="AC565" s="292"/>
    </row>
    <row r="566">
      <c r="A566" s="292"/>
      <c r="B566" s="292"/>
      <c r="C566" s="292"/>
      <c r="D566" s="292"/>
      <c r="E566" s="292"/>
      <c r="F566" s="292"/>
      <c r="G566" s="292"/>
      <c r="H566" s="292"/>
      <c r="I566" s="292"/>
      <c r="J566" s="292"/>
      <c r="K566" s="292"/>
      <c r="L566" s="292"/>
      <c r="M566" s="292"/>
      <c r="N566" s="292"/>
      <c r="O566" s="292"/>
      <c r="P566" s="292"/>
      <c r="Q566" s="292"/>
      <c r="R566" s="292"/>
      <c r="S566" s="292"/>
      <c r="T566" s="292"/>
      <c r="U566" s="292"/>
      <c r="V566" s="292"/>
      <c r="W566" s="292"/>
      <c r="X566" s="292"/>
      <c r="Y566" s="292"/>
      <c r="Z566" s="292"/>
      <c r="AA566" s="292"/>
      <c r="AB566" s="292"/>
      <c r="AC566" s="292"/>
    </row>
    <row r="567">
      <c r="A567" s="292"/>
      <c r="B567" s="292"/>
      <c r="C567" s="292"/>
      <c r="D567" s="292"/>
      <c r="E567" s="292"/>
      <c r="F567" s="292"/>
      <c r="G567" s="292"/>
      <c r="H567" s="292"/>
      <c r="I567" s="292"/>
      <c r="J567" s="292"/>
      <c r="K567" s="292"/>
      <c r="L567" s="292"/>
      <c r="M567" s="292"/>
      <c r="N567" s="292"/>
      <c r="O567" s="292"/>
      <c r="P567" s="292"/>
      <c r="Q567" s="292"/>
      <c r="R567" s="292"/>
      <c r="S567" s="292"/>
      <c r="T567" s="292"/>
      <c r="U567" s="292"/>
      <c r="V567" s="292"/>
      <c r="W567" s="292"/>
      <c r="X567" s="292"/>
      <c r="Y567" s="292"/>
      <c r="Z567" s="292"/>
      <c r="AA567" s="292"/>
      <c r="AB567" s="292"/>
      <c r="AC567" s="292"/>
    </row>
    <row r="568">
      <c r="A568" s="292"/>
      <c r="B568" s="292"/>
      <c r="C568" s="292"/>
      <c r="D568" s="292"/>
      <c r="E568" s="292"/>
      <c r="F568" s="292"/>
      <c r="G568" s="292"/>
      <c r="H568" s="292"/>
      <c r="I568" s="292"/>
      <c r="J568" s="292"/>
      <c r="K568" s="292"/>
      <c r="L568" s="292"/>
      <c r="M568" s="292"/>
      <c r="N568" s="292"/>
      <c r="O568" s="292"/>
      <c r="P568" s="292"/>
      <c r="Q568" s="292"/>
      <c r="R568" s="292"/>
      <c r="S568" s="292"/>
      <c r="T568" s="292"/>
      <c r="U568" s="292"/>
      <c r="V568" s="292"/>
      <c r="W568" s="292"/>
      <c r="X568" s="292"/>
      <c r="Y568" s="292"/>
      <c r="Z568" s="292"/>
      <c r="AA568" s="292"/>
      <c r="AB568" s="292"/>
      <c r="AC568" s="292"/>
    </row>
    <row r="569">
      <c r="A569" s="292"/>
      <c r="B569" s="292"/>
      <c r="C569" s="292"/>
      <c r="D569" s="292"/>
      <c r="E569" s="292"/>
      <c r="F569" s="292"/>
      <c r="G569" s="292"/>
      <c r="H569" s="292"/>
      <c r="I569" s="292"/>
      <c r="J569" s="292"/>
      <c r="K569" s="292"/>
      <c r="L569" s="292"/>
      <c r="M569" s="292"/>
      <c r="N569" s="292"/>
      <c r="O569" s="292"/>
      <c r="P569" s="292"/>
      <c r="Q569" s="292"/>
      <c r="R569" s="292"/>
      <c r="S569" s="292"/>
      <c r="T569" s="292"/>
      <c r="U569" s="292"/>
      <c r="V569" s="292"/>
      <c r="W569" s="292"/>
      <c r="X569" s="292"/>
      <c r="Y569" s="292"/>
      <c r="Z569" s="292"/>
      <c r="AA569" s="292"/>
      <c r="AB569" s="292"/>
      <c r="AC569" s="292"/>
    </row>
    <row r="570">
      <c r="A570" s="292"/>
      <c r="B570" s="292"/>
      <c r="C570" s="292"/>
      <c r="D570" s="292"/>
      <c r="E570" s="292"/>
      <c r="F570" s="292"/>
      <c r="G570" s="292"/>
      <c r="H570" s="292"/>
      <c r="I570" s="292"/>
      <c r="J570" s="292"/>
      <c r="K570" s="292"/>
      <c r="L570" s="292"/>
      <c r="M570" s="292"/>
      <c r="N570" s="292"/>
      <c r="O570" s="292"/>
      <c r="P570" s="292"/>
      <c r="Q570" s="292"/>
      <c r="R570" s="292"/>
      <c r="S570" s="292"/>
      <c r="T570" s="292"/>
      <c r="U570" s="292"/>
      <c r="V570" s="292"/>
      <c r="W570" s="292"/>
      <c r="X570" s="292"/>
      <c r="Y570" s="292"/>
      <c r="Z570" s="292"/>
      <c r="AA570" s="292"/>
      <c r="AB570" s="292"/>
      <c r="AC570" s="292"/>
    </row>
    <row r="571">
      <c r="A571" s="292"/>
      <c r="B571" s="292"/>
      <c r="C571" s="292"/>
      <c r="D571" s="292"/>
      <c r="E571" s="292"/>
      <c r="F571" s="292"/>
      <c r="G571" s="292"/>
      <c r="H571" s="292"/>
      <c r="I571" s="292"/>
      <c r="J571" s="292"/>
      <c r="K571" s="292"/>
      <c r="L571" s="292"/>
      <c r="M571" s="292"/>
      <c r="N571" s="292"/>
      <c r="O571" s="292"/>
      <c r="P571" s="292"/>
      <c r="Q571" s="292"/>
      <c r="R571" s="292"/>
      <c r="S571" s="292"/>
      <c r="T571" s="292"/>
      <c r="U571" s="292"/>
      <c r="V571" s="292"/>
      <c r="W571" s="292"/>
      <c r="X571" s="292"/>
      <c r="Y571" s="292"/>
      <c r="Z571" s="292"/>
      <c r="AA571" s="292"/>
      <c r="AB571" s="292"/>
      <c r="AC571" s="292"/>
    </row>
    <row r="572">
      <c r="A572" s="292"/>
      <c r="B572" s="292"/>
      <c r="C572" s="292"/>
      <c r="D572" s="292"/>
      <c r="E572" s="292"/>
      <c r="F572" s="292"/>
      <c r="G572" s="292"/>
      <c r="H572" s="292"/>
      <c r="I572" s="292"/>
      <c r="J572" s="292"/>
      <c r="K572" s="292"/>
      <c r="L572" s="292"/>
      <c r="M572" s="292"/>
      <c r="N572" s="292"/>
      <c r="O572" s="292"/>
      <c r="P572" s="292"/>
      <c r="Q572" s="292"/>
      <c r="R572" s="292"/>
      <c r="S572" s="292"/>
      <c r="T572" s="292"/>
      <c r="U572" s="292"/>
      <c r="V572" s="292"/>
      <c r="W572" s="292"/>
      <c r="X572" s="292"/>
      <c r="Y572" s="292"/>
      <c r="Z572" s="292"/>
      <c r="AA572" s="292"/>
      <c r="AB572" s="292"/>
      <c r="AC572" s="292"/>
    </row>
    <row r="573">
      <c r="A573" s="292"/>
      <c r="B573" s="292"/>
      <c r="C573" s="292"/>
      <c r="D573" s="292"/>
      <c r="E573" s="292"/>
      <c r="F573" s="292"/>
      <c r="G573" s="292"/>
      <c r="H573" s="292"/>
      <c r="I573" s="292"/>
      <c r="J573" s="292"/>
      <c r="K573" s="292"/>
      <c r="L573" s="292"/>
      <c r="M573" s="292"/>
      <c r="N573" s="292"/>
      <c r="O573" s="292"/>
      <c r="P573" s="292"/>
      <c r="Q573" s="292"/>
      <c r="R573" s="292"/>
      <c r="S573" s="292"/>
      <c r="T573" s="292"/>
      <c r="U573" s="292"/>
      <c r="V573" s="292"/>
      <c r="W573" s="292"/>
      <c r="X573" s="292"/>
      <c r="Y573" s="292"/>
      <c r="Z573" s="292"/>
      <c r="AA573" s="292"/>
      <c r="AB573" s="292"/>
      <c r="AC573" s="292"/>
    </row>
    <row r="574">
      <c r="A574" s="292"/>
      <c r="B574" s="292"/>
      <c r="C574" s="292"/>
      <c r="D574" s="292"/>
      <c r="E574" s="292"/>
      <c r="F574" s="292"/>
      <c r="G574" s="292"/>
      <c r="H574" s="292"/>
      <c r="I574" s="292"/>
      <c r="J574" s="292"/>
      <c r="K574" s="292"/>
      <c r="L574" s="292"/>
      <c r="M574" s="292"/>
      <c r="N574" s="292"/>
      <c r="O574" s="292"/>
      <c r="P574" s="292"/>
      <c r="Q574" s="292"/>
      <c r="R574" s="292"/>
      <c r="S574" s="292"/>
      <c r="T574" s="292"/>
      <c r="U574" s="292"/>
      <c r="V574" s="292"/>
      <c r="W574" s="292"/>
      <c r="X574" s="292"/>
      <c r="Y574" s="292"/>
      <c r="Z574" s="292"/>
      <c r="AA574" s="292"/>
      <c r="AB574" s="292"/>
      <c r="AC574" s="292"/>
    </row>
    <row r="575">
      <c r="A575" s="292"/>
      <c r="B575" s="292"/>
      <c r="C575" s="292"/>
      <c r="D575" s="292"/>
      <c r="E575" s="292"/>
      <c r="F575" s="292"/>
      <c r="G575" s="292"/>
      <c r="H575" s="292"/>
      <c r="I575" s="292"/>
      <c r="J575" s="292"/>
      <c r="K575" s="292"/>
      <c r="L575" s="292"/>
      <c r="M575" s="292"/>
      <c r="N575" s="292"/>
      <c r="O575" s="292"/>
      <c r="P575" s="292"/>
      <c r="Q575" s="292"/>
      <c r="R575" s="292"/>
      <c r="S575" s="292"/>
      <c r="T575" s="292"/>
      <c r="U575" s="292"/>
      <c r="V575" s="292"/>
      <c r="W575" s="292"/>
      <c r="X575" s="292"/>
      <c r="Y575" s="292"/>
      <c r="Z575" s="292"/>
      <c r="AA575" s="292"/>
      <c r="AB575" s="292"/>
      <c r="AC575" s="292"/>
    </row>
    <row r="576">
      <c r="A576" s="292"/>
      <c r="B576" s="292"/>
      <c r="C576" s="292"/>
      <c r="D576" s="292"/>
      <c r="E576" s="292"/>
      <c r="F576" s="292"/>
      <c r="G576" s="292"/>
      <c r="H576" s="292"/>
      <c r="I576" s="292"/>
      <c r="J576" s="292"/>
      <c r="K576" s="292"/>
      <c r="L576" s="292"/>
      <c r="M576" s="292"/>
      <c r="N576" s="292"/>
      <c r="O576" s="292"/>
      <c r="P576" s="292"/>
      <c r="Q576" s="292"/>
      <c r="R576" s="292"/>
      <c r="S576" s="292"/>
      <c r="T576" s="292"/>
      <c r="U576" s="292"/>
      <c r="V576" s="292"/>
      <c r="W576" s="292"/>
      <c r="X576" s="292"/>
      <c r="Y576" s="292"/>
      <c r="Z576" s="292"/>
      <c r="AA576" s="292"/>
      <c r="AB576" s="292"/>
      <c r="AC576" s="292"/>
    </row>
    <row r="577">
      <c r="A577" s="292"/>
      <c r="B577" s="292"/>
      <c r="C577" s="292"/>
      <c r="D577" s="292"/>
      <c r="E577" s="292"/>
      <c r="F577" s="292"/>
      <c r="G577" s="292"/>
      <c r="H577" s="292"/>
      <c r="I577" s="292"/>
      <c r="J577" s="292"/>
      <c r="K577" s="292"/>
      <c r="L577" s="292"/>
      <c r="M577" s="292"/>
      <c r="N577" s="292"/>
      <c r="O577" s="292"/>
      <c r="P577" s="292"/>
      <c r="Q577" s="292"/>
      <c r="R577" s="292"/>
      <c r="S577" s="292"/>
      <c r="T577" s="292"/>
      <c r="U577" s="292"/>
      <c r="V577" s="292"/>
      <c r="W577" s="292"/>
      <c r="X577" s="292"/>
      <c r="Y577" s="292"/>
      <c r="Z577" s="292"/>
      <c r="AA577" s="292"/>
      <c r="AB577" s="292"/>
      <c r="AC577" s="292"/>
    </row>
    <row r="578">
      <c r="A578" s="292"/>
      <c r="B578" s="292"/>
      <c r="C578" s="292"/>
      <c r="D578" s="292"/>
      <c r="E578" s="292"/>
      <c r="F578" s="292"/>
      <c r="G578" s="292"/>
      <c r="H578" s="292"/>
      <c r="I578" s="292"/>
      <c r="J578" s="292"/>
      <c r="K578" s="292"/>
      <c r="L578" s="292"/>
      <c r="M578" s="292"/>
      <c r="N578" s="292"/>
      <c r="O578" s="292"/>
      <c r="P578" s="292"/>
      <c r="Q578" s="292"/>
      <c r="R578" s="292"/>
      <c r="S578" s="292"/>
      <c r="T578" s="292"/>
      <c r="U578" s="292"/>
      <c r="V578" s="292"/>
      <c r="W578" s="292"/>
      <c r="X578" s="292"/>
      <c r="Y578" s="292"/>
      <c r="Z578" s="292"/>
      <c r="AA578" s="292"/>
      <c r="AB578" s="292"/>
      <c r="AC578" s="292"/>
    </row>
    <row r="579">
      <c r="A579" s="292"/>
      <c r="B579" s="292"/>
      <c r="C579" s="292"/>
      <c r="D579" s="292"/>
      <c r="E579" s="292"/>
      <c r="F579" s="292"/>
      <c r="G579" s="292"/>
      <c r="H579" s="292"/>
      <c r="I579" s="292"/>
      <c r="J579" s="292"/>
      <c r="K579" s="292"/>
      <c r="L579" s="292"/>
      <c r="M579" s="292"/>
      <c r="N579" s="292"/>
      <c r="O579" s="292"/>
      <c r="P579" s="292"/>
      <c r="Q579" s="292"/>
      <c r="R579" s="292"/>
      <c r="S579" s="292"/>
      <c r="T579" s="292"/>
      <c r="U579" s="292"/>
      <c r="V579" s="292"/>
      <c r="W579" s="292"/>
      <c r="X579" s="292"/>
      <c r="Y579" s="292"/>
      <c r="Z579" s="292"/>
      <c r="AA579" s="292"/>
      <c r="AB579" s="292"/>
      <c r="AC579" s="292"/>
    </row>
    <row r="580">
      <c r="A580" s="292"/>
      <c r="B580" s="292"/>
      <c r="C580" s="292"/>
      <c r="D580" s="292"/>
      <c r="E580" s="292"/>
      <c r="F580" s="292"/>
      <c r="G580" s="292"/>
      <c r="H580" s="292"/>
      <c r="I580" s="292"/>
      <c r="J580" s="292"/>
      <c r="K580" s="292"/>
      <c r="L580" s="292"/>
      <c r="M580" s="292"/>
      <c r="N580" s="292"/>
      <c r="O580" s="292"/>
      <c r="P580" s="292"/>
      <c r="Q580" s="292"/>
      <c r="R580" s="292"/>
      <c r="S580" s="292"/>
      <c r="T580" s="292"/>
      <c r="U580" s="292"/>
      <c r="V580" s="292"/>
      <c r="W580" s="292"/>
      <c r="X580" s="292"/>
      <c r="Y580" s="292"/>
      <c r="Z580" s="292"/>
      <c r="AA580" s="292"/>
      <c r="AB580" s="292"/>
      <c r="AC580" s="292"/>
    </row>
    <row r="581">
      <c r="A581" s="292"/>
      <c r="B581" s="292"/>
      <c r="C581" s="292"/>
      <c r="D581" s="292"/>
      <c r="E581" s="292"/>
      <c r="F581" s="292"/>
      <c r="G581" s="292"/>
      <c r="H581" s="292"/>
      <c r="I581" s="292"/>
      <c r="J581" s="292"/>
      <c r="K581" s="292"/>
      <c r="L581" s="292"/>
      <c r="M581" s="292"/>
      <c r="N581" s="292"/>
      <c r="O581" s="292"/>
      <c r="P581" s="292"/>
      <c r="Q581" s="292"/>
      <c r="R581" s="292"/>
      <c r="S581" s="292"/>
      <c r="T581" s="292"/>
      <c r="U581" s="292"/>
      <c r="V581" s="292"/>
      <c r="W581" s="292"/>
      <c r="X581" s="292"/>
      <c r="Y581" s="292"/>
      <c r="Z581" s="292"/>
      <c r="AA581" s="292"/>
      <c r="AB581" s="292"/>
      <c r="AC581" s="292"/>
    </row>
    <row r="582">
      <c r="A582" s="292"/>
      <c r="B582" s="292"/>
      <c r="C582" s="292"/>
      <c r="D582" s="292"/>
      <c r="E582" s="292"/>
      <c r="F582" s="292"/>
      <c r="G582" s="292"/>
      <c r="H582" s="292"/>
      <c r="I582" s="292"/>
      <c r="J582" s="292"/>
      <c r="K582" s="292"/>
      <c r="L582" s="292"/>
      <c r="M582" s="292"/>
      <c r="N582" s="292"/>
      <c r="O582" s="292"/>
      <c r="P582" s="292"/>
      <c r="Q582" s="292"/>
      <c r="R582" s="292"/>
      <c r="S582" s="292"/>
      <c r="T582" s="292"/>
      <c r="U582" s="292"/>
      <c r="V582" s="292"/>
      <c r="W582" s="292"/>
      <c r="X582" s="292"/>
      <c r="Y582" s="292"/>
      <c r="Z582" s="292"/>
      <c r="AA582" s="292"/>
      <c r="AB582" s="292"/>
      <c r="AC582" s="292"/>
    </row>
    <row r="583">
      <c r="A583" s="292"/>
      <c r="B583" s="292"/>
      <c r="C583" s="292"/>
      <c r="D583" s="292"/>
      <c r="E583" s="292"/>
      <c r="F583" s="292"/>
      <c r="G583" s="292"/>
      <c r="H583" s="292"/>
      <c r="I583" s="292"/>
      <c r="J583" s="292"/>
      <c r="K583" s="292"/>
      <c r="L583" s="292"/>
      <c r="M583" s="292"/>
      <c r="N583" s="292"/>
      <c r="O583" s="292"/>
      <c r="P583" s="292"/>
      <c r="Q583" s="292"/>
      <c r="R583" s="292"/>
      <c r="S583" s="292"/>
      <c r="T583" s="292"/>
      <c r="U583" s="292"/>
      <c r="V583" s="292"/>
      <c r="W583" s="292"/>
      <c r="X583" s="292"/>
      <c r="Y583" s="292"/>
      <c r="Z583" s="292"/>
      <c r="AA583" s="292"/>
      <c r="AB583" s="292"/>
      <c r="AC583" s="292"/>
    </row>
    <row r="584">
      <c r="A584" s="292"/>
      <c r="B584" s="292"/>
      <c r="C584" s="292"/>
      <c r="D584" s="292"/>
      <c r="E584" s="292"/>
      <c r="F584" s="292"/>
      <c r="G584" s="292"/>
      <c r="H584" s="292"/>
      <c r="I584" s="292"/>
      <c r="J584" s="292"/>
      <c r="K584" s="292"/>
      <c r="L584" s="292"/>
      <c r="M584" s="292"/>
      <c r="N584" s="292"/>
      <c r="O584" s="292"/>
      <c r="P584" s="292"/>
      <c r="Q584" s="292"/>
      <c r="R584" s="292"/>
      <c r="S584" s="292"/>
      <c r="T584" s="292"/>
      <c r="U584" s="292"/>
      <c r="V584" s="292"/>
      <c r="W584" s="292"/>
      <c r="X584" s="292"/>
      <c r="Y584" s="292"/>
      <c r="Z584" s="292"/>
      <c r="AA584" s="292"/>
      <c r="AB584" s="292"/>
      <c r="AC584" s="292"/>
    </row>
    <row r="585">
      <c r="A585" s="292"/>
      <c r="B585" s="292"/>
      <c r="C585" s="292"/>
      <c r="D585" s="292"/>
      <c r="E585" s="292"/>
      <c r="F585" s="292"/>
      <c r="G585" s="292"/>
      <c r="H585" s="292"/>
      <c r="I585" s="292"/>
      <c r="J585" s="292"/>
      <c r="K585" s="292"/>
      <c r="L585" s="292"/>
      <c r="M585" s="292"/>
      <c r="N585" s="292"/>
      <c r="O585" s="292"/>
      <c r="P585" s="292"/>
      <c r="Q585" s="292"/>
      <c r="R585" s="292"/>
      <c r="S585" s="292"/>
      <c r="T585" s="292"/>
      <c r="U585" s="292"/>
      <c r="V585" s="292"/>
      <c r="W585" s="292"/>
      <c r="X585" s="292"/>
      <c r="Y585" s="292"/>
      <c r="Z585" s="292"/>
      <c r="AA585" s="292"/>
      <c r="AB585" s="292"/>
      <c r="AC585" s="292"/>
    </row>
    <row r="586">
      <c r="A586" s="292"/>
      <c r="B586" s="292"/>
      <c r="C586" s="292"/>
      <c r="D586" s="292"/>
      <c r="E586" s="292"/>
      <c r="F586" s="292"/>
      <c r="G586" s="292"/>
      <c r="H586" s="292"/>
      <c r="I586" s="292"/>
      <c r="J586" s="292"/>
      <c r="K586" s="292"/>
      <c r="L586" s="292"/>
      <c r="M586" s="292"/>
      <c r="N586" s="292"/>
      <c r="O586" s="292"/>
      <c r="P586" s="292"/>
      <c r="Q586" s="292"/>
      <c r="R586" s="292"/>
      <c r="S586" s="292"/>
      <c r="T586" s="292"/>
      <c r="U586" s="292"/>
      <c r="V586" s="292"/>
      <c r="W586" s="292"/>
      <c r="X586" s="292"/>
      <c r="Y586" s="292"/>
      <c r="Z586" s="292"/>
      <c r="AA586" s="292"/>
      <c r="AB586" s="292"/>
      <c r="AC586" s="292"/>
    </row>
    <row r="587">
      <c r="A587" s="292"/>
      <c r="B587" s="292"/>
      <c r="C587" s="292"/>
      <c r="D587" s="292"/>
      <c r="E587" s="292"/>
      <c r="F587" s="292"/>
      <c r="G587" s="292"/>
      <c r="H587" s="292"/>
      <c r="I587" s="292"/>
      <c r="J587" s="292"/>
      <c r="K587" s="292"/>
      <c r="L587" s="292"/>
      <c r="M587" s="292"/>
      <c r="N587" s="292"/>
      <c r="O587" s="292"/>
      <c r="P587" s="292"/>
      <c r="Q587" s="292"/>
      <c r="R587" s="292"/>
      <c r="S587" s="292"/>
      <c r="T587" s="292"/>
      <c r="U587" s="292"/>
      <c r="V587" s="292"/>
      <c r="W587" s="292"/>
      <c r="X587" s="292"/>
      <c r="Y587" s="292"/>
      <c r="Z587" s="292"/>
      <c r="AA587" s="292"/>
      <c r="AB587" s="292"/>
      <c r="AC587" s="292"/>
    </row>
    <row r="588">
      <c r="A588" s="292"/>
      <c r="B588" s="292"/>
      <c r="C588" s="292"/>
      <c r="D588" s="292"/>
      <c r="E588" s="292"/>
      <c r="F588" s="292"/>
      <c r="G588" s="292"/>
      <c r="H588" s="292"/>
      <c r="I588" s="292"/>
      <c r="J588" s="292"/>
      <c r="K588" s="292"/>
      <c r="L588" s="292"/>
      <c r="M588" s="292"/>
      <c r="N588" s="292"/>
      <c r="O588" s="292"/>
      <c r="P588" s="292"/>
      <c r="Q588" s="292"/>
      <c r="R588" s="292"/>
      <c r="S588" s="292"/>
      <c r="T588" s="292"/>
      <c r="U588" s="292"/>
      <c r="V588" s="292"/>
      <c r="W588" s="292"/>
      <c r="X588" s="292"/>
      <c r="Y588" s="292"/>
      <c r="Z588" s="292"/>
      <c r="AA588" s="292"/>
      <c r="AB588" s="292"/>
      <c r="AC588" s="292"/>
    </row>
    <row r="589">
      <c r="A589" s="292"/>
      <c r="B589" s="292"/>
      <c r="C589" s="292"/>
      <c r="D589" s="292"/>
      <c r="E589" s="292"/>
      <c r="F589" s="292"/>
      <c r="G589" s="292"/>
      <c r="H589" s="292"/>
      <c r="I589" s="292"/>
      <c r="J589" s="292"/>
      <c r="K589" s="292"/>
      <c r="L589" s="292"/>
      <c r="M589" s="292"/>
      <c r="N589" s="292"/>
      <c r="O589" s="292"/>
      <c r="P589" s="292"/>
      <c r="Q589" s="292"/>
      <c r="R589" s="292"/>
      <c r="S589" s="292"/>
      <c r="T589" s="292"/>
      <c r="U589" s="292"/>
      <c r="V589" s="292"/>
      <c r="W589" s="292"/>
      <c r="X589" s="292"/>
      <c r="Y589" s="292"/>
      <c r="Z589" s="292"/>
      <c r="AA589" s="292"/>
      <c r="AB589" s="292"/>
      <c r="AC589" s="292"/>
    </row>
    <row r="590">
      <c r="A590" s="292"/>
      <c r="B590" s="292"/>
      <c r="C590" s="292"/>
      <c r="D590" s="292"/>
      <c r="E590" s="292"/>
      <c r="F590" s="292"/>
      <c r="G590" s="292"/>
      <c r="H590" s="292"/>
      <c r="I590" s="292"/>
      <c r="J590" s="292"/>
      <c r="K590" s="292"/>
      <c r="L590" s="292"/>
      <c r="M590" s="292"/>
      <c r="N590" s="292"/>
      <c r="O590" s="292"/>
      <c r="P590" s="292"/>
      <c r="Q590" s="292"/>
      <c r="R590" s="292"/>
      <c r="S590" s="292"/>
      <c r="T590" s="292"/>
      <c r="U590" s="292"/>
      <c r="V590" s="292"/>
      <c r="W590" s="292"/>
      <c r="X590" s="292"/>
      <c r="Y590" s="292"/>
      <c r="Z590" s="292"/>
      <c r="AA590" s="292"/>
      <c r="AB590" s="292"/>
      <c r="AC590" s="292"/>
    </row>
    <row r="591">
      <c r="A591" s="292"/>
      <c r="B591" s="292"/>
      <c r="C591" s="292"/>
      <c r="D591" s="292"/>
      <c r="E591" s="292"/>
      <c r="F591" s="292"/>
      <c r="G591" s="292"/>
      <c r="H591" s="292"/>
      <c r="I591" s="292"/>
      <c r="J591" s="292"/>
      <c r="K591" s="292"/>
      <c r="L591" s="292"/>
      <c r="M591" s="292"/>
      <c r="N591" s="292"/>
      <c r="O591" s="292"/>
      <c r="P591" s="292"/>
      <c r="Q591" s="292"/>
      <c r="R591" s="292"/>
      <c r="S591" s="292"/>
      <c r="T591" s="292"/>
      <c r="U591" s="292"/>
      <c r="V591" s="292"/>
      <c r="W591" s="292"/>
      <c r="X591" s="292"/>
      <c r="Y591" s="292"/>
      <c r="Z591" s="292"/>
      <c r="AA591" s="292"/>
      <c r="AB591" s="292"/>
      <c r="AC591" s="292"/>
    </row>
    <row r="592">
      <c r="A592" s="292"/>
      <c r="B592" s="292"/>
      <c r="C592" s="292"/>
      <c r="D592" s="292"/>
      <c r="E592" s="292"/>
      <c r="F592" s="292"/>
      <c r="G592" s="292"/>
      <c r="H592" s="292"/>
      <c r="I592" s="292"/>
      <c r="J592" s="292"/>
      <c r="K592" s="292"/>
      <c r="L592" s="292"/>
      <c r="M592" s="292"/>
      <c r="N592" s="292"/>
      <c r="O592" s="292"/>
      <c r="P592" s="292"/>
      <c r="Q592" s="292"/>
      <c r="R592" s="292"/>
      <c r="S592" s="292"/>
      <c r="T592" s="292"/>
      <c r="U592" s="292"/>
      <c r="V592" s="292"/>
      <c r="W592" s="292"/>
      <c r="X592" s="292"/>
      <c r="Y592" s="292"/>
      <c r="Z592" s="292"/>
      <c r="AA592" s="292"/>
      <c r="AB592" s="292"/>
      <c r="AC592" s="292"/>
    </row>
    <row r="593">
      <c r="A593" s="292"/>
      <c r="B593" s="292"/>
      <c r="C593" s="292"/>
      <c r="D593" s="292"/>
      <c r="E593" s="292"/>
      <c r="F593" s="292"/>
      <c r="G593" s="292"/>
      <c r="H593" s="292"/>
      <c r="I593" s="292"/>
      <c r="J593" s="292"/>
      <c r="K593" s="292"/>
      <c r="L593" s="292"/>
      <c r="M593" s="292"/>
      <c r="N593" s="292"/>
      <c r="O593" s="292"/>
      <c r="P593" s="292"/>
      <c r="Q593" s="292"/>
      <c r="R593" s="292"/>
      <c r="S593" s="292"/>
      <c r="T593" s="292"/>
      <c r="U593" s="292"/>
      <c r="V593" s="292"/>
      <c r="W593" s="292"/>
      <c r="X593" s="292"/>
      <c r="Y593" s="292"/>
      <c r="Z593" s="292"/>
      <c r="AA593" s="292"/>
      <c r="AB593" s="292"/>
      <c r="AC593" s="292"/>
    </row>
    <row r="594">
      <c r="A594" s="292"/>
      <c r="B594" s="292"/>
      <c r="C594" s="292"/>
      <c r="D594" s="292"/>
      <c r="E594" s="292"/>
      <c r="F594" s="292"/>
      <c r="G594" s="292"/>
      <c r="H594" s="292"/>
      <c r="I594" s="292"/>
      <c r="J594" s="292"/>
      <c r="K594" s="292"/>
      <c r="L594" s="292"/>
      <c r="M594" s="292"/>
      <c r="N594" s="292"/>
      <c r="O594" s="292"/>
      <c r="P594" s="292"/>
      <c r="Q594" s="292"/>
      <c r="R594" s="292"/>
      <c r="S594" s="292"/>
      <c r="T594" s="292"/>
      <c r="U594" s="292"/>
      <c r="V594" s="292"/>
      <c r="W594" s="292"/>
      <c r="X594" s="292"/>
      <c r="Y594" s="292"/>
      <c r="Z594" s="292"/>
      <c r="AA594" s="292"/>
      <c r="AB594" s="292"/>
      <c r="AC594" s="292"/>
    </row>
    <row r="595">
      <c r="A595" s="292"/>
      <c r="B595" s="292"/>
      <c r="C595" s="292"/>
      <c r="D595" s="292"/>
      <c r="E595" s="292"/>
      <c r="F595" s="292"/>
      <c r="G595" s="292"/>
      <c r="H595" s="292"/>
      <c r="I595" s="292"/>
      <c r="J595" s="292"/>
      <c r="K595" s="292"/>
      <c r="L595" s="292"/>
      <c r="M595" s="292"/>
      <c r="N595" s="292"/>
      <c r="O595" s="292"/>
      <c r="P595" s="292"/>
      <c r="Q595" s="292"/>
      <c r="R595" s="292"/>
      <c r="S595" s="292"/>
      <c r="T595" s="292"/>
      <c r="U595" s="292"/>
      <c r="V595" s="292"/>
      <c r="W595" s="292"/>
      <c r="X595" s="292"/>
      <c r="Y595" s="292"/>
      <c r="Z595" s="292"/>
      <c r="AA595" s="292"/>
      <c r="AB595" s="292"/>
      <c r="AC595" s="292"/>
    </row>
    <row r="596">
      <c r="A596" s="292"/>
      <c r="B596" s="292"/>
      <c r="C596" s="292"/>
      <c r="D596" s="292"/>
      <c r="E596" s="292"/>
      <c r="F596" s="292"/>
      <c r="G596" s="292"/>
      <c r="H596" s="292"/>
      <c r="I596" s="292"/>
      <c r="J596" s="292"/>
      <c r="K596" s="292"/>
      <c r="L596" s="292"/>
      <c r="M596" s="292"/>
      <c r="N596" s="292"/>
      <c r="O596" s="292"/>
      <c r="P596" s="292"/>
      <c r="Q596" s="292"/>
      <c r="R596" s="292"/>
      <c r="S596" s="292"/>
      <c r="T596" s="292"/>
      <c r="U596" s="292"/>
      <c r="V596" s="292"/>
      <c r="W596" s="292"/>
      <c r="X596" s="292"/>
      <c r="Y596" s="292"/>
      <c r="Z596" s="292"/>
      <c r="AA596" s="292"/>
      <c r="AB596" s="292"/>
      <c r="AC596" s="292"/>
    </row>
    <row r="597">
      <c r="A597" s="292"/>
      <c r="B597" s="292"/>
      <c r="C597" s="292"/>
      <c r="D597" s="292"/>
      <c r="E597" s="292"/>
      <c r="F597" s="292"/>
      <c r="G597" s="292"/>
      <c r="H597" s="292"/>
      <c r="I597" s="292"/>
      <c r="J597" s="292"/>
      <c r="K597" s="292"/>
      <c r="L597" s="292"/>
      <c r="M597" s="292"/>
      <c r="N597" s="292"/>
      <c r="O597" s="292"/>
      <c r="P597" s="292"/>
      <c r="Q597" s="292"/>
      <c r="R597" s="292"/>
      <c r="S597" s="292"/>
      <c r="T597" s="292"/>
      <c r="U597" s="292"/>
      <c r="V597" s="292"/>
      <c r="W597" s="292"/>
      <c r="X597" s="292"/>
      <c r="Y597" s="292"/>
      <c r="Z597" s="292"/>
      <c r="AA597" s="292"/>
      <c r="AB597" s="292"/>
      <c r="AC597" s="292"/>
    </row>
    <row r="598">
      <c r="A598" s="292"/>
      <c r="B598" s="292"/>
      <c r="C598" s="292"/>
      <c r="D598" s="292"/>
      <c r="E598" s="292"/>
      <c r="F598" s="292"/>
      <c r="G598" s="292"/>
      <c r="H598" s="292"/>
      <c r="I598" s="292"/>
      <c r="J598" s="292"/>
      <c r="K598" s="292"/>
      <c r="L598" s="292"/>
      <c r="M598" s="292"/>
      <c r="N598" s="292"/>
      <c r="O598" s="292"/>
      <c r="P598" s="292"/>
      <c r="Q598" s="292"/>
      <c r="R598" s="292"/>
      <c r="S598" s="292"/>
      <c r="T598" s="292"/>
      <c r="U598" s="292"/>
      <c r="V598" s="292"/>
      <c r="W598" s="292"/>
      <c r="X598" s="292"/>
      <c r="Y598" s="292"/>
      <c r="Z598" s="292"/>
      <c r="AA598" s="292"/>
      <c r="AB598" s="292"/>
      <c r="AC598" s="292"/>
    </row>
    <row r="599">
      <c r="A599" s="292"/>
      <c r="B599" s="292"/>
      <c r="C599" s="292"/>
      <c r="D599" s="292"/>
      <c r="E599" s="292"/>
      <c r="F599" s="292"/>
      <c r="G599" s="292"/>
      <c r="H599" s="292"/>
      <c r="I599" s="292"/>
      <c r="J599" s="292"/>
      <c r="K599" s="292"/>
      <c r="L599" s="292"/>
      <c r="M599" s="292"/>
      <c r="N599" s="292"/>
      <c r="O599" s="292"/>
      <c r="P599" s="292"/>
      <c r="Q599" s="292"/>
      <c r="R599" s="292"/>
      <c r="S599" s="292"/>
      <c r="T599" s="292"/>
      <c r="U599" s="292"/>
      <c r="V599" s="292"/>
      <c r="W599" s="292"/>
      <c r="X599" s="292"/>
      <c r="Y599" s="292"/>
      <c r="Z599" s="292"/>
      <c r="AA599" s="292"/>
      <c r="AB599" s="292"/>
      <c r="AC599" s="292"/>
    </row>
    <row r="600">
      <c r="A600" s="292"/>
      <c r="B600" s="292"/>
      <c r="C600" s="292"/>
      <c r="D600" s="292"/>
      <c r="E600" s="292"/>
      <c r="F600" s="292"/>
      <c r="G600" s="292"/>
      <c r="H600" s="292"/>
      <c r="I600" s="292"/>
      <c r="J600" s="292"/>
      <c r="K600" s="292"/>
      <c r="L600" s="292"/>
      <c r="M600" s="292"/>
      <c r="N600" s="292"/>
      <c r="O600" s="292"/>
      <c r="P600" s="292"/>
      <c r="Q600" s="292"/>
      <c r="R600" s="292"/>
      <c r="S600" s="292"/>
      <c r="T600" s="292"/>
      <c r="U600" s="292"/>
      <c r="V600" s="292"/>
      <c r="W600" s="292"/>
      <c r="X600" s="292"/>
      <c r="Y600" s="292"/>
      <c r="Z600" s="292"/>
      <c r="AA600" s="292"/>
      <c r="AB600" s="292"/>
      <c r="AC600" s="292"/>
    </row>
    <row r="601">
      <c r="A601" s="292"/>
      <c r="B601" s="292"/>
      <c r="C601" s="292"/>
      <c r="D601" s="292"/>
      <c r="E601" s="292"/>
      <c r="F601" s="292"/>
      <c r="G601" s="292"/>
      <c r="H601" s="292"/>
      <c r="I601" s="292"/>
      <c r="J601" s="292"/>
      <c r="K601" s="292"/>
      <c r="L601" s="292"/>
      <c r="M601" s="292"/>
      <c r="N601" s="292"/>
      <c r="O601" s="292"/>
      <c r="P601" s="292"/>
      <c r="Q601" s="292"/>
      <c r="R601" s="292"/>
      <c r="S601" s="292"/>
      <c r="T601" s="292"/>
      <c r="U601" s="292"/>
      <c r="V601" s="292"/>
      <c r="W601" s="292"/>
      <c r="X601" s="292"/>
      <c r="Y601" s="292"/>
      <c r="Z601" s="292"/>
      <c r="AA601" s="292"/>
      <c r="AB601" s="292"/>
      <c r="AC601" s="292"/>
    </row>
    <row r="602">
      <c r="A602" s="292"/>
      <c r="B602" s="292"/>
      <c r="C602" s="292"/>
      <c r="D602" s="292"/>
      <c r="E602" s="292"/>
      <c r="F602" s="292"/>
      <c r="G602" s="292"/>
      <c r="H602" s="292"/>
      <c r="I602" s="292"/>
      <c r="J602" s="292"/>
      <c r="K602" s="292"/>
      <c r="L602" s="292"/>
      <c r="M602" s="292"/>
      <c r="N602" s="292"/>
      <c r="O602" s="292"/>
      <c r="P602" s="292"/>
      <c r="Q602" s="292"/>
      <c r="R602" s="292"/>
      <c r="S602" s="292"/>
      <c r="T602" s="292"/>
      <c r="U602" s="292"/>
      <c r="V602" s="292"/>
      <c r="W602" s="292"/>
      <c r="X602" s="292"/>
      <c r="Y602" s="292"/>
      <c r="Z602" s="292"/>
      <c r="AA602" s="292"/>
      <c r="AB602" s="292"/>
      <c r="AC602" s="292"/>
    </row>
    <row r="603">
      <c r="A603" s="292"/>
      <c r="B603" s="292"/>
      <c r="C603" s="292"/>
      <c r="D603" s="292"/>
      <c r="E603" s="292"/>
      <c r="F603" s="292"/>
      <c r="G603" s="292"/>
      <c r="H603" s="292"/>
      <c r="I603" s="292"/>
      <c r="J603" s="292"/>
      <c r="K603" s="292"/>
      <c r="L603" s="292"/>
      <c r="M603" s="292"/>
      <c r="N603" s="292"/>
      <c r="O603" s="292"/>
      <c r="P603" s="292"/>
      <c r="Q603" s="292"/>
      <c r="R603" s="292"/>
      <c r="S603" s="292"/>
      <c r="T603" s="292"/>
      <c r="U603" s="292"/>
      <c r="V603" s="292"/>
      <c r="W603" s="292"/>
      <c r="X603" s="292"/>
      <c r="Y603" s="292"/>
      <c r="Z603" s="292"/>
      <c r="AA603" s="292"/>
      <c r="AB603" s="292"/>
      <c r="AC603" s="292"/>
    </row>
    <row r="604">
      <c r="A604" s="292"/>
      <c r="B604" s="292"/>
      <c r="C604" s="292"/>
      <c r="D604" s="292"/>
      <c r="E604" s="292"/>
      <c r="F604" s="292"/>
      <c r="G604" s="292"/>
      <c r="H604" s="292"/>
      <c r="I604" s="292"/>
      <c r="J604" s="292"/>
      <c r="K604" s="292"/>
      <c r="L604" s="292"/>
      <c r="M604" s="292"/>
      <c r="N604" s="292"/>
      <c r="O604" s="292"/>
      <c r="P604" s="292"/>
      <c r="Q604" s="292"/>
      <c r="R604" s="292"/>
      <c r="S604" s="292"/>
      <c r="T604" s="292"/>
      <c r="U604" s="292"/>
      <c r="V604" s="292"/>
      <c r="W604" s="292"/>
      <c r="X604" s="292"/>
      <c r="Y604" s="292"/>
      <c r="Z604" s="292"/>
      <c r="AA604" s="292"/>
      <c r="AB604" s="292"/>
      <c r="AC604" s="292"/>
    </row>
    <row r="605">
      <c r="A605" s="292"/>
      <c r="B605" s="292"/>
      <c r="C605" s="292"/>
      <c r="D605" s="292"/>
      <c r="E605" s="292"/>
      <c r="F605" s="292"/>
      <c r="G605" s="292"/>
      <c r="H605" s="292"/>
      <c r="I605" s="292"/>
      <c r="J605" s="292"/>
      <c r="K605" s="292"/>
      <c r="L605" s="292"/>
      <c r="M605" s="292"/>
      <c r="N605" s="292"/>
      <c r="O605" s="292"/>
      <c r="P605" s="292"/>
      <c r="Q605" s="292"/>
      <c r="R605" s="292"/>
      <c r="S605" s="292"/>
      <c r="T605" s="292"/>
      <c r="U605" s="292"/>
      <c r="V605" s="292"/>
      <c r="W605" s="292"/>
      <c r="X605" s="292"/>
      <c r="Y605" s="292"/>
      <c r="Z605" s="292"/>
      <c r="AA605" s="292"/>
      <c r="AB605" s="292"/>
      <c r="AC605" s="292"/>
    </row>
    <row r="606">
      <c r="A606" s="292"/>
      <c r="B606" s="292"/>
      <c r="C606" s="292"/>
      <c r="D606" s="292"/>
      <c r="E606" s="292"/>
      <c r="F606" s="292"/>
      <c r="G606" s="292"/>
      <c r="H606" s="292"/>
      <c r="I606" s="292"/>
      <c r="J606" s="292"/>
      <c r="K606" s="292"/>
      <c r="L606" s="292"/>
      <c r="M606" s="292"/>
      <c r="N606" s="292"/>
      <c r="O606" s="292"/>
      <c r="P606" s="292"/>
      <c r="Q606" s="292"/>
      <c r="R606" s="292"/>
      <c r="S606" s="292"/>
      <c r="T606" s="292"/>
      <c r="U606" s="292"/>
      <c r="V606" s="292"/>
      <c r="W606" s="292"/>
      <c r="X606" s="292"/>
      <c r="Y606" s="292"/>
      <c r="Z606" s="292"/>
      <c r="AA606" s="292"/>
      <c r="AB606" s="292"/>
      <c r="AC606" s="292"/>
    </row>
    <row r="607">
      <c r="A607" s="292"/>
      <c r="B607" s="292"/>
      <c r="C607" s="292"/>
      <c r="D607" s="292"/>
      <c r="E607" s="292"/>
      <c r="F607" s="292"/>
      <c r="G607" s="292"/>
      <c r="H607" s="292"/>
      <c r="I607" s="292"/>
      <c r="J607" s="292"/>
      <c r="K607" s="292"/>
      <c r="L607" s="292"/>
      <c r="M607" s="292"/>
      <c r="N607" s="292"/>
      <c r="O607" s="292"/>
      <c r="P607" s="292"/>
      <c r="Q607" s="292"/>
      <c r="R607" s="292"/>
      <c r="S607" s="292"/>
      <c r="T607" s="292"/>
      <c r="U607" s="292"/>
      <c r="V607" s="292"/>
      <c r="W607" s="292"/>
      <c r="X607" s="292"/>
      <c r="Y607" s="292"/>
      <c r="Z607" s="292"/>
      <c r="AA607" s="292"/>
      <c r="AB607" s="292"/>
      <c r="AC607" s="292"/>
    </row>
    <row r="608">
      <c r="A608" s="292"/>
      <c r="B608" s="292"/>
      <c r="C608" s="292"/>
      <c r="D608" s="292"/>
      <c r="E608" s="292"/>
      <c r="F608" s="292"/>
      <c r="G608" s="292"/>
      <c r="H608" s="292"/>
      <c r="I608" s="292"/>
      <c r="J608" s="292"/>
      <c r="K608" s="292"/>
      <c r="L608" s="292"/>
      <c r="M608" s="292"/>
      <c r="N608" s="292"/>
      <c r="O608" s="292"/>
      <c r="P608" s="292"/>
      <c r="Q608" s="292"/>
      <c r="R608" s="292"/>
      <c r="S608" s="292"/>
      <c r="T608" s="292"/>
      <c r="U608" s="292"/>
      <c r="V608" s="292"/>
      <c r="W608" s="292"/>
      <c r="X608" s="292"/>
      <c r="Y608" s="292"/>
      <c r="Z608" s="292"/>
      <c r="AA608" s="292"/>
      <c r="AB608" s="292"/>
      <c r="AC608" s="292"/>
    </row>
    <row r="609">
      <c r="A609" s="292"/>
      <c r="B609" s="292"/>
      <c r="C609" s="292"/>
      <c r="D609" s="292"/>
      <c r="E609" s="292"/>
      <c r="F609" s="292"/>
      <c r="G609" s="292"/>
      <c r="H609" s="292"/>
      <c r="I609" s="292"/>
      <c r="J609" s="292"/>
      <c r="K609" s="292"/>
      <c r="L609" s="292"/>
      <c r="M609" s="292"/>
      <c r="N609" s="292"/>
      <c r="O609" s="292"/>
      <c r="P609" s="292"/>
      <c r="Q609" s="292"/>
      <c r="R609" s="292"/>
      <c r="S609" s="292"/>
      <c r="T609" s="292"/>
      <c r="U609" s="292"/>
      <c r="V609" s="292"/>
      <c r="W609" s="292"/>
      <c r="X609" s="292"/>
      <c r="Y609" s="292"/>
      <c r="Z609" s="292"/>
      <c r="AA609" s="292"/>
      <c r="AB609" s="292"/>
      <c r="AC609" s="292"/>
    </row>
    <row r="610">
      <c r="A610" s="292"/>
      <c r="B610" s="292"/>
      <c r="C610" s="292"/>
      <c r="D610" s="292"/>
      <c r="E610" s="292"/>
      <c r="F610" s="292"/>
      <c r="G610" s="292"/>
      <c r="H610" s="292"/>
      <c r="I610" s="292"/>
      <c r="J610" s="292"/>
      <c r="K610" s="292"/>
      <c r="L610" s="292"/>
      <c r="M610" s="292"/>
      <c r="N610" s="292"/>
      <c r="O610" s="292"/>
      <c r="P610" s="292"/>
      <c r="Q610" s="292"/>
      <c r="R610" s="292"/>
      <c r="S610" s="292"/>
      <c r="T610" s="292"/>
      <c r="U610" s="292"/>
      <c r="V610" s="292"/>
      <c r="W610" s="292"/>
      <c r="X610" s="292"/>
      <c r="Y610" s="292"/>
      <c r="Z610" s="292"/>
      <c r="AA610" s="292"/>
      <c r="AB610" s="292"/>
      <c r="AC610" s="292"/>
    </row>
    <row r="611">
      <c r="A611" s="292"/>
      <c r="B611" s="292"/>
      <c r="C611" s="292"/>
      <c r="D611" s="292"/>
      <c r="E611" s="292"/>
      <c r="F611" s="292"/>
      <c r="G611" s="292"/>
      <c r="H611" s="292"/>
      <c r="I611" s="292"/>
      <c r="J611" s="292"/>
      <c r="K611" s="292"/>
      <c r="L611" s="292"/>
      <c r="M611" s="292"/>
      <c r="N611" s="292"/>
      <c r="O611" s="292"/>
      <c r="P611" s="292"/>
      <c r="Q611" s="292"/>
      <c r="R611" s="292"/>
      <c r="S611" s="292"/>
      <c r="T611" s="292"/>
      <c r="U611" s="292"/>
      <c r="V611" s="292"/>
      <c r="W611" s="292"/>
      <c r="X611" s="292"/>
      <c r="Y611" s="292"/>
      <c r="Z611" s="292"/>
      <c r="AA611" s="292"/>
      <c r="AB611" s="292"/>
      <c r="AC611" s="292"/>
    </row>
    <row r="612">
      <c r="A612" s="292"/>
      <c r="B612" s="292"/>
      <c r="C612" s="292"/>
      <c r="D612" s="292"/>
      <c r="E612" s="292"/>
      <c r="F612" s="292"/>
      <c r="G612" s="292"/>
      <c r="H612" s="292"/>
      <c r="I612" s="292"/>
      <c r="J612" s="292"/>
      <c r="K612" s="292"/>
      <c r="L612" s="292"/>
      <c r="M612" s="292"/>
      <c r="N612" s="292"/>
      <c r="O612" s="292"/>
      <c r="P612" s="292"/>
      <c r="Q612" s="292"/>
      <c r="R612" s="292"/>
      <c r="S612" s="292"/>
      <c r="T612" s="292"/>
      <c r="U612" s="292"/>
      <c r="V612" s="292"/>
      <c r="W612" s="292"/>
      <c r="X612" s="292"/>
      <c r="Y612" s="292"/>
      <c r="Z612" s="292"/>
      <c r="AA612" s="292"/>
      <c r="AB612" s="292"/>
      <c r="AC612" s="292"/>
    </row>
    <row r="613">
      <c r="A613" s="292"/>
      <c r="B613" s="292"/>
      <c r="C613" s="292"/>
      <c r="D613" s="292"/>
      <c r="E613" s="292"/>
      <c r="F613" s="292"/>
      <c r="G613" s="292"/>
      <c r="H613" s="292"/>
      <c r="I613" s="292"/>
      <c r="J613" s="292"/>
      <c r="K613" s="292"/>
      <c r="L613" s="292"/>
      <c r="M613" s="292"/>
      <c r="N613" s="292"/>
      <c r="O613" s="292"/>
      <c r="P613" s="292"/>
      <c r="Q613" s="292"/>
      <c r="R613" s="292"/>
      <c r="S613" s="292"/>
      <c r="T613" s="292"/>
      <c r="U613" s="292"/>
      <c r="V613" s="292"/>
      <c r="W613" s="292"/>
      <c r="X613" s="292"/>
      <c r="Y613" s="292"/>
      <c r="Z613" s="292"/>
      <c r="AA613" s="292"/>
      <c r="AB613" s="292"/>
      <c r="AC613" s="292"/>
    </row>
    <row r="614">
      <c r="A614" s="292"/>
      <c r="B614" s="292"/>
      <c r="C614" s="292"/>
      <c r="D614" s="292"/>
      <c r="E614" s="292"/>
      <c r="F614" s="292"/>
      <c r="G614" s="292"/>
      <c r="H614" s="292"/>
      <c r="I614" s="292"/>
      <c r="J614" s="292"/>
      <c r="K614" s="292"/>
      <c r="L614" s="292"/>
      <c r="M614" s="292"/>
      <c r="N614" s="292"/>
      <c r="O614" s="292"/>
      <c r="P614" s="292"/>
      <c r="Q614" s="292"/>
      <c r="R614" s="292"/>
      <c r="S614" s="292"/>
      <c r="T614" s="292"/>
      <c r="U614" s="292"/>
      <c r="V614" s="292"/>
      <c r="W614" s="292"/>
      <c r="X614" s="292"/>
      <c r="Y614" s="292"/>
      <c r="Z614" s="292"/>
      <c r="AA614" s="292"/>
      <c r="AB614" s="292"/>
      <c r="AC614" s="292"/>
    </row>
    <row r="615">
      <c r="A615" s="292"/>
      <c r="B615" s="292"/>
      <c r="C615" s="292"/>
      <c r="D615" s="292"/>
      <c r="E615" s="292"/>
      <c r="F615" s="292"/>
      <c r="G615" s="292"/>
      <c r="H615" s="292"/>
      <c r="I615" s="292"/>
      <c r="J615" s="292"/>
      <c r="K615" s="292"/>
      <c r="L615" s="292"/>
      <c r="M615" s="292"/>
      <c r="N615" s="292"/>
      <c r="O615" s="292"/>
      <c r="P615" s="292"/>
      <c r="Q615" s="292"/>
      <c r="R615" s="292"/>
      <c r="S615" s="292"/>
      <c r="T615" s="292"/>
      <c r="U615" s="292"/>
      <c r="V615" s="292"/>
      <c r="W615" s="292"/>
      <c r="X615" s="292"/>
      <c r="Y615" s="292"/>
      <c r="Z615" s="292"/>
      <c r="AA615" s="292"/>
      <c r="AB615" s="292"/>
      <c r="AC615" s="292"/>
    </row>
    <row r="616">
      <c r="A616" s="292"/>
      <c r="B616" s="292"/>
      <c r="C616" s="292"/>
      <c r="D616" s="292"/>
      <c r="E616" s="292"/>
      <c r="F616" s="292"/>
      <c r="G616" s="292"/>
      <c r="H616" s="292"/>
      <c r="I616" s="292"/>
      <c r="J616" s="292"/>
      <c r="K616" s="292"/>
      <c r="L616" s="292"/>
      <c r="M616" s="292"/>
      <c r="N616" s="292"/>
      <c r="O616" s="292"/>
      <c r="P616" s="292"/>
      <c r="Q616" s="292"/>
      <c r="R616" s="292"/>
      <c r="S616" s="292"/>
      <c r="T616" s="292"/>
      <c r="U616" s="292"/>
      <c r="V616" s="292"/>
      <c r="W616" s="292"/>
      <c r="X616" s="292"/>
      <c r="Y616" s="292"/>
      <c r="Z616" s="292"/>
      <c r="AA616" s="292"/>
      <c r="AB616" s="292"/>
      <c r="AC616" s="292"/>
    </row>
    <row r="617">
      <c r="A617" s="292"/>
      <c r="B617" s="292"/>
      <c r="C617" s="292"/>
      <c r="D617" s="292"/>
      <c r="E617" s="292"/>
      <c r="F617" s="292"/>
      <c r="G617" s="292"/>
      <c r="H617" s="292"/>
      <c r="I617" s="292"/>
      <c r="J617" s="292"/>
      <c r="K617" s="292"/>
      <c r="L617" s="292"/>
      <c r="M617" s="292"/>
      <c r="N617" s="292"/>
      <c r="O617" s="292"/>
      <c r="P617" s="292"/>
      <c r="Q617" s="292"/>
      <c r="R617" s="292"/>
      <c r="S617" s="292"/>
      <c r="T617" s="292"/>
      <c r="U617" s="292"/>
      <c r="V617" s="292"/>
      <c r="W617" s="292"/>
      <c r="X617" s="292"/>
      <c r="Y617" s="292"/>
      <c r="Z617" s="292"/>
      <c r="AA617" s="292"/>
      <c r="AB617" s="292"/>
      <c r="AC617" s="292"/>
    </row>
    <row r="618">
      <c r="A618" s="292"/>
      <c r="B618" s="292"/>
      <c r="C618" s="292"/>
      <c r="D618" s="292"/>
      <c r="E618" s="292"/>
      <c r="F618" s="292"/>
      <c r="G618" s="292"/>
      <c r="H618" s="292"/>
      <c r="I618" s="292"/>
      <c r="J618" s="292"/>
      <c r="K618" s="292"/>
      <c r="L618" s="292"/>
      <c r="M618" s="292"/>
      <c r="N618" s="292"/>
      <c r="O618" s="292"/>
      <c r="P618" s="292"/>
      <c r="Q618" s="292"/>
      <c r="R618" s="292"/>
      <c r="S618" s="292"/>
      <c r="T618" s="292"/>
      <c r="U618" s="292"/>
      <c r="V618" s="292"/>
      <c r="W618" s="292"/>
      <c r="X618" s="292"/>
      <c r="Y618" s="292"/>
      <c r="Z618" s="292"/>
      <c r="AA618" s="292"/>
      <c r="AB618" s="292"/>
      <c r="AC618" s="292"/>
    </row>
    <row r="619">
      <c r="A619" s="292"/>
      <c r="B619" s="292"/>
      <c r="C619" s="292"/>
      <c r="D619" s="292"/>
      <c r="E619" s="292"/>
      <c r="F619" s="292"/>
      <c r="G619" s="292"/>
      <c r="H619" s="292"/>
      <c r="I619" s="292"/>
      <c r="J619" s="292"/>
      <c r="K619" s="292"/>
      <c r="L619" s="292"/>
      <c r="M619" s="292"/>
      <c r="N619" s="292"/>
      <c r="O619" s="292"/>
      <c r="P619" s="292"/>
      <c r="Q619" s="292"/>
      <c r="R619" s="292"/>
      <c r="S619" s="292"/>
      <c r="T619" s="292"/>
      <c r="U619" s="292"/>
      <c r="V619" s="292"/>
      <c r="W619" s="292"/>
      <c r="X619" s="292"/>
      <c r="Y619" s="292"/>
      <c r="Z619" s="292"/>
      <c r="AA619" s="292"/>
      <c r="AB619" s="292"/>
      <c r="AC619" s="292"/>
    </row>
    <row r="620">
      <c r="A620" s="292"/>
      <c r="B620" s="292"/>
      <c r="C620" s="292"/>
      <c r="D620" s="292"/>
      <c r="E620" s="292"/>
      <c r="F620" s="292"/>
      <c r="G620" s="292"/>
      <c r="H620" s="292"/>
      <c r="I620" s="292"/>
      <c r="J620" s="292"/>
      <c r="K620" s="292"/>
      <c r="L620" s="292"/>
      <c r="M620" s="292"/>
      <c r="N620" s="292"/>
      <c r="O620" s="292"/>
      <c r="P620" s="292"/>
      <c r="Q620" s="292"/>
      <c r="R620" s="292"/>
      <c r="S620" s="292"/>
      <c r="T620" s="292"/>
      <c r="U620" s="292"/>
      <c r="V620" s="292"/>
      <c r="W620" s="292"/>
      <c r="X620" s="292"/>
      <c r="Y620" s="292"/>
      <c r="Z620" s="292"/>
      <c r="AA620" s="292"/>
      <c r="AB620" s="292"/>
      <c r="AC620" s="292"/>
    </row>
    <row r="621">
      <c r="A621" s="292"/>
      <c r="B621" s="292"/>
      <c r="C621" s="292"/>
      <c r="D621" s="292"/>
      <c r="E621" s="292"/>
      <c r="F621" s="292"/>
      <c r="G621" s="292"/>
      <c r="H621" s="292"/>
      <c r="I621" s="292"/>
      <c r="J621" s="292"/>
      <c r="K621" s="292"/>
      <c r="L621" s="292"/>
      <c r="M621" s="292"/>
      <c r="N621" s="292"/>
      <c r="O621" s="292"/>
      <c r="P621" s="292"/>
      <c r="Q621" s="292"/>
      <c r="R621" s="292"/>
      <c r="S621" s="292"/>
      <c r="T621" s="292"/>
      <c r="U621" s="292"/>
      <c r="V621" s="292"/>
      <c r="W621" s="292"/>
      <c r="X621" s="292"/>
      <c r="Y621" s="292"/>
      <c r="Z621" s="292"/>
      <c r="AA621" s="292"/>
      <c r="AB621" s="292"/>
      <c r="AC621" s="292"/>
    </row>
    <row r="622">
      <c r="A622" s="292"/>
      <c r="B622" s="292"/>
      <c r="C622" s="292"/>
      <c r="D622" s="292"/>
      <c r="E622" s="292"/>
      <c r="F622" s="292"/>
      <c r="G622" s="292"/>
      <c r="H622" s="292"/>
      <c r="I622" s="292"/>
      <c r="J622" s="292"/>
      <c r="K622" s="292"/>
      <c r="L622" s="292"/>
      <c r="M622" s="292"/>
      <c r="N622" s="292"/>
      <c r="O622" s="292"/>
      <c r="P622" s="292"/>
      <c r="Q622" s="292"/>
      <c r="R622" s="292"/>
      <c r="S622" s="292"/>
      <c r="T622" s="292"/>
      <c r="U622" s="292"/>
      <c r="V622" s="292"/>
      <c r="W622" s="292"/>
      <c r="X622" s="292"/>
      <c r="Y622" s="292"/>
      <c r="Z622" s="292"/>
      <c r="AA622" s="292"/>
      <c r="AB622" s="292"/>
      <c r="AC622" s="292"/>
    </row>
    <row r="623">
      <c r="A623" s="292"/>
      <c r="B623" s="292"/>
      <c r="C623" s="292"/>
      <c r="D623" s="292"/>
      <c r="E623" s="292"/>
      <c r="F623" s="292"/>
      <c r="G623" s="292"/>
      <c r="H623" s="292"/>
      <c r="I623" s="292"/>
      <c r="J623" s="292"/>
      <c r="K623" s="292"/>
      <c r="L623" s="292"/>
      <c r="M623" s="292"/>
      <c r="N623" s="292"/>
      <c r="O623" s="292"/>
      <c r="P623" s="292"/>
      <c r="Q623" s="292"/>
      <c r="R623" s="292"/>
      <c r="S623" s="292"/>
      <c r="T623" s="292"/>
      <c r="U623" s="292"/>
      <c r="V623" s="292"/>
      <c r="W623" s="292"/>
      <c r="X623" s="292"/>
      <c r="Y623" s="292"/>
      <c r="Z623" s="292"/>
      <c r="AA623" s="292"/>
      <c r="AB623" s="292"/>
      <c r="AC623" s="292"/>
    </row>
    <row r="624">
      <c r="A624" s="292"/>
      <c r="B624" s="292"/>
      <c r="C624" s="292"/>
      <c r="D624" s="292"/>
      <c r="E624" s="292"/>
      <c r="F624" s="292"/>
      <c r="G624" s="292"/>
      <c r="H624" s="292"/>
      <c r="I624" s="292"/>
      <c r="J624" s="292"/>
      <c r="K624" s="292"/>
      <c r="L624" s="292"/>
      <c r="M624" s="292"/>
      <c r="N624" s="292"/>
      <c r="O624" s="292"/>
      <c r="P624" s="292"/>
      <c r="Q624" s="292"/>
      <c r="R624" s="292"/>
      <c r="S624" s="292"/>
      <c r="T624" s="292"/>
      <c r="U624" s="292"/>
      <c r="V624" s="292"/>
      <c r="W624" s="292"/>
      <c r="X624" s="292"/>
      <c r="Y624" s="292"/>
      <c r="Z624" s="292"/>
      <c r="AA624" s="292"/>
      <c r="AB624" s="292"/>
      <c r="AC624" s="292"/>
    </row>
    <row r="625">
      <c r="A625" s="292"/>
      <c r="B625" s="292"/>
      <c r="C625" s="292"/>
      <c r="D625" s="292"/>
      <c r="E625" s="292"/>
      <c r="F625" s="292"/>
      <c r="G625" s="292"/>
      <c r="H625" s="292"/>
      <c r="I625" s="292"/>
      <c r="J625" s="292"/>
      <c r="K625" s="292"/>
      <c r="L625" s="292"/>
      <c r="M625" s="292"/>
      <c r="N625" s="292"/>
      <c r="O625" s="292"/>
      <c r="P625" s="292"/>
      <c r="Q625" s="292"/>
      <c r="R625" s="292"/>
      <c r="S625" s="292"/>
      <c r="T625" s="292"/>
      <c r="U625" s="292"/>
      <c r="V625" s="292"/>
      <c r="W625" s="292"/>
      <c r="X625" s="292"/>
      <c r="Y625" s="292"/>
      <c r="Z625" s="292"/>
      <c r="AA625" s="292"/>
      <c r="AB625" s="292"/>
      <c r="AC625" s="292"/>
    </row>
    <row r="626">
      <c r="A626" s="292"/>
      <c r="B626" s="292"/>
      <c r="C626" s="292"/>
      <c r="D626" s="292"/>
      <c r="E626" s="292"/>
      <c r="F626" s="292"/>
      <c r="G626" s="292"/>
      <c r="H626" s="292"/>
      <c r="I626" s="292"/>
      <c r="J626" s="292"/>
      <c r="K626" s="292"/>
      <c r="L626" s="292"/>
      <c r="M626" s="292"/>
      <c r="N626" s="292"/>
      <c r="O626" s="292"/>
      <c r="P626" s="292"/>
      <c r="Q626" s="292"/>
      <c r="R626" s="292"/>
      <c r="S626" s="292"/>
      <c r="T626" s="292"/>
      <c r="U626" s="292"/>
      <c r="V626" s="292"/>
      <c r="W626" s="292"/>
      <c r="X626" s="292"/>
      <c r="Y626" s="292"/>
      <c r="Z626" s="292"/>
      <c r="AA626" s="292"/>
      <c r="AB626" s="292"/>
      <c r="AC626" s="292"/>
    </row>
    <row r="627">
      <c r="A627" s="292"/>
      <c r="B627" s="292"/>
      <c r="C627" s="292"/>
      <c r="D627" s="292"/>
      <c r="E627" s="292"/>
      <c r="F627" s="292"/>
      <c r="G627" s="292"/>
      <c r="H627" s="292"/>
      <c r="I627" s="292"/>
      <c r="J627" s="292"/>
      <c r="K627" s="292"/>
      <c r="L627" s="292"/>
      <c r="M627" s="292"/>
      <c r="N627" s="292"/>
      <c r="O627" s="292"/>
      <c r="P627" s="292"/>
      <c r="Q627" s="292"/>
      <c r="R627" s="292"/>
      <c r="S627" s="292"/>
      <c r="T627" s="292"/>
      <c r="U627" s="292"/>
      <c r="V627" s="292"/>
      <c r="W627" s="292"/>
      <c r="X627" s="292"/>
      <c r="Y627" s="292"/>
      <c r="Z627" s="292"/>
      <c r="AA627" s="292"/>
      <c r="AB627" s="292"/>
      <c r="AC627" s="292"/>
    </row>
    <row r="628">
      <c r="A628" s="292"/>
      <c r="B628" s="292"/>
      <c r="C628" s="292"/>
      <c r="D628" s="292"/>
      <c r="E628" s="292"/>
      <c r="F628" s="292"/>
      <c r="G628" s="292"/>
      <c r="H628" s="292"/>
      <c r="I628" s="292"/>
      <c r="J628" s="292"/>
      <c r="K628" s="292"/>
      <c r="L628" s="292"/>
      <c r="M628" s="292"/>
      <c r="N628" s="292"/>
      <c r="O628" s="292"/>
      <c r="P628" s="292"/>
      <c r="Q628" s="292"/>
      <c r="R628" s="292"/>
      <c r="S628" s="292"/>
      <c r="T628" s="292"/>
      <c r="U628" s="292"/>
      <c r="V628" s="292"/>
      <c r="W628" s="292"/>
      <c r="X628" s="292"/>
      <c r="Y628" s="292"/>
      <c r="Z628" s="292"/>
      <c r="AA628" s="292"/>
      <c r="AB628" s="292"/>
      <c r="AC628" s="292"/>
    </row>
    <row r="629">
      <c r="A629" s="292"/>
      <c r="B629" s="292"/>
      <c r="C629" s="292"/>
      <c r="D629" s="292"/>
      <c r="E629" s="292"/>
      <c r="F629" s="292"/>
      <c r="G629" s="292"/>
      <c r="H629" s="292"/>
      <c r="I629" s="292"/>
      <c r="J629" s="292"/>
      <c r="K629" s="292"/>
      <c r="L629" s="292"/>
      <c r="M629" s="292"/>
      <c r="N629" s="292"/>
      <c r="O629" s="292"/>
      <c r="P629" s="292"/>
      <c r="Q629" s="292"/>
      <c r="R629" s="292"/>
      <c r="S629" s="292"/>
      <c r="T629" s="292"/>
      <c r="U629" s="292"/>
      <c r="V629" s="292"/>
      <c r="W629" s="292"/>
      <c r="X629" s="292"/>
      <c r="Y629" s="292"/>
      <c r="Z629" s="292"/>
      <c r="AA629" s="292"/>
      <c r="AB629" s="292"/>
      <c r="AC629" s="292"/>
    </row>
    <row r="630">
      <c r="A630" s="292"/>
      <c r="B630" s="292"/>
      <c r="C630" s="292"/>
      <c r="D630" s="292"/>
      <c r="E630" s="292"/>
      <c r="F630" s="292"/>
      <c r="G630" s="292"/>
      <c r="H630" s="292"/>
      <c r="I630" s="292"/>
      <c r="J630" s="292"/>
      <c r="K630" s="292"/>
      <c r="L630" s="292"/>
      <c r="M630" s="292"/>
      <c r="N630" s="292"/>
      <c r="O630" s="292"/>
      <c r="P630" s="292"/>
      <c r="Q630" s="292"/>
      <c r="R630" s="292"/>
      <c r="S630" s="292"/>
      <c r="T630" s="292"/>
      <c r="U630" s="292"/>
      <c r="V630" s="292"/>
      <c r="W630" s="292"/>
      <c r="X630" s="292"/>
      <c r="Y630" s="292"/>
      <c r="Z630" s="292"/>
      <c r="AA630" s="292"/>
      <c r="AB630" s="292"/>
      <c r="AC630" s="292"/>
    </row>
    <row r="631">
      <c r="A631" s="292"/>
      <c r="B631" s="292"/>
      <c r="C631" s="292"/>
      <c r="D631" s="292"/>
      <c r="E631" s="292"/>
      <c r="F631" s="292"/>
      <c r="G631" s="292"/>
      <c r="H631" s="292"/>
      <c r="I631" s="292"/>
      <c r="J631" s="292"/>
      <c r="K631" s="292"/>
      <c r="L631" s="292"/>
      <c r="M631" s="292"/>
      <c r="N631" s="292"/>
      <c r="O631" s="292"/>
      <c r="P631" s="292"/>
      <c r="Q631" s="292"/>
      <c r="R631" s="292"/>
      <c r="S631" s="292"/>
      <c r="T631" s="292"/>
      <c r="U631" s="292"/>
      <c r="V631" s="292"/>
      <c r="W631" s="292"/>
      <c r="X631" s="292"/>
      <c r="Y631" s="292"/>
      <c r="Z631" s="292"/>
      <c r="AA631" s="292"/>
      <c r="AB631" s="292"/>
      <c r="AC631" s="292"/>
    </row>
    <row r="632">
      <c r="A632" s="292"/>
      <c r="B632" s="292"/>
      <c r="C632" s="292"/>
      <c r="D632" s="292"/>
      <c r="E632" s="292"/>
      <c r="F632" s="292"/>
      <c r="G632" s="292"/>
      <c r="H632" s="292"/>
      <c r="I632" s="292"/>
      <c r="J632" s="292"/>
      <c r="K632" s="292"/>
      <c r="L632" s="292"/>
      <c r="M632" s="292"/>
      <c r="N632" s="292"/>
      <c r="O632" s="292"/>
      <c r="P632" s="292"/>
      <c r="Q632" s="292"/>
      <c r="R632" s="292"/>
      <c r="S632" s="292"/>
      <c r="T632" s="292"/>
      <c r="U632" s="292"/>
      <c r="V632" s="292"/>
      <c r="W632" s="292"/>
      <c r="X632" s="292"/>
      <c r="Y632" s="292"/>
      <c r="Z632" s="292"/>
      <c r="AA632" s="292"/>
      <c r="AB632" s="292"/>
      <c r="AC632" s="292"/>
    </row>
    <row r="633">
      <c r="A633" s="292"/>
      <c r="B633" s="292"/>
      <c r="C633" s="292"/>
      <c r="D633" s="292"/>
      <c r="E633" s="292"/>
      <c r="F633" s="292"/>
      <c r="G633" s="292"/>
      <c r="H633" s="292"/>
      <c r="I633" s="292"/>
      <c r="J633" s="292"/>
      <c r="K633" s="292"/>
      <c r="L633" s="292"/>
      <c r="M633" s="292"/>
      <c r="N633" s="292"/>
      <c r="O633" s="292"/>
      <c r="P633" s="292"/>
      <c r="Q633" s="292"/>
      <c r="R633" s="292"/>
      <c r="S633" s="292"/>
      <c r="T633" s="292"/>
      <c r="U633" s="292"/>
      <c r="V633" s="292"/>
      <c r="W633" s="292"/>
      <c r="X633" s="292"/>
      <c r="Y633" s="292"/>
      <c r="Z633" s="292"/>
      <c r="AA633" s="292"/>
      <c r="AB633" s="292"/>
      <c r="AC633" s="292"/>
    </row>
    <row r="634">
      <c r="A634" s="292"/>
      <c r="B634" s="292"/>
      <c r="C634" s="292"/>
      <c r="D634" s="292"/>
      <c r="E634" s="292"/>
      <c r="F634" s="292"/>
      <c r="G634" s="292"/>
      <c r="H634" s="292"/>
      <c r="I634" s="292"/>
      <c r="J634" s="292"/>
      <c r="K634" s="292"/>
      <c r="L634" s="292"/>
      <c r="M634" s="292"/>
      <c r="N634" s="292"/>
      <c r="O634" s="292"/>
      <c r="P634" s="292"/>
      <c r="Q634" s="292"/>
      <c r="R634" s="292"/>
      <c r="S634" s="292"/>
      <c r="T634" s="292"/>
      <c r="U634" s="292"/>
      <c r="V634" s="292"/>
      <c r="W634" s="292"/>
      <c r="X634" s="292"/>
      <c r="Y634" s="292"/>
      <c r="Z634" s="292"/>
      <c r="AA634" s="292"/>
      <c r="AB634" s="292"/>
      <c r="AC634" s="292"/>
    </row>
    <row r="635">
      <c r="A635" s="292"/>
      <c r="B635" s="292"/>
      <c r="C635" s="292"/>
      <c r="D635" s="292"/>
      <c r="E635" s="292"/>
      <c r="F635" s="292"/>
      <c r="G635" s="292"/>
      <c r="H635" s="292"/>
      <c r="I635" s="292"/>
      <c r="J635" s="292"/>
      <c r="K635" s="292"/>
      <c r="L635" s="292"/>
      <c r="M635" s="292"/>
      <c r="N635" s="292"/>
      <c r="O635" s="292"/>
      <c r="P635" s="292"/>
      <c r="Q635" s="292"/>
      <c r="R635" s="292"/>
      <c r="S635" s="292"/>
      <c r="T635" s="292"/>
      <c r="U635" s="292"/>
      <c r="V635" s="292"/>
      <c r="W635" s="292"/>
      <c r="X635" s="292"/>
      <c r="Y635" s="292"/>
      <c r="Z635" s="292"/>
      <c r="AA635" s="292"/>
      <c r="AB635" s="292"/>
      <c r="AC635" s="292"/>
    </row>
    <row r="636">
      <c r="A636" s="292"/>
      <c r="B636" s="292"/>
      <c r="C636" s="292"/>
      <c r="D636" s="292"/>
      <c r="E636" s="292"/>
      <c r="F636" s="292"/>
      <c r="G636" s="292"/>
      <c r="H636" s="292"/>
      <c r="I636" s="292"/>
      <c r="J636" s="292"/>
      <c r="K636" s="292"/>
      <c r="L636" s="292"/>
      <c r="M636" s="292"/>
      <c r="N636" s="292"/>
      <c r="O636" s="292"/>
      <c r="P636" s="292"/>
      <c r="Q636" s="292"/>
      <c r="R636" s="292"/>
      <c r="S636" s="292"/>
      <c r="T636" s="292"/>
      <c r="U636" s="292"/>
      <c r="V636" s="292"/>
      <c r="W636" s="292"/>
      <c r="X636" s="292"/>
      <c r="Y636" s="292"/>
      <c r="Z636" s="292"/>
      <c r="AA636" s="292"/>
      <c r="AB636" s="292"/>
      <c r="AC636" s="292"/>
    </row>
    <row r="637">
      <c r="A637" s="292"/>
      <c r="B637" s="292"/>
      <c r="C637" s="292"/>
      <c r="D637" s="292"/>
      <c r="E637" s="292"/>
      <c r="F637" s="292"/>
      <c r="G637" s="292"/>
      <c r="H637" s="292"/>
      <c r="I637" s="292"/>
      <c r="J637" s="292"/>
      <c r="K637" s="292"/>
      <c r="L637" s="292"/>
      <c r="M637" s="292"/>
      <c r="N637" s="292"/>
      <c r="O637" s="292"/>
      <c r="P637" s="292"/>
      <c r="Q637" s="292"/>
      <c r="R637" s="292"/>
      <c r="S637" s="292"/>
      <c r="T637" s="292"/>
      <c r="U637" s="292"/>
      <c r="V637" s="292"/>
      <c r="W637" s="292"/>
      <c r="X637" s="292"/>
      <c r="Y637" s="292"/>
      <c r="Z637" s="292"/>
      <c r="AA637" s="292"/>
      <c r="AB637" s="292"/>
      <c r="AC637" s="292"/>
    </row>
    <row r="638">
      <c r="A638" s="292"/>
      <c r="B638" s="292"/>
      <c r="C638" s="292"/>
      <c r="D638" s="292"/>
      <c r="E638" s="292"/>
      <c r="F638" s="292"/>
      <c r="G638" s="292"/>
      <c r="H638" s="292"/>
      <c r="I638" s="292"/>
      <c r="J638" s="292"/>
      <c r="K638" s="292"/>
      <c r="L638" s="292"/>
      <c r="M638" s="292"/>
      <c r="N638" s="292"/>
      <c r="O638" s="292"/>
      <c r="P638" s="292"/>
      <c r="Q638" s="292"/>
      <c r="R638" s="292"/>
      <c r="S638" s="292"/>
      <c r="T638" s="292"/>
      <c r="U638" s="292"/>
      <c r="V638" s="292"/>
      <c r="W638" s="292"/>
      <c r="X638" s="292"/>
      <c r="Y638" s="292"/>
      <c r="Z638" s="292"/>
      <c r="AA638" s="292"/>
      <c r="AB638" s="292"/>
      <c r="AC638" s="292"/>
    </row>
    <row r="639">
      <c r="A639" s="292"/>
      <c r="B639" s="292"/>
      <c r="C639" s="292"/>
      <c r="D639" s="292"/>
      <c r="E639" s="292"/>
      <c r="F639" s="292"/>
      <c r="G639" s="292"/>
      <c r="H639" s="292"/>
      <c r="I639" s="292"/>
      <c r="J639" s="292"/>
      <c r="K639" s="292"/>
      <c r="L639" s="292"/>
      <c r="M639" s="292"/>
      <c r="N639" s="292"/>
      <c r="O639" s="292"/>
      <c r="P639" s="292"/>
      <c r="Q639" s="292"/>
      <c r="R639" s="292"/>
      <c r="S639" s="292"/>
      <c r="T639" s="292"/>
      <c r="U639" s="292"/>
      <c r="V639" s="292"/>
      <c r="W639" s="292"/>
      <c r="X639" s="292"/>
      <c r="Y639" s="292"/>
      <c r="Z639" s="292"/>
      <c r="AA639" s="292"/>
      <c r="AB639" s="292"/>
      <c r="AC639" s="292"/>
    </row>
    <row r="640">
      <c r="A640" s="292"/>
      <c r="B640" s="292"/>
      <c r="C640" s="292"/>
      <c r="D640" s="292"/>
      <c r="E640" s="292"/>
      <c r="F640" s="292"/>
      <c r="G640" s="292"/>
      <c r="H640" s="292"/>
      <c r="I640" s="292"/>
      <c r="J640" s="292"/>
      <c r="K640" s="292"/>
      <c r="L640" s="292"/>
      <c r="M640" s="292"/>
      <c r="N640" s="292"/>
      <c r="O640" s="292"/>
      <c r="P640" s="292"/>
      <c r="Q640" s="292"/>
      <c r="R640" s="292"/>
      <c r="S640" s="292"/>
      <c r="T640" s="292"/>
      <c r="U640" s="292"/>
      <c r="V640" s="292"/>
      <c r="W640" s="292"/>
      <c r="X640" s="292"/>
      <c r="Y640" s="292"/>
      <c r="Z640" s="292"/>
      <c r="AA640" s="292"/>
      <c r="AB640" s="292"/>
      <c r="AC640" s="292"/>
    </row>
    <row r="641">
      <c r="A641" s="292"/>
      <c r="B641" s="292"/>
      <c r="C641" s="292"/>
      <c r="D641" s="292"/>
      <c r="E641" s="292"/>
      <c r="F641" s="292"/>
      <c r="G641" s="292"/>
      <c r="H641" s="292"/>
      <c r="I641" s="292"/>
      <c r="J641" s="292"/>
      <c r="K641" s="292"/>
      <c r="L641" s="292"/>
      <c r="M641" s="292"/>
      <c r="N641" s="292"/>
      <c r="O641" s="292"/>
      <c r="P641" s="292"/>
      <c r="Q641" s="292"/>
      <c r="R641" s="292"/>
      <c r="S641" s="292"/>
      <c r="T641" s="292"/>
      <c r="U641" s="292"/>
      <c r="V641" s="292"/>
      <c r="W641" s="292"/>
      <c r="X641" s="292"/>
      <c r="Y641" s="292"/>
      <c r="Z641" s="292"/>
      <c r="AA641" s="292"/>
      <c r="AB641" s="292"/>
      <c r="AC641" s="292"/>
    </row>
    <row r="642">
      <c r="A642" s="292"/>
      <c r="B642" s="292"/>
      <c r="C642" s="292"/>
      <c r="D642" s="292"/>
      <c r="E642" s="292"/>
      <c r="F642" s="292"/>
      <c r="G642" s="292"/>
      <c r="H642" s="292"/>
      <c r="I642" s="292"/>
      <c r="J642" s="292"/>
      <c r="K642" s="292"/>
      <c r="L642" s="292"/>
      <c r="M642" s="292"/>
      <c r="N642" s="292"/>
      <c r="O642" s="292"/>
      <c r="P642" s="292"/>
      <c r="Q642" s="292"/>
      <c r="R642" s="292"/>
      <c r="S642" s="292"/>
      <c r="T642" s="292"/>
      <c r="U642" s="292"/>
      <c r="V642" s="292"/>
      <c r="W642" s="292"/>
      <c r="X642" s="292"/>
      <c r="Y642" s="292"/>
      <c r="Z642" s="292"/>
      <c r="AA642" s="292"/>
      <c r="AB642" s="292"/>
      <c r="AC642" s="292"/>
    </row>
    <row r="643">
      <c r="A643" s="292"/>
      <c r="B643" s="292"/>
      <c r="C643" s="292"/>
      <c r="D643" s="292"/>
      <c r="E643" s="292"/>
      <c r="F643" s="292"/>
      <c r="G643" s="292"/>
      <c r="H643" s="292"/>
      <c r="I643" s="292"/>
      <c r="J643" s="292"/>
      <c r="K643" s="292"/>
      <c r="L643" s="292"/>
      <c r="M643" s="292"/>
      <c r="N643" s="292"/>
      <c r="O643" s="292"/>
      <c r="P643" s="292"/>
      <c r="Q643" s="292"/>
      <c r="R643" s="292"/>
      <c r="S643" s="292"/>
      <c r="T643" s="292"/>
      <c r="U643" s="292"/>
      <c r="V643" s="292"/>
      <c r="W643" s="292"/>
      <c r="X643" s="292"/>
      <c r="Y643" s="292"/>
      <c r="Z643" s="292"/>
      <c r="AA643" s="292"/>
      <c r="AB643" s="292"/>
      <c r="AC643" s="292"/>
    </row>
    <row r="644">
      <c r="A644" s="292"/>
      <c r="B644" s="292"/>
      <c r="C644" s="292"/>
      <c r="D644" s="292"/>
      <c r="E644" s="292"/>
      <c r="F644" s="292"/>
      <c r="G644" s="292"/>
      <c r="H644" s="292"/>
      <c r="I644" s="292"/>
      <c r="J644" s="292"/>
      <c r="K644" s="292"/>
      <c r="L644" s="292"/>
      <c r="M644" s="292"/>
      <c r="N644" s="292"/>
      <c r="O644" s="292"/>
      <c r="P644" s="292"/>
      <c r="Q644" s="292"/>
      <c r="R644" s="292"/>
      <c r="S644" s="292"/>
      <c r="T644" s="292"/>
      <c r="U644" s="292"/>
      <c r="V644" s="292"/>
      <c r="W644" s="292"/>
      <c r="X644" s="292"/>
      <c r="Y644" s="292"/>
      <c r="Z644" s="292"/>
      <c r="AA644" s="292"/>
      <c r="AB644" s="292"/>
      <c r="AC644" s="292"/>
    </row>
    <row r="645">
      <c r="A645" s="292"/>
      <c r="B645" s="292"/>
      <c r="C645" s="292"/>
      <c r="D645" s="292"/>
      <c r="E645" s="292"/>
      <c r="F645" s="292"/>
      <c r="G645" s="292"/>
      <c r="H645" s="292"/>
      <c r="I645" s="292"/>
      <c r="J645" s="292"/>
      <c r="K645" s="292"/>
      <c r="L645" s="292"/>
      <c r="M645" s="292"/>
      <c r="N645" s="292"/>
      <c r="O645" s="292"/>
      <c r="P645" s="292"/>
      <c r="Q645" s="292"/>
      <c r="R645" s="292"/>
      <c r="S645" s="292"/>
      <c r="T645" s="292"/>
      <c r="U645" s="292"/>
      <c r="V645" s="292"/>
      <c r="W645" s="292"/>
      <c r="X645" s="292"/>
      <c r="Y645" s="292"/>
      <c r="Z645" s="292"/>
      <c r="AA645" s="292"/>
      <c r="AB645" s="292"/>
      <c r="AC645" s="292"/>
    </row>
    <row r="646">
      <c r="A646" s="292"/>
      <c r="B646" s="292"/>
      <c r="C646" s="292"/>
      <c r="D646" s="292"/>
      <c r="E646" s="292"/>
      <c r="F646" s="292"/>
      <c r="G646" s="292"/>
      <c r="H646" s="292"/>
      <c r="I646" s="292"/>
      <c r="J646" s="292"/>
      <c r="K646" s="292"/>
      <c r="L646" s="292"/>
      <c r="M646" s="292"/>
      <c r="N646" s="292"/>
      <c r="O646" s="292"/>
      <c r="P646" s="292"/>
      <c r="Q646" s="292"/>
      <c r="R646" s="292"/>
      <c r="S646" s="292"/>
      <c r="T646" s="292"/>
      <c r="U646" s="292"/>
      <c r="V646" s="292"/>
      <c r="W646" s="292"/>
      <c r="X646" s="292"/>
      <c r="Y646" s="292"/>
      <c r="Z646" s="292"/>
      <c r="AA646" s="292"/>
      <c r="AB646" s="292"/>
      <c r="AC646" s="292"/>
    </row>
    <row r="647">
      <c r="A647" s="292"/>
      <c r="B647" s="292"/>
      <c r="C647" s="292"/>
      <c r="D647" s="292"/>
      <c r="E647" s="292"/>
      <c r="F647" s="292"/>
      <c r="G647" s="292"/>
      <c r="H647" s="292"/>
      <c r="I647" s="292"/>
      <c r="J647" s="292"/>
      <c r="K647" s="292"/>
      <c r="L647" s="292"/>
      <c r="M647" s="292"/>
      <c r="N647" s="292"/>
      <c r="O647" s="292"/>
      <c r="P647" s="292"/>
      <c r="Q647" s="292"/>
      <c r="R647" s="292"/>
      <c r="S647" s="292"/>
      <c r="T647" s="292"/>
      <c r="U647" s="292"/>
      <c r="V647" s="292"/>
      <c r="W647" s="292"/>
      <c r="X647" s="292"/>
      <c r="Y647" s="292"/>
      <c r="Z647" s="292"/>
      <c r="AA647" s="292"/>
      <c r="AB647" s="292"/>
      <c r="AC647" s="292"/>
    </row>
    <row r="648">
      <c r="A648" s="292"/>
      <c r="B648" s="292"/>
      <c r="C648" s="292"/>
      <c r="D648" s="292"/>
      <c r="E648" s="292"/>
      <c r="F648" s="292"/>
      <c r="G648" s="292"/>
      <c r="H648" s="292"/>
      <c r="I648" s="292"/>
      <c r="J648" s="292"/>
      <c r="K648" s="292"/>
      <c r="L648" s="292"/>
      <c r="M648" s="292"/>
      <c r="N648" s="292"/>
      <c r="O648" s="292"/>
      <c r="P648" s="292"/>
      <c r="Q648" s="292"/>
      <c r="R648" s="292"/>
      <c r="S648" s="292"/>
      <c r="T648" s="292"/>
      <c r="U648" s="292"/>
      <c r="V648" s="292"/>
      <c r="W648" s="292"/>
      <c r="X648" s="292"/>
      <c r="Y648" s="292"/>
      <c r="Z648" s="292"/>
      <c r="AA648" s="292"/>
      <c r="AB648" s="292"/>
      <c r="AC648" s="292"/>
    </row>
    <row r="649">
      <c r="A649" s="292"/>
      <c r="B649" s="292"/>
      <c r="C649" s="292"/>
      <c r="D649" s="292"/>
      <c r="E649" s="292"/>
      <c r="F649" s="292"/>
      <c r="G649" s="292"/>
      <c r="H649" s="292"/>
      <c r="I649" s="292"/>
      <c r="J649" s="292"/>
      <c r="K649" s="292"/>
      <c r="L649" s="292"/>
      <c r="M649" s="292"/>
      <c r="N649" s="292"/>
      <c r="O649" s="292"/>
      <c r="P649" s="292"/>
      <c r="Q649" s="292"/>
      <c r="R649" s="292"/>
      <c r="S649" s="292"/>
      <c r="T649" s="292"/>
      <c r="U649" s="292"/>
      <c r="V649" s="292"/>
      <c r="W649" s="292"/>
      <c r="X649" s="292"/>
      <c r="Y649" s="292"/>
      <c r="Z649" s="292"/>
      <c r="AA649" s="292"/>
      <c r="AB649" s="292"/>
      <c r="AC649" s="292"/>
    </row>
    <row r="650">
      <c r="A650" s="292"/>
      <c r="B650" s="292"/>
      <c r="C650" s="292"/>
      <c r="D650" s="292"/>
      <c r="E650" s="292"/>
      <c r="F650" s="292"/>
      <c r="G650" s="292"/>
      <c r="H650" s="292"/>
      <c r="I650" s="292"/>
      <c r="J650" s="292"/>
      <c r="K650" s="292"/>
      <c r="L650" s="292"/>
      <c r="M650" s="292"/>
      <c r="N650" s="292"/>
      <c r="O650" s="292"/>
      <c r="P650" s="292"/>
      <c r="Q650" s="292"/>
      <c r="R650" s="292"/>
      <c r="S650" s="292"/>
      <c r="T650" s="292"/>
      <c r="U650" s="292"/>
      <c r="V650" s="292"/>
      <c r="W650" s="292"/>
      <c r="X650" s="292"/>
      <c r="Y650" s="292"/>
      <c r="Z650" s="292"/>
      <c r="AA650" s="292"/>
      <c r="AB650" s="292"/>
      <c r="AC650" s="292"/>
    </row>
    <row r="651">
      <c r="A651" s="292"/>
      <c r="B651" s="292"/>
      <c r="C651" s="292"/>
      <c r="D651" s="292"/>
      <c r="E651" s="292"/>
      <c r="F651" s="292"/>
      <c r="G651" s="292"/>
      <c r="H651" s="292"/>
      <c r="I651" s="292"/>
      <c r="J651" s="292"/>
      <c r="K651" s="292"/>
      <c r="L651" s="292"/>
      <c r="M651" s="292"/>
      <c r="N651" s="292"/>
      <c r="O651" s="292"/>
      <c r="P651" s="292"/>
      <c r="Q651" s="292"/>
      <c r="R651" s="292"/>
      <c r="S651" s="292"/>
      <c r="T651" s="292"/>
      <c r="U651" s="292"/>
      <c r="V651" s="292"/>
      <c r="W651" s="292"/>
      <c r="X651" s="292"/>
      <c r="Y651" s="292"/>
      <c r="Z651" s="292"/>
      <c r="AA651" s="292"/>
      <c r="AB651" s="292"/>
      <c r="AC651" s="292"/>
    </row>
    <row r="652">
      <c r="A652" s="292"/>
      <c r="B652" s="292"/>
      <c r="C652" s="292"/>
      <c r="D652" s="292"/>
      <c r="E652" s="292"/>
      <c r="F652" s="292"/>
      <c r="G652" s="292"/>
      <c r="H652" s="292"/>
      <c r="I652" s="292"/>
      <c r="J652" s="292"/>
      <c r="K652" s="292"/>
      <c r="L652" s="292"/>
      <c r="M652" s="292"/>
      <c r="N652" s="292"/>
      <c r="O652" s="292"/>
      <c r="P652" s="292"/>
      <c r="Q652" s="292"/>
      <c r="R652" s="292"/>
      <c r="S652" s="292"/>
      <c r="T652" s="292"/>
      <c r="U652" s="292"/>
      <c r="V652" s="292"/>
      <c r="W652" s="292"/>
      <c r="X652" s="292"/>
      <c r="Y652" s="292"/>
      <c r="Z652" s="292"/>
      <c r="AA652" s="292"/>
      <c r="AB652" s="292"/>
      <c r="AC652" s="292"/>
    </row>
    <row r="653">
      <c r="A653" s="292"/>
      <c r="B653" s="292"/>
      <c r="C653" s="292"/>
      <c r="D653" s="292"/>
      <c r="E653" s="292"/>
      <c r="F653" s="292"/>
      <c r="G653" s="292"/>
      <c r="H653" s="292"/>
      <c r="I653" s="292"/>
      <c r="J653" s="292"/>
      <c r="K653" s="292"/>
      <c r="L653" s="292"/>
      <c r="M653" s="292"/>
      <c r="N653" s="292"/>
      <c r="O653" s="292"/>
      <c r="P653" s="292"/>
      <c r="Q653" s="292"/>
      <c r="R653" s="292"/>
      <c r="S653" s="292"/>
      <c r="T653" s="292"/>
      <c r="U653" s="292"/>
      <c r="V653" s="292"/>
      <c r="W653" s="292"/>
      <c r="X653" s="292"/>
      <c r="Y653" s="292"/>
      <c r="Z653" s="292"/>
      <c r="AA653" s="292"/>
      <c r="AB653" s="292"/>
      <c r="AC653" s="292"/>
    </row>
    <row r="654">
      <c r="A654" s="292"/>
      <c r="B654" s="292"/>
      <c r="C654" s="292"/>
      <c r="D654" s="292"/>
      <c r="E654" s="292"/>
      <c r="F654" s="292"/>
      <c r="G654" s="292"/>
      <c r="H654" s="292"/>
      <c r="I654" s="292"/>
      <c r="J654" s="292"/>
      <c r="K654" s="292"/>
      <c r="L654" s="292"/>
      <c r="M654" s="292"/>
      <c r="N654" s="292"/>
      <c r="O654" s="292"/>
      <c r="P654" s="292"/>
      <c r="Q654" s="292"/>
      <c r="R654" s="292"/>
      <c r="S654" s="292"/>
      <c r="T654" s="292"/>
      <c r="U654" s="292"/>
      <c r="V654" s="292"/>
      <c r="W654" s="292"/>
      <c r="X654" s="292"/>
      <c r="Y654" s="292"/>
      <c r="Z654" s="292"/>
      <c r="AA654" s="292"/>
      <c r="AB654" s="292"/>
      <c r="AC654" s="292"/>
    </row>
    <row r="655">
      <c r="A655" s="292"/>
      <c r="B655" s="292"/>
      <c r="C655" s="292"/>
      <c r="D655" s="292"/>
      <c r="E655" s="292"/>
      <c r="F655" s="292"/>
      <c r="G655" s="292"/>
      <c r="H655" s="292"/>
      <c r="I655" s="292"/>
      <c r="J655" s="292"/>
      <c r="K655" s="292"/>
      <c r="L655" s="292"/>
      <c r="M655" s="292"/>
      <c r="N655" s="292"/>
      <c r="O655" s="292"/>
      <c r="P655" s="292"/>
      <c r="Q655" s="292"/>
      <c r="R655" s="292"/>
      <c r="S655" s="292"/>
      <c r="T655" s="292"/>
      <c r="U655" s="292"/>
      <c r="V655" s="292"/>
      <c r="W655" s="292"/>
      <c r="X655" s="292"/>
      <c r="Y655" s="292"/>
      <c r="Z655" s="292"/>
      <c r="AA655" s="292"/>
      <c r="AB655" s="292"/>
      <c r="AC655" s="292"/>
    </row>
    <row r="656">
      <c r="A656" s="292"/>
      <c r="B656" s="292"/>
      <c r="C656" s="292"/>
      <c r="D656" s="292"/>
      <c r="E656" s="292"/>
      <c r="F656" s="292"/>
      <c r="G656" s="292"/>
      <c r="H656" s="292"/>
      <c r="I656" s="292"/>
      <c r="J656" s="292"/>
      <c r="K656" s="292"/>
      <c r="L656" s="292"/>
      <c r="M656" s="292"/>
      <c r="N656" s="292"/>
      <c r="O656" s="292"/>
      <c r="P656" s="292"/>
      <c r="Q656" s="292"/>
      <c r="R656" s="292"/>
      <c r="S656" s="292"/>
      <c r="T656" s="292"/>
      <c r="U656" s="292"/>
      <c r="V656" s="292"/>
      <c r="W656" s="292"/>
      <c r="X656" s="292"/>
      <c r="Y656" s="292"/>
      <c r="Z656" s="292"/>
      <c r="AA656" s="292"/>
      <c r="AB656" s="292"/>
      <c r="AC656" s="292"/>
    </row>
    <row r="657">
      <c r="A657" s="292"/>
      <c r="B657" s="292"/>
      <c r="C657" s="292"/>
      <c r="D657" s="292"/>
      <c r="E657" s="292"/>
      <c r="F657" s="292"/>
      <c r="G657" s="292"/>
      <c r="H657" s="292"/>
      <c r="I657" s="292"/>
      <c r="J657" s="292"/>
      <c r="K657" s="292"/>
      <c r="L657" s="292"/>
      <c r="M657" s="292"/>
      <c r="N657" s="292"/>
      <c r="O657" s="292"/>
      <c r="P657" s="292"/>
      <c r="Q657" s="292"/>
      <c r="R657" s="292"/>
      <c r="S657" s="292"/>
      <c r="T657" s="292"/>
      <c r="U657" s="292"/>
      <c r="V657" s="292"/>
      <c r="W657" s="292"/>
      <c r="X657" s="292"/>
      <c r="Y657" s="292"/>
      <c r="Z657" s="292"/>
      <c r="AA657" s="292"/>
      <c r="AB657" s="292"/>
      <c r="AC657" s="292"/>
    </row>
    <row r="658">
      <c r="A658" s="292"/>
      <c r="B658" s="292"/>
      <c r="C658" s="292"/>
      <c r="D658" s="292"/>
      <c r="E658" s="292"/>
      <c r="F658" s="292"/>
      <c r="G658" s="292"/>
      <c r="H658" s="292"/>
      <c r="I658" s="292"/>
      <c r="J658" s="292"/>
      <c r="K658" s="292"/>
      <c r="L658" s="292"/>
      <c r="M658" s="292"/>
      <c r="N658" s="292"/>
      <c r="O658" s="292"/>
      <c r="P658" s="292"/>
      <c r="Q658" s="292"/>
      <c r="R658" s="292"/>
      <c r="S658" s="292"/>
      <c r="T658" s="292"/>
      <c r="U658" s="292"/>
      <c r="V658" s="292"/>
      <c r="W658" s="292"/>
      <c r="X658" s="292"/>
      <c r="Y658" s="292"/>
      <c r="Z658" s="292"/>
      <c r="AA658" s="292"/>
      <c r="AB658" s="292"/>
      <c r="AC658" s="292"/>
    </row>
    <row r="659">
      <c r="A659" s="292"/>
      <c r="B659" s="292"/>
      <c r="C659" s="292"/>
      <c r="D659" s="292"/>
      <c r="E659" s="292"/>
      <c r="F659" s="292"/>
      <c r="G659" s="292"/>
      <c r="H659" s="292"/>
      <c r="I659" s="292"/>
      <c r="J659" s="292"/>
      <c r="K659" s="292"/>
      <c r="L659" s="292"/>
      <c r="M659" s="292"/>
      <c r="N659" s="292"/>
      <c r="O659" s="292"/>
      <c r="P659" s="292"/>
      <c r="Q659" s="292"/>
      <c r="R659" s="292"/>
      <c r="S659" s="292"/>
      <c r="T659" s="292"/>
      <c r="U659" s="292"/>
      <c r="V659" s="292"/>
      <c r="W659" s="292"/>
      <c r="X659" s="292"/>
      <c r="Y659" s="292"/>
      <c r="Z659" s="292"/>
      <c r="AA659" s="292"/>
      <c r="AB659" s="292"/>
      <c r="AC659" s="292"/>
    </row>
    <row r="660">
      <c r="A660" s="292"/>
      <c r="B660" s="292"/>
      <c r="C660" s="292"/>
      <c r="D660" s="292"/>
      <c r="E660" s="292"/>
      <c r="F660" s="292"/>
      <c r="G660" s="292"/>
      <c r="H660" s="292"/>
      <c r="I660" s="292"/>
      <c r="J660" s="292"/>
      <c r="K660" s="292"/>
      <c r="L660" s="292"/>
      <c r="M660" s="292"/>
      <c r="N660" s="292"/>
      <c r="O660" s="292"/>
      <c r="P660" s="292"/>
      <c r="Q660" s="292"/>
      <c r="R660" s="292"/>
      <c r="S660" s="292"/>
      <c r="T660" s="292"/>
      <c r="U660" s="292"/>
      <c r="V660" s="292"/>
      <c r="W660" s="292"/>
      <c r="X660" s="292"/>
      <c r="Y660" s="292"/>
      <c r="Z660" s="292"/>
      <c r="AA660" s="292"/>
      <c r="AB660" s="292"/>
      <c r="AC660" s="292"/>
    </row>
    <row r="661">
      <c r="A661" s="292"/>
      <c r="B661" s="292"/>
      <c r="C661" s="292"/>
      <c r="D661" s="292"/>
      <c r="E661" s="292"/>
      <c r="F661" s="292"/>
      <c r="G661" s="292"/>
      <c r="H661" s="292"/>
      <c r="I661" s="292"/>
      <c r="J661" s="292"/>
      <c r="K661" s="292"/>
      <c r="L661" s="292"/>
      <c r="M661" s="292"/>
      <c r="N661" s="292"/>
      <c r="O661" s="292"/>
      <c r="P661" s="292"/>
      <c r="Q661" s="292"/>
      <c r="R661" s="292"/>
      <c r="S661" s="292"/>
      <c r="T661" s="292"/>
      <c r="U661" s="292"/>
      <c r="V661" s="292"/>
      <c r="W661" s="292"/>
      <c r="X661" s="292"/>
      <c r="Y661" s="292"/>
      <c r="Z661" s="292"/>
      <c r="AA661" s="292"/>
      <c r="AB661" s="292"/>
      <c r="AC661" s="292"/>
    </row>
    <row r="662">
      <c r="A662" s="292"/>
      <c r="B662" s="292"/>
      <c r="C662" s="292"/>
      <c r="D662" s="292"/>
      <c r="E662" s="292"/>
      <c r="F662" s="292"/>
      <c r="G662" s="292"/>
      <c r="H662" s="292"/>
      <c r="I662" s="292"/>
      <c r="J662" s="292"/>
      <c r="K662" s="292"/>
      <c r="L662" s="292"/>
      <c r="M662" s="292"/>
      <c r="N662" s="292"/>
      <c r="O662" s="292"/>
      <c r="P662" s="292"/>
      <c r="Q662" s="292"/>
      <c r="R662" s="292"/>
      <c r="S662" s="292"/>
      <c r="T662" s="292"/>
      <c r="U662" s="292"/>
      <c r="V662" s="292"/>
      <c r="W662" s="292"/>
      <c r="X662" s="292"/>
      <c r="Y662" s="292"/>
      <c r="Z662" s="292"/>
      <c r="AA662" s="292"/>
      <c r="AB662" s="292"/>
      <c r="AC662" s="292"/>
    </row>
    <row r="663">
      <c r="A663" s="292"/>
      <c r="B663" s="292"/>
      <c r="C663" s="292"/>
      <c r="D663" s="292"/>
      <c r="E663" s="292"/>
      <c r="F663" s="292"/>
      <c r="G663" s="292"/>
      <c r="H663" s="292"/>
      <c r="I663" s="292"/>
      <c r="J663" s="292"/>
      <c r="K663" s="292"/>
      <c r="L663" s="292"/>
      <c r="M663" s="292"/>
      <c r="N663" s="292"/>
      <c r="O663" s="292"/>
      <c r="P663" s="292"/>
      <c r="Q663" s="292"/>
      <c r="R663" s="292"/>
      <c r="S663" s="292"/>
      <c r="T663" s="292"/>
      <c r="U663" s="292"/>
      <c r="V663" s="292"/>
      <c r="W663" s="292"/>
      <c r="X663" s="292"/>
      <c r="Y663" s="292"/>
      <c r="Z663" s="292"/>
      <c r="AA663" s="292"/>
      <c r="AB663" s="292"/>
      <c r="AC663" s="292"/>
    </row>
    <row r="664">
      <c r="A664" s="292"/>
      <c r="B664" s="292"/>
      <c r="C664" s="292"/>
      <c r="D664" s="292"/>
      <c r="E664" s="292"/>
      <c r="F664" s="292"/>
      <c r="G664" s="292"/>
      <c r="H664" s="292"/>
      <c r="I664" s="292"/>
      <c r="J664" s="292"/>
      <c r="K664" s="292"/>
      <c r="L664" s="292"/>
      <c r="M664" s="292"/>
      <c r="N664" s="292"/>
      <c r="O664" s="292"/>
      <c r="P664" s="292"/>
      <c r="Q664" s="292"/>
      <c r="R664" s="292"/>
      <c r="S664" s="292"/>
      <c r="T664" s="292"/>
      <c r="U664" s="292"/>
      <c r="V664" s="292"/>
      <c r="W664" s="292"/>
      <c r="X664" s="292"/>
      <c r="Y664" s="292"/>
      <c r="Z664" s="292"/>
      <c r="AA664" s="292"/>
      <c r="AB664" s="292"/>
      <c r="AC664" s="292"/>
    </row>
    <row r="665">
      <c r="A665" s="292"/>
      <c r="B665" s="292"/>
      <c r="C665" s="292"/>
      <c r="D665" s="292"/>
      <c r="E665" s="292"/>
      <c r="F665" s="292"/>
      <c r="G665" s="292"/>
      <c r="H665" s="292"/>
      <c r="I665" s="292"/>
      <c r="J665" s="292"/>
      <c r="K665" s="292"/>
      <c r="L665" s="292"/>
      <c r="M665" s="292"/>
      <c r="N665" s="292"/>
      <c r="O665" s="292"/>
      <c r="P665" s="292"/>
      <c r="Q665" s="292"/>
      <c r="R665" s="292"/>
      <c r="S665" s="292"/>
      <c r="T665" s="292"/>
      <c r="U665" s="292"/>
      <c r="V665" s="292"/>
      <c r="W665" s="292"/>
      <c r="X665" s="292"/>
      <c r="Y665" s="292"/>
      <c r="Z665" s="292"/>
      <c r="AA665" s="292"/>
      <c r="AB665" s="292"/>
      <c r="AC665" s="292"/>
    </row>
    <row r="666">
      <c r="A666" s="292"/>
      <c r="B666" s="292"/>
      <c r="C666" s="292"/>
      <c r="D666" s="292"/>
      <c r="E666" s="292"/>
      <c r="F666" s="292"/>
      <c r="G666" s="292"/>
      <c r="H666" s="292"/>
      <c r="I666" s="292"/>
      <c r="J666" s="292"/>
      <c r="K666" s="292"/>
      <c r="L666" s="292"/>
      <c r="M666" s="292"/>
      <c r="N666" s="292"/>
      <c r="O666" s="292"/>
      <c r="P666" s="292"/>
      <c r="Q666" s="292"/>
      <c r="R666" s="292"/>
      <c r="S666" s="292"/>
      <c r="T666" s="292"/>
      <c r="U666" s="292"/>
      <c r="V666" s="292"/>
      <c r="W666" s="292"/>
      <c r="X666" s="292"/>
      <c r="Y666" s="292"/>
      <c r="Z666" s="292"/>
      <c r="AA666" s="292"/>
      <c r="AB666" s="292"/>
      <c r="AC666" s="292"/>
    </row>
    <row r="667">
      <c r="A667" s="292"/>
      <c r="B667" s="292"/>
      <c r="C667" s="292"/>
      <c r="D667" s="292"/>
      <c r="E667" s="292"/>
      <c r="F667" s="292"/>
      <c r="G667" s="292"/>
      <c r="H667" s="292"/>
      <c r="I667" s="292"/>
      <c r="J667" s="292"/>
      <c r="K667" s="292"/>
      <c r="L667" s="292"/>
      <c r="M667" s="292"/>
      <c r="N667" s="292"/>
      <c r="O667" s="292"/>
      <c r="P667" s="292"/>
      <c r="Q667" s="292"/>
      <c r="R667" s="292"/>
      <c r="S667" s="292"/>
      <c r="T667" s="292"/>
      <c r="U667" s="292"/>
      <c r="V667" s="292"/>
      <c r="W667" s="292"/>
      <c r="X667" s="292"/>
      <c r="Y667" s="292"/>
      <c r="Z667" s="292"/>
      <c r="AA667" s="292"/>
      <c r="AB667" s="292"/>
      <c r="AC667" s="292"/>
    </row>
    <row r="668">
      <c r="A668" s="292"/>
      <c r="B668" s="292"/>
      <c r="C668" s="292"/>
      <c r="D668" s="292"/>
      <c r="E668" s="292"/>
      <c r="F668" s="292"/>
      <c r="G668" s="292"/>
      <c r="H668" s="292"/>
      <c r="I668" s="292"/>
      <c r="J668" s="292"/>
      <c r="K668" s="292"/>
      <c r="L668" s="292"/>
      <c r="M668" s="292"/>
      <c r="N668" s="292"/>
      <c r="O668" s="292"/>
      <c r="P668" s="292"/>
      <c r="Q668" s="292"/>
      <c r="R668" s="292"/>
      <c r="S668" s="292"/>
      <c r="T668" s="292"/>
      <c r="U668" s="292"/>
      <c r="V668" s="292"/>
      <c r="W668" s="292"/>
      <c r="X668" s="292"/>
      <c r="Y668" s="292"/>
      <c r="Z668" s="292"/>
      <c r="AA668" s="292"/>
      <c r="AB668" s="292"/>
      <c r="AC668" s="292"/>
    </row>
    <row r="669">
      <c r="A669" s="292"/>
      <c r="B669" s="292"/>
      <c r="C669" s="292"/>
      <c r="D669" s="292"/>
      <c r="E669" s="292"/>
      <c r="F669" s="292"/>
      <c r="G669" s="292"/>
      <c r="H669" s="292"/>
      <c r="I669" s="292"/>
      <c r="J669" s="292"/>
      <c r="K669" s="292"/>
      <c r="L669" s="292"/>
      <c r="M669" s="292"/>
      <c r="N669" s="292"/>
      <c r="O669" s="292"/>
      <c r="P669" s="292"/>
      <c r="Q669" s="292"/>
      <c r="R669" s="292"/>
      <c r="S669" s="292"/>
      <c r="T669" s="292"/>
      <c r="U669" s="292"/>
      <c r="V669" s="292"/>
      <c r="W669" s="292"/>
      <c r="X669" s="292"/>
      <c r="Y669" s="292"/>
      <c r="Z669" s="292"/>
      <c r="AA669" s="292"/>
      <c r="AB669" s="292"/>
      <c r="AC669" s="292"/>
    </row>
    <row r="670">
      <c r="A670" s="292"/>
      <c r="B670" s="292"/>
      <c r="C670" s="292"/>
      <c r="D670" s="292"/>
      <c r="E670" s="292"/>
      <c r="F670" s="292"/>
      <c r="G670" s="292"/>
      <c r="H670" s="292"/>
      <c r="I670" s="292"/>
      <c r="J670" s="292"/>
      <c r="K670" s="292"/>
      <c r="L670" s="292"/>
      <c r="M670" s="292"/>
      <c r="N670" s="292"/>
      <c r="O670" s="292"/>
      <c r="P670" s="292"/>
      <c r="Q670" s="292"/>
      <c r="R670" s="292"/>
      <c r="S670" s="292"/>
      <c r="T670" s="292"/>
      <c r="U670" s="292"/>
      <c r="V670" s="292"/>
      <c r="W670" s="292"/>
      <c r="X670" s="292"/>
      <c r="Y670" s="292"/>
      <c r="Z670" s="292"/>
      <c r="AA670" s="292"/>
      <c r="AB670" s="292"/>
      <c r="AC670" s="292"/>
    </row>
    <row r="671">
      <c r="A671" s="292"/>
      <c r="B671" s="292"/>
      <c r="C671" s="292"/>
      <c r="D671" s="292"/>
      <c r="E671" s="292"/>
      <c r="F671" s="292"/>
      <c r="G671" s="292"/>
      <c r="H671" s="292"/>
      <c r="I671" s="292"/>
      <c r="J671" s="292"/>
      <c r="K671" s="292"/>
      <c r="L671" s="292"/>
      <c r="M671" s="292"/>
      <c r="N671" s="292"/>
      <c r="O671" s="292"/>
      <c r="P671" s="292"/>
      <c r="Q671" s="292"/>
      <c r="R671" s="292"/>
      <c r="S671" s="292"/>
      <c r="T671" s="292"/>
      <c r="U671" s="292"/>
      <c r="V671" s="292"/>
      <c r="W671" s="292"/>
      <c r="X671" s="292"/>
      <c r="Y671" s="292"/>
      <c r="Z671" s="292"/>
      <c r="AA671" s="292"/>
      <c r="AB671" s="292"/>
      <c r="AC671" s="292"/>
    </row>
    <row r="672">
      <c r="A672" s="292"/>
      <c r="B672" s="292"/>
      <c r="C672" s="292"/>
      <c r="D672" s="292"/>
      <c r="E672" s="292"/>
      <c r="F672" s="292"/>
      <c r="G672" s="292"/>
      <c r="H672" s="292"/>
      <c r="I672" s="292"/>
      <c r="J672" s="292"/>
      <c r="K672" s="292"/>
      <c r="L672" s="292"/>
      <c r="M672" s="292"/>
      <c r="N672" s="292"/>
      <c r="O672" s="292"/>
      <c r="P672" s="292"/>
      <c r="Q672" s="292"/>
      <c r="R672" s="292"/>
      <c r="S672" s="292"/>
      <c r="T672" s="292"/>
      <c r="U672" s="292"/>
      <c r="V672" s="292"/>
      <c r="W672" s="292"/>
      <c r="X672" s="292"/>
      <c r="Y672" s="292"/>
      <c r="Z672" s="292"/>
      <c r="AA672" s="292"/>
      <c r="AB672" s="292"/>
      <c r="AC672" s="292"/>
    </row>
    <row r="673">
      <c r="A673" s="292"/>
      <c r="B673" s="292"/>
      <c r="C673" s="292"/>
      <c r="D673" s="292"/>
      <c r="E673" s="292"/>
      <c r="F673" s="292"/>
      <c r="G673" s="292"/>
      <c r="H673" s="292"/>
      <c r="I673" s="292"/>
      <c r="J673" s="292"/>
      <c r="K673" s="292"/>
      <c r="L673" s="292"/>
      <c r="M673" s="292"/>
      <c r="N673" s="292"/>
      <c r="O673" s="292"/>
      <c r="P673" s="292"/>
      <c r="Q673" s="292"/>
      <c r="R673" s="292"/>
      <c r="S673" s="292"/>
      <c r="T673" s="292"/>
      <c r="U673" s="292"/>
      <c r="V673" s="292"/>
      <c r="W673" s="292"/>
      <c r="X673" s="292"/>
      <c r="Y673" s="292"/>
      <c r="Z673" s="292"/>
      <c r="AA673" s="292"/>
      <c r="AB673" s="292"/>
      <c r="AC673" s="292"/>
    </row>
    <row r="674">
      <c r="A674" s="292"/>
      <c r="B674" s="292"/>
      <c r="C674" s="292"/>
      <c r="D674" s="292"/>
      <c r="E674" s="292"/>
      <c r="F674" s="292"/>
      <c r="G674" s="292"/>
      <c r="H674" s="292"/>
      <c r="I674" s="292"/>
      <c r="J674" s="292"/>
      <c r="K674" s="292"/>
      <c r="L674" s="292"/>
      <c r="M674" s="292"/>
      <c r="N674" s="292"/>
      <c r="O674" s="292"/>
      <c r="P674" s="292"/>
      <c r="Q674" s="292"/>
      <c r="R674" s="292"/>
      <c r="S674" s="292"/>
      <c r="T674" s="292"/>
      <c r="U674" s="292"/>
      <c r="V674" s="292"/>
      <c r="W674" s="292"/>
      <c r="X674" s="292"/>
      <c r="Y674" s="292"/>
      <c r="Z674" s="292"/>
      <c r="AA674" s="292"/>
      <c r="AB674" s="292"/>
      <c r="AC674" s="292"/>
    </row>
    <row r="675">
      <c r="A675" s="292"/>
      <c r="B675" s="292"/>
      <c r="C675" s="292"/>
      <c r="D675" s="292"/>
      <c r="E675" s="292"/>
      <c r="F675" s="292"/>
      <c r="G675" s="292"/>
      <c r="H675" s="292"/>
      <c r="I675" s="292"/>
      <c r="J675" s="292"/>
      <c r="K675" s="292"/>
      <c r="L675" s="292"/>
      <c r="M675" s="292"/>
      <c r="N675" s="292"/>
      <c r="O675" s="292"/>
      <c r="P675" s="292"/>
      <c r="Q675" s="292"/>
      <c r="R675" s="292"/>
      <c r="S675" s="292"/>
      <c r="T675" s="292"/>
      <c r="U675" s="292"/>
      <c r="V675" s="292"/>
      <c r="W675" s="292"/>
      <c r="X675" s="292"/>
      <c r="Y675" s="292"/>
      <c r="Z675" s="292"/>
      <c r="AA675" s="292"/>
      <c r="AB675" s="292"/>
      <c r="AC675" s="292"/>
    </row>
    <row r="676">
      <c r="A676" s="292"/>
      <c r="B676" s="292"/>
      <c r="C676" s="292"/>
      <c r="D676" s="292"/>
      <c r="E676" s="292"/>
      <c r="F676" s="292"/>
      <c r="G676" s="292"/>
      <c r="H676" s="292"/>
      <c r="I676" s="292"/>
      <c r="J676" s="292"/>
      <c r="K676" s="292"/>
      <c r="L676" s="292"/>
      <c r="M676" s="292"/>
      <c r="N676" s="292"/>
      <c r="O676" s="292"/>
      <c r="P676" s="292"/>
      <c r="Q676" s="292"/>
      <c r="R676" s="292"/>
      <c r="S676" s="292"/>
      <c r="T676" s="292"/>
      <c r="U676" s="292"/>
      <c r="V676" s="292"/>
      <c r="W676" s="292"/>
      <c r="X676" s="292"/>
      <c r="Y676" s="292"/>
      <c r="Z676" s="292"/>
      <c r="AA676" s="292"/>
      <c r="AB676" s="292"/>
      <c r="AC676" s="292"/>
    </row>
    <row r="677">
      <c r="A677" s="292"/>
      <c r="B677" s="292"/>
      <c r="C677" s="292"/>
      <c r="D677" s="292"/>
      <c r="E677" s="292"/>
      <c r="F677" s="292"/>
      <c r="G677" s="292"/>
      <c r="H677" s="292"/>
      <c r="I677" s="292"/>
      <c r="J677" s="292"/>
      <c r="K677" s="292"/>
      <c r="L677" s="292"/>
      <c r="M677" s="292"/>
      <c r="N677" s="292"/>
      <c r="O677" s="292"/>
      <c r="P677" s="292"/>
      <c r="Q677" s="292"/>
      <c r="R677" s="292"/>
      <c r="S677" s="292"/>
      <c r="T677" s="292"/>
      <c r="U677" s="292"/>
      <c r="V677" s="292"/>
      <c r="W677" s="292"/>
      <c r="X677" s="292"/>
      <c r="Y677" s="292"/>
      <c r="Z677" s="292"/>
      <c r="AA677" s="292"/>
      <c r="AB677" s="292"/>
      <c r="AC677" s="292"/>
    </row>
    <row r="678">
      <c r="A678" s="292"/>
      <c r="B678" s="292"/>
      <c r="C678" s="292"/>
      <c r="D678" s="292"/>
      <c r="E678" s="292"/>
      <c r="F678" s="292"/>
      <c r="G678" s="292"/>
      <c r="H678" s="292"/>
      <c r="I678" s="292"/>
      <c r="J678" s="292"/>
      <c r="K678" s="292"/>
      <c r="L678" s="292"/>
      <c r="M678" s="292"/>
      <c r="N678" s="292"/>
      <c r="O678" s="292"/>
      <c r="P678" s="292"/>
      <c r="Q678" s="292"/>
      <c r="R678" s="292"/>
      <c r="S678" s="292"/>
      <c r="T678" s="292"/>
      <c r="U678" s="292"/>
      <c r="V678" s="292"/>
      <c r="W678" s="292"/>
      <c r="X678" s="292"/>
      <c r="Y678" s="292"/>
      <c r="Z678" s="292"/>
      <c r="AA678" s="292"/>
      <c r="AB678" s="292"/>
      <c r="AC678" s="292"/>
    </row>
    <row r="679">
      <c r="A679" s="292"/>
      <c r="B679" s="292"/>
      <c r="C679" s="292"/>
      <c r="D679" s="292"/>
      <c r="E679" s="292"/>
      <c r="F679" s="292"/>
      <c r="G679" s="292"/>
      <c r="H679" s="292"/>
      <c r="I679" s="292"/>
      <c r="J679" s="292"/>
      <c r="K679" s="292"/>
      <c r="L679" s="292"/>
      <c r="M679" s="292"/>
      <c r="N679" s="292"/>
      <c r="O679" s="292"/>
      <c r="P679" s="292"/>
      <c r="Q679" s="292"/>
      <c r="R679" s="292"/>
      <c r="S679" s="292"/>
      <c r="T679" s="292"/>
      <c r="U679" s="292"/>
      <c r="V679" s="292"/>
      <c r="W679" s="292"/>
      <c r="X679" s="292"/>
      <c r="Y679" s="292"/>
      <c r="Z679" s="292"/>
      <c r="AA679" s="292"/>
      <c r="AB679" s="292"/>
      <c r="AC679" s="292"/>
    </row>
    <row r="680">
      <c r="A680" s="292"/>
      <c r="B680" s="292"/>
      <c r="C680" s="292"/>
      <c r="D680" s="292"/>
      <c r="E680" s="292"/>
      <c r="F680" s="292"/>
      <c r="G680" s="292"/>
      <c r="H680" s="292"/>
      <c r="I680" s="292"/>
      <c r="J680" s="292"/>
      <c r="K680" s="292"/>
      <c r="L680" s="292"/>
      <c r="M680" s="292"/>
      <c r="N680" s="292"/>
      <c r="O680" s="292"/>
      <c r="P680" s="292"/>
      <c r="Q680" s="292"/>
      <c r="R680" s="292"/>
      <c r="S680" s="292"/>
      <c r="T680" s="292"/>
      <c r="U680" s="292"/>
      <c r="V680" s="292"/>
      <c r="W680" s="292"/>
      <c r="X680" s="292"/>
      <c r="Y680" s="292"/>
      <c r="Z680" s="292"/>
      <c r="AA680" s="292"/>
      <c r="AB680" s="292"/>
      <c r="AC680" s="292"/>
    </row>
    <row r="681">
      <c r="A681" s="292"/>
      <c r="B681" s="292"/>
      <c r="C681" s="292"/>
      <c r="D681" s="292"/>
      <c r="E681" s="292"/>
      <c r="F681" s="292"/>
      <c r="G681" s="292"/>
      <c r="H681" s="292"/>
      <c r="I681" s="292"/>
      <c r="J681" s="292"/>
      <c r="K681" s="292"/>
      <c r="L681" s="292"/>
      <c r="M681" s="292"/>
      <c r="N681" s="292"/>
      <c r="O681" s="292"/>
      <c r="P681" s="292"/>
      <c r="Q681" s="292"/>
      <c r="R681" s="292"/>
      <c r="S681" s="292"/>
      <c r="T681" s="292"/>
      <c r="U681" s="292"/>
      <c r="V681" s="292"/>
      <c r="W681" s="292"/>
      <c r="X681" s="292"/>
      <c r="Y681" s="292"/>
      <c r="Z681" s="292"/>
      <c r="AA681" s="292"/>
      <c r="AB681" s="292"/>
      <c r="AC681" s="292"/>
    </row>
    <row r="682">
      <c r="A682" s="292"/>
      <c r="B682" s="292"/>
      <c r="C682" s="292"/>
      <c r="D682" s="292"/>
      <c r="E682" s="292"/>
      <c r="F682" s="292"/>
      <c r="G682" s="292"/>
      <c r="H682" s="292"/>
      <c r="I682" s="292"/>
      <c r="J682" s="292"/>
      <c r="K682" s="292"/>
      <c r="L682" s="292"/>
      <c r="M682" s="292"/>
      <c r="N682" s="292"/>
      <c r="O682" s="292"/>
      <c r="P682" s="292"/>
      <c r="Q682" s="292"/>
      <c r="R682" s="292"/>
      <c r="S682" s="292"/>
      <c r="T682" s="292"/>
      <c r="U682" s="292"/>
      <c r="V682" s="292"/>
      <c r="W682" s="292"/>
      <c r="X682" s="292"/>
      <c r="Y682" s="292"/>
      <c r="Z682" s="292"/>
      <c r="AA682" s="292"/>
      <c r="AB682" s="292"/>
      <c r="AC682" s="292"/>
    </row>
    <row r="683">
      <c r="A683" s="292"/>
      <c r="B683" s="292"/>
      <c r="C683" s="292"/>
      <c r="D683" s="292"/>
      <c r="E683" s="292"/>
      <c r="F683" s="292"/>
      <c r="G683" s="292"/>
      <c r="H683" s="292"/>
      <c r="I683" s="292"/>
      <c r="J683" s="292"/>
      <c r="K683" s="292"/>
      <c r="L683" s="292"/>
      <c r="M683" s="292"/>
      <c r="N683" s="292"/>
      <c r="O683" s="292"/>
      <c r="P683" s="292"/>
      <c r="Q683" s="292"/>
      <c r="R683" s="292"/>
      <c r="S683" s="292"/>
      <c r="T683" s="292"/>
      <c r="U683" s="292"/>
      <c r="V683" s="292"/>
      <c r="W683" s="292"/>
      <c r="X683" s="292"/>
      <c r="Y683" s="292"/>
      <c r="Z683" s="292"/>
      <c r="AA683" s="292"/>
      <c r="AB683" s="292"/>
      <c r="AC683" s="292"/>
    </row>
    <row r="684">
      <c r="A684" s="292"/>
      <c r="B684" s="292"/>
      <c r="C684" s="292"/>
      <c r="D684" s="292"/>
      <c r="E684" s="292"/>
      <c r="F684" s="292"/>
      <c r="G684" s="292"/>
      <c r="H684" s="292"/>
      <c r="I684" s="292"/>
      <c r="J684" s="292"/>
      <c r="K684" s="292"/>
      <c r="L684" s="292"/>
      <c r="M684" s="292"/>
      <c r="N684" s="292"/>
      <c r="O684" s="292"/>
      <c r="P684" s="292"/>
      <c r="Q684" s="292"/>
      <c r="R684" s="292"/>
      <c r="S684" s="292"/>
      <c r="T684" s="292"/>
      <c r="U684" s="292"/>
      <c r="V684" s="292"/>
      <c r="W684" s="292"/>
      <c r="X684" s="292"/>
      <c r="Y684" s="292"/>
      <c r="Z684" s="292"/>
      <c r="AA684" s="292"/>
      <c r="AB684" s="292"/>
      <c r="AC684" s="292"/>
    </row>
    <row r="685">
      <c r="A685" s="292"/>
      <c r="B685" s="292"/>
      <c r="C685" s="292"/>
      <c r="D685" s="292"/>
      <c r="E685" s="292"/>
      <c r="F685" s="292"/>
      <c r="G685" s="292"/>
      <c r="H685" s="292"/>
      <c r="I685" s="292"/>
      <c r="J685" s="292"/>
      <c r="K685" s="292"/>
      <c r="L685" s="292"/>
      <c r="M685" s="292"/>
      <c r="N685" s="292"/>
      <c r="O685" s="292"/>
      <c r="P685" s="292"/>
      <c r="Q685" s="292"/>
      <c r="R685" s="292"/>
      <c r="S685" s="292"/>
      <c r="T685" s="292"/>
      <c r="U685" s="292"/>
      <c r="V685" s="292"/>
      <c r="W685" s="292"/>
      <c r="X685" s="292"/>
      <c r="Y685" s="292"/>
      <c r="Z685" s="292"/>
      <c r="AA685" s="292"/>
      <c r="AB685" s="292"/>
      <c r="AC685" s="292"/>
    </row>
    <row r="686">
      <c r="A686" s="292"/>
      <c r="B686" s="292"/>
      <c r="C686" s="292"/>
      <c r="D686" s="292"/>
      <c r="E686" s="292"/>
      <c r="F686" s="292"/>
      <c r="G686" s="292"/>
      <c r="H686" s="292"/>
      <c r="I686" s="292"/>
      <c r="J686" s="292"/>
      <c r="K686" s="292"/>
      <c r="L686" s="292"/>
      <c r="M686" s="292"/>
      <c r="N686" s="292"/>
      <c r="O686" s="292"/>
      <c r="P686" s="292"/>
      <c r="Q686" s="292"/>
      <c r="R686" s="292"/>
      <c r="S686" s="292"/>
      <c r="T686" s="292"/>
      <c r="U686" s="292"/>
      <c r="V686" s="292"/>
      <c r="W686" s="292"/>
      <c r="X686" s="292"/>
      <c r="Y686" s="292"/>
      <c r="Z686" s="292"/>
      <c r="AA686" s="292"/>
      <c r="AB686" s="292"/>
      <c r="AC686" s="292"/>
    </row>
    <row r="687">
      <c r="A687" s="292"/>
      <c r="B687" s="292"/>
      <c r="C687" s="292"/>
      <c r="D687" s="292"/>
      <c r="E687" s="292"/>
      <c r="F687" s="292"/>
      <c r="G687" s="292"/>
      <c r="H687" s="292"/>
      <c r="I687" s="292"/>
      <c r="J687" s="292"/>
      <c r="K687" s="292"/>
      <c r="L687" s="292"/>
      <c r="M687" s="292"/>
      <c r="N687" s="292"/>
      <c r="O687" s="292"/>
      <c r="P687" s="292"/>
      <c r="Q687" s="292"/>
      <c r="R687" s="292"/>
      <c r="S687" s="292"/>
      <c r="T687" s="292"/>
      <c r="U687" s="292"/>
      <c r="V687" s="292"/>
      <c r="W687" s="292"/>
      <c r="X687" s="292"/>
      <c r="Y687" s="292"/>
      <c r="Z687" s="292"/>
      <c r="AA687" s="292"/>
      <c r="AB687" s="292"/>
      <c r="AC687" s="292"/>
    </row>
    <row r="688">
      <c r="A688" s="292"/>
      <c r="B688" s="292"/>
      <c r="C688" s="292"/>
      <c r="D688" s="292"/>
      <c r="E688" s="292"/>
      <c r="F688" s="292"/>
      <c r="G688" s="292"/>
      <c r="H688" s="292"/>
      <c r="I688" s="292"/>
      <c r="J688" s="292"/>
      <c r="K688" s="292"/>
      <c r="L688" s="292"/>
      <c r="M688" s="292"/>
      <c r="N688" s="292"/>
      <c r="O688" s="292"/>
      <c r="P688" s="292"/>
      <c r="Q688" s="292"/>
      <c r="R688" s="292"/>
      <c r="S688" s="292"/>
      <c r="T688" s="292"/>
      <c r="U688" s="292"/>
      <c r="V688" s="292"/>
      <c r="W688" s="292"/>
      <c r="X688" s="292"/>
      <c r="Y688" s="292"/>
      <c r="Z688" s="292"/>
      <c r="AA688" s="292"/>
      <c r="AB688" s="292"/>
      <c r="AC688" s="292"/>
    </row>
    <row r="689">
      <c r="A689" s="292"/>
      <c r="B689" s="292"/>
      <c r="C689" s="292"/>
      <c r="D689" s="292"/>
      <c r="E689" s="292"/>
      <c r="F689" s="292"/>
      <c r="G689" s="292"/>
      <c r="H689" s="292"/>
      <c r="I689" s="292"/>
      <c r="J689" s="292"/>
      <c r="K689" s="292"/>
      <c r="L689" s="292"/>
      <c r="M689" s="292"/>
      <c r="N689" s="292"/>
      <c r="O689" s="292"/>
      <c r="P689" s="292"/>
      <c r="Q689" s="292"/>
      <c r="R689" s="292"/>
      <c r="S689" s="292"/>
      <c r="T689" s="292"/>
      <c r="U689" s="292"/>
      <c r="V689" s="292"/>
      <c r="W689" s="292"/>
      <c r="X689" s="292"/>
      <c r="Y689" s="292"/>
      <c r="Z689" s="292"/>
      <c r="AA689" s="292"/>
      <c r="AB689" s="292"/>
      <c r="AC689" s="292"/>
    </row>
    <row r="690">
      <c r="A690" s="292"/>
      <c r="B690" s="292"/>
      <c r="C690" s="292"/>
      <c r="D690" s="292"/>
      <c r="E690" s="292"/>
      <c r="F690" s="292"/>
      <c r="G690" s="292"/>
      <c r="H690" s="292"/>
      <c r="I690" s="292"/>
      <c r="J690" s="292"/>
      <c r="K690" s="292"/>
      <c r="L690" s="292"/>
      <c r="M690" s="292"/>
      <c r="N690" s="292"/>
      <c r="O690" s="292"/>
      <c r="P690" s="292"/>
      <c r="Q690" s="292"/>
      <c r="R690" s="292"/>
      <c r="S690" s="292"/>
      <c r="T690" s="292"/>
      <c r="U690" s="292"/>
      <c r="V690" s="292"/>
      <c r="W690" s="292"/>
      <c r="X690" s="292"/>
      <c r="Y690" s="292"/>
      <c r="Z690" s="292"/>
      <c r="AA690" s="292"/>
      <c r="AB690" s="292"/>
      <c r="AC690" s="292"/>
    </row>
    <row r="691">
      <c r="A691" s="292"/>
      <c r="B691" s="292"/>
      <c r="C691" s="292"/>
      <c r="D691" s="292"/>
      <c r="E691" s="292"/>
      <c r="F691" s="292"/>
      <c r="G691" s="292"/>
      <c r="H691" s="292"/>
      <c r="I691" s="292"/>
      <c r="J691" s="292"/>
      <c r="K691" s="292"/>
      <c r="L691" s="292"/>
      <c r="M691" s="292"/>
      <c r="N691" s="292"/>
      <c r="O691" s="292"/>
      <c r="P691" s="292"/>
      <c r="Q691" s="292"/>
      <c r="R691" s="292"/>
      <c r="S691" s="292"/>
      <c r="T691" s="292"/>
      <c r="U691" s="292"/>
      <c r="V691" s="292"/>
      <c r="W691" s="292"/>
      <c r="X691" s="292"/>
      <c r="Y691" s="292"/>
      <c r="Z691" s="292"/>
      <c r="AA691" s="292"/>
      <c r="AB691" s="292"/>
      <c r="AC691" s="292"/>
    </row>
    <row r="692">
      <c r="A692" s="292"/>
      <c r="B692" s="292"/>
      <c r="C692" s="292"/>
      <c r="D692" s="292"/>
      <c r="E692" s="292"/>
      <c r="F692" s="292"/>
      <c r="G692" s="292"/>
      <c r="H692" s="292"/>
      <c r="I692" s="292"/>
      <c r="J692" s="292"/>
      <c r="K692" s="292"/>
      <c r="L692" s="292"/>
      <c r="M692" s="292"/>
      <c r="N692" s="292"/>
      <c r="O692" s="292"/>
      <c r="P692" s="292"/>
      <c r="Q692" s="292"/>
      <c r="R692" s="292"/>
      <c r="S692" s="292"/>
      <c r="T692" s="292"/>
      <c r="U692" s="292"/>
      <c r="V692" s="292"/>
      <c r="W692" s="292"/>
      <c r="X692" s="292"/>
      <c r="Y692" s="292"/>
      <c r="Z692" s="292"/>
      <c r="AA692" s="292"/>
      <c r="AB692" s="292"/>
      <c r="AC692" s="292"/>
    </row>
    <row r="693">
      <c r="A693" s="292"/>
      <c r="B693" s="292"/>
      <c r="C693" s="292"/>
      <c r="D693" s="292"/>
      <c r="E693" s="292"/>
      <c r="F693" s="292"/>
      <c r="G693" s="292"/>
      <c r="H693" s="292"/>
      <c r="I693" s="292"/>
      <c r="J693" s="292"/>
      <c r="K693" s="292"/>
      <c r="L693" s="292"/>
      <c r="M693" s="292"/>
      <c r="N693" s="292"/>
      <c r="O693" s="292"/>
      <c r="P693" s="292"/>
      <c r="Q693" s="292"/>
      <c r="R693" s="292"/>
      <c r="S693" s="292"/>
      <c r="T693" s="292"/>
      <c r="U693" s="292"/>
      <c r="V693" s="292"/>
      <c r="W693" s="292"/>
      <c r="X693" s="292"/>
      <c r="Y693" s="292"/>
      <c r="Z693" s="292"/>
      <c r="AA693" s="292"/>
      <c r="AB693" s="292"/>
      <c r="AC693" s="292"/>
    </row>
    <row r="694">
      <c r="A694" s="292"/>
      <c r="B694" s="292"/>
      <c r="C694" s="292"/>
      <c r="D694" s="292"/>
      <c r="E694" s="292"/>
      <c r="F694" s="292"/>
      <c r="G694" s="292"/>
      <c r="H694" s="292"/>
      <c r="I694" s="292"/>
      <c r="J694" s="292"/>
      <c r="K694" s="292"/>
      <c r="L694" s="292"/>
      <c r="M694" s="292"/>
      <c r="N694" s="292"/>
      <c r="O694" s="292"/>
      <c r="P694" s="292"/>
      <c r="Q694" s="292"/>
      <c r="R694" s="292"/>
      <c r="S694" s="292"/>
      <c r="T694" s="292"/>
      <c r="U694" s="292"/>
      <c r="V694" s="292"/>
      <c r="W694" s="292"/>
      <c r="X694" s="292"/>
      <c r="Y694" s="292"/>
      <c r="Z694" s="292"/>
      <c r="AA694" s="292"/>
      <c r="AB694" s="292"/>
      <c r="AC694" s="292"/>
    </row>
    <row r="695">
      <c r="A695" s="292"/>
      <c r="B695" s="292"/>
      <c r="C695" s="292"/>
      <c r="D695" s="292"/>
      <c r="E695" s="292"/>
      <c r="F695" s="292"/>
      <c r="G695" s="292"/>
      <c r="H695" s="292"/>
      <c r="I695" s="292"/>
      <c r="J695" s="292"/>
      <c r="K695" s="292"/>
      <c r="L695" s="292"/>
      <c r="M695" s="292"/>
      <c r="N695" s="292"/>
      <c r="O695" s="292"/>
      <c r="P695" s="292"/>
      <c r="Q695" s="292"/>
      <c r="R695" s="292"/>
      <c r="S695" s="292"/>
      <c r="T695" s="292"/>
      <c r="U695" s="292"/>
      <c r="V695" s="292"/>
      <c r="W695" s="292"/>
      <c r="X695" s="292"/>
      <c r="Y695" s="292"/>
      <c r="Z695" s="292"/>
      <c r="AA695" s="292"/>
      <c r="AB695" s="292"/>
      <c r="AC695" s="292"/>
    </row>
    <row r="696">
      <c r="A696" s="292"/>
      <c r="B696" s="292"/>
      <c r="C696" s="292"/>
      <c r="D696" s="292"/>
      <c r="E696" s="292"/>
      <c r="F696" s="292"/>
      <c r="G696" s="292"/>
      <c r="H696" s="292"/>
      <c r="I696" s="292"/>
      <c r="J696" s="292"/>
      <c r="K696" s="292"/>
      <c r="L696" s="292"/>
      <c r="M696" s="292"/>
      <c r="N696" s="292"/>
      <c r="O696" s="292"/>
      <c r="P696" s="292"/>
      <c r="Q696" s="292"/>
      <c r="R696" s="292"/>
      <c r="S696" s="292"/>
      <c r="T696" s="292"/>
      <c r="U696" s="292"/>
      <c r="V696" s="292"/>
      <c r="W696" s="292"/>
      <c r="X696" s="292"/>
      <c r="Y696" s="292"/>
      <c r="Z696" s="292"/>
      <c r="AA696" s="292"/>
      <c r="AB696" s="292"/>
      <c r="AC696" s="292"/>
    </row>
    <row r="697">
      <c r="A697" s="292"/>
      <c r="B697" s="292"/>
      <c r="C697" s="292"/>
      <c r="D697" s="292"/>
      <c r="E697" s="292"/>
      <c r="F697" s="292"/>
      <c r="G697" s="292"/>
      <c r="H697" s="292"/>
      <c r="I697" s="292"/>
      <c r="J697" s="292"/>
      <c r="K697" s="292"/>
      <c r="L697" s="292"/>
      <c r="M697" s="292"/>
      <c r="N697" s="292"/>
      <c r="O697" s="292"/>
      <c r="P697" s="292"/>
      <c r="Q697" s="292"/>
      <c r="R697" s="292"/>
      <c r="S697" s="292"/>
      <c r="T697" s="292"/>
      <c r="U697" s="292"/>
      <c r="V697" s="292"/>
      <c r="W697" s="292"/>
      <c r="X697" s="292"/>
      <c r="Y697" s="292"/>
      <c r="Z697" s="292"/>
      <c r="AA697" s="292"/>
      <c r="AB697" s="292"/>
      <c r="AC697" s="292"/>
    </row>
    <row r="698">
      <c r="A698" s="292"/>
      <c r="B698" s="292"/>
      <c r="C698" s="292"/>
      <c r="D698" s="292"/>
      <c r="E698" s="292"/>
      <c r="F698" s="292"/>
      <c r="G698" s="292"/>
      <c r="H698" s="292"/>
      <c r="I698" s="292"/>
      <c r="J698" s="292"/>
      <c r="K698" s="292"/>
      <c r="L698" s="292"/>
      <c r="M698" s="292"/>
      <c r="N698" s="292"/>
      <c r="O698" s="292"/>
      <c r="P698" s="292"/>
      <c r="Q698" s="292"/>
      <c r="R698" s="292"/>
      <c r="S698" s="292"/>
      <c r="T698" s="292"/>
      <c r="U698" s="292"/>
      <c r="V698" s="292"/>
      <c r="W698" s="292"/>
      <c r="X698" s="292"/>
      <c r="Y698" s="292"/>
      <c r="Z698" s="292"/>
      <c r="AA698" s="292"/>
      <c r="AB698" s="292"/>
      <c r="AC698" s="292"/>
    </row>
    <row r="699">
      <c r="A699" s="292"/>
      <c r="B699" s="292"/>
      <c r="C699" s="292"/>
      <c r="D699" s="292"/>
      <c r="E699" s="292"/>
      <c r="F699" s="292"/>
      <c r="G699" s="292"/>
      <c r="H699" s="292"/>
      <c r="I699" s="292"/>
      <c r="J699" s="292"/>
      <c r="K699" s="292"/>
      <c r="L699" s="292"/>
      <c r="M699" s="292"/>
      <c r="N699" s="292"/>
      <c r="O699" s="292"/>
      <c r="P699" s="292"/>
      <c r="Q699" s="292"/>
      <c r="R699" s="292"/>
      <c r="S699" s="292"/>
      <c r="T699" s="292"/>
      <c r="U699" s="292"/>
      <c r="V699" s="292"/>
      <c r="W699" s="292"/>
      <c r="X699" s="292"/>
      <c r="Y699" s="292"/>
      <c r="Z699" s="292"/>
      <c r="AA699" s="292"/>
      <c r="AB699" s="292"/>
      <c r="AC699" s="292"/>
    </row>
    <row r="700">
      <c r="A700" s="292"/>
      <c r="B700" s="292"/>
      <c r="C700" s="292"/>
      <c r="D700" s="292"/>
      <c r="E700" s="292"/>
      <c r="F700" s="292"/>
      <c r="G700" s="292"/>
      <c r="H700" s="292"/>
      <c r="I700" s="292"/>
      <c r="J700" s="292"/>
      <c r="K700" s="292"/>
      <c r="L700" s="292"/>
      <c r="M700" s="292"/>
      <c r="N700" s="292"/>
      <c r="O700" s="292"/>
      <c r="P700" s="292"/>
      <c r="Q700" s="292"/>
      <c r="R700" s="292"/>
      <c r="S700" s="292"/>
      <c r="T700" s="292"/>
      <c r="U700" s="292"/>
      <c r="V700" s="292"/>
      <c r="W700" s="292"/>
      <c r="X700" s="292"/>
      <c r="Y700" s="292"/>
      <c r="Z700" s="292"/>
      <c r="AA700" s="292"/>
      <c r="AB700" s="292"/>
      <c r="AC700" s="292"/>
    </row>
    <row r="701">
      <c r="A701" s="292"/>
      <c r="B701" s="292"/>
      <c r="C701" s="292"/>
      <c r="D701" s="292"/>
      <c r="E701" s="292"/>
      <c r="F701" s="292"/>
      <c r="G701" s="292"/>
      <c r="H701" s="292"/>
      <c r="I701" s="292"/>
      <c r="J701" s="292"/>
      <c r="K701" s="292"/>
      <c r="L701" s="292"/>
      <c r="M701" s="292"/>
      <c r="N701" s="292"/>
      <c r="O701" s="292"/>
      <c r="P701" s="292"/>
      <c r="Q701" s="292"/>
      <c r="R701" s="292"/>
      <c r="S701" s="292"/>
      <c r="T701" s="292"/>
      <c r="U701" s="292"/>
      <c r="V701" s="292"/>
      <c r="W701" s="292"/>
      <c r="X701" s="292"/>
      <c r="Y701" s="292"/>
      <c r="Z701" s="292"/>
      <c r="AA701" s="292"/>
      <c r="AB701" s="292"/>
      <c r="AC701" s="292"/>
    </row>
    <row r="702">
      <c r="A702" s="292"/>
      <c r="B702" s="292"/>
      <c r="C702" s="292"/>
      <c r="D702" s="292"/>
      <c r="E702" s="292"/>
      <c r="F702" s="292"/>
      <c r="G702" s="292"/>
      <c r="H702" s="292"/>
      <c r="I702" s="292"/>
      <c r="J702" s="292"/>
      <c r="K702" s="292"/>
      <c r="L702" s="292"/>
      <c r="M702" s="292"/>
      <c r="N702" s="292"/>
      <c r="O702" s="292"/>
      <c r="P702" s="292"/>
      <c r="Q702" s="292"/>
      <c r="R702" s="292"/>
      <c r="S702" s="292"/>
      <c r="T702" s="292"/>
      <c r="U702" s="292"/>
      <c r="V702" s="292"/>
      <c r="W702" s="292"/>
      <c r="X702" s="292"/>
      <c r="Y702" s="292"/>
      <c r="Z702" s="292"/>
      <c r="AA702" s="292"/>
      <c r="AB702" s="292"/>
      <c r="AC702" s="292"/>
    </row>
    <row r="703">
      <c r="A703" s="292"/>
      <c r="B703" s="292"/>
      <c r="C703" s="292"/>
      <c r="D703" s="292"/>
      <c r="E703" s="292"/>
      <c r="F703" s="292"/>
      <c r="G703" s="292"/>
      <c r="H703" s="292"/>
      <c r="I703" s="292"/>
      <c r="J703" s="292"/>
      <c r="K703" s="292"/>
      <c r="L703" s="292"/>
      <c r="M703" s="292"/>
      <c r="N703" s="292"/>
      <c r="O703" s="292"/>
      <c r="P703" s="292"/>
      <c r="Q703" s="292"/>
      <c r="R703" s="292"/>
      <c r="S703" s="292"/>
      <c r="T703" s="292"/>
      <c r="U703" s="292"/>
      <c r="V703" s="292"/>
      <c r="W703" s="292"/>
      <c r="X703" s="292"/>
      <c r="Y703" s="292"/>
      <c r="Z703" s="292"/>
      <c r="AA703" s="292"/>
      <c r="AB703" s="292"/>
      <c r="AC703" s="292"/>
    </row>
    <row r="704">
      <c r="A704" s="292"/>
      <c r="B704" s="292"/>
      <c r="C704" s="292"/>
      <c r="D704" s="292"/>
      <c r="E704" s="292"/>
      <c r="F704" s="292"/>
      <c r="G704" s="292"/>
      <c r="H704" s="292"/>
      <c r="I704" s="292"/>
      <c r="J704" s="292"/>
      <c r="K704" s="292"/>
      <c r="L704" s="292"/>
      <c r="M704" s="292"/>
      <c r="N704" s="292"/>
      <c r="O704" s="292"/>
      <c r="P704" s="292"/>
      <c r="Q704" s="292"/>
      <c r="R704" s="292"/>
      <c r="S704" s="292"/>
      <c r="T704" s="292"/>
      <c r="U704" s="292"/>
      <c r="V704" s="292"/>
      <c r="W704" s="292"/>
      <c r="X704" s="292"/>
      <c r="Y704" s="292"/>
      <c r="Z704" s="292"/>
      <c r="AA704" s="292"/>
      <c r="AB704" s="292"/>
      <c r="AC704" s="292"/>
    </row>
    <row r="705">
      <c r="A705" s="292"/>
      <c r="B705" s="292"/>
      <c r="C705" s="292"/>
      <c r="D705" s="292"/>
      <c r="E705" s="292"/>
      <c r="F705" s="292"/>
      <c r="G705" s="292"/>
      <c r="H705" s="292"/>
      <c r="I705" s="292"/>
      <c r="J705" s="292"/>
      <c r="K705" s="292"/>
      <c r="L705" s="292"/>
      <c r="M705" s="292"/>
      <c r="N705" s="292"/>
      <c r="O705" s="292"/>
      <c r="P705" s="292"/>
      <c r="Q705" s="292"/>
      <c r="R705" s="292"/>
      <c r="S705" s="292"/>
      <c r="T705" s="292"/>
      <c r="U705" s="292"/>
      <c r="V705" s="292"/>
      <c r="W705" s="292"/>
      <c r="X705" s="292"/>
      <c r="Y705" s="292"/>
      <c r="Z705" s="292"/>
      <c r="AA705" s="292"/>
      <c r="AB705" s="292"/>
      <c r="AC705" s="292"/>
    </row>
    <row r="706">
      <c r="A706" s="292"/>
      <c r="B706" s="292"/>
      <c r="C706" s="292"/>
      <c r="D706" s="292"/>
      <c r="E706" s="292"/>
      <c r="F706" s="292"/>
      <c r="G706" s="292"/>
      <c r="H706" s="292"/>
      <c r="I706" s="292"/>
      <c r="J706" s="292"/>
      <c r="K706" s="292"/>
      <c r="L706" s="292"/>
      <c r="M706" s="292"/>
      <c r="N706" s="292"/>
      <c r="O706" s="292"/>
      <c r="P706" s="292"/>
      <c r="Q706" s="292"/>
      <c r="R706" s="292"/>
      <c r="S706" s="292"/>
      <c r="T706" s="292"/>
      <c r="U706" s="292"/>
      <c r="V706" s="292"/>
      <c r="W706" s="292"/>
      <c r="X706" s="292"/>
      <c r="Y706" s="292"/>
      <c r="Z706" s="292"/>
      <c r="AA706" s="292"/>
      <c r="AB706" s="292"/>
      <c r="AC706" s="292"/>
    </row>
    <row r="707">
      <c r="A707" s="292"/>
      <c r="B707" s="292"/>
      <c r="C707" s="292"/>
      <c r="D707" s="292"/>
      <c r="E707" s="292"/>
      <c r="F707" s="292"/>
      <c r="G707" s="292"/>
      <c r="H707" s="292"/>
      <c r="I707" s="292"/>
      <c r="J707" s="292"/>
      <c r="K707" s="292"/>
      <c r="L707" s="292"/>
      <c r="M707" s="292"/>
      <c r="N707" s="292"/>
      <c r="O707" s="292"/>
      <c r="P707" s="292"/>
      <c r="Q707" s="292"/>
      <c r="R707" s="292"/>
      <c r="S707" s="292"/>
      <c r="T707" s="292"/>
      <c r="U707" s="292"/>
      <c r="V707" s="292"/>
      <c r="W707" s="292"/>
      <c r="X707" s="292"/>
      <c r="Y707" s="292"/>
      <c r="Z707" s="292"/>
      <c r="AA707" s="292"/>
      <c r="AB707" s="292"/>
      <c r="AC707" s="292"/>
    </row>
    <row r="708">
      <c r="A708" s="292"/>
      <c r="B708" s="292"/>
      <c r="C708" s="292"/>
      <c r="D708" s="292"/>
      <c r="E708" s="292"/>
      <c r="F708" s="292"/>
      <c r="G708" s="292"/>
      <c r="H708" s="292"/>
      <c r="I708" s="292"/>
      <c r="J708" s="292"/>
      <c r="K708" s="292"/>
      <c r="L708" s="292"/>
      <c r="M708" s="292"/>
      <c r="N708" s="292"/>
      <c r="O708" s="292"/>
      <c r="P708" s="292"/>
      <c r="Q708" s="292"/>
      <c r="R708" s="292"/>
      <c r="S708" s="292"/>
      <c r="T708" s="292"/>
      <c r="U708" s="292"/>
      <c r="V708" s="292"/>
      <c r="W708" s="292"/>
      <c r="X708" s="292"/>
      <c r="Y708" s="292"/>
      <c r="Z708" s="292"/>
      <c r="AA708" s="292"/>
      <c r="AB708" s="292"/>
      <c r="AC708" s="292"/>
    </row>
    <row r="709">
      <c r="A709" s="292"/>
      <c r="B709" s="292"/>
      <c r="C709" s="292"/>
      <c r="D709" s="292"/>
      <c r="E709" s="292"/>
      <c r="F709" s="292"/>
      <c r="G709" s="292"/>
      <c r="H709" s="292"/>
      <c r="I709" s="292"/>
      <c r="J709" s="292"/>
      <c r="K709" s="292"/>
      <c r="L709" s="292"/>
      <c r="M709" s="292"/>
      <c r="N709" s="292"/>
      <c r="O709" s="292"/>
      <c r="P709" s="292"/>
      <c r="Q709" s="292"/>
      <c r="R709" s="292"/>
      <c r="S709" s="292"/>
      <c r="T709" s="292"/>
      <c r="U709" s="292"/>
      <c r="V709" s="292"/>
      <c r="W709" s="292"/>
      <c r="X709" s="292"/>
      <c r="Y709" s="292"/>
      <c r="Z709" s="292"/>
      <c r="AA709" s="292"/>
      <c r="AB709" s="292"/>
      <c r="AC709" s="292"/>
    </row>
    <row r="710">
      <c r="A710" s="292"/>
      <c r="B710" s="292"/>
      <c r="C710" s="292"/>
      <c r="D710" s="292"/>
      <c r="E710" s="292"/>
      <c r="F710" s="292"/>
      <c r="G710" s="292"/>
      <c r="H710" s="292"/>
      <c r="I710" s="292"/>
      <c r="J710" s="292"/>
      <c r="K710" s="292"/>
      <c r="L710" s="292"/>
      <c r="M710" s="292"/>
      <c r="N710" s="292"/>
      <c r="O710" s="292"/>
      <c r="P710" s="292"/>
      <c r="Q710" s="292"/>
      <c r="R710" s="292"/>
      <c r="S710" s="292"/>
      <c r="T710" s="292"/>
      <c r="U710" s="292"/>
      <c r="V710" s="292"/>
      <c r="W710" s="292"/>
      <c r="X710" s="292"/>
      <c r="Y710" s="292"/>
      <c r="Z710" s="292"/>
      <c r="AA710" s="292"/>
      <c r="AB710" s="292"/>
      <c r="AC710" s="292"/>
    </row>
    <row r="711">
      <c r="A711" s="292"/>
      <c r="B711" s="292"/>
      <c r="C711" s="292"/>
      <c r="D711" s="292"/>
      <c r="E711" s="292"/>
      <c r="F711" s="292"/>
      <c r="G711" s="292"/>
      <c r="H711" s="292"/>
      <c r="I711" s="292"/>
      <c r="J711" s="292"/>
      <c r="K711" s="292"/>
      <c r="L711" s="292"/>
      <c r="M711" s="292"/>
      <c r="N711" s="292"/>
      <c r="O711" s="292"/>
      <c r="P711" s="292"/>
      <c r="Q711" s="292"/>
      <c r="R711" s="292"/>
      <c r="S711" s="292"/>
      <c r="T711" s="292"/>
      <c r="U711" s="292"/>
      <c r="V711" s="292"/>
      <c r="W711" s="292"/>
      <c r="X711" s="292"/>
      <c r="Y711" s="292"/>
      <c r="Z711" s="292"/>
      <c r="AA711" s="292"/>
      <c r="AB711" s="292"/>
      <c r="AC711" s="292"/>
    </row>
    <row r="712">
      <c r="A712" s="292"/>
      <c r="B712" s="292"/>
      <c r="C712" s="292"/>
      <c r="D712" s="292"/>
      <c r="E712" s="292"/>
      <c r="F712" s="292"/>
      <c r="G712" s="292"/>
      <c r="H712" s="292"/>
      <c r="I712" s="292"/>
      <c r="J712" s="292"/>
      <c r="K712" s="292"/>
      <c r="L712" s="292"/>
      <c r="M712" s="292"/>
      <c r="N712" s="292"/>
      <c r="O712" s="292"/>
      <c r="P712" s="292"/>
      <c r="Q712" s="292"/>
      <c r="R712" s="292"/>
      <c r="S712" s="292"/>
      <c r="T712" s="292"/>
      <c r="U712" s="292"/>
      <c r="V712" s="292"/>
      <c r="W712" s="292"/>
      <c r="X712" s="292"/>
      <c r="Y712" s="292"/>
      <c r="Z712" s="292"/>
      <c r="AA712" s="292"/>
      <c r="AB712" s="292"/>
      <c r="AC712" s="292"/>
    </row>
    <row r="713">
      <c r="A713" s="292"/>
      <c r="B713" s="292"/>
      <c r="C713" s="292"/>
      <c r="D713" s="292"/>
      <c r="E713" s="292"/>
      <c r="F713" s="292"/>
      <c r="G713" s="292"/>
      <c r="H713" s="292"/>
      <c r="I713" s="292"/>
      <c r="J713" s="292"/>
      <c r="K713" s="292"/>
      <c r="L713" s="292"/>
      <c r="M713" s="292"/>
      <c r="N713" s="292"/>
      <c r="O713" s="292"/>
      <c r="P713" s="292"/>
      <c r="Q713" s="292"/>
      <c r="R713" s="292"/>
      <c r="S713" s="292"/>
      <c r="T713" s="292"/>
      <c r="U713" s="292"/>
      <c r="V713" s="292"/>
      <c r="W713" s="292"/>
      <c r="X713" s="292"/>
      <c r="Y713" s="292"/>
      <c r="Z713" s="292"/>
      <c r="AA713" s="292"/>
      <c r="AB713" s="292"/>
      <c r="AC713" s="292"/>
    </row>
    <row r="714">
      <c r="A714" s="292"/>
      <c r="B714" s="292"/>
      <c r="C714" s="292"/>
      <c r="D714" s="292"/>
      <c r="E714" s="292"/>
      <c r="F714" s="292"/>
      <c r="G714" s="292"/>
      <c r="H714" s="292"/>
      <c r="I714" s="292"/>
      <c r="J714" s="292"/>
      <c r="K714" s="292"/>
      <c r="L714" s="292"/>
      <c r="M714" s="292"/>
      <c r="N714" s="292"/>
      <c r="O714" s="292"/>
      <c r="P714" s="292"/>
      <c r="Q714" s="292"/>
      <c r="R714" s="292"/>
      <c r="S714" s="292"/>
      <c r="T714" s="292"/>
      <c r="U714" s="292"/>
      <c r="V714" s="292"/>
      <c r="W714" s="292"/>
      <c r="X714" s="292"/>
      <c r="Y714" s="292"/>
      <c r="Z714" s="292"/>
      <c r="AA714" s="292"/>
      <c r="AB714" s="292"/>
      <c r="AC714" s="292"/>
    </row>
    <row r="715">
      <c r="A715" s="292"/>
      <c r="B715" s="292"/>
      <c r="C715" s="292"/>
      <c r="D715" s="292"/>
      <c r="E715" s="292"/>
      <c r="F715" s="292"/>
      <c r="G715" s="292"/>
      <c r="H715" s="292"/>
      <c r="I715" s="292"/>
      <c r="J715" s="292"/>
      <c r="K715" s="292"/>
      <c r="L715" s="292"/>
      <c r="M715" s="292"/>
      <c r="N715" s="292"/>
      <c r="O715" s="292"/>
      <c r="P715" s="292"/>
      <c r="Q715" s="292"/>
      <c r="R715" s="292"/>
      <c r="S715" s="292"/>
      <c r="T715" s="292"/>
      <c r="U715" s="292"/>
      <c r="V715" s="292"/>
      <c r="W715" s="292"/>
      <c r="X715" s="292"/>
      <c r="Y715" s="292"/>
      <c r="Z715" s="292"/>
      <c r="AA715" s="292"/>
      <c r="AB715" s="292"/>
      <c r="AC715" s="292"/>
    </row>
    <row r="716">
      <c r="A716" s="292"/>
      <c r="B716" s="292"/>
      <c r="C716" s="292"/>
      <c r="D716" s="292"/>
      <c r="E716" s="292"/>
      <c r="F716" s="292"/>
      <c r="G716" s="292"/>
      <c r="H716" s="292"/>
      <c r="I716" s="292"/>
      <c r="J716" s="292"/>
      <c r="K716" s="292"/>
      <c r="L716" s="292"/>
      <c r="M716" s="292"/>
      <c r="N716" s="292"/>
      <c r="O716" s="292"/>
      <c r="P716" s="292"/>
      <c r="Q716" s="292"/>
      <c r="R716" s="292"/>
      <c r="S716" s="292"/>
      <c r="T716" s="292"/>
      <c r="U716" s="292"/>
      <c r="V716" s="292"/>
      <c r="W716" s="292"/>
      <c r="X716" s="292"/>
      <c r="Y716" s="292"/>
      <c r="Z716" s="292"/>
      <c r="AA716" s="292"/>
      <c r="AB716" s="292"/>
      <c r="AC716" s="292"/>
    </row>
    <row r="717">
      <c r="A717" s="292"/>
      <c r="B717" s="292"/>
      <c r="C717" s="292"/>
      <c r="D717" s="292"/>
      <c r="E717" s="292"/>
      <c r="F717" s="292"/>
      <c r="G717" s="292"/>
      <c r="H717" s="292"/>
      <c r="I717" s="292"/>
      <c r="J717" s="292"/>
      <c r="K717" s="292"/>
      <c r="L717" s="292"/>
      <c r="M717" s="292"/>
      <c r="N717" s="292"/>
      <c r="O717" s="292"/>
      <c r="P717" s="292"/>
      <c r="Q717" s="292"/>
      <c r="R717" s="292"/>
      <c r="S717" s="292"/>
      <c r="T717" s="292"/>
      <c r="U717" s="292"/>
      <c r="V717" s="292"/>
      <c r="W717" s="292"/>
      <c r="X717" s="292"/>
      <c r="Y717" s="292"/>
      <c r="Z717" s="292"/>
      <c r="AA717" s="292"/>
      <c r="AB717" s="292"/>
      <c r="AC717" s="292"/>
    </row>
    <row r="718">
      <c r="A718" s="292"/>
      <c r="B718" s="292"/>
      <c r="C718" s="292"/>
      <c r="D718" s="292"/>
      <c r="E718" s="292"/>
      <c r="F718" s="292"/>
      <c r="G718" s="292"/>
      <c r="H718" s="292"/>
      <c r="I718" s="292"/>
      <c r="J718" s="292"/>
      <c r="K718" s="292"/>
      <c r="L718" s="292"/>
      <c r="M718" s="292"/>
      <c r="N718" s="292"/>
      <c r="O718" s="292"/>
      <c r="P718" s="292"/>
      <c r="Q718" s="292"/>
      <c r="R718" s="292"/>
      <c r="S718" s="292"/>
      <c r="T718" s="292"/>
      <c r="U718" s="292"/>
      <c r="V718" s="292"/>
      <c r="W718" s="292"/>
      <c r="X718" s="292"/>
      <c r="Y718" s="292"/>
      <c r="Z718" s="292"/>
      <c r="AA718" s="292"/>
      <c r="AB718" s="292"/>
      <c r="AC718" s="292"/>
    </row>
    <row r="719">
      <c r="A719" s="292"/>
      <c r="B719" s="292"/>
      <c r="C719" s="292"/>
      <c r="D719" s="292"/>
      <c r="E719" s="292"/>
      <c r="F719" s="292"/>
      <c r="G719" s="292"/>
      <c r="H719" s="292"/>
      <c r="I719" s="292"/>
      <c r="J719" s="292"/>
      <c r="K719" s="292"/>
      <c r="L719" s="292"/>
      <c r="M719" s="292"/>
      <c r="N719" s="292"/>
      <c r="O719" s="292"/>
      <c r="P719" s="292"/>
      <c r="Q719" s="292"/>
      <c r="R719" s="292"/>
      <c r="S719" s="292"/>
      <c r="T719" s="292"/>
      <c r="U719" s="292"/>
      <c r="V719" s="292"/>
      <c r="W719" s="292"/>
      <c r="X719" s="292"/>
      <c r="Y719" s="292"/>
      <c r="Z719" s="292"/>
      <c r="AA719" s="292"/>
      <c r="AB719" s="292"/>
      <c r="AC719" s="292"/>
    </row>
    <row r="720">
      <c r="A720" s="292"/>
      <c r="B720" s="292"/>
      <c r="C720" s="292"/>
      <c r="D720" s="292"/>
      <c r="E720" s="292"/>
      <c r="F720" s="292"/>
      <c r="G720" s="292"/>
      <c r="H720" s="292"/>
      <c r="I720" s="292"/>
      <c r="J720" s="292"/>
      <c r="K720" s="292"/>
      <c r="L720" s="292"/>
      <c r="M720" s="292"/>
      <c r="N720" s="292"/>
      <c r="O720" s="292"/>
      <c r="P720" s="292"/>
      <c r="Q720" s="292"/>
      <c r="R720" s="292"/>
      <c r="S720" s="292"/>
      <c r="T720" s="292"/>
      <c r="U720" s="292"/>
      <c r="V720" s="292"/>
      <c r="W720" s="292"/>
      <c r="X720" s="292"/>
      <c r="Y720" s="292"/>
      <c r="Z720" s="292"/>
      <c r="AA720" s="292"/>
      <c r="AB720" s="292"/>
      <c r="AC720" s="292"/>
    </row>
    <row r="721">
      <c r="A721" s="292"/>
      <c r="B721" s="292"/>
      <c r="C721" s="292"/>
      <c r="D721" s="292"/>
      <c r="E721" s="292"/>
      <c r="F721" s="292"/>
      <c r="G721" s="292"/>
      <c r="H721" s="292"/>
      <c r="I721" s="292"/>
      <c r="J721" s="292"/>
      <c r="K721" s="292"/>
      <c r="L721" s="292"/>
      <c r="M721" s="292"/>
      <c r="N721" s="292"/>
      <c r="O721" s="292"/>
      <c r="P721" s="292"/>
      <c r="Q721" s="292"/>
      <c r="R721" s="292"/>
      <c r="S721" s="292"/>
      <c r="T721" s="292"/>
      <c r="U721" s="292"/>
      <c r="V721" s="292"/>
      <c r="W721" s="292"/>
      <c r="X721" s="292"/>
      <c r="Y721" s="292"/>
      <c r="Z721" s="292"/>
      <c r="AA721" s="292"/>
      <c r="AB721" s="292"/>
      <c r="AC721" s="292"/>
    </row>
    <row r="722">
      <c r="A722" s="292"/>
      <c r="B722" s="292"/>
      <c r="C722" s="292"/>
      <c r="D722" s="292"/>
      <c r="E722" s="292"/>
      <c r="F722" s="292"/>
      <c r="G722" s="292"/>
      <c r="H722" s="292"/>
      <c r="I722" s="292"/>
      <c r="J722" s="292"/>
      <c r="K722" s="292"/>
      <c r="L722" s="292"/>
      <c r="M722" s="292"/>
      <c r="N722" s="292"/>
      <c r="O722" s="292"/>
      <c r="P722" s="292"/>
      <c r="Q722" s="292"/>
      <c r="R722" s="292"/>
      <c r="S722" s="292"/>
      <c r="T722" s="292"/>
      <c r="U722" s="292"/>
      <c r="V722" s="292"/>
      <c r="W722" s="292"/>
      <c r="X722" s="292"/>
      <c r="Y722" s="292"/>
      <c r="Z722" s="292"/>
      <c r="AA722" s="292"/>
      <c r="AB722" s="292"/>
      <c r="AC722" s="292"/>
    </row>
    <row r="723">
      <c r="A723" s="292"/>
      <c r="B723" s="292"/>
      <c r="C723" s="292"/>
      <c r="D723" s="292"/>
      <c r="E723" s="292"/>
      <c r="F723" s="292"/>
      <c r="G723" s="292"/>
      <c r="H723" s="292"/>
      <c r="I723" s="292"/>
      <c r="J723" s="292"/>
      <c r="K723" s="292"/>
      <c r="L723" s="292"/>
      <c r="M723" s="292"/>
      <c r="N723" s="292"/>
      <c r="O723" s="292"/>
      <c r="P723" s="292"/>
      <c r="Q723" s="292"/>
      <c r="R723" s="292"/>
      <c r="S723" s="292"/>
      <c r="T723" s="292"/>
      <c r="U723" s="292"/>
      <c r="V723" s="292"/>
      <c r="W723" s="292"/>
      <c r="X723" s="292"/>
      <c r="Y723" s="292"/>
      <c r="Z723" s="292"/>
      <c r="AA723" s="292"/>
      <c r="AB723" s="292"/>
      <c r="AC723" s="292"/>
    </row>
    <row r="724">
      <c r="A724" s="292"/>
      <c r="B724" s="292"/>
      <c r="C724" s="292"/>
      <c r="D724" s="292"/>
      <c r="E724" s="292"/>
      <c r="F724" s="292"/>
      <c r="G724" s="292"/>
      <c r="H724" s="292"/>
      <c r="I724" s="292"/>
      <c r="J724" s="292"/>
      <c r="K724" s="292"/>
      <c r="L724" s="292"/>
      <c r="M724" s="292"/>
      <c r="N724" s="292"/>
      <c r="O724" s="292"/>
      <c r="P724" s="292"/>
      <c r="Q724" s="292"/>
      <c r="R724" s="292"/>
      <c r="S724" s="292"/>
      <c r="T724" s="292"/>
      <c r="U724" s="292"/>
      <c r="V724" s="292"/>
      <c r="W724" s="292"/>
      <c r="X724" s="292"/>
      <c r="Y724" s="292"/>
      <c r="Z724" s="292"/>
      <c r="AA724" s="292"/>
      <c r="AB724" s="292"/>
      <c r="AC724" s="292"/>
    </row>
    <row r="725">
      <c r="A725" s="292"/>
      <c r="B725" s="292"/>
      <c r="C725" s="292"/>
      <c r="D725" s="292"/>
      <c r="E725" s="292"/>
      <c r="F725" s="292"/>
      <c r="G725" s="292"/>
      <c r="H725" s="292"/>
      <c r="I725" s="292"/>
      <c r="J725" s="292"/>
      <c r="K725" s="292"/>
      <c r="L725" s="292"/>
      <c r="M725" s="292"/>
      <c r="N725" s="292"/>
      <c r="O725" s="292"/>
      <c r="P725" s="292"/>
      <c r="Q725" s="292"/>
      <c r="R725" s="292"/>
      <c r="S725" s="292"/>
      <c r="T725" s="292"/>
      <c r="U725" s="292"/>
      <c r="V725" s="292"/>
      <c r="W725" s="292"/>
      <c r="X725" s="292"/>
      <c r="Y725" s="292"/>
      <c r="Z725" s="292"/>
      <c r="AA725" s="292"/>
      <c r="AB725" s="292"/>
      <c r="AC725" s="292"/>
    </row>
    <row r="726">
      <c r="A726" s="292"/>
      <c r="B726" s="292"/>
      <c r="C726" s="292"/>
      <c r="D726" s="292"/>
      <c r="E726" s="292"/>
      <c r="F726" s="292"/>
      <c r="G726" s="292"/>
      <c r="H726" s="292"/>
      <c r="I726" s="292"/>
      <c r="J726" s="292"/>
      <c r="K726" s="292"/>
      <c r="L726" s="292"/>
      <c r="M726" s="292"/>
      <c r="N726" s="292"/>
      <c r="O726" s="292"/>
      <c r="P726" s="292"/>
      <c r="Q726" s="292"/>
      <c r="R726" s="292"/>
      <c r="S726" s="292"/>
      <c r="T726" s="292"/>
      <c r="U726" s="292"/>
      <c r="V726" s="292"/>
      <c r="W726" s="292"/>
      <c r="X726" s="292"/>
      <c r="Y726" s="292"/>
      <c r="Z726" s="292"/>
      <c r="AA726" s="292"/>
      <c r="AB726" s="292"/>
      <c r="AC726" s="292"/>
    </row>
    <row r="727">
      <c r="A727" s="292"/>
      <c r="B727" s="292"/>
      <c r="C727" s="292"/>
      <c r="D727" s="292"/>
      <c r="E727" s="292"/>
      <c r="F727" s="292"/>
      <c r="G727" s="292"/>
      <c r="H727" s="292"/>
      <c r="I727" s="292"/>
      <c r="J727" s="292"/>
      <c r="K727" s="292"/>
      <c r="L727" s="292"/>
      <c r="M727" s="292"/>
      <c r="N727" s="292"/>
      <c r="O727" s="292"/>
      <c r="P727" s="292"/>
      <c r="Q727" s="292"/>
      <c r="R727" s="292"/>
      <c r="S727" s="292"/>
      <c r="T727" s="292"/>
      <c r="U727" s="292"/>
      <c r="V727" s="292"/>
      <c r="W727" s="292"/>
      <c r="X727" s="292"/>
      <c r="Y727" s="292"/>
      <c r="Z727" s="292"/>
      <c r="AA727" s="292"/>
      <c r="AB727" s="292"/>
      <c r="AC727" s="292"/>
    </row>
    <row r="728">
      <c r="A728" s="292"/>
      <c r="B728" s="292"/>
      <c r="C728" s="292"/>
      <c r="D728" s="292"/>
      <c r="E728" s="292"/>
      <c r="F728" s="292"/>
      <c r="G728" s="292"/>
      <c r="H728" s="292"/>
      <c r="I728" s="292"/>
      <c r="J728" s="292"/>
      <c r="K728" s="292"/>
      <c r="L728" s="292"/>
      <c r="M728" s="292"/>
      <c r="N728" s="292"/>
      <c r="O728" s="292"/>
      <c r="P728" s="292"/>
      <c r="Q728" s="292"/>
      <c r="R728" s="292"/>
      <c r="S728" s="292"/>
      <c r="T728" s="292"/>
      <c r="U728" s="292"/>
      <c r="V728" s="292"/>
      <c r="W728" s="292"/>
      <c r="X728" s="292"/>
      <c r="Y728" s="292"/>
      <c r="Z728" s="292"/>
      <c r="AA728" s="292"/>
      <c r="AB728" s="292"/>
      <c r="AC728" s="292"/>
    </row>
    <row r="729">
      <c r="A729" s="292"/>
      <c r="B729" s="292"/>
      <c r="C729" s="292"/>
      <c r="D729" s="292"/>
      <c r="E729" s="292"/>
      <c r="F729" s="292"/>
      <c r="G729" s="292"/>
      <c r="H729" s="292"/>
      <c r="I729" s="292"/>
      <c r="J729" s="292"/>
      <c r="K729" s="292"/>
      <c r="L729" s="292"/>
      <c r="M729" s="292"/>
      <c r="N729" s="292"/>
      <c r="O729" s="292"/>
      <c r="P729" s="292"/>
      <c r="Q729" s="292"/>
      <c r="R729" s="292"/>
      <c r="S729" s="292"/>
      <c r="T729" s="292"/>
      <c r="U729" s="292"/>
      <c r="V729" s="292"/>
      <c r="W729" s="292"/>
      <c r="X729" s="292"/>
      <c r="Y729" s="292"/>
      <c r="Z729" s="292"/>
      <c r="AA729" s="292"/>
      <c r="AB729" s="292"/>
      <c r="AC729" s="292"/>
    </row>
    <row r="730">
      <c r="A730" s="292"/>
      <c r="B730" s="292"/>
      <c r="C730" s="292"/>
      <c r="D730" s="292"/>
      <c r="E730" s="292"/>
      <c r="F730" s="292"/>
      <c r="G730" s="292"/>
      <c r="H730" s="292"/>
      <c r="I730" s="292"/>
      <c r="J730" s="292"/>
      <c r="K730" s="292"/>
      <c r="L730" s="292"/>
      <c r="M730" s="292"/>
      <c r="N730" s="292"/>
      <c r="O730" s="292"/>
      <c r="P730" s="292"/>
      <c r="Q730" s="292"/>
      <c r="R730" s="292"/>
      <c r="S730" s="292"/>
      <c r="T730" s="292"/>
      <c r="U730" s="292"/>
      <c r="V730" s="292"/>
      <c r="W730" s="292"/>
      <c r="X730" s="292"/>
      <c r="Y730" s="292"/>
      <c r="Z730" s="292"/>
      <c r="AA730" s="292"/>
      <c r="AB730" s="292"/>
      <c r="AC730" s="292"/>
    </row>
    <row r="731">
      <c r="A731" s="292"/>
      <c r="B731" s="292"/>
      <c r="C731" s="292"/>
      <c r="D731" s="292"/>
      <c r="E731" s="292"/>
      <c r="F731" s="292"/>
      <c r="G731" s="292"/>
      <c r="H731" s="292"/>
      <c r="I731" s="292"/>
      <c r="J731" s="292"/>
      <c r="K731" s="292"/>
      <c r="L731" s="292"/>
      <c r="M731" s="292"/>
      <c r="N731" s="292"/>
      <c r="O731" s="292"/>
      <c r="P731" s="292"/>
      <c r="Q731" s="292"/>
      <c r="R731" s="292"/>
      <c r="S731" s="292"/>
      <c r="T731" s="292"/>
      <c r="U731" s="292"/>
      <c r="V731" s="292"/>
      <c r="W731" s="292"/>
      <c r="X731" s="292"/>
      <c r="Y731" s="292"/>
      <c r="Z731" s="292"/>
      <c r="AA731" s="292"/>
      <c r="AB731" s="292"/>
      <c r="AC731" s="292"/>
    </row>
    <row r="732">
      <c r="A732" s="292"/>
      <c r="B732" s="292"/>
      <c r="C732" s="292"/>
      <c r="D732" s="292"/>
      <c r="E732" s="292"/>
      <c r="F732" s="292"/>
      <c r="G732" s="292"/>
      <c r="H732" s="292"/>
      <c r="I732" s="292"/>
      <c r="J732" s="292"/>
      <c r="K732" s="292"/>
      <c r="L732" s="292"/>
      <c r="M732" s="292"/>
      <c r="N732" s="292"/>
      <c r="O732" s="292"/>
      <c r="P732" s="292"/>
      <c r="Q732" s="292"/>
      <c r="R732" s="292"/>
      <c r="S732" s="292"/>
      <c r="T732" s="292"/>
      <c r="U732" s="292"/>
      <c r="V732" s="292"/>
      <c r="W732" s="292"/>
      <c r="X732" s="292"/>
      <c r="Y732" s="292"/>
      <c r="Z732" s="292"/>
      <c r="AA732" s="292"/>
      <c r="AB732" s="292"/>
      <c r="AC732" s="292"/>
    </row>
    <row r="733">
      <c r="A733" s="292"/>
      <c r="B733" s="292"/>
      <c r="C733" s="292"/>
      <c r="D733" s="292"/>
      <c r="E733" s="292"/>
      <c r="F733" s="292"/>
      <c r="G733" s="292"/>
      <c r="H733" s="292"/>
      <c r="I733" s="292"/>
      <c r="J733" s="292"/>
      <c r="K733" s="292"/>
      <c r="L733" s="292"/>
      <c r="M733" s="292"/>
      <c r="N733" s="292"/>
      <c r="O733" s="292"/>
      <c r="P733" s="292"/>
      <c r="Q733" s="292"/>
      <c r="R733" s="292"/>
      <c r="S733" s="292"/>
      <c r="T733" s="292"/>
      <c r="U733" s="292"/>
      <c r="V733" s="292"/>
      <c r="W733" s="292"/>
      <c r="X733" s="292"/>
      <c r="Y733" s="292"/>
      <c r="Z733" s="292"/>
      <c r="AA733" s="292"/>
      <c r="AB733" s="292"/>
      <c r="AC733" s="292"/>
    </row>
    <row r="734">
      <c r="A734" s="292"/>
      <c r="B734" s="292"/>
      <c r="C734" s="292"/>
      <c r="D734" s="292"/>
      <c r="E734" s="292"/>
      <c r="F734" s="292"/>
      <c r="G734" s="292"/>
      <c r="H734" s="292"/>
      <c r="I734" s="292"/>
      <c r="J734" s="292"/>
      <c r="K734" s="292"/>
      <c r="L734" s="292"/>
      <c r="M734" s="292"/>
      <c r="N734" s="292"/>
      <c r="O734" s="292"/>
      <c r="P734" s="292"/>
      <c r="Q734" s="292"/>
      <c r="R734" s="292"/>
      <c r="S734" s="292"/>
      <c r="T734" s="292"/>
      <c r="U734" s="292"/>
      <c r="V734" s="292"/>
      <c r="W734" s="292"/>
      <c r="X734" s="292"/>
      <c r="Y734" s="292"/>
      <c r="Z734" s="292"/>
      <c r="AA734" s="292"/>
      <c r="AB734" s="292"/>
      <c r="AC734" s="292"/>
    </row>
    <row r="735">
      <c r="A735" s="292"/>
      <c r="B735" s="292"/>
      <c r="C735" s="292"/>
      <c r="D735" s="292"/>
      <c r="E735" s="292"/>
      <c r="F735" s="292"/>
      <c r="G735" s="292"/>
      <c r="H735" s="292"/>
      <c r="I735" s="292"/>
      <c r="J735" s="292"/>
      <c r="K735" s="292"/>
      <c r="L735" s="292"/>
      <c r="M735" s="292"/>
      <c r="N735" s="292"/>
      <c r="O735" s="292"/>
      <c r="P735" s="292"/>
      <c r="Q735" s="292"/>
      <c r="R735" s="292"/>
      <c r="S735" s="292"/>
      <c r="T735" s="292"/>
      <c r="U735" s="292"/>
      <c r="V735" s="292"/>
      <c r="W735" s="292"/>
      <c r="X735" s="292"/>
      <c r="Y735" s="292"/>
      <c r="Z735" s="292"/>
      <c r="AA735" s="292"/>
      <c r="AB735" s="292"/>
      <c r="AC735" s="292"/>
    </row>
    <row r="736">
      <c r="A736" s="292"/>
      <c r="B736" s="292"/>
      <c r="C736" s="292"/>
      <c r="D736" s="292"/>
      <c r="E736" s="292"/>
      <c r="F736" s="292"/>
      <c r="G736" s="292"/>
      <c r="H736" s="292"/>
      <c r="I736" s="292"/>
      <c r="J736" s="292"/>
      <c r="K736" s="292"/>
      <c r="L736" s="292"/>
      <c r="M736" s="292"/>
      <c r="N736" s="292"/>
      <c r="O736" s="292"/>
      <c r="P736" s="292"/>
      <c r="Q736" s="292"/>
      <c r="R736" s="292"/>
      <c r="S736" s="292"/>
      <c r="T736" s="292"/>
      <c r="U736" s="292"/>
      <c r="V736" s="292"/>
      <c r="W736" s="292"/>
      <c r="X736" s="292"/>
      <c r="Y736" s="292"/>
      <c r="Z736" s="292"/>
      <c r="AA736" s="292"/>
      <c r="AB736" s="292"/>
      <c r="AC736" s="292"/>
    </row>
    <row r="737">
      <c r="A737" s="292"/>
      <c r="B737" s="292"/>
      <c r="C737" s="292"/>
      <c r="D737" s="292"/>
      <c r="E737" s="292"/>
      <c r="F737" s="292"/>
      <c r="G737" s="292"/>
      <c r="H737" s="292"/>
      <c r="I737" s="292"/>
      <c r="J737" s="292"/>
      <c r="K737" s="292"/>
      <c r="L737" s="292"/>
      <c r="M737" s="292"/>
      <c r="N737" s="292"/>
      <c r="O737" s="292"/>
      <c r="P737" s="292"/>
      <c r="Q737" s="292"/>
      <c r="R737" s="292"/>
      <c r="S737" s="292"/>
      <c r="T737" s="292"/>
      <c r="U737" s="292"/>
      <c r="V737" s="292"/>
      <c r="W737" s="292"/>
      <c r="X737" s="292"/>
      <c r="Y737" s="292"/>
      <c r="Z737" s="292"/>
      <c r="AA737" s="292"/>
      <c r="AB737" s="292"/>
      <c r="AC737" s="292"/>
    </row>
    <row r="738">
      <c r="A738" s="292"/>
      <c r="B738" s="292"/>
      <c r="C738" s="292"/>
      <c r="D738" s="292"/>
      <c r="E738" s="292"/>
      <c r="F738" s="292"/>
      <c r="G738" s="292"/>
      <c r="H738" s="292"/>
      <c r="I738" s="292"/>
      <c r="J738" s="292"/>
      <c r="K738" s="292"/>
      <c r="L738" s="292"/>
      <c r="M738" s="292"/>
      <c r="N738" s="292"/>
      <c r="O738" s="292"/>
      <c r="P738" s="292"/>
      <c r="Q738" s="292"/>
      <c r="R738" s="292"/>
      <c r="S738" s="292"/>
      <c r="T738" s="292"/>
      <c r="U738" s="292"/>
      <c r="V738" s="292"/>
      <c r="W738" s="292"/>
      <c r="X738" s="292"/>
      <c r="Y738" s="292"/>
      <c r="Z738" s="292"/>
      <c r="AA738" s="292"/>
      <c r="AB738" s="292"/>
      <c r="AC738" s="292"/>
    </row>
    <row r="739">
      <c r="A739" s="292"/>
      <c r="B739" s="292"/>
      <c r="C739" s="292"/>
      <c r="D739" s="292"/>
      <c r="E739" s="292"/>
      <c r="F739" s="292"/>
      <c r="G739" s="292"/>
      <c r="H739" s="292"/>
      <c r="I739" s="292"/>
      <c r="J739" s="292"/>
      <c r="K739" s="292"/>
      <c r="L739" s="292"/>
      <c r="M739" s="292"/>
      <c r="N739" s="292"/>
      <c r="O739" s="292"/>
      <c r="P739" s="292"/>
      <c r="Q739" s="292"/>
      <c r="R739" s="292"/>
      <c r="S739" s="292"/>
      <c r="T739" s="292"/>
      <c r="U739" s="292"/>
      <c r="V739" s="292"/>
      <c r="W739" s="292"/>
      <c r="X739" s="292"/>
      <c r="Y739" s="292"/>
      <c r="Z739" s="292"/>
      <c r="AA739" s="292"/>
      <c r="AB739" s="292"/>
      <c r="AC739" s="292"/>
    </row>
    <row r="740">
      <c r="A740" s="292"/>
      <c r="B740" s="292"/>
      <c r="C740" s="292"/>
      <c r="D740" s="292"/>
      <c r="E740" s="292"/>
      <c r="F740" s="292"/>
      <c r="G740" s="292"/>
      <c r="H740" s="292"/>
      <c r="I740" s="292"/>
      <c r="J740" s="292"/>
      <c r="K740" s="292"/>
      <c r="L740" s="292"/>
      <c r="M740" s="292"/>
      <c r="N740" s="292"/>
      <c r="O740" s="292"/>
      <c r="P740" s="292"/>
      <c r="Q740" s="292"/>
      <c r="R740" s="292"/>
      <c r="S740" s="292"/>
      <c r="T740" s="292"/>
      <c r="U740" s="292"/>
      <c r="V740" s="292"/>
      <c r="W740" s="292"/>
      <c r="X740" s="292"/>
      <c r="Y740" s="292"/>
      <c r="Z740" s="292"/>
      <c r="AA740" s="292"/>
      <c r="AB740" s="292"/>
      <c r="AC740" s="292"/>
    </row>
    <row r="741">
      <c r="A741" s="292"/>
      <c r="B741" s="292"/>
      <c r="C741" s="292"/>
      <c r="D741" s="292"/>
      <c r="E741" s="292"/>
      <c r="F741" s="292"/>
      <c r="G741" s="292"/>
      <c r="H741" s="292"/>
      <c r="I741" s="292"/>
      <c r="J741" s="292"/>
      <c r="K741" s="292"/>
      <c r="L741" s="292"/>
      <c r="M741" s="292"/>
      <c r="N741" s="292"/>
      <c r="O741" s="292"/>
      <c r="P741" s="292"/>
      <c r="Q741" s="292"/>
      <c r="R741" s="292"/>
      <c r="S741" s="292"/>
      <c r="T741" s="292"/>
      <c r="U741" s="292"/>
      <c r="V741" s="292"/>
      <c r="W741" s="292"/>
      <c r="X741" s="292"/>
      <c r="Y741" s="292"/>
      <c r="Z741" s="292"/>
      <c r="AA741" s="292"/>
      <c r="AB741" s="292"/>
      <c r="AC741" s="292"/>
    </row>
    <row r="742">
      <c r="A742" s="292"/>
      <c r="B742" s="292"/>
      <c r="C742" s="292"/>
      <c r="D742" s="292"/>
      <c r="E742" s="292"/>
      <c r="F742" s="292"/>
      <c r="G742" s="292"/>
      <c r="H742" s="292"/>
      <c r="I742" s="292"/>
      <c r="J742" s="292"/>
      <c r="K742" s="292"/>
      <c r="L742" s="292"/>
      <c r="M742" s="292"/>
      <c r="N742" s="292"/>
      <c r="O742" s="292"/>
      <c r="P742" s="292"/>
      <c r="Q742" s="292"/>
      <c r="R742" s="292"/>
      <c r="S742" s="292"/>
      <c r="T742" s="292"/>
      <c r="U742" s="292"/>
      <c r="V742" s="292"/>
      <c r="W742" s="292"/>
      <c r="X742" s="292"/>
      <c r="Y742" s="292"/>
      <c r="Z742" s="292"/>
      <c r="AA742" s="292"/>
      <c r="AB742" s="292"/>
      <c r="AC742" s="292"/>
    </row>
    <row r="743">
      <c r="A743" s="292"/>
      <c r="B743" s="292"/>
      <c r="C743" s="292"/>
      <c r="D743" s="292"/>
      <c r="E743" s="292"/>
      <c r="F743" s="292"/>
      <c r="G743" s="292"/>
      <c r="H743" s="292"/>
      <c r="I743" s="292"/>
      <c r="J743" s="292"/>
      <c r="K743" s="292"/>
      <c r="L743" s="292"/>
      <c r="M743" s="292"/>
      <c r="N743" s="292"/>
      <c r="O743" s="292"/>
      <c r="P743" s="292"/>
      <c r="Q743" s="292"/>
      <c r="R743" s="292"/>
      <c r="S743" s="292"/>
      <c r="T743" s="292"/>
      <c r="U743" s="292"/>
      <c r="V743" s="292"/>
      <c r="W743" s="292"/>
      <c r="X743" s="292"/>
      <c r="Y743" s="292"/>
      <c r="Z743" s="292"/>
      <c r="AA743" s="292"/>
      <c r="AB743" s="292"/>
      <c r="AC743" s="292"/>
    </row>
    <row r="744">
      <c r="A744" s="292"/>
      <c r="B744" s="292"/>
      <c r="C744" s="292"/>
      <c r="D744" s="292"/>
      <c r="E744" s="292"/>
      <c r="F744" s="292"/>
      <c r="G744" s="292"/>
      <c r="H744" s="292"/>
      <c r="I744" s="292"/>
      <c r="J744" s="292"/>
      <c r="K744" s="292"/>
      <c r="L744" s="292"/>
      <c r="M744" s="292"/>
      <c r="N744" s="292"/>
      <c r="O744" s="292"/>
      <c r="P744" s="292"/>
      <c r="Q744" s="292"/>
      <c r="R744" s="292"/>
      <c r="S744" s="292"/>
      <c r="T744" s="292"/>
      <c r="U744" s="292"/>
      <c r="V744" s="292"/>
      <c r="W744" s="292"/>
      <c r="X744" s="292"/>
      <c r="Y744" s="292"/>
      <c r="Z744" s="292"/>
      <c r="AA744" s="292"/>
      <c r="AB744" s="292"/>
      <c r="AC744" s="292"/>
    </row>
    <row r="745">
      <c r="A745" s="292"/>
      <c r="B745" s="292"/>
      <c r="C745" s="292"/>
      <c r="D745" s="292"/>
      <c r="E745" s="292"/>
      <c r="F745" s="292"/>
      <c r="G745" s="292"/>
      <c r="H745" s="292"/>
      <c r="I745" s="292"/>
      <c r="J745" s="292"/>
      <c r="K745" s="292"/>
      <c r="L745" s="292"/>
      <c r="M745" s="292"/>
      <c r="N745" s="292"/>
      <c r="O745" s="292"/>
      <c r="P745" s="292"/>
      <c r="Q745" s="292"/>
      <c r="R745" s="292"/>
      <c r="S745" s="292"/>
      <c r="T745" s="292"/>
      <c r="U745" s="292"/>
      <c r="V745" s="292"/>
      <c r="W745" s="292"/>
      <c r="X745" s="292"/>
      <c r="Y745" s="292"/>
      <c r="Z745" s="292"/>
      <c r="AA745" s="292"/>
      <c r="AB745" s="292"/>
      <c r="AC745" s="292"/>
    </row>
    <row r="746">
      <c r="A746" s="292"/>
      <c r="B746" s="292"/>
      <c r="C746" s="292"/>
      <c r="D746" s="292"/>
      <c r="E746" s="292"/>
      <c r="F746" s="292"/>
      <c r="G746" s="292"/>
      <c r="H746" s="292"/>
      <c r="I746" s="292"/>
      <c r="J746" s="292"/>
      <c r="K746" s="292"/>
      <c r="L746" s="292"/>
      <c r="M746" s="292"/>
      <c r="N746" s="292"/>
      <c r="O746" s="292"/>
      <c r="P746" s="292"/>
      <c r="Q746" s="292"/>
      <c r="R746" s="292"/>
      <c r="S746" s="292"/>
      <c r="T746" s="292"/>
      <c r="U746" s="292"/>
      <c r="V746" s="292"/>
      <c r="W746" s="292"/>
      <c r="X746" s="292"/>
      <c r="Y746" s="292"/>
      <c r="Z746" s="292"/>
      <c r="AA746" s="292"/>
      <c r="AB746" s="292"/>
      <c r="AC746" s="292"/>
    </row>
    <row r="747">
      <c r="A747" s="292"/>
      <c r="B747" s="292"/>
      <c r="C747" s="292"/>
      <c r="D747" s="292"/>
      <c r="E747" s="292"/>
      <c r="F747" s="292"/>
      <c r="G747" s="292"/>
      <c r="H747" s="292"/>
      <c r="I747" s="292"/>
      <c r="J747" s="292"/>
      <c r="K747" s="292"/>
      <c r="L747" s="292"/>
      <c r="M747" s="292"/>
      <c r="N747" s="292"/>
      <c r="O747" s="292"/>
      <c r="P747" s="292"/>
      <c r="Q747" s="292"/>
      <c r="R747" s="292"/>
      <c r="S747" s="292"/>
      <c r="T747" s="292"/>
      <c r="U747" s="292"/>
      <c r="V747" s="292"/>
      <c r="W747" s="292"/>
      <c r="X747" s="292"/>
      <c r="Y747" s="292"/>
      <c r="Z747" s="292"/>
      <c r="AA747" s="292"/>
      <c r="AB747" s="292"/>
      <c r="AC747" s="292"/>
    </row>
    <row r="748">
      <c r="A748" s="292"/>
      <c r="B748" s="292"/>
      <c r="C748" s="292"/>
      <c r="D748" s="292"/>
      <c r="E748" s="292"/>
      <c r="F748" s="292"/>
      <c r="G748" s="292"/>
      <c r="H748" s="292"/>
      <c r="I748" s="292"/>
      <c r="J748" s="292"/>
      <c r="K748" s="292"/>
      <c r="L748" s="292"/>
      <c r="M748" s="292"/>
      <c r="N748" s="292"/>
      <c r="O748" s="292"/>
      <c r="P748" s="292"/>
      <c r="Q748" s="292"/>
      <c r="R748" s="292"/>
      <c r="S748" s="292"/>
      <c r="T748" s="292"/>
      <c r="U748" s="292"/>
      <c r="V748" s="292"/>
      <c r="W748" s="292"/>
      <c r="X748" s="292"/>
      <c r="Y748" s="292"/>
      <c r="Z748" s="292"/>
      <c r="AA748" s="292"/>
      <c r="AB748" s="292"/>
      <c r="AC748" s="292"/>
    </row>
    <row r="749">
      <c r="A749" s="292"/>
      <c r="B749" s="292"/>
      <c r="C749" s="292"/>
      <c r="D749" s="292"/>
      <c r="E749" s="292"/>
      <c r="F749" s="292"/>
      <c r="G749" s="292"/>
      <c r="H749" s="292"/>
      <c r="I749" s="292"/>
      <c r="J749" s="292"/>
      <c r="K749" s="292"/>
      <c r="L749" s="292"/>
      <c r="M749" s="292"/>
      <c r="N749" s="292"/>
      <c r="O749" s="292"/>
      <c r="P749" s="292"/>
      <c r="Q749" s="292"/>
      <c r="R749" s="292"/>
      <c r="S749" s="292"/>
      <c r="T749" s="292"/>
      <c r="U749" s="292"/>
      <c r="V749" s="292"/>
      <c r="W749" s="292"/>
      <c r="X749" s="292"/>
      <c r="Y749" s="292"/>
      <c r="Z749" s="292"/>
      <c r="AA749" s="292"/>
      <c r="AB749" s="292"/>
      <c r="AC749" s="292"/>
    </row>
    <row r="750">
      <c r="A750" s="292"/>
      <c r="B750" s="292"/>
      <c r="C750" s="292"/>
      <c r="D750" s="292"/>
      <c r="E750" s="292"/>
      <c r="F750" s="292"/>
      <c r="G750" s="292"/>
      <c r="H750" s="292"/>
      <c r="I750" s="292"/>
      <c r="J750" s="292"/>
      <c r="K750" s="292"/>
      <c r="L750" s="292"/>
      <c r="M750" s="292"/>
      <c r="N750" s="292"/>
      <c r="O750" s="292"/>
      <c r="P750" s="292"/>
      <c r="Q750" s="292"/>
      <c r="R750" s="292"/>
      <c r="S750" s="292"/>
      <c r="T750" s="292"/>
      <c r="U750" s="292"/>
      <c r="V750" s="292"/>
      <c r="W750" s="292"/>
      <c r="X750" s="292"/>
      <c r="Y750" s="292"/>
      <c r="Z750" s="292"/>
      <c r="AA750" s="292"/>
      <c r="AB750" s="292"/>
      <c r="AC750" s="292"/>
    </row>
    <row r="751">
      <c r="A751" s="292"/>
      <c r="B751" s="292"/>
      <c r="C751" s="292"/>
      <c r="D751" s="292"/>
      <c r="E751" s="292"/>
      <c r="F751" s="292"/>
      <c r="G751" s="292"/>
      <c r="H751" s="292"/>
      <c r="I751" s="292"/>
      <c r="J751" s="292"/>
      <c r="K751" s="292"/>
      <c r="L751" s="292"/>
      <c r="M751" s="292"/>
      <c r="N751" s="292"/>
      <c r="O751" s="292"/>
      <c r="P751" s="292"/>
      <c r="Q751" s="292"/>
      <c r="R751" s="292"/>
      <c r="S751" s="292"/>
      <c r="T751" s="292"/>
      <c r="U751" s="292"/>
      <c r="V751" s="292"/>
      <c r="W751" s="292"/>
      <c r="X751" s="292"/>
      <c r="Y751" s="292"/>
      <c r="Z751" s="292"/>
      <c r="AA751" s="292"/>
      <c r="AB751" s="292"/>
      <c r="AC751" s="292"/>
    </row>
    <row r="752">
      <c r="A752" s="292"/>
      <c r="B752" s="292"/>
      <c r="C752" s="292"/>
      <c r="D752" s="292"/>
      <c r="E752" s="292"/>
      <c r="F752" s="292"/>
      <c r="G752" s="292"/>
      <c r="H752" s="292"/>
      <c r="I752" s="292"/>
      <c r="J752" s="292"/>
      <c r="K752" s="292"/>
      <c r="L752" s="292"/>
      <c r="M752" s="292"/>
      <c r="N752" s="292"/>
      <c r="O752" s="292"/>
      <c r="P752" s="292"/>
      <c r="Q752" s="292"/>
      <c r="R752" s="292"/>
      <c r="S752" s="292"/>
      <c r="T752" s="292"/>
      <c r="U752" s="292"/>
      <c r="V752" s="292"/>
      <c r="W752" s="292"/>
      <c r="X752" s="292"/>
      <c r="Y752" s="292"/>
      <c r="Z752" s="292"/>
      <c r="AA752" s="292"/>
      <c r="AB752" s="292"/>
      <c r="AC752" s="292"/>
    </row>
    <row r="753">
      <c r="A753" s="292"/>
      <c r="B753" s="292"/>
      <c r="C753" s="292"/>
      <c r="D753" s="292"/>
      <c r="E753" s="292"/>
      <c r="F753" s="292"/>
      <c r="G753" s="292"/>
      <c r="H753" s="292"/>
      <c r="I753" s="292"/>
      <c r="J753" s="292"/>
      <c r="K753" s="292"/>
      <c r="L753" s="292"/>
      <c r="M753" s="292"/>
      <c r="N753" s="292"/>
      <c r="O753" s="292"/>
      <c r="P753" s="292"/>
      <c r="Q753" s="292"/>
      <c r="R753" s="292"/>
      <c r="S753" s="292"/>
      <c r="T753" s="292"/>
      <c r="U753" s="292"/>
      <c r="V753" s="292"/>
      <c r="W753" s="292"/>
      <c r="X753" s="292"/>
      <c r="Y753" s="292"/>
      <c r="Z753" s="292"/>
      <c r="AA753" s="292"/>
      <c r="AB753" s="292"/>
      <c r="AC753" s="292"/>
    </row>
    <row r="754">
      <c r="A754" s="292"/>
      <c r="B754" s="292"/>
      <c r="C754" s="292"/>
      <c r="D754" s="292"/>
      <c r="E754" s="292"/>
      <c r="F754" s="292"/>
      <c r="G754" s="292"/>
      <c r="H754" s="292"/>
      <c r="I754" s="292"/>
      <c r="J754" s="292"/>
      <c r="K754" s="292"/>
      <c r="L754" s="292"/>
      <c r="M754" s="292"/>
      <c r="N754" s="292"/>
      <c r="O754" s="292"/>
      <c r="P754" s="292"/>
      <c r="Q754" s="292"/>
      <c r="R754" s="292"/>
      <c r="S754" s="292"/>
      <c r="T754" s="292"/>
      <c r="U754" s="292"/>
      <c r="V754" s="292"/>
      <c r="W754" s="292"/>
      <c r="X754" s="292"/>
      <c r="Y754" s="292"/>
      <c r="Z754" s="292"/>
      <c r="AA754" s="292"/>
      <c r="AB754" s="292"/>
      <c r="AC754" s="292"/>
    </row>
    <row r="755">
      <c r="A755" s="292"/>
      <c r="B755" s="292"/>
      <c r="C755" s="292"/>
      <c r="D755" s="292"/>
      <c r="E755" s="292"/>
      <c r="F755" s="292"/>
      <c r="G755" s="292"/>
      <c r="H755" s="292"/>
      <c r="I755" s="292"/>
      <c r="J755" s="292"/>
      <c r="K755" s="292"/>
      <c r="L755" s="292"/>
      <c r="M755" s="292"/>
      <c r="N755" s="292"/>
      <c r="O755" s="292"/>
      <c r="P755" s="292"/>
      <c r="Q755" s="292"/>
      <c r="R755" s="292"/>
      <c r="S755" s="292"/>
      <c r="T755" s="292"/>
      <c r="U755" s="292"/>
      <c r="V755" s="292"/>
      <c r="W755" s="292"/>
      <c r="X755" s="292"/>
      <c r="Y755" s="292"/>
      <c r="Z755" s="292"/>
      <c r="AA755" s="292"/>
      <c r="AB755" s="292"/>
      <c r="AC755" s="292"/>
    </row>
    <row r="756">
      <c r="A756" s="292"/>
      <c r="B756" s="292"/>
      <c r="C756" s="292"/>
      <c r="D756" s="292"/>
      <c r="E756" s="292"/>
      <c r="F756" s="292"/>
      <c r="G756" s="292"/>
      <c r="H756" s="292"/>
      <c r="I756" s="292"/>
      <c r="J756" s="292"/>
      <c r="K756" s="292"/>
      <c r="L756" s="292"/>
      <c r="M756" s="292"/>
      <c r="N756" s="292"/>
      <c r="O756" s="292"/>
      <c r="P756" s="292"/>
      <c r="Q756" s="292"/>
      <c r="R756" s="292"/>
      <c r="S756" s="292"/>
      <c r="T756" s="292"/>
      <c r="U756" s="292"/>
      <c r="V756" s="292"/>
      <c r="W756" s="292"/>
      <c r="X756" s="292"/>
      <c r="Y756" s="292"/>
      <c r="Z756" s="292"/>
      <c r="AA756" s="292"/>
      <c r="AB756" s="292"/>
      <c r="AC756" s="292"/>
    </row>
    <row r="757">
      <c r="A757" s="292"/>
      <c r="B757" s="292"/>
      <c r="C757" s="292"/>
      <c r="D757" s="292"/>
      <c r="E757" s="292"/>
      <c r="F757" s="292"/>
      <c r="G757" s="292"/>
      <c r="H757" s="292"/>
      <c r="I757" s="292"/>
      <c r="J757" s="292"/>
      <c r="K757" s="292"/>
      <c r="L757" s="292"/>
      <c r="M757" s="292"/>
      <c r="N757" s="292"/>
      <c r="O757" s="292"/>
      <c r="P757" s="292"/>
      <c r="Q757" s="292"/>
      <c r="R757" s="292"/>
      <c r="S757" s="292"/>
      <c r="T757" s="292"/>
      <c r="U757" s="292"/>
      <c r="V757" s="292"/>
      <c r="W757" s="292"/>
      <c r="X757" s="292"/>
      <c r="Y757" s="292"/>
      <c r="Z757" s="292"/>
      <c r="AA757" s="292"/>
      <c r="AB757" s="292"/>
      <c r="AC757" s="292"/>
    </row>
    <row r="758">
      <c r="A758" s="292"/>
      <c r="B758" s="292"/>
      <c r="C758" s="292"/>
      <c r="D758" s="292"/>
      <c r="E758" s="292"/>
      <c r="F758" s="292"/>
      <c r="G758" s="292"/>
      <c r="H758" s="292"/>
      <c r="I758" s="292"/>
      <c r="J758" s="292"/>
      <c r="K758" s="292"/>
      <c r="L758" s="292"/>
      <c r="M758" s="292"/>
      <c r="N758" s="292"/>
      <c r="O758" s="292"/>
      <c r="P758" s="292"/>
      <c r="Q758" s="292"/>
      <c r="R758" s="292"/>
      <c r="S758" s="292"/>
      <c r="T758" s="292"/>
      <c r="U758" s="292"/>
      <c r="V758" s="292"/>
      <c r="W758" s="292"/>
      <c r="X758" s="292"/>
      <c r="Y758" s="292"/>
      <c r="Z758" s="292"/>
      <c r="AA758" s="292"/>
      <c r="AB758" s="292"/>
      <c r="AC758" s="292"/>
    </row>
    <row r="759">
      <c r="A759" s="292"/>
      <c r="B759" s="292"/>
      <c r="C759" s="292"/>
      <c r="D759" s="292"/>
      <c r="E759" s="292"/>
      <c r="F759" s="292"/>
      <c r="G759" s="292"/>
      <c r="H759" s="292"/>
      <c r="I759" s="292"/>
      <c r="J759" s="292"/>
      <c r="K759" s="292"/>
      <c r="L759" s="292"/>
      <c r="M759" s="292"/>
      <c r="N759" s="292"/>
      <c r="O759" s="292"/>
      <c r="P759" s="292"/>
      <c r="Q759" s="292"/>
      <c r="R759" s="292"/>
      <c r="S759" s="292"/>
      <c r="T759" s="292"/>
      <c r="U759" s="292"/>
      <c r="V759" s="292"/>
      <c r="W759" s="292"/>
      <c r="X759" s="292"/>
      <c r="Y759" s="292"/>
      <c r="Z759" s="292"/>
      <c r="AA759" s="292"/>
      <c r="AB759" s="292"/>
      <c r="AC759" s="292"/>
    </row>
    <row r="760">
      <c r="A760" s="292"/>
      <c r="B760" s="292"/>
      <c r="C760" s="292"/>
      <c r="D760" s="292"/>
      <c r="E760" s="292"/>
      <c r="F760" s="292"/>
      <c r="G760" s="292"/>
      <c r="H760" s="292"/>
      <c r="I760" s="292"/>
      <c r="J760" s="292"/>
      <c r="K760" s="292"/>
      <c r="L760" s="292"/>
      <c r="M760" s="292"/>
      <c r="N760" s="292"/>
      <c r="O760" s="292"/>
      <c r="P760" s="292"/>
      <c r="Q760" s="292"/>
      <c r="R760" s="292"/>
      <c r="S760" s="292"/>
      <c r="T760" s="292"/>
      <c r="U760" s="292"/>
      <c r="V760" s="292"/>
      <c r="W760" s="292"/>
      <c r="X760" s="292"/>
      <c r="Y760" s="292"/>
      <c r="Z760" s="292"/>
      <c r="AA760" s="292"/>
      <c r="AB760" s="292"/>
      <c r="AC760" s="292"/>
    </row>
    <row r="761">
      <c r="A761" s="292"/>
      <c r="B761" s="292"/>
      <c r="C761" s="292"/>
      <c r="D761" s="292"/>
      <c r="E761" s="292"/>
      <c r="F761" s="292"/>
      <c r="G761" s="292"/>
      <c r="H761" s="292"/>
      <c r="I761" s="292"/>
      <c r="J761" s="292"/>
      <c r="K761" s="292"/>
      <c r="L761" s="292"/>
      <c r="M761" s="292"/>
      <c r="N761" s="292"/>
      <c r="O761" s="292"/>
      <c r="P761" s="292"/>
      <c r="Q761" s="292"/>
      <c r="R761" s="292"/>
      <c r="S761" s="292"/>
      <c r="T761" s="292"/>
      <c r="U761" s="292"/>
      <c r="V761" s="292"/>
      <c r="W761" s="292"/>
      <c r="X761" s="292"/>
      <c r="Y761" s="292"/>
      <c r="Z761" s="292"/>
      <c r="AA761" s="292"/>
      <c r="AB761" s="292"/>
      <c r="AC761" s="292"/>
    </row>
    <row r="762">
      <c r="A762" s="292"/>
      <c r="B762" s="292"/>
      <c r="C762" s="292"/>
      <c r="D762" s="292"/>
      <c r="E762" s="292"/>
      <c r="F762" s="292"/>
      <c r="G762" s="292"/>
      <c r="H762" s="292"/>
      <c r="I762" s="292"/>
      <c r="J762" s="292"/>
      <c r="K762" s="292"/>
      <c r="L762" s="292"/>
      <c r="M762" s="292"/>
      <c r="N762" s="292"/>
      <c r="O762" s="292"/>
      <c r="P762" s="292"/>
      <c r="Q762" s="292"/>
      <c r="R762" s="292"/>
      <c r="S762" s="292"/>
      <c r="T762" s="292"/>
      <c r="U762" s="292"/>
      <c r="V762" s="292"/>
      <c r="W762" s="292"/>
      <c r="X762" s="292"/>
      <c r="Y762" s="292"/>
      <c r="Z762" s="292"/>
      <c r="AA762" s="292"/>
      <c r="AB762" s="292"/>
      <c r="AC762" s="292"/>
    </row>
    <row r="763">
      <c r="A763" s="292"/>
      <c r="B763" s="292"/>
      <c r="C763" s="292"/>
      <c r="D763" s="292"/>
      <c r="E763" s="292"/>
      <c r="F763" s="292"/>
      <c r="G763" s="292"/>
      <c r="H763" s="292"/>
      <c r="I763" s="292"/>
      <c r="J763" s="292"/>
      <c r="K763" s="292"/>
      <c r="L763" s="292"/>
      <c r="M763" s="292"/>
      <c r="N763" s="292"/>
      <c r="O763" s="292"/>
      <c r="P763" s="292"/>
      <c r="Q763" s="292"/>
      <c r="R763" s="292"/>
      <c r="S763" s="292"/>
      <c r="T763" s="292"/>
      <c r="U763" s="292"/>
      <c r="V763" s="292"/>
      <c r="W763" s="292"/>
      <c r="X763" s="292"/>
      <c r="Y763" s="292"/>
      <c r="Z763" s="292"/>
      <c r="AA763" s="292"/>
      <c r="AB763" s="292"/>
      <c r="AC763" s="292"/>
    </row>
    <row r="764">
      <c r="A764" s="292"/>
      <c r="B764" s="292"/>
      <c r="C764" s="292"/>
      <c r="D764" s="292"/>
      <c r="E764" s="292"/>
      <c r="F764" s="292"/>
      <c r="G764" s="292"/>
      <c r="H764" s="292"/>
      <c r="I764" s="292"/>
      <c r="J764" s="292"/>
      <c r="K764" s="292"/>
      <c r="L764" s="292"/>
      <c r="M764" s="292"/>
      <c r="N764" s="292"/>
      <c r="O764" s="292"/>
      <c r="P764" s="292"/>
      <c r="Q764" s="292"/>
      <c r="R764" s="292"/>
      <c r="S764" s="292"/>
      <c r="T764" s="292"/>
      <c r="U764" s="292"/>
      <c r="V764" s="292"/>
      <c r="W764" s="292"/>
      <c r="X764" s="292"/>
      <c r="Y764" s="292"/>
      <c r="Z764" s="292"/>
      <c r="AA764" s="292"/>
      <c r="AB764" s="292"/>
      <c r="AC764" s="292"/>
    </row>
    <row r="765">
      <c r="A765" s="292"/>
      <c r="B765" s="292"/>
      <c r="C765" s="292"/>
      <c r="D765" s="292"/>
      <c r="E765" s="292"/>
      <c r="F765" s="292"/>
      <c r="G765" s="292"/>
      <c r="H765" s="292"/>
      <c r="I765" s="292"/>
      <c r="J765" s="292"/>
      <c r="K765" s="292"/>
      <c r="L765" s="292"/>
      <c r="M765" s="292"/>
      <c r="N765" s="292"/>
      <c r="O765" s="292"/>
      <c r="P765" s="292"/>
      <c r="Q765" s="292"/>
      <c r="R765" s="292"/>
      <c r="S765" s="292"/>
      <c r="T765" s="292"/>
      <c r="U765" s="292"/>
      <c r="V765" s="292"/>
      <c r="W765" s="292"/>
      <c r="X765" s="292"/>
      <c r="Y765" s="292"/>
      <c r="Z765" s="292"/>
      <c r="AA765" s="292"/>
      <c r="AB765" s="292"/>
      <c r="AC765" s="292"/>
    </row>
    <row r="766">
      <c r="A766" s="292"/>
      <c r="B766" s="292"/>
      <c r="C766" s="292"/>
      <c r="D766" s="292"/>
      <c r="E766" s="292"/>
      <c r="F766" s="292"/>
      <c r="G766" s="292"/>
      <c r="H766" s="292"/>
      <c r="I766" s="292"/>
      <c r="J766" s="292"/>
      <c r="K766" s="292"/>
      <c r="L766" s="292"/>
      <c r="M766" s="292"/>
      <c r="N766" s="292"/>
      <c r="O766" s="292"/>
      <c r="P766" s="292"/>
      <c r="Q766" s="292"/>
      <c r="R766" s="292"/>
      <c r="S766" s="292"/>
      <c r="T766" s="292"/>
      <c r="U766" s="292"/>
      <c r="V766" s="292"/>
      <c r="W766" s="292"/>
      <c r="X766" s="292"/>
      <c r="Y766" s="292"/>
      <c r="Z766" s="292"/>
      <c r="AA766" s="292"/>
      <c r="AB766" s="292"/>
      <c r="AC766" s="292"/>
    </row>
    <row r="767">
      <c r="A767" s="292"/>
      <c r="B767" s="292"/>
      <c r="C767" s="292"/>
      <c r="D767" s="292"/>
      <c r="E767" s="292"/>
      <c r="F767" s="292"/>
      <c r="G767" s="292"/>
      <c r="H767" s="292"/>
      <c r="I767" s="292"/>
      <c r="J767" s="292"/>
      <c r="K767" s="292"/>
      <c r="L767" s="292"/>
      <c r="M767" s="292"/>
      <c r="N767" s="292"/>
      <c r="O767" s="292"/>
      <c r="P767" s="292"/>
      <c r="Q767" s="292"/>
      <c r="R767" s="292"/>
      <c r="S767" s="292"/>
      <c r="T767" s="292"/>
      <c r="U767" s="292"/>
      <c r="V767" s="292"/>
      <c r="W767" s="292"/>
      <c r="X767" s="292"/>
      <c r="Y767" s="292"/>
      <c r="Z767" s="292"/>
      <c r="AA767" s="292"/>
      <c r="AB767" s="292"/>
      <c r="AC767" s="292"/>
    </row>
    <row r="768">
      <c r="A768" s="292"/>
      <c r="B768" s="292"/>
      <c r="C768" s="292"/>
      <c r="D768" s="292"/>
      <c r="E768" s="292"/>
      <c r="F768" s="292"/>
      <c r="G768" s="292"/>
      <c r="H768" s="292"/>
      <c r="I768" s="292"/>
      <c r="J768" s="292"/>
      <c r="K768" s="292"/>
      <c r="L768" s="292"/>
      <c r="M768" s="292"/>
      <c r="N768" s="292"/>
      <c r="O768" s="292"/>
      <c r="P768" s="292"/>
      <c r="Q768" s="292"/>
      <c r="R768" s="292"/>
      <c r="S768" s="292"/>
      <c r="T768" s="292"/>
      <c r="U768" s="292"/>
      <c r="V768" s="292"/>
      <c r="W768" s="292"/>
      <c r="X768" s="292"/>
      <c r="Y768" s="292"/>
      <c r="Z768" s="292"/>
      <c r="AA768" s="292"/>
      <c r="AB768" s="292"/>
      <c r="AC768" s="292"/>
    </row>
    <row r="769">
      <c r="A769" s="292"/>
      <c r="B769" s="292"/>
      <c r="C769" s="292"/>
      <c r="D769" s="292"/>
      <c r="E769" s="292"/>
      <c r="F769" s="292"/>
      <c r="G769" s="292"/>
      <c r="H769" s="292"/>
      <c r="I769" s="292"/>
      <c r="J769" s="292"/>
      <c r="K769" s="292"/>
      <c r="L769" s="292"/>
      <c r="M769" s="292"/>
      <c r="N769" s="292"/>
      <c r="O769" s="292"/>
      <c r="P769" s="292"/>
      <c r="Q769" s="292"/>
      <c r="R769" s="292"/>
      <c r="S769" s="292"/>
      <c r="T769" s="292"/>
      <c r="U769" s="292"/>
      <c r="V769" s="292"/>
      <c r="W769" s="292"/>
      <c r="X769" s="292"/>
      <c r="Y769" s="292"/>
      <c r="Z769" s="292"/>
      <c r="AA769" s="292"/>
      <c r="AB769" s="292"/>
      <c r="AC769" s="292"/>
    </row>
    <row r="770">
      <c r="A770" s="292"/>
      <c r="B770" s="292"/>
      <c r="C770" s="292"/>
      <c r="D770" s="292"/>
      <c r="E770" s="292"/>
      <c r="F770" s="292"/>
      <c r="G770" s="292"/>
      <c r="H770" s="292"/>
      <c r="I770" s="292"/>
      <c r="J770" s="292"/>
      <c r="K770" s="292"/>
      <c r="L770" s="292"/>
      <c r="M770" s="292"/>
      <c r="N770" s="292"/>
      <c r="O770" s="292"/>
      <c r="P770" s="292"/>
      <c r="Q770" s="292"/>
      <c r="R770" s="292"/>
      <c r="S770" s="292"/>
      <c r="T770" s="292"/>
      <c r="U770" s="292"/>
      <c r="V770" s="292"/>
      <c r="W770" s="292"/>
      <c r="X770" s="292"/>
      <c r="Y770" s="292"/>
      <c r="Z770" s="292"/>
      <c r="AA770" s="292"/>
      <c r="AB770" s="292"/>
      <c r="AC770" s="292"/>
    </row>
    <row r="771">
      <c r="A771" s="292"/>
      <c r="B771" s="292"/>
      <c r="C771" s="292"/>
      <c r="D771" s="292"/>
      <c r="E771" s="292"/>
      <c r="F771" s="292"/>
      <c r="G771" s="292"/>
      <c r="H771" s="292"/>
      <c r="I771" s="292"/>
      <c r="J771" s="292"/>
      <c r="K771" s="292"/>
      <c r="L771" s="292"/>
      <c r="M771" s="292"/>
      <c r="N771" s="292"/>
      <c r="O771" s="292"/>
      <c r="P771" s="292"/>
      <c r="Q771" s="292"/>
      <c r="R771" s="292"/>
      <c r="S771" s="292"/>
      <c r="T771" s="292"/>
      <c r="U771" s="292"/>
      <c r="V771" s="292"/>
      <c r="W771" s="292"/>
      <c r="X771" s="292"/>
      <c r="Y771" s="292"/>
      <c r="Z771" s="292"/>
      <c r="AA771" s="292"/>
      <c r="AB771" s="292"/>
      <c r="AC771" s="292"/>
    </row>
    <row r="772">
      <c r="A772" s="292"/>
      <c r="B772" s="292"/>
      <c r="C772" s="292"/>
      <c r="D772" s="292"/>
      <c r="E772" s="292"/>
      <c r="F772" s="292"/>
      <c r="G772" s="292"/>
      <c r="H772" s="292"/>
      <c r="I772" s="292"/>
      <c r="J772" s="292"/>
      <c r="K772" s="292"/>
      <c r="L772" s="292"/>
      <c r="M772" s="292"/>
      <c r="N772" s="292"/>
      <c r="O772" s="292"/>
      <c r="P772" s="292"/>
      <c r="Q772" s="292"/>
      <c r="R772" s="292"/>
      <c r="S772" s="292"/>
      <c r="T772" s="292"/>
      <c r="U772" s="292"/>
      <c r="V772" s="292"/>
      <c r="W772" s="292"/>
      <c r="X772" s="292"/>
      <c r="Y772" s="292"/>
      <c r="Z772" s="292"/>
      <c r="AA772" s="292"/>
      <c r="AB772" s="292"/>
      <c r="AC772" s="292"/>
    </row>
    <row r="773">
      <c r="A773" s="292"/>
      <c r="B773" s="292"/>
      <c r="C773" s="292"/>
      <c r="D773" s="292"/>
      <c r="E773" s="292"/>
      <c r="F773" s="292"/>
      <c r="G773" s="292"/>
      <c r="H773" s="292"/>
      <c r="I773" s="292"/>
      <c r="J773" s="292"/>
      <c r="K773" s="292"/>
      <c r="L773" s="292"/>
      <c r="M773" s="292"/>
      <c r="N773" s="292"/>
      <c r="O773" s="292"/>
      <c r="P773" s="292"/>
      <c r="Q773" s="292"/>
      <c r="R773" s="292"/>
      <c r="S773" s="292"/>
      <c r="T773" s="292"/>
      <c r="U773" s="292"/>
      <c r="V773" s="292"/>
      <c r="W773" s="292"/>
      <c r="X773" s="292"/>
      <c r="Y773" s="292"/>
      <c r="Z773" s="292"/>
      <c r="AA773" s="292"/>
      <c r="AB773" s="292"/>
      <c r="AC773" s="292"/>
    </row>
    <row r="774">
      <c r="A774" s="292"/>
      <c r="B774" s="292"/>
      <c r="C774" s="292"/>
      <c r="D774" s="292"/>
      <c r="E774" s="292"/>
      <c r="F774" s="292"/>
      <c r="G774" s="292"/>
      <c r="H774" s="292"/>
      <c r="I774" s="292"/>
      <c r="J774" s="292"/>
      <c r="K774" s="292"/>
      <c r="L774" s="292"/>
      <c r="M774" s="292"/>
      <c r="N774" s="292"/>
      <c r="O774" s="292"/>
      <c r="P774" s="292"/>
      <c r="Q774" s="292"/>
      <c r="R774" s="292"/>
      <c r="S774" s="292"/>
      <c r="T774" s="292"/>
      <c r="U774" s="292"/>
      <c r="V774" s="292"/>
      <c r="W774" s="292"/>
      <c r="X774" s="292"/>
      <c r="Y774" s="292"/>
      <c r="Z774" s="292"/>
      <c r="AA774" s="292"/>
      <c r="AB774" s="292"/>
      <c r="AC774" s="292"/>
    </row>
    <row r="775">
      <c r="A775" s="292"/>
      <c r="B775" s="292"/>
      <c r="C775" s="292"/>
      <c r="D775" s="292"/>
      <c r="E775" s="292"/>
      <c r="F775" s="292"/>
      <c r="G775" s="292"/>
      <c r="H775" s="292"/>
      <c r="I775" s="292"/>
      <c r="J775" s="292"/>
      <c r="K775" s="292"/>
      <c r="L775" s="292"/>
      <c r="M775" s="292"/>
      <c r="N775" s="292"/>
      <c r="O775" s="292"/>
      <c r="P775" s="292"/>
      <c r="Q775" s="292"/>
      <c r="R775" s="292"/>
      <c r="S775" s="292"/>
      <c r="T775" s="292"/>
      <c r="U775" s="292"/>
      <c r="V775" s="292"/>
      <c r="W775" s="292"/>
      <c r="X775" s="292"/>
      <c r="Y775" s="292"/>
      <c r="Z775" s="292"/>
      <c r="AA775" s="292"/>
      <c r="AB775" s="292"/>
      <c r="AC775" s="292"/>
    </row>
    <row r="776">
      <c r="A776" s="292"/>
      <c r="B776" s="292"/>
      <c r="C776" s="292"/>
      <c r="D776" s="292"/>
      <c r="E776" s="292"/>
      <c r="F776" s="292"/>
      <c r="G776" s="292"/>
      <c r="H776" s="292"/>
      <c r="I776" s="292"/>
      <c r="J776" s="292"/>
      <c r="K776" s="292"/>
      <c r="L776" s="292"/>
      <c r="M776" s="292"/>
      <c r="N776" s="292"/>
      <c r="O776" s="292"/>
      <c r="P776" s="292"/>
      <c r="Q776" s="292"/>
      <c r="R776" s="292"/>
      <c r="S776" s="292"/>
      <c r="T776" s="292"/>
      <c r="U776" s="292"/>
      <c r="V776" s="292"/>
      <c r="W776" s="292"/>
      <c r="X776" s="292"/>
      <c r="Y776" s="292"/>
      <c r="Z776" s="292"/>
      <c r="AA776" s="292"/>
      <c r="AB776" s="292"/>
      <c r="AC776" s="292"/>
    </row>
    <row r="777">
      <c r="A777" s="292"/>
      <c r="B777" s="292"/>
      <c r="C777" s="292"/>
      <c r="D777" s="292"/>
      <c r="E777" s="292"/>
      <c r="F777" s="292"/>
      <c r="G777" s="292"/>
      <c r="H777" s="292"/>
      <c r="I777" s="292"/>
      <c r="J777" s="292"/>
      <c r="K777" s="292"/>
      <c r="L777" s="292"/>
      <c r="M777" s="292"/>
      <c r="N777" s="292"/>
      <c r="O777" s="292"/>
      <c r="P777" s="292"/>
      <c r="Q777" s="292"/>
      <c r="R777" s="292"/>
      <c r="S777" s="292"/>
      <c r="T777" s="292"/>
      <c r="U777" s="292"/>
      <c r="V777" s="292"/>
      <c r="W777" s="292"/>
      <c r="X777" s="292"/>
      <c r="Y777" s="292"/>
      <c r="Z777" s="292"/>
      <c r="AA777" s="292"/>
      <c r="AB777" s="292"/>
      <c r="AC777" s="292"/>
    </row>
    <row r="778">
      <c r="A778" s="292"/>
      <c r="B778" s="292"/>
      <c r="C778" s="292"/>
      <c r="D778" s="292"/>
      <c r="E778" s="292"/>
      <c r="F778" s="292"/>
      <c r="G778" s="292"/>
      <c r="H778" s="292"/>
      <c r="I778" s="292"/>
      <c r="J778" s="292"/>
      <c r="K778" s="292"/>
      <c r="L778" s="292"/>
      <c r="M778" s="292"/>
      <c r="N778" s="292"/>
      <c r="O778" s="292"/>
      <c r="P778" s="292"/>
      <c r="Q778" s="292"/>
      <c r="R778" s="292"/>
      <c r="S778" s="292"/>
      <c r="T778" s="292"/>
      <c r="U778" s="292"/>
      <c r="V778" s="292"/>
      <c r="W778" s="292"/>
      <c r="X778" s="292"/>
      <c r="Y778" s="292"/>
      <c r="Z778" s="292"/>
      <c r="AA778" s="292"/>
      <c r="AB778" s="292"/>
      <c r="AC778" s="292"/>
    </row>
    <row r="779">
      <c r="A779" s="292"/>
      <c r="B779" s="292"/>
      <c r="C779" s="292"/>
      <c r="D779" s="292"/>
      <c r="E779" s="292"/>
      <c r="F779" s="292"/>
      <c r="G779" s="292"/>
      <c r="H779" s="292"/>
      <c r="I779" s="292"/>
      <c r="J779" s="292"/>
      <c r="K779" s="292"/>
      <c r="L779" s="292"/>
      <c r="M779" s="292"/>
      <c r="N779" s="292"/>
      <c r="O779" s="292"/>
      <c r="P779" s="292"/>
      <c r="Q779" s="292"/>
      <c r="R779" s="292"/>
      <c r="S779" s="292"/>
      <c r="T779" s="292"/>
      <c r="U779" s="292"/>
      <c r="V779" s="292"/>
      <c r="W779" s="292"/>
      <c r="X779" s="292"/>
      <c r="Y779" s="292"/>
      <c r="Z779" s="292"/>
      <c r="AA779" s="292"/>
      <c r="AB779" s="292"/>
      <c r="AC779" s="292"/>
    </row>
    <row r="780">
      <c r="A780" s="292"/>
      <c r="B780" s="292"/>
      <c r="C780" s="292"/>
      <c r="D780" s="292"/>
      <c r="E780" s="292"/>
      <c r="F780" s="292"/>
      <c r="G780" s="292"/>
      <c r="H780" s="292"/>
      <c r="I780" s="292"/>
      <c r="J780" s="292"/>
      <c r="K780" s="292"/>
      <c r="L780" s="292"/>
      <c r="M780" s="292"/>
      <c r="N780" s="292"/>
      <c r="O780" s="292"/>
      <c r="P780" s="292"/>
      <c r="Q780" s="292"/>
      <c r="R780" s="292"/>
      <c r="S780" s="292"/>
      <c r="T780" s="292"/>
      <c r="U780" s="292"/>
      <c r="V780" s="292"/>
      <c r="W780" s="292"/>
      <c r="X780" s="292"/>
      <c r="Y780" s="292"/>
      <c r="Z780" s="292"/>
      <c r="AA780" s="292"/>
      <c r="AB780" s="292"/>
      <c r="AC780" s="292"/>
    </row>
    <row r="781">
      <c r="A781" s="292"/>
      <c r="B781" s="292"/>
      <c r="C781" s="292"/>
      <c r="D781" s="292"/>
      <c r="E781" s="292"/>
      <c r="F781" s="292"/>
      <c r="G781" s="292"/>
      <c r="H781" s="292"/>
      <c r="I781" s="292"/>
      <c r="J781" s="292"/>
      <c r="K781" s="292"/>
      <c r="L781" s="292"/>
      <c r="M781" s="292"/>
      <c r="N781" s="292"/>
      <c r="O781" s="292"/>
      <c r="P781" s="292"/>
      <c r="Q781" s="292"/>
      <c r="R781" s="292"/>
      <c r="S781" s="292"/>
      <c r="T781" s="292"/>
      <c r="U781" s="292"/>
      <c r="V781" s="292"/>
      <c r="W781" s="292"/>
      <c r="X781" s="292"/>
      <c r="Y781" s="292"/>
      <c r="Z781" s="292"/>
      <c r="AA781" s="292"/>
      <c r="AB781" s="292"/>
      <c r="AC781" s="292"/>
    </row>
    <row r="782">
      <c r="A782" s="292"/>
      <c r="B782" s="292"/>
      <c r="C782" s="292"/>
      <c r="D782" s="292"/>
      <c r="E782" s="292"/>
      <c r="F782" s="292"/>
      <c r="G782" s="292"/>
      <c r="H782" s="292"/>
      <c r="I782" s="292"/>
      <c r="J782" s="292"/>
      <c r="K782" s="292"/>
      <c r="L782" s="292"/>
      <c r="M782" s="292"/>
      <c r="N782" s="292"/>
      <c r="O782" s="292"/>
      <c r="P782" s="292"/>
      <c r="Q782" s="292"/>
      <c r="R782" s="292"/>
      <c r="S782" s="292"/>
      <c r="T782" s="292"/>
      <c r="U782" s="292"/>
      <c r="V782" s="292"/>
      <c r="W782" s="292"/>
      <c r="X782" s="292"/>
      <c r="Y782" s="292"/>
      <c r="Z782" s="292"/>
      <c r="AA782" s="292"/>
      <c r="AB782" s="292"/>
      <c r="AC782" s="292"/>
    </row>
    <row r="783">
      <c r="A783" s="292"/>
      <c r="B783" s="292"/>
      <c r="C783" s="292"/>
      <c r="D783" s="292"/>
      <c r="E783" s="292"/>
      <c r="F783" s="292"/>
      <c r="G783" s="292"/>
      <c r="H783" s="292"/>
      <c r="I783" s="292"/>
      <c r="J783" s="292"/>
      <c r="K783" s="292"/>
      <c r="L783" s="292"/>
      <c r="M783" s="292"/>
      <c r="N783" s="292"/>
      <c r="O783" s="292"/>
      <c r="P783" s="292"/>
      <c r="Q783" s="292"/>
      <c r="R783" s="292"/>
      <c r="S783" s="292"/>
      <c r="T783" s="292"/>
      <c r="U783" s="292"/>
      <c r="V783" s="292"/>
      <c r="W783" s="292"/>
      <c r="X783" s="292"/>
      <c r="Y783" s="292"/>
      <c r="Z783" s="292"/>
      <c r="AA783" s="292"/>
      <c r="AB783" s="292"/>
      <c r="AC783" s="292"/>
    </row>
    <row r="784">
      <c r="A784" s="292"/>
      <c r="B784" s="292"/>
      <c r="C784" s="292"/>
      <c r="D784" s="292"/>
      <c r="E784" s="292"/>
      <c r="F784" s="292"/>
      <c r="G784" s="292"/>
      <c r="H784" s="292"/>
      <c r="I784" s="292"/>
      <c r="J784" s="292"/>
      <c r="K784" s="292"/>
      <c r="L784" s="292"/>
      <c r="M784" s="292"/>
      <c r="N784" s="292"/>
      <c r="O784" s="292"/>
      <c r="P784" s="292"/>
      <c r="Q784" s="292"/>
      <c r="R784" s="292"/>
      <c r="S784" s="292"/>
      <c r="T784" s="292"/>
      <c r="U784" s="292"/>
      <c r="V784" s="292"/>
      <c r="W784" s="292"/>
      <c r="X784" s="292"/>
      <c r="Y784" s="292"/>
      <c r="Z784" s="292"/>
      <c r="AA784" s="292"/>
      <c r="AB784" s="292"/>
      <c r="AC784" s="292"/>
    </row>
    <row r="785">
      <c r="A785" s="292"/>
      <c r="B785" s="292"/>
      <c r="C785" s="292"/>
      <c r="D785" s="292"/>
      <c r="E785" s="292"/>
      <c r="F785" s="292"/>
      <c r="G785" s="292"/>
      <c r="H785" s="292"/>
      <c r="I785" s="292"/>
      <c r="J785" s="292"/>
      <c r="K785" s="292"/>
      <c r="L785" s="292"/>
      <c r="M785" s="292"/>
      <c r="N785" s="292"/>
      <c r="O785" s="292"/>
      <c r="P785" s="292"/>
      <c r="Q785" s="292"/>
      <c r="R785" s="292"/>
      <c r="S785" s="292"/>
      <c r="T785" s="292"/>
      <c r="U785" s="292"/>
      <c r="V785" s="292"/>
      <c r="W785" s="292"/>
      <c r="X785" s="292"/>
      <c r="Y785" s="292"/>
      <c r="Z785" s="292"/>
      <c r="AA785" s="292"/>
      <c r="AB785" s="292"/>
      <c r="AC785" s="292"/>
    </row>
    <row r="786">
      <c r="A786" s="292"/>
      <c r="B786" s="292"/>
      <c r="C786" s="292"/>
      <c r="D786" s="292"/>
      <c r="E786" s="292"/>
      <c r="F786" s="292"/>
      <c r="G786" s="292"/>
      <c r="H786" s="292"/>
      <c r="I786" s="292"/>
      <c r="J786" s="292"/>
      <c r="K786" s="292"/>
      <c r="L786" s="292"/>
      <c r="M786" s="292"/>
      <c r="N786" s="292"/>
      <c r="O786" s="292"/>
      <c r="P786" s="292"/>
      <c r="Q786" s="292"/>
      <c r="R786" s="292"/>
      <c r="S786" s="292"/>
      <c r="T786" s="292"/>
      <c r="U786" s="292"/>
      <c r="V786" s="292"/>
      <c r="W786" s="292"/>
      <c r="X786" s="292"/>
      <c r="Y786" s="292"/>
      <c r="Z786" s="292"/>
      <c r="AA786" s="292"/>
      <c r="AB786" s="292"/>
      <c r="AC786" s="292"/>
    </row>
    <row r="787">
      <c r="A787" s="292"/>
      <c r="B787" s="292"/>
      <c r="C787" s="292"/>
      <c r="D787" s="292"/>
      <c r="E787" s="292"/>
      <c r="F787" s="292"/>
      <c r="G787" s="292"/>
      <c r="H787" s="292"/>
      <c r="I787" s="292"/>
      <c r="J787" s="292"/>
      <c r="K787" s="292"/>
      <c r="L787" s="292"/>
      <c r="M787" s="292"/>
      <c r="N787" s="292"/>
      <c r="O787" s="292"/>
      <c r="P787" s="292"/>
      <c r="Q787" s="292"/>
      <c r="R787" s="292"/>
      <c r="S787" s="292"/>
      <c r="T787" s="292"/>
      <c r="U787" s="292"/>
      <c r="V787" s="292"/>
      <c r="W787" s="292"/>
      <c r="X787" s="292"/>
      <c r="Y787" s="292"/>
      <c r="Z787" s="292"/>
      <c r="AA787" s="292"/>
      <c r="AB787" s="292"/>
      <c r="AC787" s="292"/>
    </row>
    <row r="788">
      <c r="A788" s="292"/>
      <c r="B788" s="292"/>
      <c r="C788" s="292"/>
      <c r="D788" s="292"/>
      <c r="E788" s="292"/>
      <c r="F788" s="292"/>
      <c r="G788" s="292"/>
      <c r="H788" s="292"/>
      <c r="I788" s="292"/>
      <c r="J788" s="292"/>
      <c r="K788" s="292"/>
      <c r="L788" s="292"/>
      <c r="M788" s="292"/>
      <c r="N788" s="292"/>
      <c r="O788" s="292"/>
      <c r="P788" s="292"/>
      <c r="Q788" s="292"/>
      <c r="R788" s="292"/>
      <c r="S788" s="292"/>
      <c r="T788" s="292"/>
      <c r="U788" s="292"/>
      <c r="V788" s="292"/>
      <c r="W788" s="292"/>
      <c r="X788" s="292"/>
      <c r="Y788" s="292"/>
      <c r="Z788" s="292"/>
      <c r="AA788" s="292"/>
      <c r="AB788" s="292"/>
      <c r="AC788" s="292"/>
    </row>
    <row r="789">
      <c r="A789" s="292"/>
      <c r="B789" s="292"/>
      <c r="C789" s="292"/>
      <c r="D789" s="292"/>
      <c r="E789" s="292"/>
      <c r="F789" s="292"/>
      <c r="G789" s="292"/>
      <c r="H789" s="292"/>
      <c r="I789" s="292"/>
      <c r="J789" s="292"/>
      <c r="K789" s="292"/>
      <c r="L789" s="292"/>
      <c r="M789" s="292"/>
      <c r="N789" s="292"/>
      <c r="O789" s="292"/>
      <c r="P789" s="292"/>
      <c r="Q789" s="292"/>
      <c r="R789" s="292"/>
      <c r="S789" s="292"/>
      <c r="T789" s="292"/>
      <c r="U789" s="292"/>
      <c r="V789" s="292"/>
      <c r="W789" s="292"/>
      <c r="X789" s="292"/>
      <c r="Y789" s="292"/>
      <c r="Z789" s="292"/>
      <c r="AA789" s="292"/>
      <c r="AB789" s="292"/>
      <c r="AC789" s="292"/>
    </row>
    <row r="790">
      <c r="A790" s="292"/>
      <c r="B790" s="292"/>
      <c r="C790" s="292"/>
      <c r="D790" s="292"/>
      <c r="E790" s="292"/>
      <c r="F790" s="292"/>
      <c r="G790" s="292"/>
      <c r="H790" s="292"/>
      <c r="I790" s="292"/>
      <c r="J790" s="292"/>
      <c r="K790" s="292"/>
      <c r="L790" s="292"/>
      <c r="M790" s="292"/>
      <c r="N790" s="292"/>
      <c r="O790" s="292"/>
      <c r="P790" s="292"/>
      <c r="Q790" s="292"/>
      <c r="R790" s="292"/>
      <c r="S790" s="292"/>
      <c r="T790" s="292"/>
      <c r="U790" s="292"/>
      <c r="V790" s="292"/>
      <c r="W790" s="292"/>
      <c r="X790" s="292"/>
      <c r="Y790" s="292"/>
      <c r="Z790" s="292"/>
      <c r="AA790" s="292"/>
      <c r="AB790" s="292"/>
      <c r="AC790" s="292"/>
    </row>
    <row r="791">
      <c r="A791" s="292"/>
      <c r="B791" s="292"/>
      <c r="C791" s="292"/>
      <c r="D791" s="292"/>
      <c r="E791" s="292"/>
      <c r="F791" s="292"/>
      <c r="G791" s="292"/>
      <c r="H791" s="292"/>
      <c r="I791" s="292"/>
      <c r="J791" s="292"/>
      <c r="K791" s="292"/>
      <c r="L791" s="292"/>
      <c r="M791" s="292"/>
      <c r="N791" s="292"/>
      <c r="O791" s="292"/>
      <c r="P791" s="292"/>
      <c r="Q791" s="292"/>
      <c r="R791" s="292"/>
      <c r="S791" s="292"/>
      <c r="T791" s="292"/>
      <c r="U791" s="292"/>
      <c r="V791" s="292"/>
      <c r="W791" s="292"/>
      <c r="X791" s="292"/>
      <c r="Y791" s="292"/>
      <c r="Z791" s="292"/>
      <c r="AA791" s="292"/>
      <c r="AB791" s="292"/>
      <c r="AC791" s="292"/>
    </row>
    <row r="792">
      <c r="A792" s="292"/>
      <c r="B792" s="292"/>
      <c r="C792" s="292"/>
      <c r="D792" s="292"/>
      <c r="E792" s="292"/>
      <c r="F792" s="292"/>
      <c r="G792" s="292"/>
      <c r="H792" s="292"/>
      <c r="I792" s="292"/>
      <c r="J792" s="292"/>
      <c r="K792" s="292"/>
      <c r="L792" s="292"/>
      <c r="M792" s="292"/>
      <c r="N792" s="292"/>
      <c r="O792" s="292"/>
      <c r="P792" s="292"/>
      <c r="Q792" s="292"/>
      <c r="R792" s="292"/>
      <c r="S792" s="292"/>
      <c r="T792" s="292"/>
      <c r="U792" s="292"/>
      <c r="V792" s="292"/>
      <c r="W792" s="292"/>
      <c r="X792" s="292"/>
      <c r="Y792" s="292"/>
      <c r="Z792" s="292"/>
      <c r="AA792" s="292"/>
      <c r="AB792" s="292"/>
      <c r="AC792" s="292"/>
    </row>
    <row r="793">
      <c r="A793" s="292"/>
      <c r="B793" s="292"/>
      <c r="C793" s="292"/>
      <c r="D793" s="292"/>
      <c r="E793" s="292"/>
      <c r="F793" s="292"/>
      <c r="G793" s="292"/>
      <c r="H793" s="292"/>
      <c r="I793" s="292"/>
      <c r="J793" s="292"/>
      <c r="K793" s="292"/>
      <c r="L793" s="292"/>
      <c r="M793" s="292"/>
      <c r="N793" s="292"/>
      <c r="O793" s="292"/>
      <c r="P793" s="292"/>
      <c r="Q793" s="292"/>
      <c r="R793" s="292"/>
      <c r="S793" s="292"/>
      <c r="T793" s="292"/>
      <c r="U793" s="292"/>
      <c r="V793" s="292"/>
      <c r="W793" s="292"/>
      <c r="X793" s="292"/>
      <c r="Y793" s="292"/>
      <c r="Z793" s="292"/>
      <c r="AA793" s="292"/>
      <c r="AB793" s="292"/>
      <c r="AC793" s="292"/>
    </row>
    <row r="794">
      <c r="A794" s="292"/>
      <c r="B794" s="292"/>
      <c r="C794" s="292"/>
      <c r="D794" s="292"/>
      <c r="E794" s="292"/>
      <c r="F794" s="292"/>
      <c r="G794" s="292"/>
      <c r="H794" s="292"/>
      <c r="I794" s="292"/>
      <c r="J794" s="292"/>
      <c r="K794" s="292"/>
      <c r="L794" s="292"/>
      <c r="M794" s="292"/>
      <c r="N794" s="292"/>
      <c r="O794" s="292"/>
      <c r="P794" s="292"/>
      <c r="Q794" s="292"/>
      <c r="R794" s="292"/>
      <c r="S794" s="292"/>
      <c r="T794" s="292"/>
      <c r="U794" s="292"/>
      <c r="V794" s="292"/>
      <c r="W794" s="292"/>
      <c r="X794" s="292"/>
      <c r="Y794" s="292"/>
      <c r="Z794" s="292"/>
      <c r="AA794" s="292"/>
      <c r="AB794" s="292"/>
      <c r="AC794" s="292"/>
    </row>
    <row r="795">
      <c r="A795" s="292"/>
      <c r="B795" s="292"/>
      <c r="C795" s="292"/>
      <c r="D795" s="292"/>
      <c r="E795" s="292"/>
      <c r="F795" s="292"/>
      <c r="G795" s="292"/>
      <c r="H795" s="292"/>
      <c r="I795" s="292"/>
      <c r="J795" s="292"/>
      <c r="K795" s="292"/>
      <c r="L795" s="292"/>
      <c r="M795" s="292"/>
      <c r="N795" s="292"/>
      <c r="O795" s="292"/>
      <c r="P795" s="292"/>
      <c r="Q795" s="292"/>
      <c r="R795" s="292"/>
      <c r="S795" s="292"/>
      <c r="T795" s="292"/>
      <c r="U795" s="292"/>
      <c r="V795" s="292"/>
      <c r="W795" s="292"/>
      <c r="X795" s="292"/>
      <c r="Y795" s="292"/>
      <c r="Z795" s="292"/>
      <c r="AA795" s="292"/>
      <c r="AB795" s="292"/>
      <c r="AC795" s="292"/>
    </row>
    <row r="796">
      <c r="A796" s="292"/>
      <c r="B796" s="292"/>
      <c r="C796" s="292"/>
      <c r="D796" s="292"/>
      <c r="E796" s="292"/>
      <c r="F796" s="292"/>
      <c r="G796" s="292"/>
      <c r="H796" s="292"/>
      <c r="I796" s="292"/>
      <c r="J796" s="292"/>
      <c r="K796" s="292"/>
      <c r="L796" s="292"/>
      <c r="M796" s="292"/>
      <c r="N796" s="292"/>
      <c r="O796" s="292"/>
      <c r="P796" s="292"/>
      <c r="Q796" s="292"/>
      <c r="R796" s="292"/>
      <c r="S796" s="292"/>
      <c r="T796" s="292"/>
      <c r="U796" s="292"/>
      <c r="V796" s="292"/>
      <c r="W796" s="292"/>
      <c r="X796" s="292"/>
      <c r="Y796" s="292"/>
      <c r="Z796" s="292"/>
      <c r="AA796" s="292"/>
      <c r="AB796" s="292"/>
      <c r="AC796" s="292"/>
    </row>
    <row r="797">
      <c r="A797" s="292"/>
      <c r="B797" s="292"/>
      <c r="C797" s="292"/>
      <c r="D797" s="292"/>
      <c r="E797" s="292"/>
      <c r="F797" s="292"/>
      <c r="G797" s="292"/>
      <c r="H797" s="292"/>
      <c r="I797" s="292"/>
      <c r="J797" s="292"/>
      <c r="K797" s="292"/>
      <c r="L797" s="292"/>
      <c r="M797" s="292"/>
      <c r="N797" s="292"/>
      <c r="O797" s="292"/>
      <c r="P797" s="292"/>
      <c r="Q797" s="292"/>
      <c r="R797" s="292"/>
      <c r="S797" s="292"/>
      <c r="T797" s="292"/>
      <c r="U797" s="292"/>
      <c r="V797" s="292"/>
      <c r="W797" s="292"/>
      <c r="X797" s="292"/>
      <c r="Y797" s="292"/>
      <c r="Z797" s="292"/>
      <c r="AA797" s="292"/>
      <c r="AB797" s="292"/>
      <c r="AC797" s="292"/>
    </row>
    <row r="798">
      <c r="A798" s="292"/>
      <c r="B798" s="292"/>
      <c r="C798" s="292"/>
      <c r="D798" s="292"/>
      <c r="E798" s="292"/>
      <c r="F798" s="292"/>
      <c r="G798" s="292"/>
      <c r="H798" s="292"/>
      <c r="I798" s="292"/>
      <c r="J798" s="292"/>
      <c r="K798" s="292"/>
      <c r="L798" s="292"/>
      <c r="M798" s="292"/>
      <c r="N798" s="292"/>
      <c r="O798" s="292"/>
      <c r="P798" s="292"/>
      <c r="Q798" s="292"/>
      <c r="R798" s="292"/>
      <c r="S798" s="292"/>
      <c r="T798" s="292"/>
      <c r="U798" s="292"/>
      <c r="V798" s="292"/>
      <c r="W798" s="292"/>
      <c r="X798" s="292"/>
      <c r="Y798" s="292"/>
      <c r="Z798" s="292"/>
      <c r="AA798" s="292"/>
      <c r="AB798" s="292"/>
      <c r="AC798" s="292"/>
    </row>
    <row r="799">
      <c r="A799" s="292"/>
      <c r="B799" s="292"/>
      <c r="C799" s="292"/>
      <c r="D799" s="292"/>
      <c r="E799" s="292"/>
      <c r="F799" s="292"/>
      <c r="G799" s="292"/>
      <c r="H799" s="292"/>
      <c r="I799" s="292"/>
      <c r="J799" s="292"/>
      <c r="K799" s="292"/>
      <c r="L799" s="292"/>
      <c r="M799" s="292"/>
      <c r="N799" s="292"/>
      <c r="O799" s="292"/>
      <c r="P799" s="292"/>
      <c r="Q799" s="292"/>
      <c r="R799" s="292"/>
      <c r="S799" s="292"/>
      <c r="T799" s="292"/>
      <c r="U799" s="292"/>
      <c r="V799" s="292"/>
      <c r="W799" s="292"/>
      <c r="X799" s="292"/>
      <c r="Y799" s="292"/>
      <c r="Z799" s="292"/>
      <c r="AA799" s="292"/>
      <c r="AB799" s="292"/>
      <c r="AC799" s="292"/>
    </row>
    <row r="800">
      <c r="A800" s="292"/>
      <c r="B800" s="292"/>
      <c r="C800" s="292"/>
      <c r="D800" s="292"/>
      <c r="E800" s="292"/>
      <c r="F800" s="292"/>
      <c r="G800" s="292"/>
      <c r="H800" s="292"/>
      <c r="I800" s="292"/>
      <c r="J800" s="292"/>
      <c r="K800" s="292"/>
      <c r="L800" s="292"/>
      <c r="M800" s="292"/>
      <c r="N800" s="292"/>
      <c r="O800" s="292"/>
      <c r="P800" s="292"/>
      <c r="Q800" s="292"/>
      <c r="R800" s="292"/>
      <c r="S800" s="292"/>
      <c r="T800" s="292"/>
      <c r="U800" s="292"/>
      <c r="V800" s="292"/>
      <c r="W800" s="292"/>
      <c r="X800" s="292"/>
      <c r="Y800" s="292"/>
      <c r="Z800" s="292"/>
      <c r="AA800" s="292"/>
      <c r="AB800" s="292"/>
      <c r="AC800" s="292"/>
    </row>
    <row r="801">
      <c r="A801" s="292"/>
      <c r="B801" s="292"/>
      <c r="C801" s="292"/>
      <c r="D801" s="292"/>
      <c r="E801" s="292"/>
      <c r="F801" s="292"/>
      <c r="G801" s="292"/>
      <c r="H801" s="292"/>
      <c r="I801" s="292"/>
      <c r="J801" s="292"/>
      <c r="K801" s="292"/>
      <c r="L801" s="292"/>
      <c r="M801" s="292"/>
      <c r="N801" s="292"/>
      <c r="O801" s="292"/>
      <c r="P801" s="292"/>
      <c r="Q801" s="292"/>
      <c r="R801" s="292"/>
      <c r="S801" s="292"/>
      <c r="T801" s="292"/>
      <c r="U801" s="292"/>
      <c r="V801" s="292"/>
      <c r="W801" s="292"/>
      <c r="X801" s="292"/>
      <c r="Y801" s="292"/>
      <c r="Z801" s="292"/>
      <c r="AA801" s="292"/>
      <c r="AB801" s="292"/>
      <c r="AC801" s="292"/>
    </row>
    <row r="802">
      <c r="A802" s="292"/>
      <c r="B802" s="292"/>
      <c r="C802" s="292"/>
      <c r="D802" s="292"/>
      <c r="E802" s="292"/>
      <c r="F802" s="292"/>
      <c r="G802" s="292"/>
      <c r="H802" s="292"/>
      <c r="I802" s="292"/>
      <c r="J802" s="292"/>
      <c r="K802" s="292"/>
      <c r="L802" s="292"/>
      <c r="M802" s="292"/>
      <c r="N802" s="292"/>
      <c r="O802" s="292"/>
      <c r="P802" s="292"/>
      <c r="Q802" s="292"/>
      <c r="R802" s="292"/>
      <c r="S802" s="292"/>
      <c r="T802" s="292"/>
      <c r="U802" s="292"/>
      <c r="V802" s="292"/>
      <c r="W802" s="292"/>
      <c r="X802" s="292"/>
      <c r="Y802" s="292"/>
      <c r="Z802" s="292"/>
      <c r="AA802" s="292"/>
      <c r="AB802" s="292"/>
      <c r="AC802" s="292"/>
    </row>
    <row r="803">
      <c r="A803" s="292"/>
      <c r="B803" s="292"/>
      <c r="C803" s="292"/>
      <c r="D803" s="292"/>
      <c r="E803" s="292"/>
      <c r="F803" s="292"/>
      <c r="G803" s="292"/>
      <c r="H803" s="292"/>
      <c r="I803" s="292"/>
      <c r="J803" s="292"/>
      <c r="K803" s="292"/>
      <c r="L803" s="292"/>
      <c r="M803" s="292"/>
      <c r="N803" s="292"/>
      <c r="O803" s="292"/>
      <c r="P803" s="292"/>
      <c r="Q803" s="292"/>
      <c r="R803" s="292"/>
      <c r="S803" s="292"/>
      <c r="T803" s="292"/>
      <c r="U803" s="292"/>
      <c r="V803" s="292"/>
      <c r="W803" s="292"/>
      <c r="X803" s="292"/>
      <c r="Y803" s="292"/>
      <c r="Z803" s="292"/>
      <c r="AA803" s="292"/>
      <c r="AB803" s="292"/>
      <c r="AC803" s="292"/>
    </row>
    <row r="804">
      <c r="A804" s="292"/>
      <c r="B804" s="292"/>
      <c r="C804" s="292"/>
      <c r="D804" s="292"/>
      <c r="E804" s="292"/>
      <c r="F804" s="292"/>
      <c r="G804" s="292"/>
      <c r="H804" s="292"/>
      <c r="I804" s="292"/>
      <c r="J804" s="292"/>
      <c r="K804" s="292"/>
      <c r="L804" s="292"/>
      <c r="M804" s="292"/>
      <c r="N804" s="292"/>
      <c r="O804" s="292"/>
      <c r="P804" s="292"/>
      <c r="Q804" s="292"/>
      <c r="R804" s="292"/>
      <c r="S804" s="292"/>
      <c r="T804" s="292"/>
      <c r="U804" s="292"/>
      <c r="V804" s="292"/>
      <c r="W804" s="292"/>
      <c r="X804" s="292"/>
      <c r="Y804" s="292"/>
      <c r="Z804" s="292"/>
      <c r="AA804" s="292"/>
      <c r="AB804" s="292"/>
      <c r="AC804" s="292"/>
    </row>
    <row r="805">
      <c r="A805" s="292"/>
      <c r="B805" s="292"/>
      <c r="C805" s="292"/>
      <c r="D805" s="292"/>
      <c r="E805" s="292"/>
      <c r="F805" s="292"/>
      <c r="G805" s="292"/>
      <c r="H805" s="292"/>
      <c r="I805" s="292"/>
      <c r="J805" s="292"/>
      <c r="K805" s="292"/>
      <c r="L805" s="292"/>
      <c r="M805" s="292"/>
      <c r="N805" s="292"/>
      <c r="O805" s="292"/>
      <c r="P805" s="292"/>
      <c r="Q805" s="292"/>
      <c r="R805" s="292"/>
      <c r="S805" s="292"/>
      <c r="T805" s="292"/>
      <c r="U805" s="292"/>
      <c r="V805" s="292"/>
      <c r="W805" s="292"/>
      <c r="X805" s="292"/>
      <c r="Y805" s="292"/>
      <c r="Z805" s="292"/>
      <c r="AA805" s="292"/>
      <c r="AB805" s="292"/>
      <c r="AC805" s="292"/>
    </row>
    <row r="806">
      <c r="A806" s="292"/>
      <c r="B806" s="292"/>
      <c r="C806" s="292"/>
      <c r="D806" s="292"/>
      <c r="E806" s="292"/>
      <c r="F806" s="292"/>
      <c r="G806" s="292"/>
      <c r="H806" s="292"/>
      <c r="I806" s="292"/>
      <c r="J806" s="292"/>
      <c r="K806" s="292"/>
      <c r="L806" s="292"/>
      <c r="M806" s="292"/>
      <c r="N806" s="292"/>
      <c r="O806" s="292"/>
      <c r="P806" s="292"/>
      <c r="Q806" s="292"/>
      <c r="R806" s="292"/>
      <c r="S806" s="292"/>
      <c r="T806" s="292"/>
      <c r="U806" s="292"/>
      <c r="V806" s="292"/>
      <c r="W806" s="292"/>
      <c r="X806" s="292"/>
      <c r="Y806" s="292"/>
      <c r="Z806" s="292"/>
      <c r="AA806" s="292"/>
      <c r="AB806" s="292"/>
      <c r="AC806" s="292"/>
    </row>
    <row r="807">
      <c r="A807" s="292"/>
      <c r="B807" s="292"/>
      <c r="C807" s="292"/>
      <c r="D807" s="292"/>
      <c r="E807" s="292"/>
      <c r="F807" s="292"/>
      <c r="G807" s="292"/>
      <c r="H807" s="292"/>
      <c r="I807" s="292"/>
      <c r="J807" s="292"/>
      <c r="K807" s="292"/>
      <c r="L807" s="292"/>
      <c r="M807" s="292"/>
      <c r="N807" s="292"/>
      <c r="O807" s="292"/>
      <c r="P807" s="292"/>
      <c r="Q807" s="292"/>
      <c r="R807" s="292"/>
      <c r="S807" s="292"/>
      <c r="T807" s="292"/>
      <c r="U807" s="292"/>
      <c r="V807" s="292"/>
      <c r="W807" s="292"/>
      <c r="X807" s="292"/>
      <c r="Y807" s="292"/>
      <c r="Z807" s="292"/>
      <c r="AA807" s="292"/>
      <c r="AB807" s="292"/>
      <c r="AC807" s="292"/>
    </row>
    <row r="808">
      <c r="A808" s="292"/>
      <c r="B808" s="292"/>
      <c r="C808" s="292"/>
      <c r="D808" s="292"/>
      <c r="E808" s="292"/>
      <c r="F808" s="292"/>
      <c r="G808" s="292"/>
      <c r="H808" s="292"/>
      <c r="I808" s="292"/>
      <c r="J808" s="292"/>
      <c r="K808" s="292"/>
      <c r="L808" s="292"/>
      <c r="M808" s="292"/>
      <c r="N808" s="292"/>
      <c r="O808" s="292"/>
      <c r="P808" s="292"/>
      <c r="Q808" s="292"/>
      <c r="R808" s="292"/>
      <c r="S808" s="292"/>
      <c r="T808" s="292"/>
      <c r="U808" s="292"/>
      <c r="V808" s="292"/>
      <c r="W808" s="292"/>
      <c r="X808" s="292"/>
      <c r="Y808" s="292"/>
      <c r="Z808" s="292"/>
      <c r="AA808" s="292"/>
      <c r="AB808" s="292"/>
      <c r="AC808" s="292"/>
    </row>
    <row r="809">
      <c r="A809" s="292"/>
      <c r="B809" s="292"/>
      <c r="C809" s="292"/>
      <c r="D809" s="292"/>
      <c r="E809" s="292"/>
      <c r="F809" s="292"/>
      <c r="G809" s="292"/>
      <c r="H809" s="292"/>
      <c r="I809" s="292"/>
      <c r="J809" s="292"/>
      <c r="K809" s="292"/>
      <c r="L809" s="292"/>
      <c r="M809" s="292"/>
      <c r="N809" s="292"/>
      <c r="O809" s="292"/>
      <c r="P809" s="292"/>
      <c r="Q809" s="292"/>
      <c r="R809" s="292"/>
      <c r="S809" s="292"/>
      <c r="T809" s="292"/>
      <c r="U809" s="292"/>
      <c r="V809" s="292"/>
      <c r="W809" s="292"/>
      <c r="X809" s="292"/>
      <c r="Y809" s="292"/>
      <c r="Z809" s="292"/>
      <c r="AA809" s="292"/>
      <c r="AB809" s="292"/>
      <c r="AC809" s="292"/>
    </row>
    <row r="810">
      <c r="A810" s="292"/>
      <c r="B810" s="292"/>
      <c r="C810" s="292"/>
      <c r="D810" s="292"/>
      <c r="E810" s="292"/>
      <c r="F810" s="292"/>
      <c r="G810" s="292"/>
      <c r="H810" s="292"/>
      <c r="I810" s="292"/>
      <c r="J810" s="292"/>
      <c r="K810" s="292"/>
      <c r="L810" s="292"/>
      <c r="M810" s="292"/>
      <c r="N810" s="292"/>
      <c r="O810" s="292"/>
      <c r="P810" s="292"/>
      <c r="Q810" s="292"/>
      <c r="R810" s="292"/>
      <c r="S810" s="292"/>
      <c r="T810" s="292"/>
      <c r="U810" s="292"/>
      <c r="V810" s="292"/>
      <c r="W810" s="292"/>
      <c r="X810" s="292"/>
      <c r="Y810" s="292"/>
      <c r="Z810" s="292"/>
      <c r="AA810" s="292"/>
      <c r="AB810" s="292"/>
      <c r="AC810" s="292"/>
    </row>
    <row r="811">
      <c r="A811" s="292"/>
      <c r="B811" s="292"/>
      <c r="C811" s="292"/>
      <c r="D811" s="292"/>
      <c r="E811" s="292"/>
      <c r="F811" s="292"/>
      <c r="G811" s="292"/>
      <c r="H811" s="292"/>
      <c r="I811" s="292"/>
      <c r="J811" s="292"/>
      <c r="K811" s="292"/>
      <c r="L811" s="292"/>
      <c r="M811" s="292"/>
      <c r="N811" s="292"/>
      <c r="O811" s="292"/>
      <c r="P811" s="292"/>
      <c r="Q811" s="292"/>
      <c r="R811" s="292"/>
      <c r="S811" s="292"/>
      <c r="T811" s="292"/>
      <c r="U811" s="292"/>
      <c r="V811" s="292"/>
      <c r="W811" s="292"/>
      <c r="X811" s="292"/>
      <c r="Y811" s="292"/>
      <c r="Z811" s="292"/>
      <c r="AA811" s="292"/>
      <c r="AB811" s="292"/>
      <c r="AC811" s="292"/>
    </row>
    <row r="812">
      <c r="A812" s="292"/>
      <c r="B812" s="292"/>
      <c r="C812" s="292"/>
      <c r="D812" s="292"/>
      <c r="E812" s="292"/>
      <c r="F812" s="292"/>
      <c r="G812" s="292"/>
      <c r="H812" s="292"/>
      <c r="I812" s="292"/>
      <c r="J812" s="292"/>
      <c r="K812" s="292"/>
      <c r="L812" s="292"/>
      <c r="M812" s="292"/>
      <c r="N812" s="292"/>
      <c r="O812" s="292"/>
      <c r="P812" s="292"/>
      <c r="Q812" s="292"/>
      <c r="R812" s="292"/>
      <c r="S812" s="292"/>
      <c r="T812" s="292"/>
      <c r="U812" s="292"/>
      <c r="V812" s="292"/>
      <c r="W812" s="292"/>
      <c r="X812" s="292"/>
      <c r="Y812" s="292"/>
      <c r="Z812" s="292"/>
      <c r="AA812" s="292"/>
      <c r="AB812" s="292"/>
      <c r="AC812" s="292"/>
    </row>
    <row r="813">
      <c r="A813" s="292"/>
      <c r="B813" s="292"/>
      <c r="C813" s="292"/>
      <c r="D813" s="292"/>
      <c r="E813" s="292"/>
      <c r="F813" s="292"/>
      <c r="G813" s="292"/>
      <c r="H813" s="292"/>
      <c r="I813" s="292"/>
      <c r="J813" s="292"/>
      <c r="K813" s="292"/>
      <c r="L813" s="292"/>
      <c r="M813" s="292"/>
      <c r="N813" s="292"/>
      <c r="O813" s="292"/>
      <c r="P813" s="292"/>
      <c r="Q813" s="292"/>
      <c r="R813" s="292"/>
      <c r="S813" s="292"/>
      <c r="T813" s="292"/>
      <c r="U813" s="292"/>
      <c r="V813" s="292"/>
      <c r="W813" s="292"/>
      <c r="X813" s="292"/>
      <c r="Y813" s="292"/>
      <c r="Z813" s="292"/>
      <c r="AA813" s="292"/>
      <c r="AB813" s="292"/>
      <c r="AC813" s="292"/>
    </row>
    <row r="814">
      <c r="A814" s="292"/>
      <c r="B814" s="292"/>
      <c r="C814" s="292"/>
      <c r="D814" s="292"/>
      <c r="E814" s="292"/>
      <c r="F814" s="292"/>
      <c r="G814" s="292"/>
      <c r="H814" s="292"/>
      <c r="I814" s="292"/>
      <c r="J814" s="292"/>
      <c r="K814" s="292"/>
      <c r="L814" s="292"/>
      <c r="M814" s="292"/>
      <c r="N814" s="292"/>
      <c r="O814" s="292"/>
      <c r="P814" s="292"/>
      <c r="Q814" s="292"/>
      <c r="R814" s="292"/>
      <c r="S814" s="292"/>
      <c r="T814" s="292"/>
      <c r="U814" s="292"/>
      <c r="V814" s="292"/>
      <c r="W814" s="292"/>
      <c r="X814" s="292"/>
      <c r="Y814" s="292"/>
      <c r="Z814" s="292"/>
      <c r="AA814" s="292"/>
      <c r="AB814" s="292"/>
      <c r="AC814" s="292"/>
    </row>
    <row r="815">
      <c r="A815" s="292"/>
      <c r="B815" s="292"/>
      <c r="C815" s="292"/>
      <c r="D815" s="292"/>
      <c r="E815" s="292"/>
      <c r="F815" s="292"/>
      <c r="G815" s="292"/>
      <c r="H815" s="292"/>
      <c r="I815" s="292"/>
      <c r="J815" s="292"/>
      <c r="K815" s="292"/>
      <c r="L815" s="292"/>
      <c r="M815" s="292"/>
      <c r="N815" s="292"/>
      <c r="O815" s="292"/>
      <c r="P815" s="292"/>
      <c r="Q815" s="292"/>
      <c r="R815" s="292"/>
      <c r="S815" s="292"/>
      <c r="T815" s="292"/>
      <c r="U815" s="292"/>
      <c r="V815" s="292"/>
      <c r="W815" s="292"/>
      <c r="X815" s="292"/>
      <c r="Y815" s="292"/>
      <c r="Z815" s="292"/>
      <c r="AA815" s="292"/>
      <c r="AB815" s="292"/>
      <c r="AC815" s="292"/>
    </row>
    <row r="816">
      <c r="A816" s="292"/>
      <c r="B816" s="292"/>
      <c r="C816" s="292"/>
      <c r="D816" s="292"/>
      <c r="E816" s="292"/>
      <c r="F816" s="292"/>
      <c r="G816" s="292"/>
      <c r="H816" s="292"/>
      <c r="I816" s="292"/>
      <c r="J816" s="292"/>
      <c r="K816" s="292"/>
      <c r="L816" s="292"/>
      <c r="M816" s="292"/>
      <c r="N816" s="292"/>
      <c r="O816" s="292"/>
      <c r="P816" s="292"/>
      <c r="Q816" s="292"/>
      <c r="R816" s="292"/>
      <c r="S816" s="292"/>
      <c r="T816" s="292"/>
      <c r="U816" s="292"/>
      <c r="V816" s="292"/>
      <c r="W816" s="292"/>
      <c r="X816" s="292"/>
      <c r="Y816" s="292"/>
      <c r="Z816" s="292"/>
      <c r="AA816" s="292"/>
      <c r="AB816" s="292"/>
      <c r="AC816" s="292"/>
    </row>
    <row r="817">
      <c r="A817" s="292"/>
      <c r="B817" s="292"/>
      <c r="C817" s="292"/>
      <c r="D817" s="292"/>
      <c r="E817" s="292"/>
      <c r="F817" s="292"/>
      <c r="G817" s="292"/>
      <c r="H817" s="292"/>
      <c r="I817" s="292"/>
      <c r="J817" s="292"/>
      <c r="K817" s="292"/>
      <c r="L817" s="292"/>
      <c r="M817" s="292"/>
      <c r="N817" s="292"/>
      <c r="O817" s="292"/>
      <c r="P817" s="292"/>
      <c r="Q817" s="292"/>
      <c r="R817" s="292"/>
      <c r="S817" s="292"/>
      <c r="T817" s="292"/>
      <c r="U817" s="292"/>
      <c r="V817" s="292"/>
      <c r="W817" s="292"/>
      <c r="X817" s="292"/>
      <c r="Y817" s="292"/>
      <c r="Z817" s="292"/>
      <c r="AA817" s="292"/>
      <c r="AB817" s="292"/>
      <c r="AC817" s="292"/>
    </row>
    <row r="818">
      <c r="A818" s="292"/>
      <c r="B818" s="292"/>
      <c r="C818" s="292"/>
      <c r="D818" s="292"/>
      <c r="E818" s="292"/>
      <c r="F818" s="292"/>
      <c r="G818" s="292"/>
      <c r="H818" s="292"/>
      <c r="I818" s="292"/>
      <c r="J818" s="292"/>
      <c r="K818" s="292"/>
      <c r="L818" s="292"/>
      <c r="M818" s="292"/>
      <c r="N818" s="292"/>
      <c r="O818" s="292"/>
      <c r="P818" s="292"/>
      <c r="Q818" s="292"/>
      <c r="R818" s="292"/>
      <c r="S818" s="292"/>
      <c r="T818" s="292"/>
      <c r="U818" s="292"/>
      <c r="V818" s="292"/>
      <c r="W818" s="292"/>
      <c r="X818" s="292"/>
      <c r="Y818" s="292"/>
      <c r="Z818" s="292"/>
      <c r="AA818" s="292"/>
      <c r="AB818" s="292"/>
      <c r="AC818" s="292"/>
    </row>
    <row r="819">
      <c r="A819" s="292"/>
      <c r="B819" s="292"/>
      <c r="C819" s="292"/>
      <c r="D819" s="292"/>
      <c r="E819" s="292"/>
      <c r="F819" s="292"/>
      <c r="G819" s="292"/>
      <c r="H819" s="292"/>
      <c r="I819" s="292"/>
      <c r="J819" s="292"/>
      <c r="K819" s="292"/>
      <c r="L819" s="292"/>
      <c r="M819" s="292"/>
      <c r="N819" s="292"/>
      <c r="O819" s="292"/>
      <c r="P819" s="292"/>
      <c r="Q819" s="292"/>
      <c r="R819" s="292"/>
      <c r="S819" s="292"/>
      <c r="T819" s="292"/>
      <c r="U819" s="292"/>
      <c r="V819" s="292"/>
      <c r="W819" s="292"/>
      <c r="X819" s="292"/>
      <c r="Y819" s="292"/>
      <c r="Z819" s="292"/>
      <c r="AA819" s="292"/>
      <c r="AB819" s="292"/>
      <c r="AC819" s="292"/>
    </row>
    <row r="820">
      <c r="A820" s="292"/>
      <c r="B820" s="292"/>
      <c r="C820" s="292"/>
      <c r="D820" s="292"/>
      <c r="E820" s="292"/>
      <c r="F820" s="292"/>
      <c r="G820" s="292"/>
      <c r="H820" s="292"/>
      <c r="I820" s="292"/>
      <c r="J820" s="292"/>
      <c r="K820" s="292"/>
      <c r="L820" s="292"/>
      <c r="M820" s="292"/>
      <c r="N820" s="292"/>
      <c r="O820" s="292"/>
      <c r="P820" s="292"/>
      <c r="Q820" s="292"/>
      <c r="R820" s="292"/>
      <c r="S820" s="292"/>
      <c r="T820" s="292"/>
      <c r="U820" s="292"/>
      <c r="V820" s="292"/>
      <c r="W820" s="292"/>
      <c r="X820" s="292"/>
      <c r="Y820" s="292"/>
      <c r="Z820" s="292"/>
      <c r="AA820" s="292"/>
      <c r="AB820" s="292"/>
      <c r="AC820" s="292"/>
    </row>
    <row r="821">
      <c r="A821" s="292"/>
      <c r="B821" s="292"/>
      <c r="C821" s="292"/>
      <c r="D821" s="292"/>
      <c r="E821" s="292"/>
      <c r="F821" s="292"/>
      <c r="G821" s="292"/>
      <c r="H821" s="292"/>
      <c r="I821" s="292"/>
      <c r="J821" s="292"/>
      <c r="K821" s="292"/>
      <c r="L821" s="292"/>
      <c r="M821" s="292"/>
      <c r="N821" s="292"/>
      <c r="O821" s="292"/>
      <c r="P821" s="292"/>
      <c r="Q821" s="292"/>
      <c r="R821" s="292"/>
      <c r="S821" s="292"/>
      <c r="T821" s="292"/>
      <c r="U821" s="292"/>
      <c r="V821" s="292"/>
      <c r="W821" s="292"/>
      <c r="X821" s="292"/>
      <c r="Y821" s="292"/>
      <c r="Z821" s="292"/>
      <c r="AA821" s="292"/>
      <c r="AB821" s="292"/>
      <c r="AC821" s="292"/>
    </row>
    <row r="822">
      <c r="A822" s="292"/>
      <c r="B822" s="292"/>
      <c r="C822" s="292"/>
      <c r="D822" s="292"/>
      <c r="E822" s="292"/>
      <c r="F822" s="292"/>
      <c r="G822" s="292"/>
      <c r="H822" s="292"/>
      <c r="I822" s="292"/>
      <c r="J822" s="292"/>
      <c r="K822" s="292"/>
      <c r="L822" s="292"/>
      <c r="M822" s="292"/>
      <c r="N822" s="292"/>
      <c r="O822" s="292"/>
      <c r="P822" s="292"/>
      <c r="Q822" s="292"/>
      <c r="R822" s="292"/>
      <c r="S822" s="292"/>
      <c r="T822" s="292"/>
      <c r="U822" s="292"/>
      <c r="V822" s="292"/>
      <c r="W822" s="292"/>
      <c r="X822" s="292"/>
      <c r="Y822" s="292"/>
      <c r="Z822" s="292"/>
      <c r="AA822" s="292"/>
      <c r="AB822" s="292"/>
      <c r="AC822" s="292"/>
    </row>
    <row r="823">
      <c r="A823" s="292"/>
      <c r="B823" s="292"/>
      <c r="C823" s="292"/>
      <c r="D823" s="292"/>
      <c r="E823" s="292"/>
      <c r="F823" s="292"/>
      <c r="G823" s="292"/>
      <c r="H823" s="292"/>
      <c r="I823" s="292"/>
      <c r="J823" s="292"/>
      <c r="K823" s="292"/>
      <c r="L823" s="292"/>
      <c r="M823" s="292"/>
      <c r="N823" s="292"/>
      <c r="O823" s="292"/>
      <c r="P823" s="292"/>
      <c r="Q823" s="292"/>
      <c r="R823" s="292"/>
      <c r="S823" s="292"/>
      <c r="T823" s="292"/>
      <c r="U823" s="292"/>
      <c r="V823" s="292"/>
      <c r="W823" s="292"/>
      <c r="X823" s="292"/>
      <c r="Y823" s="292"/>
      <c r="Z823" s="292"/>
      <c r="AA823" s="292"/>
      <c r="AB823" s="292"/>
      <c r="AC823" s="292"/>
    </row>
    <row r="824">
      <c r="A824" s="292"/>
      <c r="B824" s="292"/>
      <c r="C824" s="292"/>
      <c r="D824" s="292"/>
      <c r="E824" s="292"/>
      <c r="F824" s="292"/>
      <c r="G824" s="292"/>
      <c r="H824" s="292"/>
      <c r="I824" s="292"/>
      <c r="J824" s="292"/>
      <c r="K824" s="292"/>
      <c r="L824" s="292"/>
      <c r="M824" s="292"/>
      <c r="N824" s="292"/>
      <c r="O824" s="292"/>
      <c r="P824" s="292"/>
      <c r="Q824" s="292"/>
      <c r="R824" s="292"/>
      <c r="S824" s="292"/>
      <c r="T824" s="292"/>
      <c r="U824" s="292"/>
      <c r="V824" s="292"/>
      <c r="W824" s="292"/>
      <c r="X824" s="292"/>
      <c r="Y824" s="292"/>
      <c r="Z824" s="292"/>
      <c r="AA824" s="292"/>
      <c r="AB824" s="292"/>
      <c r="AC824" s="292"/>
    </row>
    <row r="825">
      <c r="A825" s="292"/>
      <c r="B825" s="292"/>
      <c r="C825" s="292"/>
      <c r="D825" s="292"/>
      <c r="E825" s="292"/>
      <c r="F825" s="292"/>
      <c r="G825" s="292"/>
      <c r="H825" s="292"/>
      <c r="I825" s="292"/>
      <c r="J825" s="292"/>
      <c r="K825" s="292"/>
      <c r="L825" s="292"/>
      <c r="M825" s="292"/>
      <c r="N825" s="292"/>
      <c r="O825" s="292"/>
      <c r="P825" s="292"/>
      <c r="Q825" s="292"/>
      <c r="R825" s="292"/>
      <c r="S825" s="292"/>
      <c r="T825" s="292"/>
      <c r="U825" s="292"/>
      <c r="V825" s="292"/>
      <c r="W825" s="292"/>
      <c r="X825" s="292"/>
      <c r="Y825" s="292"/>
      <c r="Z825" s="292"/>
      <c r="AA825" s="292"/>
      <c r="AB825" s="292"/>
      <c r="AC825" s="292"/>
    </row>
    <row r="826">
      <c r="A826" s="292"/>
      <c r="B826" s="292"/>
      <c r="C826" s="292"/>
      <c r="D826" s="292"/>
      <c r="E826" s="292"/>
      <c r="F826" s="292"/>
      <c r="G826" s="292"/>
      <c r="H826" s="292"/>
      <c r="I826" s="292"/>
      <c r="J826" s="292"/>
      <c r="K826" s="292"/>
      <c r="L826" s="292"/>
      <c r="M826" s="292"/>
      <c r="N826" s="292"/>
      <c r="O826" s="292"/>
      <c r="P826" s="292"/>
      <c r="Q826" s="292"/>
      <c r="R826" s="292"/>
      <c r="S826" s="292"/>
      <c r="T826" s="292"/>
      <c r="U826" s="292"/>
      <c r="V826" s="292"/>
      <c r="W826" s="292"/>
      <c r="X826" s="292"/>
      <c r="Y826" s="292"/>
      <c r="Z826" s="292"/>
      <c r="AA826" s="292"/>
      <c r="AB826" s="292"/>
      <c r="AC826" s="292"/>
    </row>
    <row r="827">
      <c r="A827" s="292"/>
      <c r="B827" s="292"/>
      <c r="C827" s="292"/>
      <c r="D827" s="292"/>
      <c r="E827" s="292"/>
      <c r="F827" s="292"/>
      <c r="G827" s="292"/>
      <c r="H827" s="292"/>
      <c r="I827" s="292"/>
      <c r="J827" s="292"/>
      <c r="K827" s="292"/>
      <c r="L827" s="292"/>
      <c r="M827" s="292"/>
      <c r="N827" s="292"/>
      <c r="O827" s="292"/>
      <c r="P827" s="292"/>
      <c r="Q827" s="292"/>
      <c r="R827" s="292"/>
      <c r="S827" s="292"/>
      <c r="T827" s="292"/>
      <c r="U827" s="292"/>
      <c r="V827" s="292"/>
      <c r="W827" s="292"/>
      <c r="X827" s="292"/>
      <c r="Y827" s="292"/>
      <c r="Z827" s="292"/>
      <c r="AA827" s="292"/>
      <c r="AB827" s="292"/>
      <c r="AC827" s="292"/>
    </row>
    <row r="828">
      <c r="A828" s="292"/>
      <c r="B828" s="292"/>
      <c r="C828" s="292"/>
      <c r="D828" s="292"/>
      <c r="E828" s="292"/>
      <c r="F828" s="292"/>
      <c r="G828" s="292"/>
      <c r="H828" s="292"/>
      <c r="I828" s="292"/>
      <c r="J828" s="292"/>
      <c r="K828" s="292"/>
      <c r="L828" s="292"/>
      <c r="M828" s="292"/>
      <c r="N828" s="292"/>
      <c r="O828" s="292"/>
      <c r="P828" s="292"/>
      <c r="Q828" s="292"/>
      <c r="R828" s="292"/>
      <c r="S828" s="292"/>
      <c r="T828" s="292"/>
      <c r="U828" s="292"/>
      <c r="V828" s="292"/>
      <c r="W828" s="292"/>
      <c r="X828" s="292"/>
      <c r="Y828" s="292"/>
      <c r="Z828" s="292"/>
      <c r="AA828" s="292"/>
      <c r="AB828" s="292"/>
      <c r="AC828" s="292"/>
    </row>
    <row r="829">
      <c r="A829" s="292"/>
      <c r="B829" s="292"/>
      <c r="C829" s="292"/>
      <c r="D829" s="292"/>
      <c r="E829" s="292"/>
      <c r="F829" s="292"/>
      <c r="G829" s="292"/>
      <c r="H829" s="292"/>
      <c r="I829" s="292"/>
      <c r="J829" s="292"/>
      <c r="K829" s="292"/>
      <c r="L829" s="292"/>
      <c r="M829" s="292"/>
      <c r="N829" s="292"/>
      <c r="O829" s="292"/>
      <c r="P829" s="292"/>
      <c r="Q829" s="292"/>
      <c r="R829" s="292"/>
      <c r="S829" s="292"/>
      <c r="T829" s="292"/>
      <c r="U829" s="292"/>
      <c r="V829" s="292"/>
      <c r="W829" s="292"/>
      <c r="X829" s="292"/>
      <c r="Y829" s="292"/>
      <c r="Z829" s="292"/>
      <c r="AA829" s="292"/>
      <c r="AB829" s="292"/>
      <c r="AC829" s="292"/>
    </row>
    <row r="830">
      <c r="A830" s="292"/>
      <c r="B830" s="292"/>
      <c r="C830" s="292"/>
      <c r="D830" s="292"/>
      <c r="E830" s="292"/>
      <c r="F830" s="292"/>
      <c r="G830" s="292"/>
      <c r="H830" s="292"/>
      <c r="I830" s="292"/>
      <c r="J830" s="292"/>
      <c r="K830" s="292"/>
      <c r="L830" s="292"/>
      <c r="M830" s="292"/>
      <c r="N830" s="292"/>
      <c r="O830" s="292"/>
      <c r="P830" s="292"/>
      <c r="Q830" s="292"/>
      <c r="R830" s="292"/>
      <c r="S830" s="292"/>
      <c r="T830" s="292"/>
      <c r="U830" s="292"/>
      <c r="V830" s="292"/>
      <c r="W830" s="292"/>
      <c r="X830" s="292"/>
      <c r="Y830" s="292"/>
      <c r="Z830" s="292"/>
      <c r="AA830" s="292"/>
      <c r="AB830" s="292"/>
      <c r="AC830" s="292"/>
    </row>
    <row r="831">
      <c r="A831" s="292"/>
      <c r="B831" s="292"/>
      <c r="C831" s="292"/>
      <c r="D831" s="292"/>
      <c r="E831" s="292"/>
      <c r="F831" s="292"/>
      <c r="G831" s="292"/>
      <c r="H831" s="292"/>
      <c r="I831" s="292"/>
      <c r="J831" s="292"/>
      <c r="K831" s="292"/>
      <c r="L831" s="292"/>
      <c r="M831" s="292"/>
      <c r="N831" s="292"/>
      <c r="O831" s="292"/>
      <c r="P831" s="292"/>
      <c r="Q831" s="292"/>
      <c r="R831" s="292"/>
      <c r="S831" s="292"/>
      <c r="T831" s="292"/>
      <c r="U831" s="292"/>
      <c r="V831" s="292"/>
      <c r="W831" s="292"/>
      <c r="X831" s="292"/>
      <c r="Y831" s="292"/>
      <c r="Z831" s="292"/>
      <c r="AA831" s="292"/>
      <c r="AB831" s="292"/>
      <c r="AC831" s="292"/>
    </row>
    <row r="832">
      <c r="A832" s="292"/>
      <c r="B832" s="292"/>
      <c r="C832" s="292"/>
      <c r="D832" s="292"/>
      <c r="E832" s="292"/>
      <c r="F832" s="292"/>
      <c r="G832" s="292"/>
      <c r="H832" s="292"/>
      <c r="I832" s="292"/>
      <c r="J832" s="292"/>
      <c r="K832" s="292"/>
      <c r="L832" s="292"/>
      <c r="M832" s="292"/>
      <c r="N832" s="292"/>
      <c r="O832" s="292"/>
      <c r="P832" s="292"/>
      <c r="Q832" s="292"/>
      <c r="R832" s="292"/>
      <c r="S832" s="292"/>
      <c r="T832" s="292"/>
      <c r="U832" s="292"/>
      <c r="V832" s="292"/>
      <c r="W832" s="292"/>
      <c r="X832" s="292"/>
      <c r="Y832" s="292"/>
      <c r="Z832" s="292"/>
      <c r="AA832" s="292"/>
      <c r="AB832" s="292"/>
      <c r="AC832" s="292"/>
    </row>
    <row r="833">
      <c r="A833" s="292"/>
      <c r="B833" s="292"/>
      <c r="C833" s="292"/>
      <c r="D833" s="292"/>
      <c r="E833" s="292"/>
      <c r="F833" s="292"/>
      <c r="G833" s="292"/>
      <c r="H833" s="292"/>
      <c r="I833" s="292"/>
      <c r="J833" s="292"/>
      <c r="K833" s="292"/>
      <c r="L833" s="292"/>
      <c r="M833" s="292"/>
      <c r="N833" s="292"/>
      <c r="O833" s="292"/>
      <c r="P833" s="292"/>
      <c r="Q833" s="292"/>
      <c r="R833" s="292"/>
      <c r="S833" s="292"/>
      <c r="T833" s="292"/>
      <c r="U833" s="292"/>
      <c r="V833" s="292"/>
      <c r="W833" s="292"/>
      <c r="X833" s="292"/>
      <c r="Y833" s="292"/>
      <c r="Z833" s="292"/>
      <c r="AA833" s="292"/>
      <c r="AB833" s="292"/>
      <c r="AC833" s="292"/>
    </row>
    <row r="834">
      <c r="A834" s="292"/>
      <c r="B834" s="292"/>
      <c r="C834" s="292"/>
      <c r="D834" s="292"/>
      <c r="E834" s="292"/>
      <c r="F834" s="292"/>
      <c r="G834" s="292"/>
      <c r="H834" s="292"/>
      <c r="I834" s="292"/>
      <c r="J834" s="292"/>
      <c r="K834" s="292"/>
      <c r="L834" s="292"/>
      <c r="M834" s="292"/>
      <c r="N834" s="292"/>
      <c r="O834" s="292"/>
      <c r="P834" s="292"/>
      <c r="Q834" s="292"/>
      <c r="R834" s="292"/>
      <c r="S834" s="292"/>
      <c r="T834" s="292"/>
      <c r="U834" s="292"/>
      <c r="V834" s="292"/>
      <c r="W834" s="292"/>
      <c r="X834" s="292"/>
      <c r="Y834" s="292"/>
      <c r="Z834" s="292"/>
      <c r="AA834" s="292"/>
      <c r="AB834" s="292"/>
      <c r="AC834" s="292"/>
    </row>
    <row r="835">
      <c r="A835" s="292"/>
      <c r="B835" s="292"/>
      <c r="C835" s="292"/>
      <c r="D835" s="292"/>
      <c r="E835" s="292"/>
      <c r="F835" s="292"/>
      <c r="G835" s="292"/>
      <c r="H835" s="292"/>
      <c r="I835" s="292"/>
      <c r="J835" s="292"/>
      <c r="K835" s="292"/>
      <c r="L835" s="292"/>
      <c r="M835" s="292"/>
      <c r="N835" s="292"/>
      <c r="O835" s="292"/>
      <c r="P835" s="292"/>
      <c r="Q835" s="292"/>
      <c r="R835" s="292"/>
      <c r="S835" s="292"/>
      <c r="T835" s="292"/>
      <c r="U835" s="292"/>
      <c r="V835" s="292"/>
      <c r="W835" s="292"/>
      <c r="X835" s="292"/>
      <c r="Y835" s="292"/>
      <c r="Z835" s="292"/>
      <c r="AA835" s="292"/>
      <c r="AB835" s="292"/>
      <c r="AC835" s="292"/>
    </row>
    <row r="836">
      <c r="A836" s="292"/>
      <c r="B836" s="292"/>
      <c r="C836" s="292"/>
      <c r="D836" s="292"/>
      <c r="E836" s="292"/>
      <c r="F836" s="292"/>
      <c r="G836" s="292"/>
      <c r="H836" s="292"/>
      <c r="I836" s="292"/>
      <c r="J836" s="292"/>
      <c r="K836" s="292"/>
      <c r="L836" s="292"/>
      <c r="M836" s="292"/>
      <c r="N836" s="292"/>
      <c r="O836" s="292"/>
      <c r="P836" s="292"/>
      <c r="Q836" s="292"/>
      <c r="R836" s="292"/>
      <c r="S836" s="292"/>
      <c r="T836" s="292"/>
      <c r="U836" s="292"/>
      <c r="V836" s="292"/>
      <c r="W836" s="292"/>
      <c r="X836" s="292"/>
      <c r="Y836" s="292"/>
      <c r="Z836" s="292"/>
      <c r="AA836" s="292"/>
      <c r="AB836" s="292"/>
      <c r="AC836" s="292"/>
    </row>
    <row r="837">
      <c r="A837" s="292"/>
      <c r="B837" s="292"/>
      <c r="C837" s="292"/>
      <c r="D837" s="292"/>
      <c r="E837" s="292"/>
      <c r="F837" s="292"/>
      <c r="G837" s="292"/>
      <c r="H837" s="292"/>
      <c r="I837" s="292"/>
      <c r="J837" s="292"/>
      <c r="K837" s="292"/>
      <c r="L837" s="292"/>
      <c r="M837" s="292"/>
      <c r="N837" s="292"/>
      <c r="O837" s="292"/>
      <c r="P837" s="292"/>
      <c r="Q837" s="292"/>
      <c r="R837" s="292"/>
      <c r="S837" s="292"/>
      <c r="T837" s="292"/>
      <c r="U837" s="292"/>
      <c r="V837" s="292"/>
      <c r="W837" s="292"/>
      <c r="X837" s="292"/>
      <c r="Y837" s="292"/>
      <c r="Z837" s="292"/>
      <c r="AA837" s="292"/>
      <c r="AB837" s="292"/>
      <c r="AC837" s="292"/>
    </row>
    <row r="838">
      <c r="A838" s="292"/>
      <c r="B838" s="292"/>
      <c r="C838" s="292"/>
      <c r="D838" s="292"/>
      <c r="E838" s="292"/>
      <c r="F838" s="292"/>
      <c r="G838" s="292"/>
      <c r="H838" s="292"/>
      <c r="I838" s="292"/>
      <c r="J838" s="292"/>
      <c r="K838" s="292"/>
      <c r="L838" s="292"/>
      <c r="M838" s="292"/>
      <c r="N838" s="292"/>
      <c r="O838" s="292"/>
      <c r="P838" s="292"/>
      <c r="Q838" s="292"/>
      <c r="R838" s="292"/>
      <c r="S838" s="292"/>
      <c r="T838" s="292"/>
      <c r="U838" s="292"/>
      <c r="V838" s="292"/>
      <c r="W838" s="292"/>
      <c r="X838" s="292"/>
      <c r="Y838" s="292"/>
      <c r="Z838" s="292"/>
      <c r="AA838" s="292"/>
      <c r="AB838" s="292"/>
      <c r="AC838" s="292"/>
    </row>
    <row r="839">
      <c r="A839" s="292"/>
      <c r="B839" s="292"/>
      <c r="C839" s="292"/>
      <c r="D839" s="292"/>
      <c r="E839" s="292"/>
      <c r="F839" s="292"/>
      <c r="G839" s="292"/>
      <c r="H839" s="292"/>
      <c r="I839" s="292"/>
      <c r="J839" s="292"/>
      <c r="K839" s="292"/>
      <c r="L839" s="292"/>
      <c r="M839" s="292"/>
      <c r="N839" s="292"/>
      <c r="O839" s="292"/>
      <c r="P839" s="292"/>
      <c r="Q839" s="292"/>
      <c r="R839" s="292"/>
      <c r="S839" s="292"/>
      <c r="T839" s="292"/>
      <c r="U839" s="292"/>
      <c r="V839" s="292"/>
      <c r="W839" s="292"/>
      <c r="X839" s="292"/>
      <c r="Y839" s="292"/>
      <c r="Z839" s="292"/>
      <c r="AA839" s="292"/>
      <c r="AB839" s="292"/>
      <c r="AC839" s="292"/>
    </row>
    <row r="840">
      <c r="A840" s="292"/>
      <c r="B840" s="292"/>
      <c r="C840" s="292"/>
      <c r="D840" s="292"/>
      <c r="E840" s="292"/>
      <c r="F840" s="292"/>
      <c r="G840" s="292"/>
      <c r="H840" s="292"/>
      <c r="I840" s="292"/>
      <c r="J840" s="292"/>
      <c r="K840" s="292"/>
      <c r="L840" s="292"/>
      <c r="M840" s="292"/>
      <c r="N840" s="292"/>
      <c r="O840" s="292"/>
      <c r="P840" s="292"/>
      <c r="Q840" s="292"/>
      <c r="R840" s="292"/>
      <c r="S840" s="292"/>
      <c r="T840" s="292"/>
      <c r="U840" s="292"/>
      <c r="V840" s="292"/>
      <c r="W840" s="292"/>
      <c r="X840" s="292"/>
      <c r="Y840" s="292"/>
      <c r="Z840" s="292"/>
      <c r="AA840" s="292"/>
      <c r="AB840" s="292"/>
      <c r="AC840" s="292"/>
    </row>
    <row r="841">
      <c r="A841" s="292"/>
      <c r="B841" s="292"/>
      <c r="C841" s="292"/>
      <c r="D841" s="292"/>
      <c r="E841" s="292"/>
      <c r="F841" s="292"/>
      <c r="G841" s="292"/>
      <c r="H841" s="292"/>
      <c r="I841" s="292"/>
      <c r="J841" s="292"/>
      <c r="K841" s="292"/>
      <c r="L841" s="292"/>
      <c r="M841" s="292"/>
      <c r="N841" s="292"/>
      <c r="O841" s="292"/>
      <c r="P841" s="292"/>
      <c r="Q841" s="292"/>
      <c r="R841" s="292"/>
      <c r="S841" s="292"/>
      <c r="T841" s="292"/>
      <c r="U841" s="292"/>
      <c r="V841" s="292"/>
      <c r="W841" s="292"/>
      <c r="X841" s="292"/>
      <c r="Y841" s="292"/>
      <c r="Z841" s="292"/>
      <c r="AA841" s="292"/>
      <c r="AB841" s="292"/>
      <c r="AC841" s="292"/>
    </row>
    <row r="842">
      <c r="A842" s="292"/>
      <c r="B842" s="292"/>
      <c r="C842" s="292"/>
      <c r="D842" s="292"/>
      <c r="E842" s="292"/>
      <c r="F842" s="292"/>
      <c r="G842" s="292"/>
      <c r="H842" s="292"/>
      <c r="I842" s="292"/>
      <c r="J842" s="292"/>
      <c r="K842" s="292"/>
      <c r="L842" s="292"/>
      <c r="M842" s="292"/>
      <c r="N842" s="292"/>
      <c r="O842" s="292"/>
      <c r="P842" s="292"/>
      <c r="Q842" s="292"/>
      <c r="R842" s="292"/>
      <c r="S842" s="292"/>
      <c r="T842" s="292"/>
      <c r="U842" s="292"/>
      <c r="V842" s="292"/>
      <c r="W842" s="292"/>
      <c r="X842" s="292"/>
      <c r="Y842" s="292"/>
      <c r="Z842" s="292"/>
      <c r="AA842" s="292"/>
      <c r="AB842" s="292"/>
      <c r="AC842" s="292"/>
    </row>
    <row r="843">
      <c r="A843" s="292"/>
      <c r="B843" s="292"/>
      <c r="C843" s="292"/>
      <c r="D843" s="292"/>
      <c r="E843" s="292"/>
      <c r="F843" s="292"/>
      <c r="G843" s="292"/>
      <c r="H843" s="292"/>
      <c r="I843" s="292"/>
      <c r="J843" s="292"/>
      <c r="K843" s="292"/>
      <c r="L843" s="292"/>
      <c r="M843" s="292"/>
      <c r="N843" s="292"/>
      <c r="O843" s="292"/>
      <c r="P843" s="292"/>
      <c r="Q843" s="292"/>
      <c r="R843" s="292"/>
      <c r="S843" s="292"/>
      <c r="T843" s="292"/>
      <c r="U843" s="292"/>
      <c r="V843" s="292"/>
      <c r="W843" s="292"/>
      <c r="X843" s="292"/>
      <c r="Y843" s="292"/>
      <c r="Z843" s="292"/>
      <c r="AA843" s="292"/>
      <c r="AB843" s="292"/>
      <c r="AC843" s="292"/>
    </row>
    <row r="844">
      <c r="A844" s="292"/>
      <c r="B844" s="292"/>
      <c r="C844" s="292"/>
      <c r="D844" s="292"/>
      <c r="E844" s="292"/>
      <c r="F844" s="292"/>
      <c r="G844" s="292"/>
      <c r="H844" s="292"/>
      <c r="I844" s="292"/>
      <c r="J844" s="292"/>
      <c r="K844" s="292"/>
      <c r="L844" s="292"/>
      <c r="M844" s="292"/>
      <c r="N844" s="292"/>
      <c r="O844" s="292"/>
      <c r="P844" s="292"/>
      <c r="Q844" s="292"/>
      <c r="R844" s="292"/>
      <c r="S844" s="292"/>
      <c r="T844" s="292"/>
      <c r="U844" s="292"/>
      <c r="V844" s="292"/>
      <c r="W844" s="292"/>
      <c r="X844" s="292"/>
      <c r="Y844" s="292"/>
      <c r="Z844" s="292"/>
      <c r="AA844" s="292"/>
      <c r="AB844" s="292"/>
      <c r="AC844" s="292"/>
    </row>
    <row r="845">
      <c r="A845" s="292"/>
      <c r="B845" s="292"/>
      <c r="C845" s="292"/>
      <c r="D845" s="292"/>
      <c r="E845" s="292"/>
      <c r="F845" s="292"/>
      <c r="G845" s="292"/>
      <c r="H845" s="292"/>
      <c r="I845" s="292"/>
      <c r="J845" s="292"/>
      <c r="K845" s="292"/>
      <c r="L845" s="292"/>
      <c r="M845" s="292"/>
      <c r="N845" s="292"/>
      <c r="O845" s="292"/>
      <c r="P845" s="292"/>
      <c r="Q845" s="292"/>
      <c r="R845" s="292"/>
      <c r="S845" s="292"/>
      <c r="T845" s="292"/>
      <c r="U845" s="292"/>
      <c r="V845" s="292"/>
      <c r="W845" s="292"/>
      <c r="X845" s="292"/>
      <c r="Y845" s="292"/>
      <c r="Z845" s="292"/>
      <c r="AA845" s="292"/>
      <c r="AB845" s="292"/>
      <c r="AC845" s="292"/>
    </row>
    <row r="846">
      <c r="A846" s="292"/>
      <c r="B846" s="292"/>
      <c r="C846" s="292"/>
      <c r="D846" s="292"/>
      <c r="E846" s="292"/>
      <c r="F846" s="292"/>
      <c r="G846" s="292"/>
      <c r="H846" s="292"/>
      <c r="I846" s="292"/>
      <c r="J846" s="292"/>
      <c r="K846" s="292"/>
      <c r="L846" s="292"/>
      <c r="M846" s="292"/>
      <c r="N846" s="292"/>
      <c r="O846" s="292"/>
      <c r="P846" s="292"/>
      <c r="Q846" s="292"/>
      <c r="R846" s="292"/>
      <c r="S846" s="292"/>
      <c r="T846" s="292"/>
      <c r="U846" s="292"/>
      <c r="V846" s="292"/>
      <c r="W846" s="292"/>
      <c r="X846" s="292"/>
      <c r="Y846" s="292"/>
      <c r="Z846" s="292"/>
      <c r="AA846" s="292"/>
      <c r="AB846" s="292"/>
      <c r="AC846" s="292"/>
    </row>
    <row r="847">
      <c r="A847" s="292"/>
      <c r="B847" s="292"/>
      <c r="C847" s="292"/>
      <c r="D847" s="292"/>
      <c r="E847" s="292"/>
      <c r="F847" s="292"/>
      <c r="G847" s="292"/>
      <c r="H847" s="292"/>
      <c r="I847" s="292"/>
      <c r="J847" s="292"/>
      <c r="K847" s="292"/>
      <c r="L847" s="292"/>
      <c r="M847" s="292"/>
      <c r="N847" s="292"/>
      <c r="O847" s="292"/>
      <c r="P847" s="292"/>
      <c r="Q847" s="292"/>
      <c r="R847" s="292"/>
      <c r="S847" s="292"/>
      <c r="T847" s="292"/>
      <c r="U847" s="292"/>
      <c r="V847" s="292"/>
      <c r="W847" s="292"/>
      <c r="X847" s="292"/>
      <c r="Y847" s="292"/>
      <c r="Z847" s="292"/>
      <c r="AA847" s="292"/>
      <c r="AB847" s="292"/>
      <c r="AC847" s="292"/>
    </row>
    <row r="848">
      <c r="A848" s="292"/>
      <c r="B848" s="292"/>
      <c r="C848" s="292"/>
      <c r="D848" s="292"/>
      <c r="E848" s="292"/>
      <c r="F848" s="292"/>
      <c r="G848" s="292"/>
      <c r="H848" s="292"/>
      <c r="I848" s="292"/>
      <c r="J848" s="292"/>
      <c r="K848" s="292"/>
      <c r="L848" s="292"/>
      <c r="M848" s="292"/>
      <c r="N848" s="292"/>
      <c r="O848" s="292"/>
      <c r="P848" s="292"/>
      <c r="Q848" s="292"/>
      <c r="R848" s="292"/>
      <c r="S848" s="292"/>
      <c r="T848" s="292"/>
      <c r="U848" s="292"/>
      <c r="V848" s="292"/>
      <c r="W848" s="292"/>
      <c r="X848" s="292"/>
      <c r="Y848" s="292"/>
      <c r="Z848" s="292"/>
      <c r="AA848" s="292"/>
      <c r="AB848" s="292"/>
      <c r="AC848" s="292"/>
    </row>
    <row r="849">
      <c r="A849" s="292"/>
      <c r="B849" s="292"/>
      <c r="C849" s="292"/>
      <c r="D849" s="292"/>
      <c r="E849" s="292"/>
      <c r="F849" s="292"/>
      <c r="G849" s="292"/>
      <c r="H849" s="292"/>
      <c r="I849" s="292"/>
      <c r="J849" s="292"/>
      <c r="K849" s="292"/>
      <c r="L849" s="292"/>
      <c r="M849" s="292"/>
      <c r="N849" s="292"/>
      <c r="O849" s="292"/>
      <c r="P849" s="292"/>
      <c r="Q849" s="292"/>
      <c r="R849" s="292"/>
      <c r="S849" s="292"/>
      <c r="T849" s="292"/>
      <c r="U849" s="292"/>
      <c r="V849" s="292"/>
      <c r="W849" s="292"/>
      <c r="X849" s="292"/>
      <c r="Y849" s="292"/>
      <c r="Z849" s="292"/>
      <c r="AA849" s="292"/>
      <c r="AB849" s="292"/>
      <c r="AC849" s="292"/>
    </row>
    <row r="850">
      <c r="A850" s="292"/>
      <c r="B850" s="292"/>
      <c r="C850" s="292"/>
      <c r="D850" s="292"/>
      <c r="E850" s="292"/>
      <c r="F850" s="292"/>
      <c r="G850" s="292"/>
      <c r="H850" s="292"/>
      <c r="I850" s="292"/>
      <c r="J850" s="292"/>
      <c r="K850" s="292"/>
      <c r="L850" s="292"/>
      <c r="M850" s="292"/>
      <c r="N850" s="292"/>
      <c r="O850" s="292"/>
      <c r="P850" s="292"/>
      <c r="Q850" s="292"/>
      <c r="R850" s="292"/>
      <c r="S850" s="292"/>
      <c r="T850" s="292"/>
      <c r="U850" s="292"/>
      <c r="V850" s="292"/>
      <c r="W850" s="292"/>
      <c r="X850" s="292"/>
      <c r="Y850" s="292"/>
      <c r="Z850" s="292"/>
      <c r="AA850" s="292"/>
      <c r="AB850" s="292"/>
      <c r="AC850" s="292"/>
    </row>
    <row r="851">
      <c r="A851" s="292"/>
      <c r="B851" s="292"/>
      <c r="C851" s="292"/>
      <c r="D851" s="292"/>
      <c r="E851" s="292"/>
      <c r="F851" s="292"/>
      <c r="G851" s="292"/>
      <c r="H851" s="292"/>
      <c r="I851" s="292"/>
      <c r="J851" s="292"/>
      <c r="K851" s="292"/>
      <c r="L851" s="292"/>
      <c r="M851" s="292"/>
      <c r="N851" s="292"/>
      <c r="O851" s="292"/>
      <c r="P851" s="292"/>
      <c r="Q851" s="292"/>
      <c r="R851" s="292"/>
      <c r="S851" s="292"/>
      <c r="T851" s="292"/>
      <c r="U851" s="292"/>
      <c r="V851" s="292"/>
      <c r="W851" s="292"/>
      <c r="X851" s="292"/>
      <c r="Y851" s="292"/>
      <c r="Z851" s="292"/>
      <c r="AA851" s="292"/>
      <c r="AB851" s="292"/>
      <c r="AC851" s="292"/>
    </row>
    <row r="852">
      <c r="A852" s="292"/>
      <c r="B852" s="292"/>
      <c r="C852" s="292"/>
      <c r="D852" s="292"/>
      <c r="E852" s="292"/>
      <c r="F852" s="292"/>
      <c r="G852" s="292"/>
      <c r="H852" s="292"/>
      <c r="I852" s="292"/>
      <c r="J852" s="292"/>
      <c r="K852" s="292"/>
      <c r="L852" s="292"/>
      <c r="M852" s="292"/>
      <c r="N852" s="292"/>
      <c r="O852" s="292"/>
      <c r="P852" s="292"/>
      <c r="Q852" s="292"/>
      <c r="R852" s="292"/>
      <c r="S852" s="292"/>
      <c r="T852" s="292"/>
      <c r="U852" s="292"/>
      <c r="V852" s="292"/>
      <c r="W852" s="292"/>
      <c r="X852" s="292"/>
      <c r="Y852" s="292"/>
      <c r="Z852" s="292"/>
      <c r="AA852" s="292"/>
      <c r="AB852" s="292"/>
      <c r="AC852" s="292"/>
    </row>
    <row r="853">
      <c r="A853" s="292"/>
      <c r="B853" s="292"/>
      <c r="C853" s="292"/>
      <c r="D853" s="292"/>
      <c r="E853" s="292"/>
      <c r="F853" s="292"/>
      <c r="G853" s="292"/>
      <c r="H853" s="292"/>
      <c r="I853" s="292"/>
      <c r="J853" s="292"/>
      <c r="K853" s="292"/>
      <c r="L853" s="292"/>
      <c r="M853" s="292"/>
      <c r="N853" s="292"/>
      <c r="O853" s="292"/>
      <c r="P853" s="292"/>
      <c r="Q853" s="292"/>
      <c r="R853" s="292"/>
      <c r="S853" s="292"/>
      <c r="T853" s="292"/>
      <c r="U853" s="292"/>
      <c r="V853" s="292"/>
      <c r="W853" s="292"/>
      <c r="X853" s="292"/>
      <c r="Y853" s="292"/>
      <c r="Z853" s="292"/>
      <c r="AA853" s="292"/>
      <c r="AB853" s="292"/>
      <c r="AC853" s="292"/>
    </row>
    <row r="854">
      <c r="A854" s="292"/>
      <c r="B854" s="292"/>
      <c r="C854" s="292"/>
      <c r="D854" s="292"/>
      <c r="E854" s="292"/>
      <c r="F854" s="292"/>
      <c r="G854" s="292"/>
      <c r="H854" s="292"/>
      <c r="I854" s="292"/>
      <c r="J854" s="292"/>
      <c r="K854" s="292"/>
      <c r="L854" s="292"/>
      <c r="M854" s="292"/>
      <c r="N854" s="292"/>
      <c r="O854" s="292"/>
      <c r="P854" s="292"/>
      <c r="Q854" s="292"/>
      <c r="R854" s="292"/>
      <c r="S854" s="292"/>
      <c r="T854" s="292"/>
      <c r="U854" s="292"/>
      <c r="V854" s="292"/>
      <c r="W854" s="292"/>
      <c r="X854" s="292"/>
      <c r="Y854" s="292"/>
      <c r="Z854" s="292"/>
      <c r="AA854" s="292"/>
      <c r="AB854" s="292"/>
      <c r="AC854" s="292"/>
    </row>
    <row r="855">
      <c r="A855" s="292"/>
      <c r="B855" s="292"/>
      <c r="C855" s="292"/>
      <c r="D855" s="292"/>
      <c r="E855" s="292"/>
      <c r="F855" s="292"/>
      <c r="G855" s="292"/>
      <c r="H855" s="292"/>
      <c r="I855" s="292"/>
      <c r="J855" s="292"/>
      <c r="K855" s="292"/>
      <c r="L855" s="292"/>
      <c r="M855" s="292"/>
      <c r="N855" s="292"/>
      <c r="O855" s="292"/>
      <c r="P855" s="292"/>
      <c r="Q855" s="292"/>
      <c r="R855" s="292"/>
      <c r="S855" s="292"/>
      <c r="T855" s="292"/>
      <c r="U855" s="292"/>
      <c r="V855" s="292"/>
      <c r="W855" s="292"/>
      <c r="X855" s="292"/>
      <c r="Y855" s="292"/>
      <c r="Z855" s="292"/>
      <c r="AA855" s="292"/>
      <c r="AB855" s="292"/>
      <c r="AC855" s="292"/>
    </row>
    <row r="856">
      <c r="A856" s="292"/>
      <c r="B856" s="292"/>
      <c r="C856" s="292"/>
      <c r="D856" s="292"/>
      <c r="E856" s="292"/>
      <c r="F856" s="292"/>
      <c r="G856" s="292"/>
      <c r="H856" s="292"/>
      <c r="I856" s="292"/>
      <c r="J856" s="292"/>
      <c r="K856" s="292"/>
      <c r="L856" s="292"/>
      <c r="M856" s="292"/>
      <c r="N856" s="292"/>
      <c r="O856" s="292"/>
      <c r="P856" s="292"/>
      <c r="Q856" s="292"/>
      <c r="R856" s="292"/>
      <c r="S856" s="292"/>
      <c r="T856" s="292"/>
      <c r="U856" s="292"/>
      <c r="V856" s="292"/>
      <c r="W856" s="292"/>
      <c r="X856" s="292"/>
      <c r="Y856" s="292"/>
      <c r="Z856" s="292"/>
      <c r="AA856" s="292"/>
      <c r="AB856" s="292"/>
      <c r="AC856" s="292"/>
    </row>
    <row r="857">
      <c r="A857" s="292"/>
      <c r="B857" s="292"/>
      <c r="C857" s="292"/>
      <c r="D857" s="292"/>
      <c r="E857" s="292"/>
      <c r="F857" s="292"/>
      <c r="G857" s="292"/>
      <c r="H857" s="292"/>
      <c r="I857" s="292"/>
      <c r="J857" s="292"/>
      <c r="K857" s="292"/>
      <c r="L857" s="292"/>
      <c r="M857" s="292"/>
      <c r="N857" s="292"/>
      <c r="O857" s="292"/>
      <c r="P857" s="292"/>
      <c r="Q857" s="292"/>
      <c r="R857" s="292"/>
      <c r="S857" s="292"/>
      <c r="T857" s="292"/>
      <c r="U857" s="292"/>
      <c r="V857" s="292"/>
      <c r="W857" s="292"/>
      <c r="X857" s="292"/>
      <c r="Y857" s="292"/>
      <c r="Z857" s="292"/>
      <c r="AA857" s="292"/>
      <c r="AB857" s="292"/>
      <c r="AC857" s="292"/>
    </row>
    <row r="858">
      <c r="A858" s="292"/>
      <c r="B858" s="292"/>
      <c r="C858" s="292"/>
      <c r="D858" s="292"/>
      <c r="E858" s="292"/>
      <c r="F858" s="292"/>
      <c r="G858" s="292"/>
      <c r="H858" s="292"/>
      <c r="I858" s="292"/>
      <c r="J858" s="292"/>
      <c r="K858" s="292"/>
      <c r="L858" s="292"/>
      <c r="M858" s="292"/>
      <c r="N858" s="292"/>
      <c r="O858" s="292"/>
      <c r="P858" s="292"/>
      <c r="Q858" s="292"/>
      <c r="R858" s="292"/>
      <c r="S858" s="292"/>
      <c r="T858" s="292"/>
      <c r="U858" s="292"/>
      <c r="V858" s="292"/>
      <c r="W858" s="292"/>
      <c r="X858" s="292"/>
      <c r="Y858" s="292"/>
      <c r="Z858" s="292"/>
      <c r="AA858" s="292"/>
      <c r="AB858" s="292"/>
      <c r="AC858" s="292"/>
    </row>
    <row r="859">
      <c r="A859" s="292"/>
      <c r="B859" s="292"/>
      <c r="C859" s="292"/>
      <c r="D859" s="292"/>
      <c r="E859" s="292"/>
      <c r="F859" s="292"/>
      <c r="G859" s="292"/>
      <c r="H859" s="292"/>
      <c r="I859" s="292"/>
      <c r="J859" s="292"/>
      <c r="K859" s="292"/>
      <c r="L859" s="292"/>
      <c r="M859" s="292"/>
      <c r="N859" s="292"/>
      <c r="O859" s="292"/>
      <c r="P859" s="292"/>
      <c r="Q859" s="292"/>
      <c r="R859" s="292"/>
      <c r="S859" s="292"/>
      <c r="T859" s="292"/>
      <c r="U859" s="292"/>
      <c r="V859" s="292"/>
      <c r="W859" s="292"/>
      <c r="X859" s="292"/>
      <c r="Y859" s="292"/>
      <c r="Z859" s="292"/>
      <c r="AA859" s="292"/>
      <c r="AB859" s="292"/>
      <c r="AC859" s="292"/>
    </row>
    <row r="860">
      <c r="A860" s="292"/>
      <c r="B860" s="292"/>
      <c r="C860" s="292"/>
      <c r="D860" s="292"/>
      <c r="E860" s="292"/>
      <c r="F860" s="292"/>
      <c r="G860" s="292"/>
      <c r="H860" s="292"/>
      <c r="I860" s="292"/>
      <c r="J860" s="292"/>
      <c r="K860" s="292"/>
      <c r="L860" s="292"/>
      <c r="M860" s="292"/>
      <c r="N860" s="292"/>
      <c r="O860" s="292"/>
      <c r="P860" s="292"/>
      <c r="Q860" s="292"/>
      <c r="R860" s="292"/>
      <c r="S860" s="292"/>
      <c r="T860" s="292"/>
      <c r="U860" s="292"/>
      <c r="V860" s="292"/>
      <c r="W860" s="292"/>
      <c r="X860" s="292"/>
      <c r="Y860" s="292"/>
      <c r="Z860" s="292"/>
      <c r="AA860" s="292"/>
      <c r="AB860" s="292"/>
      <c r="AC860" s="292"/>
    </row>
    <row r="861">
      <c r="A861" s="292"/>
      <c r="B861" s="292"/>
      <c r="C861" s="292"/>
      <c r="D861" s="292"/>
      <c r="E861" s="292"/>
      <c r="F861" s="292"/>
      <c r="G861" s="292"/>
      <c r="H861" s="292"/>
      <c r="I861" s="292"/>
      <c r="J861" s="292"/>
      <c r="K861" s="292"/>
      <c r="L861" s="292"/>
      <c r="M861" s="292"/>
      <c r="N861" s="292"/>
      <c r="O861" s="292"/>
      <c r="P861" s="292"/>
      <c r="Q861" s="292"/>
      <c r="R861" s="292"/>
      <c r="S861" s="292"/>
      <c r="T861" s="292"/>
      <c r="U861" s="292"/>
      <c r="V861" s="292"/>
      <c r="W861" s="292"/>
      <c r="X861" s="292"/>
      <c r="Y861" s="292"/>
      <c r="Z861" s="292"/>
      <c r="AA861" s="292"/>
      <c r="AB861" s="292"/>
      <c r="AC861" s="292"/>
    </row>
    <row r="862">
      <c r="A862" s="292"/>
      <c r="B862" s="292"/>
      <c r="C862" s="292"/>
      <c r="D862" s="292"/>
      <c r="E862" s="292"/>
      <c r="F862" s="292"/>
      <c r="G862" s="292"/>
      <c r="H862" s="292"/>
      <c r="I862" s="292"/>
      <c r="J862" s="292"/>
      <c r="K862" s="292"/>
      <c r="L862" s="292"/>
      <c r="M862" s="292"/>
      <c r="N862" s="292"/>
      <c r="O862" s="292"/>
      <c r="P862" s="292"/>
      <c r="Q862" s="292"/>
      <c r="R862" s="292"/>
      <c r="S862" s="292"/>
      <c r="T862" s="292"/>
      <c r="U862" s="292"/>
      <c r="V862" s="292"/>
      <c r="W862" s="292"/>
      <c r="X862" s="292"/>
      <c r="Y862" s="292"/>
      <c r="Z862" s="292"/>
      <c r="AA862" s="292"/>
      <c r="AB862" s="292"/>
      <c r="AC862" s="292"/>
    </row>
    <row r="863">
      <c r="A863" s="292"/>
      <c r="B863" s="292"/>
      <c r="C863" s="292"/>
      <c r="D863" s="292"/>
      <c r="E863" s="292"/>
      <c r="F863" s="292"/>
      <c r="G863" s="292"/>
      <c r="H863" s="292"/>
      <c r="I863" s="292"/>
      <c r="J863" s="292"/>
      <c r="K863" s="292"/>
      <c r="L863" s="292"/>
      <c r="M863" s="292"/>
      <c r="N863" s="292"/>
      <c r="O863" s="292"/>
      <c r="P863" s="292"/>
      <c r="Q863" s="292"/>
      <c r="R863" s="292"/>
      <c r="S863" s="292"/>
      <c r="T863" s="292"/>
      <c r="U863" s="292"/>
      <c r="V863" s="292"/>
      <c r="W863" s="292"/>
      <c r="X863" s="292"/>
      <c r="Y863" s="292"/>
      <c r="Z863" s="292"/>
      <c r="AA863" s="292"/>
      <c r="AB863" s="292"/>
      <c r="AC863" s="292"/>
    </row>
    <row r="864">
      <c r="A864" s="292"/>
      <c r="B864" s="292"/>
      <c r="C864" s="292"/>
      <c r="D864" s="292"/>
      <c r="E864" s="292"/>
      <c r="F864" s="292"/>
      <c r="G864" s="292"/>
      <c r="H864" s="292"/>
      <c r="I864" s="292"/>
      <c r="J864" s="292"/>
      <c r="K864" s="292"/>
      <c r="L864" s="292"/>
      <c r="M864" s="292"/>
      <c r="N864" s="292"/>
      <c r="O864" s="292"/>
      <c r="P864" s="292"/>
      <c r="Q864" s="292"/>
      <c r="R864" s="292"/>
      <c r="S864" s="292"/>
      <c r="T864" s="292"/>
      <c r="U864" s="292"/>
      <c r="V864" s="292"/>
      <c r="W864" s="292"/>
      <c r="X864" s="292"/>
      <c r="Y864" s="292"/>
      <c r="Z864" s="292"/>
      <c r="AA864" s="292"/>
      <c r="AB864" s="292"/>
      <c r="AC864" s="292"/>
    </row>
    <row r="865">
      <c r="A865" s="292"/>
      <c r="B865" s="292"/>
      <c r="C865" s="292"/>
      <c r="D865" s="292"/>
      <c r="E865" s="292"/>
      <c r="F865" s="292"/>
      <c r="G865" s="292"/>
      <c r="H865" s="292"/>
      <c r="I865" s="292"/>
      <c r="J865" s="292"/>
      <c r="K865" s="292"/>
      <c r="L865" s="292"/>
      <c r="M865" s="292"/>
      <c r="N865" s="292"/>
      <c r="O865" s="292"/>
      <c r="P865" s="292"/>
      <c r="Q865" s="292"/>
      <c r="R865" s="292"/>
      <c r="S865" s="292"/>
      <c r="T865" s="292"/>
      <c r="U865" s="292"/>
      <c r="V865" s="292"/>
      <c r="W865" s="292"/>
      <c r="X865" s="292"/>
      <c r="Y865" s="292"/>
      <c r="Z865" s="292"/>
      <c r="AA865" s="292"/>
      <c r="AB865" s="292"/>
      <c r="AC865" s="292"/>
    </row>
    <row r="866">
      <c r="A866" s="292"/>
      <c r="B866" s="292"/>
      <c r="C866" s="292"/>
      <c r="D866" s="292"/>
      <c r="E866" s="292"/>
      <c r="F866" s="292"/>
      <c r="G866" s="292"/>
      <c r="H866" s="292"/>
      <c r="I866" s="292"/>
      <c r="J866" s="292"/>
      <c r="K866" s="292"/>
      <c r="L866" s="292"/>
      <c r="M866" s="292"/>
      <c r="N866" s="292"/>
      <c r="O866" s="292"/>
      <c r="P866" s="292"/>
      <c r="Q866" s="292"/>
      <c r="R866" s="292"/>
      <c r="S866" s="292"/>
      <c r="T866" s="292"/>
      <c r="U866" s="292"/>
      <c r="V866" s="292"/>
      <c r="W866" s="292"/>
      <c r="X866" s="292"/>
      <c r="Y866" s="292"/>
      <c r="Z866" s="292"/>
      <c r="AA866" s="292"/>
      <c r="AB866" s="292"/>
      <c r="AC866" s="292"/>
    </row>
    <row r="867">
      <c r="A867" s="292"/>
      <c r="B867" s="292"/>
      <c r="C867" s="292"/>
      <c r="D867" s="292"/>
      <c r="E867" s="292"/>
      <c r="F867" s="292"/>
      <c r="G867" s="292"/>
      <c r="H867" s="292"/>
      <c r="I867" s="292"/>
      <c r="J867" s="292"/>
      <c r="K867" s="292"/>
      <c r="L867" s="292"/>
      <c r="M867" s="292"/>
      <c r="N867" s="292"/>
      <c r="O867" s="292"/>
      <c r="P867" s="292"/>
      <c r="Q867" s="292"/>
      <c r="R867" s="292"/>
      <c r="S867" s="292"/>
      <c r="T867" s="292"/>
      <c r="U867" s="292"/>
      <c r="V867" s="292"/>
      <c r="W867" s="292"/>
      <c r="X867" s="292"/>
      <c r="Y867" s="292"/>
      <c r="Z867" s="292"/>
      <c r="AA867" s="292"/>
      <c r="AB867" s="292"/>
      <c r="AC867" s="292"/>
    </row>
    <row r="868">
      <c r="A868" s="292"/>
      <c r="B868" s="292"/>
      <c r="C868" s="292"/>
      <c r="D868" s="292"/>
      <c r="E868" s="292"/>
      <c r="F868" s="292"/>
      <c r="G868" s="292"/>
      <c r="H868" s="292"/>
      <c r="I868" s="292"/>
      <c r="J868" s="292"/>
      <c r="K868" s="292"/>
      <c r="L868" s="292"/>
      <c r="M868" s="292"/>
      <c r="N868" s="292"/>
      <c r="O868" s="292"/>
      <c r="P868" s="292"/>
      <c r="Q868" s="292"/>
      <c r="R868" s="292"/>
      <c r="S868" s="292"/>
      <c r="T868" s="292"/>
      <c r="U868" s="292"/>
      <c r="V868" s="292"/>
      <c r="W868" s="292"/>
      <c r="X868" s="292"/>
      <c r="Y868" s="292"/>
      <c r="Z868" s="292"/>
      <c r="AA868" s="292"/>
      <c r="AB868" s="292"/>
      <c r="AC868" s="292"/>
    </row>
    <row r="869">
      <c r="A869" s="292"/>
      <c r="B869" s="292"/>
      <c r="C869" s="292"/>
      <c r="D869" s="292"/>
      <c r="E869" s="292"/>
      <c r="F869" s="292"/>
      <c r="G869" s="292"/>
      <c r="H869" s="292"/>
      <c r="I869" s="292"/>
      <c r="J869" s="292"/>
      <c r="K869" s="292"/>
      <c r="L869" s="292"/>
      <c r="M869" s="292"/>
      <c r="N869" s="292"/>
      <c r="O869" s="292"/>
      <c r="P869" s="292"/>
      <c r="Q869" s="292"/>
      <c r="R869" s="292"/>
      <c r="S869" s="292"/>
      <c r="T869" s="292"/>
      <c r="U869" s="292"/>
      <c r="V869" s="292"/>
      <c r="W869" s="292"/>
      <c r="X869" s="292"/>
      <c r="Y869" s="292"/>
      <c r="Z869" s="292"/>
      <c r="AA869" s="292"/>
      <c r="AB869" s="292"/>
      <c r="AC869" s="292"/>
    </row>
    <row r="870">
      <c r="A870" s="292"/>
      <c r="B870" s="292"/>
      <c r="C870" s="292"/>
      <c r="D870" s="292"/>
      <c r="E870" s="292"/>
      <c r="F870" s="292"/>
      <c r="G870" s="292"/>
      <c r="H870" s="292"/>
      <c r="I870" s="292"/>
      <c r="J870" s="292"/>
      <c r="K870" s="292"/>
      <c r="L870" s="292"/>
      <c r="M870" s="292"/>
      <c r="N870" s="292"/>
      <c r="O870" s="292"/>
      <c r="P870" s="292"/>
      <c r="Q870" s="292"/>
      <c r="R870" s="292"/>
      <c r="S870" s="292"/>
      <c r="T870" s="292"/>
      <c r="U870" s="292"/>
      <c r="V870" s="292"/>
      <c r="W870" s="292"/>
      <c r="X870" s="292"/>
      <c r="Y870" s="292"/>
      <c r="Z870" s="292"/>
      <c r="AA870" s="292"/>
      <c r="AB870" s="292"/>
      <c r="AC870" s="292"/>
    </row>
    <row r="871">
      <c r="A871" s="292"/>
      <c r="B871" s="292"/>
      <c r="C871" s="292"/>
      <c r="D871" s="292"/>
      <c r="E871" s="292"/>
      <c r="F871" s="292"/>
      <c r="G871" s="292"/>
      <c r="H871" s="292"/>
      <c r="I871" s="292"/>
      <c r="J871" s="292"/>
      <c r="K871" s="292"/>
      <c r="L871" s="292"/>
      <c r="M871" s="292"/>
      <c r="N871" s="292"/>
      <c r="O871" s="292"/>
      <c r="P871" s="292"/>
      <c r="Q871" s="292"/>
      <c r="R871" s="292"/>
      <c r="S871" s="292"/>
      <c r="T871" s="292"/>
      <c r="U871" s="292"/>
      <c r="V871" s="292"/>
      <c r="W871" s="292"/>
      <c r="X871" s="292"/>
      <c r="Y871" s="292"/>
      <c r="Z871" s="292"/>
      <c r="AA871" s="292"/>
      <c r="AB871" s="292"/>
      <c r="AC871" s="292"/>
    </row>
    <row r="872">
      <c r="A872" s="292"/>
      <c r="B872" s="292"/>
      <c r="C872" s="292"/>
      <c r="D872" s="292"/>
      <c r="E872" s="292"/>
      <c r="F872" s="292"/>
      <c r="G872" s="292"/>
      <c r="H872" s="292"/>
      <c r="I872" s="292"/>
      <c r="J872" s="292"/>
      <c r="K872" s="292"/>
      <c r="L872" s="292"/>
      <c r="M872" s="292"/>
      <c r="N872" s="292"/>
      <c r="O872" s="292"/>
      <c r="P872" s="292"/>
      <c r="Q872" s="292"/>
      <c r="R872" s="292"/>
      <c r="S872" s="292"/>
      <c r="T872" s="292"/>
      <c r="U872" s="292"/>
      <c r="V872" s="292"/>
      <c r="W872" s="292"/>
      <c r="X872" s="292"/>
      <c r="Y872" s="292"/>
      <c r="Z872" s="292"/>
      <c r="AA872" s="292"/>
      <c r="AB872" s="292"/>
      <c r="AC872" s="292"/>
    </row>
    <row r="873">
      <c r="A873" s="292"/>
      <c r="B873" s="292"/>
      <c r="C873" s="292"/>
      <c r="D873" s="292"/>
      <c r="E873" s="292"/>
      <c r="F873" s="292"/>
      <c r="G873" s="292"/>
      <c r="H873" s="292"/>
      <c r="I873" s="292"/>
      <c r="J873" s="292"/>
      <c r="K873" s="292"/>
      <c r="L873" s="292"/>
      <c r="M873" s="292"/>
      <c r="N873" s="292"/>
      <c r="O873" s="292"/>
      <c r="P873" s="292"/>
      <c r="Q873" s="292"/>
      <c r="R873" s="292"/>
      <c r="S873" s="292"/>
      <c r="T873" s="292"/>
      <c r="U873" s="292"/>
      <c r="V873" s="292"/>
      <c r="W873" s="292"/>
      <c r="X873" s="292"/>
      <c r="Y873" s="292"/>
      <c r="Z873" s="292"/>
      <c r="AA873" s="292"/>
      <c r="AB873" s="292"/>
      <c r="AC873" s="292"/>
    </row>
    <row r="874">
      <c r="A874" s="292"/>
      <c r="B874" s="292"/>
      <c r="C874" s="292"/>
      <c r="D874" s="292"/>
      <c r="E874" s="292"/>
      <c r="F874" s="292"/>
      <c r="G874" s="292"/>
      <c r="H874" s="292"/>
      <c r="I874" s="292"/>
      <c r="J874" s="292"/>
      <c r="K874" s="292"/>
      <c r="L874" s="292"/>
      <c r="M874" s="292"/>
      <c r="N874" s="292"/>
      <c r="O874" s="292"/>
      <c r="P874" s="292"/>
      <c r="Q874" s="292"/>
      <c r="R874" s="292"/>
      <c r="S874" s="292"/>
      <c r="T874" s="292"/>
      <c r="U874" s="292"/>
      <c r="V874" s="292"/>
      <c r="W874" s="292"/>
      <c r="X874" s="292"/>
      <c r="Y874" s="292"/>
      <c r="Z874" s="292"/>
      <c r="AA874" s="292"/>
      <c r="AB874" s="292"/>
      <c r="AC874" s="292"/>
    </row>
    <row r="875">
      <c r="A875" s="292"/>
      <c r="B875" s="292"/>
      <c r="C875" s="292"/>
      <c r="D875" s="292"/>
      <c r="E875" s="292"/>
      <c r="F875" s="292"/>
      <c r="G875" s="292"/>
      <c r="H875" s="292"/>
      <c r="I875" s="292"/>
      <c r="J875" s="292"/>
      <c r="K875" s="292"/>
      <c r="L875" s="292"/>
      <c r="M875" s="292"/>
      <c r="N875" s="292"/>
      <c r="O875" s="292"/>
      <c r="P875" s="292"/>
      <c r="Q875" s="292"/>
      <c r="R875" s="292"/>
      <c r="S875" s="292"/>
      <c r="T875" s="292"/>
      <c r="U875" s="292"/>
      <c r="V875" s="292"/>
      <c r="W875" s="292"/>
      <c r="X875" s="292"/>
      <c r="Y875" s="292"/>
      <c r="Z875" s="292"/>
      <c r="AA875" s="292"/>
      <c r="AB875" s="292"/>
      <c r="AC875" s="292"/>
    </row>
    <row r="876">
      <c r="A876" s="292"/>
      <c r="B876" s="292"/>
      <c r="C876" s="292"/>
      <c r="D876" s="292"/>
      <c r="E876" s="292"/>
      <c r="F876" s="292"/>
      <c r="G876" s="292"/>
      <c r="H876" s="292"/>
      <c r="I876" s="292"/>
      <c r="J876" s="292"/>
      <c r="K876" s="292"/>
      <c r="L876" s="292"/>
      <c r="M876" s="292"/>
      <c r="N876" s="292"/>
      <c r="O876" s="292"/>
      <c r="P876" s="292"/>
      <c r="Q876" s="292"/>
      <c r="R876" s="292"/>
      <c r="S876" s="292"/>
      <c r="T876" s="292"/>
      <c r="U876" s="292"/>
      <c r="V876" s="292"/>
      <c r="W876" s="292"/>
      <c r="X876" s="292"/>
      <c r="Y876" s="292"/>
      <c r="Z876" s="292"/>
      <c r="AA876" s="292"/>
      <c r="AB876" s="292"/>
      <c r="AC876" s="292"/>
    </row>
    <row r="877">
      <c r="A877" s="292"/>
      <c r="B877" s="292"/>
      <c r="C877" s="292"/>
      <c r="D877" s="292"/>
      <c r="E877" s="292"/>
      <c r="F877" s="292"/>
      <c r="G877" s="292"/>
      <c r="H877" s="292"/>
      <c r="I877" s="292"/>
      <c r="J877" s="292"/>
      <c r="K877" s="292"/>
      <c r="L877" s="292"/>
      <c r="M877" s="292"/>
      <c r="N877" s="292"/>
      <c r="O877" s="292"/>
      <c r="P877" s="292"/>
      <c r="Q877" s="292"/>
      <c r="R877" s="292"/>
      <c r="S877" s="292"/>
      <c r="T877" s="292"/>
      <c r="U877" s="292"/>
      <c r="V877" s="292"/>
      <c r="W877" s="292"/>
      <c r="X877" s="292"/>
      <c r="Y877" s="292"/>
      <c r="Z877" s="292"/>
      <c r="AA877" s="292"/>
      <c r="AB877" s="292"/>
      <c r="AC877" s="292"/>
    </row>
    <row r="878">
      <c r="A878" s="292"/>
      <c r="B878" s="292"/>
      <c r="C878" s="292"/>
      <c r="D878" s="292"/>
      <c r="E878" s="292"/>
      <c r="F878" s="292"/>
      <c r="G878" s="292"/>
      <c r="H878" s="292"/>
      <c r="I878" s="292"/>
      <c r="J878" s="292"/>
      <c r="K878" s="292"/>
      <c r="L878" s="292"/>
      <c r="M878" s="292"/>
      <c r="N878" s="292"/>
      <c r="O878" s="292"/>
      <c r="P878" s="292"/>
      <c r="Q878" s="292"/>
      <c r="R878" s="292"/>
      <c r="S878" s="292"/>
      <c r="T878" s="292"/>
      <c r="U878" s="292"/>
      <c r="V878" s="292"/>
      <c r="W878" s="292"/>
      <c r="X878" s="292"/>
      <c r="Y878" s="292"/>
      <c r="Z878" s="292"/>
      <c r="AA878" s="292"/>
      <c r="AB878" s="292"/>
      <c r="AC878" s="292"/>
    </row>
    <row r="879">
      <c r="A879" s="292"/>
      <c r="B879" s="292"/>
      <c r="C879" s="292"/>
      <c r="D879" s="292"/>
      <c r="E879" s="292"/>
      <c r="F879" s="292"/>
      <c r="G879" s="292"/>
      <c r="H879" s="292"/>
      <c r="I879" s="292"/>
      <c r="J879" s="292"/>
      <c r="K879" s="292"/>
      <c r="L879" s="292"/>
      <c r="M879" s="292"/>
      <c r="N879" s="292"/>
      <c r="O879" s="292"/>
      <c r="P879" s="292"/>
      <c r="Q879" s="292"/>
      <c r="R879" s="292"/>
      <c r="S879" s="292"/>
      <c r="T879" s="292"/>
      <c r="U879" s="292"/>
      <c r="V879" s="292"/>
      <c r="W879" s="292"/>
      <c r="X879" s="292"/>
      <c r="Y879" s="292"/>
      <c r="Z879" s="292"/>
      <c r="AA879" s="292"/>
      <c r="AB879" s="292"/>
      <c r="AC879" s="292"/>
    </row>
    <row r="880">
      <c r="A880" s="292"/>
      <c r="B880" s="292"/>
      <c r="C880" s="292"/>
      <c r="D880" s="292"/>
      <c r="E880" s="292"/>
      <c r="F880" s="292"/>
      <c r="G880" s="292"/>
      <c r="H880" s="292"/>
      <c r="I880" s="292"/>
      <c r="J880" s="292"/>
      <c r="K880" s="292"/>
      <c r="L880" s="292"/>
      <c r="M880" s="292"/>
      <c r="N880" s="292"/>
      <c r="O880" s="292"/>
      <c r="P880" s="292"/>
      <c r="Q880" s="292"/>
      <c r="R880" s="292"/>
      <c r="S880" s="292"/>
      <c r="T880" s="292"/>
      <c r="U880" s="292"/>
      <c r="V880" s="292"/>
      <c r="W880" s="292"/>
      <c r="X880" s="292"/>
      <c r="Y880" s="292"/>
      <c r="Z880" s="292"/>
      <c r="AA880" s="292"/>
      <c r="AB880" s="292"/>
      <c r="AC880" s="292"/>
    </row>
    <row r="881">
      <c r="A881" s="292"/>
      <c r="B881" s="292"/>
      <c r="C881" s="292"/>
      <c r="D881" s="292"/>
      <c r="E881" s="292"/>
      <c r="F881" s="292"/>
      <c r="G881" s="292"/>
      <c r="H881" s="292"/>
      <c r="I881" s="292"/>
      <c r="J881" s="292"/>
      <c r="K881" s="292"/>
      <c r="L881" s="292"/>
      <c r="M881" s="292"/>
      <c r="N881" s="292"/>
      <c r="O881" s="292"/>
      <c r="P881" s="292"/>
      <c r="Q881" s="292"/>
      <c r="R881" s="292"/>
      <c r="S881" s="292"/>
      <c r="T881" s="292"/>
      <c r="U881" s="292"/>
      <c r="V881" s="292"/>
      <c r="W881" s="292"/>
      <c r="X881" s="292"/>
      <c r="Y881" s="292"/>
      <c r="Z881" s="292"/>
      <c r="AA881" s="292"/>
      <c r="AB881" s="292"/>
      <c r="AC881" s="292"/>
    </row>
    <row r="882">
      <c r="A882" s="292"/>
      <c r="B882" s="292"/>
      <c r="C882" s="292"/>
      <c r="D882" s="292"/>
      <c r="E882" s="292"/>
      <c r="F882" s="292"/>
      <c r="G882" s="292"/>
      <c r="H882" s="292"/>
      <c r="I882" s="292"/>
      <c r="J882" s="292"/>
      <c r="K882" s="292"/>
      <c r="L882" s="292"/>
      <c r="M882" s="292"/>
      <c r="N882" s="292"/>
      <c r="O882" s="292"/>
      <c r="P882" s="292"/>
      <c r="Q882" s="292"/>
      <c r="R882" s="292"/>
      <c r="S882" s="292"/>
      <c r="T882" s="292"/>
      <c r="U882" s="292"/>
      <c r="V882" s="292"/>
      <c r="W882" s="292"/>
      <c r="X882" s="292"/>
      <c r="Y882" s="292"/>
      <c r="Z882" s="292"/>
      <c r="AA882" s="292"/>
      <c r="AB882" s="292"/>
      <c r="AC882" s="292"/>
    </row>
    <row r="883">
      <c r="A883" s="292"/>
      <c r="B883" s="292"/>
      <c r="C883" s="292"/>
      <c r="D883" s="292"/>
      <c r="E883" s="292"/>
      <c r="F883" s="292"/>
      <c r="G883" s="292"/>
      <c r="H883" s="292"/>
      <c r="I883" s="292"/>
      <c r="J883" s="292"/>
      <c r="K883" s="292"/>
      <c r="L883" s="292"/>
      <c r="M883" s="292"/>
      <c r="N883" s="292"/>
      <c r="O883" s="292"/>
      <c r="P883" s="292"/>
      <c r="Q883" s="292"/>
      <c r="R883" s="292"/>
      <c r="S883" s="292"/>
      <c r="T883" s="292"/>
      <c r="U883" s="292"/>
      <c r="V883" s="292"/>
      <c r="W883" s="292"/>
      <c r="X883" s="292"/>
      <c r="Y883" s="292"/>
      <c r="Z883" s="292"/>
      <c r="AA883" s="292"/>
      <c r="AB883" s="292"/>
      <c r="AC883" s="292"/>
    </row>
    <row r="884">
      <c r="A884" s="292"/>
      <c r="B884" s="292"/>
      <c r="C884" s="292"/>
      <c r="D884" s="292"/>
      <c r="E884" s="292"/>
      <c r="F884" s="292"/>
      <c r="G884" s="292"/>
      <c r="H884" s="292"/>
      <c r="I884" s="292"/>
      <c r="J884" s="292"/>
      <c r="K884" s="292"/>
      <c r="L884" s="292"/>
      <c r="M884" s="292"/>
      <c r="N884" s="292"/>
      <c r="O884" s="292"/>
      <c r="P884" s="292"/>
      <c r="Q884" s="292"/>
      <c r="R884" s="292"/>
      <c r="S884" s="292"/>
      <c r="T884" s="292"/>
      <c r="U884" s="292"/>
      <c r="V884" s="292"/>
      <c r="W884" s="292"/>
      <c r="X884" s="292"/>
      <c r="Y884" s="292"/>
      <c r="Z884" s="292"/>
      <c r="AA884" s="292"/>
      <c r="AB884" s="292"/>
      <c r="AC884" s="292"/>
    </row>
    <row r="885">
      <c r="A885" s="292"/>
      <c r="B885" s="292"/>
      <c r="C885" s="292"/>
      <c r="D885" s="292"/>
      <c r="E885" s="292"/>
      <c r="F885" s="292"/>
      <c r="G885" s="292"/>
      <c r="H885" s="292"/>
      <c r="I885" s="292"/>
      <c r="J885" s="292"/>
      <c r="K885" s="292"/>
      <c r="L885" s="292"/>
      <c r="M885" s="292"/>
      <c r="N885" s="292"/>
      <c r="O885" s="292"/>
      <c r="P885" s="292"/>
      <c r="Q885" s="292"/>
      <c r="R885" s="292"/>
      <c r="S885" s="292"/>
      <c r="T885" s="292"/>
      <c r="U885" s="292"/>
      <c r="V885" s="292"/>
      <c r="W885" s="292"/>
      <c r="X885" s="292"/>
      <c r="Y885" s="292"/>
      <c r="Z885" s="292"/>
      <c r="AA885" s="292"/>
      <c r="AB885" s="292"/>
      <c r="AC885" s="292"/>
    </row>
    <row r="886">
      <c r="A886" s="292"/>
      <c r="B886" s="292"/>
      <c r="C886" s="292"/>
      <c r="D886" s="292"/>
      <c r="E886" s="292"/>
      <c r="F886" s="292"/>
      <c r="G886" s="292"/>
      <c r="H886" s="292"/>
      <c r="I886" s="292"/>
      <c r="J886" s="292"/>
      <c r="K886" s="292"/>
      <c r="L886" s="292"/>
      <c r="M886" s="292"/>
      <c r="N886" s="292"/>
      <c r="O886" s="292"/>
      <c r="P886" s="292"/>
      <c r="Q886" s="292"/>
      <c r="R886" s="292"/>
      <c r="S886" s="292"/>
      <c r="T886" s="292"/>
      <c r="U886" s="292"/>
      <c r="V886" s="292"/>
      <c r="W886" s="292"/>
      <c r="X886" s="292"/>
      <c r="Y886" s="292"/>
      <c r="Z886" s="292"/>
      <c r="AA886" s="292"/>
      <c r="AB886" s="292"/>
      <c r="AC886" s="292"/>
    </row>
    <row r="887">
      <c r="A887" s="292"/>
      <c r="B887" s="292"/>
      <c r="C887" s="292"/>
      <c r="D887" s="292"/>
      <c r="E887" s="292"/>
      <c r="F887" s="292"/>
      <c r="G887" s="292"/>
      <c r="H887" s="292"/>
      <c r="I887" s="292"/>
      <c r="J887" s="292"/>
      <c r="K887" s="292"/>
      <c r="L887" s="292"/>
      <c r="M887" s="292"/>
      <c r="N887" s="292"/>
      <c r="O887" s="292"/>
      <c r="P887" s="292"/>
      <c r="Q887" s="292"/>
      <c r="R887" s="292"/>
      <c r="S887" s="292"/>
      <c r="T887" s="292"/>
      <c r="U887" s="292"/>
      <c r="V887" s="292"/>
      <c r="W887" s="292"/>
      <c r="X887" s="292"/>
      <c r="Y887" s="292"/>
      <c r="Z887" s="292"/>
      <c r="AA887" s="292"/>
      <c r="AB887" s="292"/>
      <c r="AC887" s="292"/>
    </row>
    <row r="888">
      <c r="A888" s="292"/>
      <c r="B888" s="292"/>
      <c r="C888" s="292"/>
      <c r="D888" s="292"/>
      <c r="E888" s="292"/>
      <c r="F888" s="292"/>
      <c r="G888" s="292"/>
      <c r="H888" s="292"/>
      <c r="I888" s="292"/>
      <c r="J888" s="292"/>
      <c r="K888" s="292"/>
      <c r="L888" s="292"/>
      <c r="M888" s="292"/>
      <c r="N888" s="292"/>
      <c r="O888" s="292"/>
      <c r="P888" s="292"/>
      <c r="Q888" s="292"/>
      <c r="R888" s="292"/>
      <c r="S888" s="292"/>
      <c r="T888" s="292"/>
      <c r="U888" s="292"/>
      <c r="V888" s="292"/>
      <c r="W888" s="292"/>
      <c r="X888" s="292"/>
      <c r="Y888" s="292"/>
      <c r="Z888" s="292"/>
      <c r="AA888" s="292"/>
      <c r="AB888" s="292"/>
      <c r="AC888" s="292"/>
    </row>
    <row r="889">
      <c r="A889" s="292"/>
      <c r="B889" s="292"/>
      <c r="C889" s="292"/>
      <c r="D889" s="292"/>
      <c r="E889" s="292"/>
      <c r="F889" s="292"/>
      <c r="G889" s="292"/>
      <c r="H889" s="292"/>
      <c r="I889" s="292"/>
      <c r="J889" s="292"/>
      <c r="K889" s="292"/>
      <c r="L889" s="292"/>
      <c r="M889" s="292"/>
      <c r="N889" s="292"/>
      <c r="O889" s="292"/>
      <c r="P889" s="292"/>
      <c r="Q889" s="292"/>
      <c r="R889" s="292"/>
      <c r="S889" s="292"/>
      <c r="T889" s="292"/>
      <c r="U889" s="292"/>
      <c r="V889" s="292"/>
      <c r="W889" s="292"/>
      <c r="X889" s="292"/>
      <c r="Y889" s="292"/>
      <c r="Z889" s="292"/>
      <c r="AA889" s="292"/>
      <c r="AB889" s="292"/>
      <c r="AC889" s="292"/>
    </row>
    <row r="890">
      <c r="A890" s="292"/>
      <c r="B890" s="292"/>
      <c r="C890" s="292"/>
      <c r="D890" s="292"/>
      <c r="E890" s="292"/>
      <c r="F890" s="292"/>
      <c r="G890" s="292"/>
      <c r="H890" s="292"/>
      <c r="I890" s="292"/>
      <c r="J890" s="292"/>
      <c r="K890" s="292"/>
      <c r="L890" s="292"/>
      <c r="M890" s="292"/>
      <c r="N890" s="292"/>
      <c r="O890" s="292"/>
      <c r="P890" s="292"/>
      <c r="Q890" s="292"/>
      <c r="R890" s="292"/>
      <c r="S890" s="292"/>
      <c r="T890" s="292"/>
      <c r="U890" s="292"/>
      <c r="V890" s="292"/>
      <c r="W890" s="292"/>
      <c r="X890" s="292"/>
      <c r="Y890" s="292"/>
      <c r="Z890" s="292"/>
      <c r="AA890" s="292"/>
      <c r="AB890" s="292"/>
      <c r="AC890" s="292"/>
    </row>
    <row r="891">
      <c r="A891" s="292"/>
      <c r="B891" s="292"/>
      <c r="C891" s="292"/>
      <c r="D891" s="292"/>
      <c r="E891" s="292"/>
      <c r="F891" s="292"/>
      <c r="G891" s="292"/>
      <c r="H891" s="292"/>
      <c r="I891" s="292"/>
      <c r="J891" s="292"/>
      <c r="K891" s="292"/>
      <c r="L891" s="292"/>
      <c r="M891" s="292"/>
      <c r="N891" s="292"/>
      <c r="O891" s="292"/>
      <c r="P891" s="292"/>
      <c r="Q891" s="292"/>
      <c r="R891" s="292"/>
      <c r="S891" s="292"/>
      <c r="T891" s="292"/>
      <c r="U891" s="292"/>
      <c r="V891" s="292"/>
      <c r="W891" s="292"/>
      <c r="X891" s="292"/>
      <c r="Y891" s="292"/>
      <c r="Z891" s="292"/>
      <c r="AA891" s="292"/>
      <c r="AB891" s="292"/>
      <c r="AC891" s="292"/>
    </row>
    <row r="892">
      <c r="A892" s="292"/>
      <c r="B892" s="292"/>
      <c r="C892" s="292"/>
      <c r="D892" s="292"/>
      <c r="E892" s="292"/>
      <c r="F892" s="292"/>
      <c r="G892" s="292"/>
      <c r="H892" s="292"/>
      <c r="I892" s="292"/>
      <c r="J892" s="292"/>
      <c r="K892" s="292"/>
      <c r="L892" s="292"/>
      <c r="M892" s="292"/>
      <c r="N892" s="292"/>
      <c r="O892" s="292"/>
      <c r="P892" s="292"/>
      <c r="Q892" s="292"/>
      <c r="R892" s="292"/>
      <c r="S892" s="292"/>
      <c r="T892" s="292"/>
      <c r="U892" s="292"/>
      <c r="V892" s="292"/>
      <c r="W892" s="292"/>
      <c r="X892" s="292"/>
      <c r="Y892" s="292"/>
      <c r="Z892" s="292"/>
      <c r="AA892" s="292"/>
      <c r="AB892" s="292"/>
      <c r="AC892" s="292"/>
    </row>
    <row r="893">
      <c r="A893" s="292"/>
      <c r="B893" s="292"/>
      <c r="C893" s="292"/>
      <c r="D893" s="292"/>
      <c r="E893" s="292"/>
      <c r="F893" s="292"/>
      <c r="G893" s="292"/>
      <c r="H893" s="292"/>
      <c r="I893" s="292"/>
      <c r="J893" s="292"/>
      <c r="K893" s="292"/>
      <c r="L893" s="292"/>
      <c r="M893" s="292"/>
      <c r="N893" s="292"/>
      <c r="O893" s="292"/>
      <c r="P893" s="292"/>
      <c r="Q893" s="292"/>
      <c r="R893" s="292"/>
      <c r="S893" s="292"/>
      <c r="T893" s="292"/>
      <c r="U893" s="292"/>
      <c r="V893" s="292"/>
      <c r="W893" s="292"/>
      <c r="X893" s="292"/>
      <c r="Y893" s="292"/>
      <c r="Z893" s="292"/>
      <c r="AA893" s="292"/>
      <c r="AB893" s="292"/>
      <c r="AC893" s="292"/>
    </row>
    <row r="894">
      <c r="A894" s="292"/>
      <c r="B894" s="292"/>
      <c r="C894" s="292"/>
      <c r="D894" s="292"/>
      <c r="E894" s="292"/>
      <c r="F894" s="292"/>
      <c r="G894" s="292"/>
      <c r="H894" s="292"/>
      <c r="I894" s="292"/>
      <c r="J894" s="292"/>
      <c r="K894" s="292"/>
      <c r="L894" s="292"/>
      <c r="M894" s="292"/>
      <c r="N894" s="292"/>
      <c r="O894" s="292"/>
      <c r="P894" s="292"/>
      <c r="Q894" s="292"/>
      <c r="R894" s="292"/>
      <c r="S894" s="292"/>
      <c r="T894" s="292"/>
      <c r="U894" s="292"/>
      <c r="V894" s="292"/>
      <c r="W894" s="292"/>
      <c r="X894" s="292"/>
      <c r="Y894" s="292"/>
      <c r="Z894" s="292"/>
      <c r="AA894" s="292"/>
      <c r="AB894" s="292"/>
      <c r="AC894" s="292"/>
    </row>
    <row r="895">
      <c r="A895" s="292"/>
      <c r="B895" s="292"/>
      <c r="C895" s="292"/>
      <c r="D895" s="292"/>
      <c r="E895" s="292"/>
      <c r="F895" s="292"/>
      <c r="G895" s="292"/>
      <c r="H895" s="292"/>
      <c r="I895" s="292"/>
      <c r="J895" s="292"/>
      <c r="K895" s="292"/>
      <c r="L895" s="292"/>
      <c r="M895" s="292"/>
      <c r="N895" s="292"/>
      <c r="O895" s="292"/>
      <c r="P895" s="292"/>
      <c r="Q895" s="292"/>
      <c r="R895" s="292"/>
      <c r="S895" s="292"/>
      <c r="T895" s="292"/>
      <c r="U895" s="292"/>
      <c r="V895" s="292"/>
      <c r="W895" s="292"/>
      <c r="X895" s="292"/>
      <c r="Y895" s="292"/>
      <c r="Z895" s="292"/>
      <c r="AA895" s="292"/>
      <c r="AB895" s="292"/>
      <c r="AC895" s="292"/>
    </row>
    <row r="896">
      <c r="A896" s="292"/>
      <c r="B896" s="292"/>
      <c r="C896" s="292"/>
      <c r="D896" s="292"/>
      <c r="E896" s="292"/>
      <c r="F896" s="292"/>
      <c r="G896" s="292"/>
      <c r="H896" s="292"/>
      <c r="I896" s="292"/>
      <c r="J896" s="292"/>
      <c r="K896" s="292"/>
      <c r="L896" s="292"/>
      <c r="M896" s="292"/>
      <c r="N896" s="292"/>
      <c r="O896" s="292"/>
      <c r="P896" s="292"/>
      <c r="Q896" s="292"/>
      <c r="R896" s="292"/>
      <c r="S896" s="292"/>
      <c r="T896" s="292"/>
      <c r="U896" s="292"/>
      <c r="V896" s="292"/>
      <c r="W896" s="292"/>
      <c r="X896" s="292"/>
      <c r="Y896" s="292"/>
      <c r="Z896" s="292"/>
      <c r="AA896" s="292"/>
      <c r="AB896" s="292"/>
      <c r="AC896" s="292"/>
    </row>
    <row r="897">
      <c r="A897" s="292"/>
      <c r="B897" s="292"/>
      <c r="C897" s="292"/>
      <c r="D897" s="292"/>
      <c r="E897" s="292"/>
      <c r="F897" s="292"/>
      <c r="G897" s="292"/>
      <c r="H897" s="292"/>
      <c r="I897" s="292"/>
      <c r="J897" s="292"/>
      <c r="K897" s="292"/>
      <c r="L897" s="292"/>
      <c r="M897" s="292"/>
      <c r="N897" s="292"/>
      <c r="O897" s="292"/>
      <c r="P897" s="292"/>
      <c r="Q897" s="292"/>
      <c r="R897" s="292"/>
      <c r="S897" s="292"/>
      <c r="T897" s="292"/>
      <c r="U897" s="292"/>
      <c r="V897" s="292"/>
      <c r="W897" s="292"/>
      <c r="X897" s="292"/>
      <c r="Y897" s="292"/>
      <c r="Z897" s="292"/>
      <c r="AA897" s="292"/>
      <c r="AB897" s="292"/>
      <c r="AC897" s="292"/>
    </row>
    <row r="898">
      <c r="A898" s="292"/>
      <c r="B898" s="292"/>
      <c r="C898" s="292"/>
      <c r="D898" s="292"/>
      <c r="E898" s="292"/>
      <c r="F898" s="292"/>
      <c r="G898" s="292"/>
      <c r="H898" s="292"/>
      <c r="I898" s="292"/>
      <c r="J898" s="292"/>
      <c r="K898" s="292"/>
      <c r="L898" s="292"/>
      <c r="M898" s="292"/>
      <c r="N898" s="292"/>
      <c r="O898" s="292"/>
      <c r="P898" s="292"/>
      <c r="Q898" s="292"/>
      <c r="R898" s="292"/>
      <c r="S898" s="292"/>
      <c r="T898" s="292"/>
      <c r="U898" s="292"/>
      <c r="V898" s="292"/>
      <c r="W898" s="292"/>
      <c r="X898" s="292"/>
      <c r="Y898" s="292"/>
      <c r="Z898" s="292"/>
      <c r="AA898" s="292"/>
      <c r="AB898" s="292"/>
      <c r="AC898" s="292"/>
    </row>
    <row r="899">
      <c r="A899" s="292"/>
      <c r="B899" s="292"/>
      <c r="C899" s="292"/>
      <c r="D899" s="292"/>
      <c r="E899" s="292"/>
      <c r="F899" s="292"/>
      <c r="G899" s="292"/>
      <c r="H899" s="292"/>
      <c r="I899" s="292"/>
      <c r="J899" s="292"/>
      <c r="K899" s="292"/>
      <c r="L899" s="292"/>
      <c r="M899" s="292"/>
      <c r="N899" s="292"/>
      <c r="O899" s="292"/>
      <c r="P899" s="292"/>
      <c r="Q899" s="292"/>
      <c r="R899" s="292"/>
      <c r="S899" s="292"/>
      <c r="T899" s="292"/>
      <c r="U899" s="292"/>
      <c r="V899" s="292"/>
      <c r="W899" s="292"/>
      <c r="X899" s="292"/>
      <c r="Y899" s="292"/>
      <c r="Z899" s="292"/>
      <c r="AA899" s="292"/>
      <c r="AB899" s="292"/>
      <c r="AC899" s="292"/>
    </row>
    <row r="900">
      <c r="A900" s="292"/>
      <c r="B900" s="292"/>
      <c r="C900" s="292"/>
      <c r="D900" s="292"/>
      <c r="E900" s="292"/>
      <c r="F900" s="292"/>
      <c r="G900" s="292"/>
      <c r="H900" s="292"/>
      <c r="I900" s="292"/>
      <c r="J900" s="292"/>
      <c r="K900" s="292"/>
      <c r="L900" s="292"/>
      <c r="M900" s="292"/>
      <c r="N900" s="292"/>
      <c r="O900" s="292"/>
      <c r="P900" s="292"/>
      <c r="Q900" s="292"/>
      <c r="R900" s="292"/>
      <c r="S900" s="292"/>
      <c r="T900" s="292"/>
      <c r="U900" s="292"/>
      <c r="V900" s="292"/>
      <c r="W900" s="292"/>
      <c r="X900" s="292"/>
      <c r="Y900" s="292"/>
      <c r="Z900" s="292"/>
      <c r="AA900" s="292"/>
      <c r="AB900" s="292"/>
      <c r="AC900" s="292"/>
    </row>
    <row r="901">
      <c r="A901" s="292"/>
      <c r="B901" s="292"/>
      <c r="C901" s="292"/>
      <c r="D901" s="292"/>
      <c r="E901" s="292"/>
      <c r="F901" s="292"/>
      <c r="G901" s="292"/>
      <c r="H901" s="292"/>
      <c r="I901" s="292"/>
      <c r="J901" s="292"/>
      <c r="K901" s="292"/>
      <c r="L901" s="292"/>
      <c r="M901" s="292"/>
      <c r="N901" s="292"/>
      <c r="O901" s="292"/>
      <c r="P901" s="292"/>
      <c r="Q901" s="292"/>
      <c r="R901" s="292"/>
      <c r="S901" s="292"/>
      <c r="T901" s="292"/>
      <c r="U901" s="292"/>
      <c r="V901" s="292"/>
      <c r="W901" s="292"/>
      <c r="X901" s="292"/>
      <c r="Y901" s="292"/>
      <c r="Z901" s="292"/>
      <c r="AA901" s="292"/>
      <c r="AB901" s="292"/>
      <c r="AC901" s="292"/>
    </row>
    <row r="902">
      <c r="A902" s="292"/>
      <c r="B902" s="292"/>
      <c r="C902" s="292"/>
      <c r="D902" s="292"/>
      <c r="E902" s="292"/>
      <c r="F902" s="292"/>
      <c r="G902" s="292"/>
      <c r="H902" s="292"/>
      <c r="I902" s="292"/>
      <c r="J902" s="292"/>
      <c r="K902" s="292"/>
      <c r="L902" s="292"/>
      <c r="M902" s="292"/>
      <c r="N902" s="292"/>
      <c r="O902" s="292"/>
      <c r="P902" s="292"/>
      <c r="Q902" s="292"/>
      <c r="R902" s="292"/>
      <c r="S902" s="292"/>
      <c r="T902" s="292"/>
      <c r="U902" s="292"/>
      <c r="V902" s="292"/>
      <c r="W902" s="292"/>
      <c r="X902" s="292"/>
      <c r="Y902" s="292"/>
      <c r="Z902" s="292"/>
      <c r="AA902" s="292"/>
      <c r="AB902" s="292"/>
      <c r="AC902" s="292"/>
    </row>
    <row r="903">
      <c r="A903" s="292"/>
      <c r="B903" s="292"/>
      <c r="C903" s="292"/>
      <c r="D903" s="292"/>
      <c r="E903" s="292"/>
      <c r="F903" s="292"/>
      <c r="G903" s="292"/>
      <c r="H903" s="292"/>
      <c r="I903" s="292"/>
      <c r="J903" s="292"/>
      <c r="K903" s="292"/>
      <c r="L903" s="292"/>
      <c r="M903" s="292"/>
      <c r="N903" s="292"/>
      <c r="O903" s="292"/>
      <c r="P903" s="292"/>
      <c r="Q903" s="292"/>
      <c r="R903" s="292"/>
      <c r="S903" s="292"/>
      <c r="T903" s="292"/>
      <c r="U903" s="292"/>
      <c r="V903" s="292"/>
      <c r="W903" s="292"/>
      <c r="X903" s="292"/>
      <c r="Y903" s="292"/>
      <c r="Z903" s="292"/>
      <c r="AA903" s="292"/>
      <c r="AB903" s="292"/>
      <c r="AC903" s="292"/>
    </row>
    <row r="904">
      <c r="A904" s="292"/>
      <c r="B904" s="292"/>
      <c r="C904" s="292"/>
      <c r="D904" s="292"/>
      <c r="E904" s="292"/>
      <c r="F904" s="292"/>
      <c r="G904" s="292"/>
      <c r="H904" s="292"/>
      <c r="I904" s="292"/>
      <c r="J904" s="292"/>
      <c r="K904" s="292"/>
      <c r="L904" s="292"/>
      <c r="M904" s="292"/>
      <c r="N904" s="292"/>
      <c r="O904" s="292"/>
      <c r="P904" s="292"/>
      <c r="Q904" s="292"/>
      <c r="R904" s="292"/>
      <c r="S904" s="292"/>
      <c r="T904" s="292"/>
      <c r="U904" s="292"/>
      <c r="V904" s="292"/>
      <c r="W904" s="292"/>
      <c r="X904" s="292"/>
      <c r="Y904" s="292"/>
      <c r="Z904" s="292"/>
      <c r="AA904" s="292"/>
      <c r="AB904" s="292"/>
      <c r="AC904" s="292"/>
    </row>
    <row r="905">
      <c r="A905" s="292"/>
      <c r="B905" s="292"/>
      <c r="C905" s="292"/>
      <c r="D905" s="292"/>
      <c r="E905" s="292"/>
      <c r="F905" s="292"/>
      <c r="G905" s="292"/>
      <c r="H905" s="292"/>
      <c r="I905" s="292"/>
      <c r="J905" s="292"/>
      <c r="K905" s="292"/>
      <c r="L905" s="292"/>
      <c r="M905" s="292"/>
      <c r="N905" s="292"/>
      <c r="O905" s="292"/>
      <c r="P905" s="292"/>
      <c r="Q905" s="292"/>
      <c r="R905" s="292"/>
      <c r="S905" s="292"/>
      <c r="T905" s="292"/>
      <c r="U905" s="292"/>
      <c r="V905" s="292"/>
      <c r="W905" s="292"/>
      <c r="X905" s="292"/>
      <c r="Y905" s="292"/>
      <c r="Z905" s="292"/>
      <c r="AA905" s="292"/>
      <c r="AB905" s="292"/>
      <c r="AC905" s="292"/>
    </row>
    <row r="906">
      <c r="A906" s="292"/>
      <c r="B906" s="292"/>
      <c r="C906" s="292"/>
      <c r="D906" s="292"/>
      <c r="E906" s="292"/>
      <c r="F906" s="292"/>
      <c r="G906" s="292"/>
      <c r="H906" s="292"/>
      <c r="I906" s="292"/>
      <c r="J906" s="292"/>
      <c r="K906" s="292"/>
      <c r="L906" s="292"/>
      <c r="M906" s="292"/>
      <c r="N906" s="292"/>
      <c r="O906" s="292"/>
      <c r="P906" s="292"/>
      <c r="Q906" s="292"/>
      <c r="R906" s="292"/>
      <c r="S906" s="292"/>
      <c r="T906" s="292"/>
      <c r="U906" s="292"/>
      <c r="V906" s="292"/>
      <c r="W906" s="292"/>
      <c r="X906" s="292"/>
      <c r="Y906" s="292"/>
      <c r="Z906" s="292"/>
      <c r="AA906" s="292"/>
      <c r="AB906" s="292"/>
      <c r="AC906" s="292"/>
    </row>
    <row r="907">
      <c r="A907" s="292"/>
      <c r="B907" s="292"/>
      <c r="C907" s="292"/>
      <c r="D907" s="292"/>
      <c r="E907" s="292"/>
      <c r="F907" s="292"/>
      <c r="G907" s="292"/>
      <c r="H907" s="292"/>
      <c r="I907" s="292"/>
      <c r="J907" s="292"/>
      <c r="K907" s="292"/>
      <c r="L907" s="292"/>
      <c r="M907" s="292"/>
      <c r="N907" s="292"/>
      <c r="O907" s="292"/>
      <c r="P907" s="292"/>
      <c r="Q907" s="292"/>
      <c r="R907" s="292"/>
      <c r="S907" s="292"/>
      <c r="T907" s="292"/>
      <c r="U907" s="292"/>
      <c r="V907" s="292"/>
      <c r="W907" s="292"/>
      <c r="X907" s="292"/>
      <c r="Y907" s="292"/>
      <c r="Z907" s="292"/>
      <c r="AA907" s="292"/>
      <c r="AB907" s="292"/>
      <c r="AC907" s="292"/>
    </row>
    <row r="908">
      <c r="A908" s="292"/>
      <c r="B908" s="292"/>
      <c r="C908" s="292"/>
      <c r="D908" s="292"/>
      <c r="E908" s="292"/>
      <c r="F908" s="292"/>
      <c r="G908" s="292"/>
      <c r="H908" s="292"/>
      <c r="I908" s="292"/>
      <c r="J908" s="292"/>
      <c r="K908" s="292"/>
      <c r="L908" s="292"/>
      <c r="M908" s="292"/>
      <c r="N908" s="292"/>
      <c r="O908" s="292"/>
      <c r="P908" s="292"/>
      <c r="Q908" s="292"/>
      <c r="R908" s="292"/>
      <c r="S908" s="292"/>
      <c r="T908" s="292"/>
      <c r="U908" s="292"/>
      <c r="V908" s="292"/>
      <c r="W908" s="292"/>
      <c r="X908" s="292"/>
      <c r="Y908" s="292"/>
      <c r="Z908" s="292"/>
      <c r="AA908" s="292"/>
      <c r="AB908" s="292"/>
      <c r="AC908" s="292"/>
    </row>
    <row r="909">
      <c r="A909" s="292"/>
      <c r="B909" s="292"/>
      <c r="C909" s="292"/>
      <c r="D909" s="292"/>
      <c r="E909" s="292"/>
      <c r="F909" s="292"/>
      <c r="G909" s="292"/>
      <c r="H909" s="292"/>
      <c r="I909" s="292"/>
      <c r="J909" s="292"/>
      <c r="K909" s="292"/>
      <c r="L909" s="292"/>
      <c r="M909" s="292"/>
      <c r="N909" s="292"/>
      <c r="O909" s="292"/>
      <c r="P909" s="292"/>
      <c r="Q909" s="292"/>
      <c r="R909" s="292"/>
      <c r="S909" s="292"/>
      <c r="T909" s="292"/>
      <c r="U909" s="292"/>
      <c r="V909" s="292"/>
      <c r="W909" s="292"/>
      <c r="X909" s="292"/>
      <c r="Y909" s="292"/>
      <c r="Z909" s="292"/>
      <c r="AA909" s="292"/>
      <c r="AB909" s="292"/>
      <c r="AC909" s="292"/>
    </row>
    <row r="910">
      <c r="A910" s="292"/>
      <c r="B910" s="292"/>
      <c r="C910" s="292"/>
      <c r="D910" s="292"/>
      <c r="E910" s="292"/>
      <c r="F910" s="292"/>
      <c r="G910" s="292"/>
      <c r="H910" s="292"/>
      <c r="I910" s="292"/>
      <c r="J910" s="292"/>
      <c r="K910" s="292"/>
      <c r="L910" s="292"/>
      <c r="M910" s="292"/>
      <c r="N910" s="292"/>
      <c r="O910" s="292"/>
      <c r="P910" s="292"/>
      <c r="Q910" s="292"/>
      <c r="R910" s="292"/>
      <c r="S910" s="292"/>
      <c r="T910" s="292"/>
      <c r="U910" s="292"/>
      <c r="V910" s="292"/>
      <c r="W910" s="292"/>
      <c r="X910" s="292"/>
      <c r="Y910" s="292"/>
      <c r="Z910" s="292"/>
      <c r="AA910" s="292"/>
      <c r="AB910" s="292"/>
      <c r="AC910" s="292"/>
    </row>
    <row r="911">
      <c r="A911" s="292"/>
      <c r="B911" s="292"/>
      <c r="C911" s="292"/>
      <c r="D911" s="292"/>
      <c r="E911" s="292"/>
      <c r="F911" s="292"/>
      <c r="G911" s="292"/>
      <c r="H911" s="292"/>
      <c r="I911" s="292"/>
      <c r="J911" s="292"/>
      <c r="K911" s="292"/>
      <c r="L911" s="292"/>
      <c r="M911" s="292"/>
      <c r="N911" s="292"/>
      <c r="O911" s="292"/>
      <c r="P911" s="292"/>
      <c r="Q911" s="292"/>
      <c r="R911" s="292"/>
      <c r="S911" s="292"/>
      <c r="T911" s="292"/>
      <c r="U911" s="292"/>
      <c r="V911" s="292"/>
      <c r="W911" s="292"/>
      <c r="X911" s="292"/>
      <c r="Y911" s="292"/>
      <c r="Z911" s="292"/>
      <c r="AA911" s="292"/>
      <c r="AB911" s="292"/>
      <c r="AC911" s="292"/>
    </row>
    <row r="912">
      <c r="A912" s="292"/>
      <c r="B912" s="292"/>
      <c r="C912" s="292"/>
      <c r="D912" s="292"/>
      <c r="E912" s="292"/>
      <c r="F912" s="292"/>
      <c r="G912" s="292"/>
      <c r="H912" s="292"/>
      <c r="I912" s="292"/>
      <c r="J912" s="292"/>
      <c r="K912" s="292"/>
      <c r="L912" s="292"/>
      <c r="M912" s="292"/>
      <c r="N912" s="292"/>
      <c r="O912" s="292"/>
      <c r="P912" s="292"/>
      <c r="Q912" s="292"/>
      <c r="R912" s="292"/>
      <c r="S912" s="292"/>
      <c r="T912" s="292"/>
      <c r="U912" s="292"/>
      <c r="V912" s="292"/>
      <c r="W912" s="292"/>
      <c r="X912" s="292"/>
      <c r="Y912" s="292"/>
      <c r="Z912" s="292"/>
      <c r="AA912" s="292"/>
      <c r="AB912" s="292"/>
      <c r="AC912" s="292"/>
    </row>
    <row r="913">
      <c r="A913" s="292"/>
      <c r="B913" s="292"/>
      <c r="C913" s="292"/>
      <c r="D913" s="292"/>
      <c r="E913" s="292"/>
      <c r="F913" s="292"/>
      <c r="G913" s="292"/>
      <c r="H913" s="292"/>
      <c r="I913" s="292"/>
      <c r="J913" s="292"/>
      <c r="K913" s="292"/>
      <c r="L913" s="292"/>
      <c r="M913" s="292"/>
      <c r="N913" s="292"/>
      <c r="O913" s="292"/>
      <c r="P913" s="292"/>
      <c r="Q913" s="292"/>
      <c r="R913" s="292"/>
      <c r="S913" s="292"/>
      <c r="T913" s="292"/>
      <c r="U913" s="292"/>
      <c r="V913" s="292"/>
      <c r="W913" s="292"/>
      <c r="X913" s="292"/>
      <c r="Y913" s="292"/>
      <c r="Z913" s="292"/>
      <c r="AA913" s="292"/>
      <c r="AB913" s="292"/>
      <c r="AC913" s="292"/>
    </row>
    <row r="914">
      <c r="A914" s="292"/>
      <c r="B914" s="292"/>
      <c r="C914" s="292"/>
      <c r="D914" s="292"/>
      <c r="E914" s="292"/>
      <c r="F914" s="292"/>
      <c r="G914" s="292"/>
      <c r="H914" s="292"/>
      <c r="I914" s="292"/>
      <c r="J914" s="292"/>
      <c r="K914" s="292"/>
      <c r="L914" s="292"/>
      <c r="M914" s="292"/>
      <c r="N914" s="292"/>
      <c r="O914" s="292"/>
      <c r="P914" s="292"/>
      <c r="Q914" s="292"/>
      <c r="R914" s="292"/>
      <c r="S914" s="292"/>
      <c r="T914" s="292"/>
      <c r="U914" s="292"/>
      <c r="V914" s="292"/>
      <c r="W914" s="292"/>
      <c r="X914" s="292"/>
      <c r="Y914" s="292"/>
      <c r="Z914" s="292"/>
      <c r="AA914" s="292"/>
      <c r="AB914" s="292"/>
      <c r="AC914" s="292"/>
    </row>
    <row r="915">
      <c r="A915" s="292"/>
      <c r="B915" s="292"/>
      <c r="C915" s="292"/>
      <c r="D915" s="292"/>
      <c r="E915" s="292"/>
      <c r="F915" s="292"/>
      <c r="G915" s="292"/>
      <c r="H915" s="292"/>
      <c r="I915" s="292"/>
      <c r="J915" s="292"/>
      <c r="K915" s="292"/>
      <c r="L915" s="292"/>
      <c r="M915" s="292"/>
      <c r="N915" s="292"/>
      <c r="O915" s="292"/>
      <c r="P915" s="292"/>
      <c r="Q915" s="292"/>
      <c r="R915" s="292"/>
      <c r="S915" s="292"/>
      <c r="T915" s="292"/>
      <c r="U915" s="292"/>
      <c r="V915" s="292"/>
      <c r="W915" s="292"/>
      <c r="X915" s="292"/>
      <c r="Y915" s="292"/>
      <c r="Z915" s="292"/>
      <c r="AA915" s="292"/>
      <c r="AB915" s="292"/>
      <c r="AC915" s="292"/>
    </row>
    <row r="916">
      <c r="A916" s="292"/>
      <c r="B916" s="292"/>
      <c r="C916" s="292"/>
      <c r="D916" s="292"/>
      <c r="E916" s="292"/>
      <c r="F916" s="292"/>
      <c r="G916" s="292"/>
      <c r="H916" s="292"/>
      <c r="I916" s="292"/>
      <c r="J916" s="292"/>
      <c r="K916" s="292"/>
      <c r="L916" s="292"/>
      <c r="M916" s="292"/>
      <c r="N916" s="292"/>
      <c r="O916" s="292"/>
      <c r="P916" s="292"/>
      <c r="Q916" s="292"/>
      <c r="R916" s="292"/>
      <c r="S916" s="292"/>
      <c r="T916" s="292"/>
      <c r="U916" s="292"/>
      <c r="V916" s="292"/>
      <c r="W916" s="292"/>
      <c r="X916" s="292"/>
      <c r="Y916" s="292"/>
      <c r="Z916" s="292"/>
      <c r="AA916" s="292"/>
      <c r="AB916" s="292"/>
      <c r="AC916" s="292"/>
    </row>
    <row r="917">
      <c r="A917" s="292"/>
      <c r="B917" s="292"/>
      <c r="C917" s="292"/>
      <c r="D917" s="292"/>
      <c r="E917" s="292"/>
      <c r="F917" s="292"/>
      <c r="G917" s="292"/>
      <c r="H917" s="292"/>
      <c r="I917" s="292"/>
      <c r="J917" s="292"/>
      <c r="K917" s="292"/>
      <c r="L917" s="292"/>
      <c r="M917" s="292"/>
      <c r="N917" s="292"/>
      <c r="O917" s="292"/>
      <c r="P917" s="292"/>
      <c r="Q917" s="292"/>
      <c r="R917" s="292"/>
      <c r="S917" s="292"/>
      <c r="T917" s="292"/>
      <c r="U917" s="292"/>
      <c r="V917" s="292"/>
      <c r="W917" s="292"/>
      <c r="X917" s="292"/>
      <c r="Y917" s="292"/>
      <c r="Z917" s="292"/>
      <c r="AA917" s="292"/>
      <c r="AB917" s="292"/>
      <c r="AC917" s="292"/>
    </row>
    <row r="918">
      <c r="A918" s="292"/>
      <c r="B918" s="292"/>
      <c r="C918" s="292"/>
      <c r="D918" s="292"/>
      <c r="E918" s="292"/>
      <c r="F918" s="292"/>
      <c r="G918" s="292"/>
      <c r="H918" s="292"/>
      <c r="I918" s="292"/>
      <c r="J918" s="292"/>
      <c r="K918" s="292"/>
      <c r="L918" s="292"/>
      <c r="M918" s="292"/>
      <c r="N918" s="292"/>
      <c r="O918" s="292"/>
      <c r="P918" s="292"/>
      <c r="Q918" s="292"/>
      <c r="R918" s="292"/>
      <c r="S918" s="292"/>
      <c r="T918" s="292"/>
      <c r="U918" s="292"/>
      <c r="V918" s="292"/>
      <c r="W918" s="292"/>
      <c r="X918" s="292"/>
      <c r="Y918" s="292"/>
      <c r="Z918" s="292"/>
      <c r="AA918" s="292"/>
      <c r="AB918" s="292"/>
      <c r="AC918" s="292"/>
    </row>
    <row r="919">
      <c r="A919" s="292"/>
      <c r="B919" s="292"/>
      <c r="C919" s="292"/>
      <c r="D919" s="292"/>
      <c r="E919" s="292"/>
      <c r="F919" s="292"/>
      <c r="G919" s="292"/>
      <c r="H919" s="292"/>
      <c r="I919" s="292"/>
      <c r="J919" s="292"/>
      <c r="K919" s="292"/>
      <c r="L919" s="292"/>
      <c r="M919" s="292"/>
      <c r="N919" s="292"/>
      <c r="O919" s="292"/>
      <c r="P919" s="292"/>
      <c r="Q919" s="292"/>
      <c r="R919" s="292"/>
      <c r="S919" s="292"/>
      <c r="T919" s="292"/>
      <c r="U919" s="292"/>
      <c r="V919" s="292"/>
      <c r="W919" s="292"/>
      <c r="X919" s="292"/>
      <c r="Y919" s="292"/>
      <c r="Z919" s="292"/>
      <c r="AA919" s="292"/>
      <c r="AB919" s="292"/>
      <c r="AC919" s="292"/>
    </row>
    <row r="920">
      <c r="A920" s="292"/>
      <c r="B920" s="292"/>
      <c r="C920" s="292"/>
      <c r="D920" s="292"/>
      <c r="E920" s="292"/>
      <c r="F920" s="292"/>
      <c r="G920" s="292"/>
      <c r="H920" s="292"/>
      <c r="I920" s="292"/>
      <c r="J920" s="292"/>
      <c r="K920" s="292"/>
      <c r="L920" s="292"/>
      <c r="M920" s="292"/>
      <c r="N920" s="292"/>
      <c r="O920" s="292"/>
      <c r="P920" s="292"/>
      <c r="Q920" s="292"/>
      <c r="R920" s="292"/>
      <c r="S920" s="292"/>
      <c r="T920" s="292"/>
      <c r="U920" s="292"/>
      <c r="V920" s="292"/>
      <c r="W920" s="292"/>
      <c r="X920" s="292"/>
      <c r="Y920" s="292"/>
      <c r="Z920" s="292"/>
      <c r="AA920" s="292"/>
      <c r="AB920" s="292"/>
      <c r="AC920" s="292"/>
    </row>
    <row r="921">
      <c r="A921" s="292"/>
      <c r="B921" s="292"/>
      <c r="C921" s="292"/>
      <c r="D921" s="292"/>
      <c r="E921" s="292"/>
      <c r="F921" s="292"/>
      <c r="G921" s="292"/>
      <c r="H921" s="292"/>
      <c r="I921" s="292"/>
      <c r="J921" s="292"/>
      <c r="K921" s="292"/>
      <c r="L921" s="292"/>
      <c r="M921" s="292"/>
      <c r="N921" s="292"/>
      <c r="O921" s="292"/>
      <c r="P921" s="292"/>
      <c r="Q921" s="292"/>
      <c r="R921" s="292"/>
      <c r="S921" s="292"/>
      <c r="T921" s="292"/>
      <c r="U921" s="292"/>
      <c r="V921" s="292"/>
      <c r="W921" s="292"/>
      <c r="X921" s="292"/>
      <c r="Y921" s="292"/>
      <c r="Z921" s="292"/>
      <c r="AA921" s="292"/>
      <c r="AB921" s="292"/>
      <c r="AC921" s="292"/>
    </row>
    <row r="922">
      <c r="A922" s="292"/>
      <c r="B922" s="292"/>
      <c r="C922" s="292"/>
      <c r="D922" s="292"/>
      <c r="E922" s="292"/>
      <c r="F922" s="292"/>
      <c r="G922" s="292"/>
      <c r="H922" s="292"/>
      <c r="I922" s="292"/>
      <c r="J922" s="292"/>
      <c r="K922" s="292"/>
      <c r="L922" s="292"/>
      <c r="M922" s="292"/>
      <c r="N922" s="292"/>
      <c r="O922" s="292"/>
      <c r="P922" s="292"/>
      <c r="Q922" s="292"/>
      <c r="R922" s="292"/>
      <c r="S922" s="292"/>
      <c r="T922" s="292"/>
      <c r="U922" s="292"/>
      <c r="V922" s="292"/>
      <c r="W922" s="292"/>
      <c r="X922" s="292"/>
      <c r="Y922" s="292"/>
      <c r="Z922" s="292"/>
      <c r="AA922" s="292"/>
      <c r="AB922" s="292"/>
      <c r="AC922" s="292"/>
    </row>
    <row r="923">
      <c r="A923" s="292"/>
      <c r="B923" s="292"/>
      <c r="C923" s="292"/>
      <c r="D923" s="292"/>
      <c r="E923" s="292"/>
      <c r="F923" s="292"/>
      <c r="G923" s="292"/>
      <c r="H923" s="292"/>
      <c r="I923" s="292"/>
      <c r="J923" s="292"/>
      <c r="K923" s="292"/>
      <c r="L923" s="292"/>
      <c r="M923" s="292"/>
      <c r="N923" s="292"/>
      <c r="O923" s="292"/>
      <c r="P923" s="292"/>
      <c r="Q923" s="292"/>
      <c r="R923" s="292"/>
      <c r="S923" s="292"/>
      <c r="T923" s="292"/>
      <c r="U923" s="292"/>
      <c r="V923" s="292"/>
      <c r="W923" s="292"/>
      <c r="X923" s="292"/>
      <c r="Y923" s="292"/>
      <c r="Z923" s="292"/>
      <c r="AA923" s="292"/>
      <c r="AB923" s="292"/>
      <c r="AC923" s="292"/>
    </row>
    <row r="924">
      <c r="A924" s="292"/>
      <c r="B924" s="292"/>
      <c r="C924" s="292"/>
      <c r="D924" s="292"/>
      <c r="E924" s="292"/>
      <c r="F924" s="292"/>
      <c r="G924" s="292"/>
      <c r="H924" s="292"/>
      <c r="I924" s="292"/>
      <c r="J924" s="292"/>
      <c r="K924" s="292"/>
      <c r="L924" s="292"/>
      <c r="M924" s="292"/>
      <c r="N924" s="292"/>
      <c r="O924" s="292"/>
      <c r="P924" s="292"/>
      <c r="Q924" s="292"/>
      <c r="R924" s="292"/>
      <c r="S924" s="292"/>
      <c r="T924" s="292"/>
      <c r="U924" s="292"/>
      <c r="V924" s="292"/>
      <c r="W924" s="292"/>
      <c r="X924" s="292"/>
      <c r="Y924" s="292"/>
      <c r="Z924" s="292"/>
      <c r="AA924" s="292"/>
      <c r="AB924" s="292"/>
      <c r="AC924" s="292"/>
    </row>
    <row r="925">
      <c r="A925" s="292"/>
      <c r="B925" s="292"/>
      <c r="C925" s="292"/>
      <c r="D925" s="292"/>
      <c r="E925" s="292"/>
      <c r="F925" s="292"/>
      <c r="G925" s="292"/>
      <c r="H925" s="292"/>
      <c r="I925" s="292"/>
      <c r="J925" s="292"/>
      <c r="K925" s="292"/>
      <c r="L925" s="292"/>
      <c r="M925" s="292"/>
      <c r="N925" s="292"/>
      <c r="O925" s="292"/>
      <c r="P925" s="292"/>
      <c r="Q925" s="292"/>
      <c r="R925" s="292"/>
      <c r="S925" s="292"/>
      <c r="T925" s="292"/>
      <c r="U925" s="292"/>
      <c r="V925" s="292"/>
      <c r="W925" s="292"/>
      <c r="X925" s="292"/>
      <c r="Y925" s="292"/>
      <c r="Z925" s="292"/>
      <c r="AA925" s="292"/>
      <c r="AB925" s="292"/>
      <c r="AC925" s="292"/>
    </row>
    <row r="926">
      <c r="A926" s="292"/>
      <c r="B926" s="292"/>
      <c r="C926" s="292"/>
      <c r="D926" s="292"/>
      <c r="E926" s="292"/>
      <c r="F926" s="292"/>
      <c r="G926" s="292"/>
      <c r="H926" s="292"/>
      <c r="I926" s="292"/>
      <c r="J926" s="292"/>
      <c r="K926" s="292"/>
      <c r="L926" s="292"/>
      <c r="M926" s="292"/>
      <c r="N926" s="292"/>
      <c r="O926" s="292"/>
      <c r="P926" s="292"/>
      <c r="Q926" s="292"/>
      <c r="R926" s="292"/>
      <c r="S926" s="292"/>
      <c r="T926" s="292"/>
      <c r="U926" s="292"/>
      <c r="V926" s="292"/>
      <c r="W926" s="292"/>
      <c r="X926" s="292"/>
      <c r="Y926" s="292"/>
      <c r="Z926" s="292"/>
      <c r="AA926" s="292"/>
      <c r="AB926" s="292"/>
      <c r="AC926" s="292"/>
    </row>
    <row r="927">
      <c r="A927" s="292"/>
      <c r="B927" s="292"/>
      <c r="C927" s="292"/>
      <c r="D927" s="292"/>
      <c r="E927" s="292"/>
      <c r="F927" s="292"/>
      <c r="G927" s="292"/>
      <c r="H927" s="292"/>
      <c r="I927" s="292"/>
      <c r="J927" s="292"/>
      <c r="K927" s="292"/>
      <c r="L927" s="292"/>
      <c r="M927" s="292"/>
      <c r="N927" s="292"/>
      <c r="O927" s="292"/>
      <c r="P927" s="292"/>
      <c r="Q927" s="292"/>
      <c r="R927" s="292"/>
      <c r="S927" s="292"/>
      <c r="T927" s="292"/>
      <c r="U927" s="292"/>
      <c r="V927" s="292"/>
      <c r="W927" s="292"/>
      <c r="X927" s="292"/>
      <c r="Y927" s="292"/>
      <c r="Z927" s="292"/>
      <c r="AA927" s="292"/>
      <c r="AB927" s="292"/>
      <c r="AC927" s="292"/>
    </row>
    <row r="928">
      <c r="A928" s="292"/>
      <c r="B928" s="292"/>
      <c r="C928" s="292"/>
      <c r="D928" s="292"/>
      <c r="E928" s="292"/>
      <c r="F928" s="292"/>
      <c r="G928" s="292"/>
      <c r="H928" s="292"/>
      <c r="I928" s="292"/>
      <c r="J928" s="292"/>
      <c r="K928" s="292"/>
      <c r="L928" s="292"/>
      <c r="M928" s="292"/>
      <c r="N928" s="292"/>
      <c r="O928" s="292"/>
      <c r="P928" s="292"/>
      <c r="Q928" s="292"/>
      <c r="R928" s="292"/>
      <c r="S928" s="292"/>
      <c r="T928" s="292"/>
      <c r="U928" s="292"/>
      <c r="V928" s="292"/>
      <c r="W928" s="292"/>
      <c r="X928" s="292"/>
      <c r="Y928" s="292"/>
      <c r="Z928" s="292"/>
      <c r="AA928" s="292"/>
      <c r="AB928" s="292"/>
      <c r="AC928" s="292"/>
    </row>
    <row r="929">
      <c r="A929" s="292"/>
      <c r="B929" s="292"/>
      <c r="C929" s="292"/>
      <c r="D929" s="292"/>
      <c r="E929" s="292"/>
      <c r="F929" s="292"/>
      <c r="G929" s="292"/>
      <c r="H929" s="292"/>
      <c r="I929" s="292"/>
      <c r="J929" s="292"/>
      <c r="K929" s="292"/>
      <c r="L929" s="292"/>
      <c r="M929" s="292"/>
      <c r="N929" s="292"/>
      <c r="O929" s="292"/>
      <c r="P929" s="292"/>
      <c r="Q929" s="292"/>
      <c r="R929" s="292"/>
      <c r="S929" s="292"/>
      <c r="T929" s="292"/>
      <c r="U929" s="292"/>
      <c r="V929" s="292"/>
      <c r="W929" s="292"/>
      <c r="X929" s="292"/>
      <c r="Y929" s="292"/>
      <c r="Z929" s="292"/>
      <c r="AA929" s="292"/>
      <c r="AB929" s="292"/>
      <c r="AC929" s="292"/>
    </row>
    <row r="930">
      <c r="A930" s="292"/>
      <c r="B930" s="292"/>
      <c r="C930" s="292"/>
      <c r="D930" s="292"/>
      <c r="E930" s="292"/>
      <c r="F930" s="292"/>
      <c r="G930" s="292"/>
      <c r="H930" s="292"/>
      <c r="I930" s="292"/>
      <c r="J930" s="292"/>
      <c r="K930" s="292"/>
      <c r="L930" s="292"/>
      <c r="M930" s="292"/>
      <c r="N930" s="292"/>
      <c r="O930" s="292"/>
      <c r="P930" s="292"/>
      <c r="Q930" s="292"/>
      <c r="R930" s="292"/>
      <c r="S930" s="292"/>
      <c r="T930" s="292"/>
      <c r="U930" s="292"/>
      <c r="V930" s="292"/>
      <c r="W930" s="292"/>
      <c r="X930" s="292"/>
      <c r="Y930" s="292"/>
      <c r="Z930" s="292"/>
      <c r="AA930" s="292"/>
      <c r="AB930" s="292"/>
      <c r="AC930" s="292"/>
    </row>
    <row r="931">
      <c r="A931" s="292"/>
      <c r="B931" s="292"/>
      <c r="C931" s="292"/>
      <c r="D931" s="292"/>
      <c r="E931" s="292"/>
      <c r="F931" s="292"/>
      <c r="G931" s="292"/>
      <c r="H931" s="292"/>
      <c r="I931" s="292"/>
      <c r="J931" s="292"/>
      <c r="K931" s="292"/>
      <c r="L931" s="292"/>
      <c r="M931" s="292"/>
      <c r="N931" s="292"/>
      <c r="O931" s="292"/>
      <c r="P931" s="292"/>
      <c r="Q931" s="292"/>
      <c r="R931" s="292"/>
      <c r="S931" s="292"/>
      <c r="T931" s="292"/>
      <c r="U931" s="292"/>
      <c r="V931" s="292"/>
      <c r="W931" s="292"/>
      <c r="X931" s="292"/>
      <c r="Y931" s="292"/>
      <c r="Z931" s="292"/>
      <c r="AA931" s="292"/>
      <c r="AB931" s="292"/>
      <c r="AC931" s="292"/>
    </row>
    <row r="932">
      <c r="A932" s="292"/>
      <c r="B932" s="292"/>
      <c r="C932" s="292"/>
      <c r="D932" s="292"/>
      <c r="E932" s="292"/>
      <c r="F932" s="292"/>
      <c r="G932" s="292"/>
      <c r="H932" s="292"/>
      <c r="I932" s="292"/>
      <c r="J932" s="292"/>
      <c r="K932" s="292"/>
      <c r="L932" s="292"/>
      <c r="M932" s="292"/>
      <c r="N932" s="292"/>
      <c r="O932" s="292"/>
      <c r="P932" s="292"/>
      <c r="Q932" s="292"/>
      <c r="R932" s="292"/>
      <c r="S932" s="292"/>
      <c r="T932" s="292"/>
      <c r="U932" s="292"/>
      <c r="V932" s="292"/>
      <c r="W932" s="292"/>
      <c r="X932" s="292"/>
      <c r="Y932" s="292"/>
      <c r="Z932" s="292"/>
      <c r="AA932" s="292"/>
      <c r="AB932" s="292"/>
      <c r="AC932" s="292"/>
    </row>
    <row r="933">
      <c r="A933" s="292"/>
      <c r="B933" s="292"/>
      <c r="C933" s="292"/>
      <c r="D933" s="292"/>
      <c r="E933" s="292"/>
      <c r="F933" s="292"/>
      <c r="G933" s="292"/>
      <c r="H933" s="292"/>
      <c r="I933" s="292"/>
      <c r="J933" s="292"/>
      <c r="K933" s="292"/>
      <c r="L933" s="292"/>
      <c r="M933" s="292"/>
      <c r="N933" s="292"/>
      <c r="O933" s="292"/>
      <c r="P933" s="292"/>
      <c r="Q933" s="292"/>
      <c r="R933" s="292"/>
      <c r="S933" s="292"/>
      <c r="T933" s="292"/>
      <c r="U933" s="292"/>
      <c r="V933" s="292"/>
      <c r="W933" s="292"/>
      <c r="X933" s="292"/>
      <c r="Y933" s="292"/>
      <c r="Z933" s="292"/>
      <c r="AA933" s="292"/>
      <c r="AB933" s="292"/>
      <c r="AC933" s="292"/>
    </row>
    <row r="934">
      <c r="A934" s="292"/>
      <c r="B934" s="292"/>
      <c r="C934" s="292"/>
      <c r="D934" s="292"/>
      <c r="E934" s="292"/>
      <c r="F934" s="292"/>
      <c r="G934" s="292"/>
      <c r="H934" s="292"/>
      <c r="I934" s="292"/>
      <c r="J934" s="292"/>
      <c r="K934" s="292"/>
      <c r="L934" s="292"/>
      <c r="M934" s="292"/>
      <c r="N934" s="292"/>
      <c r="O934" s="292"/>
      <c r="P934" s="292"/>
      <c r="Q934" s="292"/>
      <c r="R934" s="292"/>
      <c r="S934" s="292"/>
      <c r="T934" s="292"/>
      <c r="U934" s="292"/>
      <c r="V934" s="292"/>
      <c r="W934" s="292"/>
      <c r="X934" s="292"/>
      <c r="Y934" s="292"/>
      <c r="Z934" s="292"/>
      <c r="AA934" s="292"/>
      <c r="AB934" s="292"/>
      <c r="AC934" s="292"/>
    </row>
    <row r="935">
      <c r="A935" s="292"/>
      <c r="B935" s="292"/>
      <c r="C935" s="292"/>
      <c r="D935" s="292"/>
      <c r="E935" s="292"/>
      <c r="F935" s="292"/>
      <c r="G935" s="292"/>
      <c r="H935" s="292"/>
      <c r="I935" s="292"/>
      <c r="J935" s="292"/>
      <c r="K935" s="292"/>
      <c r="L935" s="292"/>
      <c r="M935" s="292"/>
      <c r="N935" s="292"/>
      <c r="O935" s="292"/>
      <c r="P935" s="292"/>
      <c r="Q935" s="292"/>
      <c r="R935" s="292"/>
      <c r="S935" s="292"/>
      <c r="T935" s="292"/>
      <c r="U935" s="292"/>
      <c r="V935" s="292"/>
      <c r="W935" s="292"/>
      <c r="X935" s="292"/>
      <c r="Y935" s="292"/>
      <c r="Z935" s="292"/>
      <c r="AA935" s="292"/>
      <c r="AB935" s="292"/>
      <c r="AC935" s="292"/>
    </row>
    <row r="936">
      <c r="A936" s="292"/>
      <c r="B936" s="292"/>
      <c r="C936" s="292"/>
      <c r="D936" s="292"/>
      <c r="E936" s="292"/>
      <c r="F936" s="292"/>
      <c r="G936" s="292"/>
      <c r="H936" s="292"/>
      <c r="I936" s="292"/>
      <c r="J936" s="292"/>
      <c r="K936" s="292"/>
      <c r="L936" s="292"/>
      <c r="M936" s="292"/>
      <c r="N936" s="292"/>
      <c r="O936" s="292"/>
      <c r="P936" s="292"/>
      <c r="Q936" s="292"/>
      <c r="R936" s="292"/>
      <c r="S936" s="292"/>
      <c r="T936" s="292"/>
      <c r="U936" s="292"/>
      <c r="V936" s="292"/>
      <c r="W936" s="292"/>
      <c r="X936" s="292"/>
      <c r="Y936" s="292"/>
      <c r="Z936" s="292"/>
      <c r="AA936" s="292"/>
      <c r="AB936" s="292"/>
      <c r="AC936" s="292"/>
    </row>
    <row r="937">
      <c r="A937" s="292"/>
      <c r="B937" s="292"/>
      <c r="C937" s="292"/>
      <c r="D937" s="292"/>
      <c r="E937" s="292"/>
      <c r="F937" s="292"/>
      <c r="G937" s="292"/>
      <c r="H937" s="292"/>
      <c r="I937" s="292"/>
      <c r="J937" s="292"/>
      <c r="K937" s="292"/>
      <c r="L937" s="292"/>
      <c r="M937" s="292"/>
      <c r="N937" s="292"/>
      <c r="O937" s="292"/>
      <c r="P937" s="292"/>
      <c r="Q937" s="292"/>
      <c r="R937" s="292"/>
      <c r="S937" s="292"/>
      <c r="T937" s="292"/>
      <c r="U937" s="292"/>
      <c r="V937" s="292"/>
      <c r="W937" s="292"/>
      <c r="X937" s="292"/>
      <c r="Y937" s="292"/>
      <c r="Z937" s="292"/>
      <c r="AA937" s="292"/>
      <c r="AB937" s="292"/>
      <c r="AC937" s="292"/>
    </row>
    <row r="938">
      <c r="A938" s="292"/>
      <c r="B938" s="292"/>
      <c r="C938" s="292"/>
      <c r="D938" s="292"/>
      <c r="E938" s="292"/>
      <c r="F938" s="292"/>
      <c r="G938" s="292"/>
      <c r="H938" s="292"/>
      <c r="I938" s="292"/>
      <c r="J938" s="292"/>
      <c r="K938" s="292"/>
      <c r="L938" s="292"/>
      <c r="M938" s="292"/>
      <c r="N938" s="292"/>
      <c r="O938" s="292"/>
      <c r="P938" s="292"/>
      <c r="Q938" s="292"/>
      <c r="R938" s="292"/>
      <c r="S938" s="292"/>
      <c r="T938" s="292"/>
      <c r="U938" s="292"/>
      <c r="V938" s="292"/>
      <c r="W938" s="292"/>
      <c r="X938" s="292"/>
      <c r="Y938" s="292"/>
      <c r="Z938" s="292"/>
      <c r="AA938" s="292"/>
      <c r="AB938" s="292"/>
      <c r="AC938" s="292"/>
    </row>
    <row r="939">
      <c r="A939" s="292"/>
      <c r="B939" s="292"/>
      <c r="C939" s="292"/>
      <c r="D939" s="292"/>
      <c r="E939" s="292"/>
      <c r="F939" s="292"/>
      <c r="G939" s="292"/>
      <c r="H939" s="292"/>
      <c r="I939" s="292"/>
      <c r="J939" s="292"/>
      <c r="K939" s="292"/>
      <c r="L939" s="292"/>
      <c r="M939" s="292"/>
      <c r="N939" s="292"/>
      <c r="O939" s="292"/>
      <c r="P939" s="292"/>
      <c r="Q939" s="292"/>
      <c r="R939" s="292"/>
      <c r="S939" s="292"/>
      <c r="T939" s="292"/>
      <c r="U939" s="292"/>
      <c r="V939" s="292"/>
      <c r="W939" s="292"/>
      <c r="X939" s="292"/>
      <c r="Y939" s="292"/>
      <c r="Z939" s="292"/>
      <c r="AA939" s="292"/>
      <c r="AB939" s="292"/>
      <c r="AC939" s="292"/>
    </row>
    <row r="940">
      <c r="A940" s="292"/>
      <c r="B940" s="292"/>
      <c r="C940" s="292"/>
      <c r="D940" s="292"/>
      <c r="E940" s="292"/>
      <c r="F940" s="292"/>
      <c r="G940" s="292"/>
      <c r="H940" s="292"/>
      <c r="I940" s="292"/>
      <c r="J940" s="292"/>
      <c r="K940" s="292"/>
      <c r="L940" s="292"/>
      <c r="M940" s="292"/>
      <c r="N940" s="292"/>
      <c r="O940" s="292"/>
      <c r="P940" s="292"/>
      <c r="Q940" s="292"/>
      <c r="R940" s="292"/>
      <c r="S940" s="292"/>
      <c r="T940" s="292"/>
      <c r="U940" s="292"/>
      <c r="V940" s="292"/>
      <c r="W940" s="292"/>
      <c r="X940" s="292"/>
      <c r="Y940" s="292"/>
      <c r="Z940" s="292"/>
      <c r="AA940" s="292"/>
      <c r="AB940" s="292"/>
      <c r="AC940" s="292"/>
    </row>
    <row r="941">
      <c r="A941" s="292"/>
      <c r="B941" s="292"/>
      <c r="C941" s="292"/>
      <c r="D941" s="292"/>
      <c r="E941" s="292"/>
      <c r="F941" s="292"/>
      <c r="G941" s="292"/>
      <c r="H941" s="292"/>
      <c r="I941" s="292"/>
      <c r="J941" s="292"/>
      <c r="K941" s="292"/>
      <c r="L941" s="292"/>
      <c r="M941" s="292"/>
      <c r="N941" s="292"/>
      <c r="O941" s="292"/>
      <c r="P941" s="292"/>
      <c r="Q941" s="292"/>
      <c r="R941" s="292"/>
      <c r="S941" s="292"/>
      <c r="T941" s="292"/>
      <c r="U941" s="292"/>
      <c r="V941" s="292"/>
      <c r="W941" s="292"/>
      <c r="X941" s="292"/>
      <c r="Y941" s="292"/>
      <c r="Z941" s="292"/>
      <c r="AA941" s="292"/>
      <c r="AB941" s="292"/>
      <c r="AC941" s="292"/>
    </row>
    <row r="942">
      <c r="A942" s="292"/>
      <c r="B942" s="292"/>
      <c r="C942" s="292"/>
      <c r="D942" s="292"/>
      <c r="E942" s="292"/>
      <c r="F942" s="292"/>
      <c r="G942" s="292"/>
      <c r="H942" s="292"/>
      <c r="I942" s="292"/>
      <c r="J942" s="292"/>
      <c r="K942" s="292"/>
      <c r="L942" s="292"/>
      <c r="M942" s="292"/>
      <c r="N942" s="292"/>
      <c r="O942" s="292"/>
      <c r="P942" s="292"/>
      <c r="Q942" s="292"/>
      <c r="R942" s="292"/>
      <c r="S942" s="292"/>
      <c r="T942" s="292"/>
      <c r="U942" s="292"/>
      <c r="V942" s="292"/>
      <c r="W942" s="292"/>
      <c r="X942" s="292"/>
      <c r="Y942" s="292"/>
      <c r="Z942" s="292"/>
      <c r="AA942" s="292"/>
      <c r="AB942" s="292"/>
      <c r="AC942" s="292"/>
    </row>
    <row r="943">
      <c r="A943" s="292"/>
      <c r="B943" s="292"/>
      <c r="C943" s="292"/>
      <c r="D943" s="292"/>
      <c r="E943" s="292"/>
      <c r="F943" s="292"/>
      <c r="G943" s="292"/>
      <c r="H943" s="292"/>
      <c r="I943" s="292"/>
      <c r="J943" s="292"/>
      <c r="K943" s="292"/>
      <c r="L943" s="292"/>
      <c r="M943" s="292"/>
      <c r="N943" s="292"/>
      <c r="O943" s="292"/>
      <c r="P943" s="292"/>
      <c r="Q943" s="292"/>
      <c r="R943" s="292"/>
      <c r="S943" s="292"/>
      <c r="T943" s="292"/>
      <c r="U943" s="292"/>
      <c r="V943" s="292"/>
      <c r="W943" s="292"/>
      <c r="X943" s="292"/>
      <c r="Y943" s="292"/>
      <c r="Z943" s="292"/>
      <c r="AA943" s="292"/>
      <c r="AB943" s="292"/>
      <c r="AC943" s="292"/>
    </row>
    <row r="944">
      <c r="A944" s="292"/>
      <c r="B944" s="292"/>
      <c r="C944" s="292"/>
      <c r="D944" s="292"/>
      <c r="E944" s="292"/>
      <c r="F944" s="292"/>
      <c r="G944" s="292"/>
      <c r="H944" s="292"/>
      <c r="I944" s="292"/>
      <c r="J944" s="292"/>
      <c r="K944" s="292"/>
      <c r="L944" s="292"/>
      <c r="M944" s="292"/>
      <c r="N944" s="292"/>
      <c r="O944" s="292"/>
      <c r="P944" s="292"/>
      <c r="Q944" s="292"/>
      <c r="R944" s="292"/>
      <c r="S944" s="292"/>
      <c r="T944" s="292"/>
      <c r="U944" s="292"/>
      <c r="V944" s="292"/>
      <c r="W944" s="292"/>
      <c r="X944" s="292"/>
      <c r="Y944" s="292"/>
      <c r="Z944" s="292"/>
      <c r="AA944" s="292"/>
      <c r="AB944" s="292"/>
      <c r="AC944" s="292"/>
    </row>
    <row r="945">
      <c r="A945" s="292"/>
      <c r="B945" s="292"/>
      <c r="C945" s="292"/>
      <c r="D945" s="292"/>
      <c r="E945" s="292"/>
      <c r="F945" s="292"/>
      <c r="G945" s="292"/>
      <c r="H945" s="292"/>
      <c r="I945" s="292"/>
      <c r="J945" s="292"/>
      <c r="K945" s="292"/>
      <c r="L945" s="292"/>
      <c r="M945" s="292"/>
      <c r="N945" s="292"/>
      <c r="O945" s="292"/>
      <c r="P945" s="292"/>
      <c r="Q945" s="292"/>
      <c r="R945" s="292"/>
      <c r="S945" s="292"/>
      <c r="T945" s="292"/>
      <c r="U945" s="292"/>
      <c r="V945" s="292"/>
      <c r="W945" s="292"/>
      <c r="X945" s="292"/>
      <c r="Y945" s="292"/>
      <c r="Z945" s="292"/>
      <c r="AA945" s="292"/>
      <c r="AB945" s="292"/>
      <c r="AC945" s="292"/>
    </row>
    <row r="946">
      <c r="A946" s="292"/>
      <c r="B946" s="292"/>
      <c r="C946" s="292"/>
      <c r="D946" s="292"/>
      <c r="E946" s="292"/>
      <c r="F946" s="292"/>
      <c r="G946" s="292"/>
      <c r="H946" s="292"/>
      <c r="I946" s="292"/>
      <c r="J946" s="292"/>
      <c r="K946" s="292"/>
      <c r="L946" s="292"/>
      <c r="M946" s="292"/>
      <c r="N946" s="292"/>
      <c r="O946" s="292"/>
      <c r="P946" s="292"/>
      <c r="Q946" s="292"/>
      <c r="R946" s="292"/>
      <c r="S946" s="292"/>
      <c r="T946" s="292"/>
      <c r="U946" s="292"/>
      <c r="V946" s="292"/>
      <c r="W946" s="292"/>
      <c r="X946" s="292"/>
      <c r="Y946" s="292"/>
      <c r="Z946" s="292"/>
      <c r="AA946" s="292"/>
      <c r="AB946" s="292"/>
      <c r="AC946" s="292"/>
    </row>
    <row r="947">
      <c r="A947" s="292"/>
      <c r="B947" s="292"/>
      <c r="C947" s="292"/>
      <c r="D947" s="292"/>
      <c r="E947" s="292"/>
      <c r="F947" s="292"/>
      <c r="G947" s="292"/>
      <c r="H947" s="292"/>
      <c r="I947" s="292"/>
      <c r="J947" s="292"/>
      <c r="K947" s="292"/>
      <c r="L947" s="292"/>
      <c r="M947" s="292"/>
      <c r="N947" s="292"/>
      <c r="O947" s="292"/>
      <c r="P947" s="292"/>
      <c r="Q947" s="292"/>
      <c r="R947" s="292"/>
      <c r="S947" s="292"/>
      <c r="T947" s="292"/>
      <c r="U947" s="292"/>
      <c r="V947" s="292"/>
      <c r="W947" s="292"/>
      <c r="X947" s="292"/>
      <c r="Y947" s="292"/>
      <c r="Z947" s="292"/>
      <c r="AA947" s="292"/>
      <c r="AB947" s="292"/>
      <c r="AC947" s="292"/>
    </row>
    <row r="948">
      <c r="A948" s="292"/>
      <c r="B948" s="292"/>
      <c r="C948" s="292"/>
      <c r="D948" s="292"/>
      <c r="E948" s="292"/>
      <c r="F948" s="292"/>
      <c r="G948" s="292"/>
      <c r="H948" s="292"/>
      <c r="I948" s="292"/>
      <c r="J948" s="292"/>
      <c r="K948" s="292"/>
      <c r="L948" s="292"/>
      <c r="M948" s="292"/>
      <c r="N948" s="292"/>
      <c r="O948" s="292"/>
      <c r="P948" s="292"/>
      <c r="Q948" s="292"/>
      <c r="R948" s="292"/>
      <c r="S948" s="292"/>
      <c r="T948" s="292"/>
      <c r="U948" s="292"/>
      <c r="V948" s="292"/>
      <c r="W948" s="292"/>
      <c r="X948" s="292"/>
      <c r="Y948" s="292"/>
      <c r="Z948" s="292"/>
      <c r="AA948" s="292"/>
      <c r="AB948" s="292"/>
      <c r="AC948" s="292"/>
    </row>
    <row r="949">
      <c r="A949" s="292"/>
      <c r="B949" s="292"/>
      <c r="C949" s="292"/>
      <c r="D949" s="292"/>
      <c r="E949" s="292"/>
      <c r="F949" s="292"/>
      <c r="G949" s="292"/>
      <c r="H949" s="292"/>
      <c r="I949" s="292"/>
      <c r="J949" s="292"/>
      <c r="K949" s="292"/>
      <c r="L949" s="292"/>
      <c r="M949" s="292"/>
      <c r="N949" s="292"/>
      <c r="O949" s="292"/>
      <c r="P949" s="292"/>
      <c r="Q949" s="292"/>
      <c r="R949" s="292"/>
      <c r="S949" s="292"/>
      <c r="T949" s="292"/>
      <c r="U949" s="292"/>
      <c r="V949" s="292"/>
      <c r="W949" s="292"/>
      <c r="X949" s="292"/>
      <c r="Y949" s="292"/>
      <c r="Z949" s="292"/>
      <c r="AA949" s="292"/>
      <c r="AB949" s="292"/>
      <c r="AC949" s="292"/>
    </row>
    <row r="950">
      <c r="A950" s="292"/>
      <c r="B950" s="292"/>
      <c r="C950" s="292"/>
      <c r="D950" s="292"/>
      <c r="E950" s="292"/>
      <c r="F950" s="292"/>
      <c r="G950" s="292"/>
      <c r="H950" s="292"/>
      <c r="I950" s="292"/>
      <c r="J950" s="292"/>
      <c r="K950" s="292"/>
      <c r="L950" s="292"/>
      <c r="M950" s="292"/>
      <c r="N950" s="292"/>
      <c r="O950" s="292"/>
      <c r="P950" s="292"/>
      <c r="Q950" s="292"/>
      <c r="R950" s="292"/>
      <c r="S950" s="292"/>
      <c r="T950" s="292"/>
      <c r="U950" s="292"/>
      <c r="V950" s="292"/>
      <c r="W950" s="292"/>
      <c r="X950" s="292"/>
      <c r="Y950" s="292"/>
      <c r="Z950" s="292"/>
      <c r="AA950" s="292"/>
      <c r="AB950" s="292"/>
      <c r="AC950" s="292"/>
    </row>
    <row r="951">
      <c r="A951" s="292"/>
      <c r="B951" s="292"/>
      <c r="C951" s="292"/>
      <c r="D951" s="292"/>
      <c r="E951" s="292"/>
      <c r="F951" s="292"/>
      <c r="G951" s="292"/>
      <c r="H951" s="292"/>
      <c r="I951" s="292"/>
      <c r="J951" s="292"/>
      <c r="K951" s="292"/>
      <c r="L951" s="292"/>
      <c r="M951" s="292"/>
      <c r="N951" s="292"/>
      <c r="O951" s="292"/>
      <c r="P951" s="292"/>
      <c r="Q951" s="292"/>
      <c r="R951" s="292"/>
      <c r="S951" s="292"/>
      <c r="T951" s="292"/>
      <c r="U951" s="292"/>
      <c r="V951" s="292"/>
      <c r="W951" s="292"/>
      <c r="X951" s="292"/>
      <c r="Y951" s="292"/>
      <c r="Z951" s="292"/>
      <c r="AA951" s="292"/>
      <c r="AB951" s="292"/>
      <c r="AC951" s="292"/>
    </row>
    <row r="952">
      <c r="A952" s="292"/>
      <c r="B952" s="292"/>
      <c r="C952" s="292"/>
      <c r="D952" s="292"/>
      <c r="E952" s="292"/>
      <c r="F952" s="292"/>
      <c r="G952" s="292"/>
      <c r="H952" s="292"/>
      <c r="I952" s="292"/>
      <c r="J952" s="292"/>
      <c r="K952" s="292"/>
      <c r="L952" s="292"/>
      <c r="M952" s="292"/>
      <c r="N952" s="292"/>
      <c r="O952" s="292"/>
      <c r="P952" s="292"/>
      <c r="Q952" s="292"/>
      <c r="R952" s="292"/>
      <c r="S952" s="292"/>
      <c r="T952" s="292"/>
      <c r="U952" s="292"/>
      <c r="V952" s="292"/>
      <c r="W952" s="292"/>
      <c r="X952" s="292"/>
      <c r="Y952" s="292"/>
      <c r="Z952" s="292"/>
      <c r="AA952" s="292"/>
      <c r="AB952" s="292"/>
      <c r="AC952" s="292"/>
    </row>
    <row r="953">
      <c r="A953" s="292"/>
      <c r="B953" s="292"/>
      <c r="C953" s="292"/>
      <c r="D953" s="292"/>
      <c r="E953" s="292"/>
      <c r="F953" s="292"/>
      <c r="G953" s="292"/>
      <c r="H953" s="292"/>
      <c r="I953" s="292"/>
      <c r="J953" s="292"/>
      <c r="K953" s="292"/>
      <c r="L953" s="292"/>
      <c r="M953" s="292"/>
      <c r="N953" s="292"/>
      <c r="O953" s="292"/>
      <c r="P953" s="292"/>
      <c r="Q953" s="292"/>
      <c r="R953" s="292"/>
      <c r="S953" s="292"/>
      <c r="T953" s="292"/>
      <c r="U953" s="292"/>
      <c r="V953" s="292"/>
      <c r="W953" s="292"/>
      <c r="X953" s="292"/>
      <c r="Y953" s="292"/>
      <c r="Z953" s="292"/>
      <c r="AA953" s="292"/>
      <c r="AB953" s="292"/>
      <c r="AC953" s="292"/>
    </row>
    <row r="954">
      <c r="A954" s="292"/>
      <c r="B954" s="292"/>
      <c r="C954" s="292"/>
      <c r="D954" s="292"/>
      <c r="E954" s="292"/>
      <c r="F954" s="292"/>
      <c r="G954" s="292"/>
      <c r="H954" s="292"/>
      <c r="I954" s="292"/>
      <c r="J954" s="292"/>
      <c r="K954" s="292"/>
      <c r="L954" s="292"/>
      <c r="M954" s="292"/>
      <c r="N954" s="292"/>
      <c r="O954" s="292"/>
      <c r="P954" s="292"/>
      <c r="Q954" s="292"/>
      <c r="R954" s="292"/>
      <c r="S954" s="292"/>
      <c r="T954" s="292"/>
      <c r="U954" s="292"/>
      <c r="V954" s="292"/>
      <c r="W954" s="292"/>
      <c r="X954" s="292"/>
      <c r="Y954" s="292"/>
      <c r="Z954" s="292"/>
      <c r="AA954" s="292"/>
      <c r="AB954" s="292"/>
      <c r="AC954" s="292"/>
    </row>
    <row r="955">
      <c r="A955" s="292"/>
      <c r="B955" s="292"/>
      <c r="C955" s="292"/>
      <c r="D955" s="292"/>
      <c r="E955" s="292"/>
      <c r="F955" s="292"/>
      <c r="G955" s="292"/>
      <c r="H955" s="292"/>
      <c r="I955" s="292"/>
      <c r="J955" s="292"/>
      <c r="K955" s="292"/>
      <c r="L955" s="292"/>
      <c r="M955" s="292"/>
      <c r="N955" s="292"/>
      <c r="O955" s="292"/>
      <c r="P955" s="292"/>
      <c r="Q955" s="292"/>
      <c r="R955" s="292"/>
      <c r="S955" s="292"/>
      <c r="T955" s="292"/>
      <c r="U955" s="292"/>
      <c r="V955" s="292"/>
      <c r="W955" s="292"/>
      <c r="X955" s="292"/>
      <c r="Y955" s="292"/>
      <c r="Z955" s="292"/>
      <c r="AA955" s="292"/>
      <c r="AB955" s="292"/>
      <c r="AC955" s="292"/>
    </row>
    <row r="956">
      <c r="A956" s="292"/>
      <c r="B956" s="292"/>
      <c r="C956" s="292"/>
      <c r="D956" s="292"/>
      <c r="E956" s="292"/>
      <c r="F956" s="292"/>
      <c r="G956" s="292"/>
      <c r="H956" s="292"/>
      <c r="I956" s="292"/>
      <c r="J956" s="292"/>
      <c r="K956" s="292"/>
      <c r="L956" s="292"/>
      <c r="M956" s="292"/>
      <c r="N956" s="292"/>
      <c r="O956" s="292"/>
      <c r="P956" s="292"/>
      <c r="Q956" s="292"/>
      <c r="R956" s="292"/>
      <c r="S956" s="292"/>
      <c r="T956" s="292"/>
      <c r="U956" s="292"/>
      <c r="V956" s="292"/>
      <c r="W956" s="292"/>
      <c r="X956" s="292"/>
      <c r="Y956" s="292"/>
      <c r="Z956" s="292"/>
      <c r="AA956" s="292"/>
      <c r="AB956" s="292"/>
      <c r="AC956" s="292"/>
    </row>
    <row r="957">
      <c r="A957" s="292"/>
      <c r="B957" s="292"/>
      <c r="C957" s="292"/>
      <c r="D957" s="292"/>
      <c r="E957" s="292"/>
      <c r="F957" s="292"/>
      <c r="G957" s="292"/>
      <c r="H957" s="292"/>
      <c r="I957" s="292"/>
      <c r="J957" s="292"/>
      <c r="K957" s="292"/>
      <c r="L957" s="292"/>
      <c r="M957" s="292"/>
      <c r="N957" s="292"/>
      <c r="O957" s="292"/>
      <c r="P957" s="292"/>
      <c r="Q957" s="292"/>
      <c r="R957" s="292"/>
      <c r="S957" s="292"/>
      <c r="T957" s="292"/>
      <c r="U957" s="292"/>
      <c r="V957" s="292"/>
      <c r="W957" s="292"/>
      <c r="X957" s="292"/>
      <c r="Y957" s="292"/>
      <c r="Z957" s="292"/>
      <c r="AA957" s="292"/>
      <c r="AB957" s="292"/>
      <c r="AC957" s="292"/>
    </row>
    <row r="958">
      <c r="A958" s="292"/>
      <c r="B958" s="292"/>
      <c r="C958" s="292"/>
      <c r="D958" s="292"/>
      <c r="E958" s="292"/>
      <c r="F958" s="292"/>
      <c r="G958" s="292"/>
      <c r="H958" s="292"/>
      <c r="I958" s="292"/>
      <c r="J958" s="292"/>
      <c r="K958" s="292"/>
      <c r="L958" s="292"/>
      <c r="M958" s="292"/>
      <c r="N958" s="292"/>
      <c r="O958" s="292"/>
      <c r="P958" s="292"/>
      <c r="Q958" s="292"/>
      <c r="R958" s="292"/>
      <c r="S958" s="292"/>
      <c r="T958" s="292"/>
      <c r="U958" s="292"/>
      <c r="V958" s="292"/>
      <c r="W958" s="292"/>
      <c r="X958" s="292"/>
      <c r="Y958" s="292"/>
      <c r="Z958" s="292"/>
      <c r="AA958" s="292"/>
      <c r="AB958" s="292"/>
      <c r="AC958" s="292"/>
    </row>
    <row r="959">
      <c r="A959" s="292"/>
      <c r="B959" s="292"/>
      <c r="C959" s="292"/>
      <c r="D959" s="292"/>
      <c r="E959" s="292"/>
      <c r="F959" s="292"/>
      <c r="G959" s="292"/>
      <c r="H959" s="292"/>
      <c r="I959" s="292"/>
      <c r="J959" s="292"/>
      <c r="K959" s="292"/>
      <c r="L959" s="292"/>
      <c r="M959" s="292"/>
      <c r="N959" s="292"/>
      <c r="O959" s="292"/>
      <c r="P959" s="292"/>
      <c r="Q959" s="292"/>
      <c r="R959" s="292"/>
      <c r="S959" s="292"/>
      <c r="T959" s="292"/>
      <c r="U959" s="292"/>
      <c r="V959" s="292"/>
      <c r="W959" s="292"/>
      <c r="X959" s="292"/>
      <c r="Y959" s="292"/>
      <c r="Z959" s="292"/>
      <c r="AA959" s="292"/>
      <c r="AB959" s="292"/>
      <c r="AC959" s="292"/>
    </row>
    <row r="960">
      <c r="A960" s="292"/>
      <c r="B960" s="292"/>
      <c r="C960" s="292"/>
      <c r="D960" s="292"/>
      <c r="E960" s="292"/>
      <c r="F960" s="292"/>
      <c r="G960" s="292"/>
      <c r="H960" s="292"/>
      <c r="I960" s="292"/>
      <c r="J960" s="292"/>
      <c r="K960" s="292"/>
      <c r="L960" s="292"/>
      <c r="M960" s="292"/>
      <c r="N960" s="292"/>
      <c r="O960" s="292"/>
      <c r="P960" s="292"/>
      <c r="Q960" s="292"/>
      <c r="R960" s="292"/>
      <c r="S960" s="292"/>
      <c r="T960" s="292"/>
      <c r="U960" s="292"/>
      <c r="V960" s="292"/>
      <c r="W960" s="292"/>
      <c r="X960" s="292"/>
      <c r="Y960" s="292"/>
      <c r="Z960" s="292"/>
      <c r="AA960" s="292"/>
      <c r="AB960" s="292"/>
      <c r="AC960" s="292"/>
    </row>
    <row r="961">
      <c r="A961" s="292"/>
      <c r="B961" s="292"/>
      <c r="C961" s="292"/>
      <c r="D961" s="292"/>
      <c r="E961" s="292"/>
      <c r="F961" s="292"/>
      <c r="G961" s="292"/>
      <c r="H961" s="292"/>
      <c r="I961" s="292"/>
      <c r="J961" s="292"/>
      <c r="K961" s="292"/>
      <c r="L961" s="292"/>
      <c r="M961" s="292"/>
      <c r="N961" s="292"/>
      <c r="O961" s="292"/>
      <c r="P961" s="292"/>
      <c r="Q961" s="292"/>
      <c r="R961" s="292"/>
      <c r="S961" s="292"/>
      <c r="T961" s="292"/>
      <c r="U961" s="292"/>
      <c r="V961" s="292"/>
      <c r="W961" s="292"/>
      <c r="X961" s="292"/>
      <c r="Y961" s="292"/>
      <c r="Z961" s="292"/>
      <c r="AA961" s="292"/>
      <c r="AB961" s="292"/>
      <c r="AC961" s="292"/>
    </row>
    <row r="962">
      <c r="A962" s="292"/>
      <c r="B962" s="292"/>
      <c r="C962" s="292"/>
      <c r="D962" s="292"/>
      <c r="E962" s="292"/>
      <c r="F962" s="292"/>
      <c r="G962" s="292"/>
      <c r="H962" s="292"/>
      <c r="I962" s="292"/>
      <c r="J962" s="292"/>
      <c r="K962" s="292"/>
      <c r="L962" s="292"/>
      <c r="M962" s="292"/>
      <c r="N962" s="292"/>
      <c r="O962" s="292"/>
      <c r="P962" s="292"/>
      <c r="Q962" s="292"/>
      <c r="R962" s="292"/>
      <c r="S962" s="292"/>
      <c r="T962" s="292"/>
      <c r="U962" s="292"/>
      <c r="V962" s="292"/>
      <c r="W962" s="292"/>
      <c r="X962" s="292"/>
      <c r="Y962" s="292"/>
      <c r="Z962" s="292"/>
      <c r="AA962" s="292"/>
      <c r="AB962" s="292"/>
      <c r="AC962" s="292"/>
    </row>
    <row r="963">
      <c r="A963" s="292"/>
      <c r="B963" s="292"/>
      <c r="C963" s="292"/>
      <c r="D963" s="292"/>
      <c r="E963" s="292"/>
      <c r="F963" s="292"/>
      <c r="G963" s="292"/>
      <c r="H963" s="292"/>
      <c r="I963" s="292"/>
      <c r="J963" s="292"/>
      <c r="K963" s="292"/>
      <c r="L963" s="292"/>
      <c r="M963" s="292"/>
      <c r="N963" s="292"/>
      <c r="O963" s="292"/>
      <c r="P963" s="292"/>
      <c r="Q963" s="292"/>
      <c r="R963" s="292"/>
      <c r="S963" s="292"/>
      <c r="T963" s="292"/>
      <c r="U963" s="292"/>
      <c r="V963" s="292"/>
      <c r="W963" s="292"/>
      <c r="X963" s="292"/>
      <c r="Y963" s="292"/>
      <c r="Z963" s="292"/>
      <c r="AA963" s="292"/>
      <c r="AB963" s="292"/>
      <c r="AC963" s="292"/>
    </row>
    <row r="964">
      <c r="A964" s="292"/>
      <c r="B964" s="292"/>
      <c r="C964" s="292"/>
      <c r="D964" s="292"/>
      <c r="E964" s="292"/>
      <c r="F964" s="292"/>
      <c r="G964" s="292"/>
      <c r="H964" s="292"/>
      <c r="I964" s="292"/>
      <c r="J964" s="292"/>
      <c r="K964" s="292"/>
      <c r="L964" s="292"/>
      <c r="M964" s="292"/>
      <c r="N964" s="292"/>
      <c r="O964" s="292"/>
      <c r="P964" s="292"/>
      <c r="Q964" s="292"/>
      <c r="R964" s="292"/>
      <c r="S964" s="292"/>
      <c r="T964" s="292"/>
      <c r="U964" s="292"/>
      <c r="V964" s="292"/>
      <c r="W964" s="292"/>
      <c r="X964" s="292"/>
      <c r="Y964" s="292"/>
      <c r="Z964" s="292"/>
      <c r="AA964" s="292"/>
      <c r="AB964" s="292"/>
      <c r="AC964" s="292"/>
    </row>
    <row r="965">
      <c r="A965" s="292"/>
      <c r="B965" s="292"/>
      <c r="C965" s="292"/>
      <c r="D965" s="292"/>
      <c r="E965" s="292"/>
      <c r="F965" s="292"/>
      <c r="G965" s="292"/>
      <c r="H965" s="292"/>
      <c r="I965" s="292"/>
      <c r="J965" s="292"/>
      <c r="K965" s="292"/>
      <c r="L965" s="292"/>
      <c r="M965" s="292"/>
      <c r="N965" s="292"/>
      <c r="O965" s="292"/>
      <c r="P965" s="292"/>
      <c r="Q965" s="292"/>
      <c r="R965" s="292"/>
      <c r="S965" s="292"/>
      <c r="T965" s="292"/>
      <c r="U965" s="292"/>
      <c r="V965" s="292"/>
      <c r="W965" s="292"/>
      <c r="X965" s="292"/>
      <c r="Y965" s="292"/>
      <c r="Z965" s="292"/>
      <c r="AA965" s="292"/>
      <c r="AB965" s="292"/>
      <c r="AC965" s="292"/>
    </row>
    <row r="966">
      <c r="A966" s="292"/>
      <c r="B966" s="292"/>
      <c r="C966" s="292"/>
      <c r="D966" s="292"/>
      <c r="E966" s="292"/>
      <c r="F966" s="292"/>
      <c r="G966" s="292"/>
      <c r="H966" s="292"/>
      <c r="I966" s="292"/>
      <c r="J966" s="292"/>
      <c r="K966" s="292"/>
      <c r="L966" s="292"/>
      <c r="M966" s="292"/>
      <c r="N966" s="292"/>
      <c r="O966" s="292"/>
      <c r="P966" s="292"/>
      <c r="Q966" s="292"/>
      <c r="R966" s="292"/>
      <c r="S966" s="292"/>
      <c r="T966" s="292"/>
      <c r="U966" s="292"/>
      <c r="V966" s="292"/>
      <c r="W966" s="292"/>
      <c r="X966" s="292"/>
      <c r="Y966" s="292"/>
      <c r="Z966" s="292"/>
      <c r="AA966" s="292"/>
      <c r="AB966" s="292"/>
      <c r="AC966" s="292"/>
    </row>
    <row r="967">
      <c r="A967" s="292"/>
      <c r="B967" s="292"/>
      <c r="C967" s="292"/>
      <c r="D967" s="292"/>
      <c r="E967" s="292"/>
      <c r="F967" s="292"/>
      <c r="G967" s="292"/>
      <c r="H967" s="292"/>
      <c r="I967" s="292"/>
      <c r="J967" s="292"/>
      <c r="K967" s="292"/>
      <c r="L967" s="292"/>
      <c r="M967" s="292"/>
      <c r="N967" s="292"/>
      <c r="O967" s="292"/>
      <c r="P967" s="292"/>
      <c r="Q967" s="292"/>
      <c r="R967" s="292"/>
      <c r="S967" s="292"/>
      <c r="T967" s="292"/>
      <c r="U967" s="292"/>
      <c r="V967" s="292"/>
      <c r="W967" s="292"/>
      <c r="X967" s="292"/>
      <c r="Y967" s="292"/>
      <c r="Z967" s="292"/>
      <c r="AA967" s="292"/>
      <c r="AB967" s="292"/>
      <c r="AC967" s="292"/>
    </row>
    <row r="968">
      <c r="A968" s="292"/>
      <c r="B968" s="292"/>
      <c r="C968" s="292"/>
      <c r="D968" s="292"/>
      <c r="E968" s="292"/>
      <c r="F968" s="292"/>
      <c r="G968" s="292"/>
      <c r="H968" s="292"/>
      <c r="I968" s="292"/>
      <c r="J968" s="292"/>
      <c r="K968" s="292"/>
      <c r="L968" s="292"/>
      <c r="M968" s="292"/>
      <c r="N968" s="292"/>
      <c r="O968" s="292"/>
      <c r="P968" s="292"/>
      <c r="Q968" s="292"/>
      <c r="R968" s="292"/>
      <c r="S968" s="292"/>
      <c r="T968" s="292"/>
      <c r="U968" s="292"/>
      <c r="V968" s="292"/>
      <c r="W968" s="292"/>
      <c r="X968" s="292"/>
      <c r="Y968" s="292"/>
      <c r="Z968" s="292"/>
      <c r="AA968" s="292"/>
      <c r="AB968" s="292"/>
      <c r="AC968" s="292"/>
    </row>
    <row r="969">
      <c r="A969" s="292"/>
      <c r="B969" s="292"/>
      <c r="C969" s="292"/>
      <c r="D969" s="292"/>
      <c r="E969" s="292"/>
      <c r="F969" s="292"/>
      <c r="G969" s="292"/>
      <c r="H969" s="292"/>
      <c r="I969" s="292"/>
      <c r="J969" s="292"/>
      <c r="K969" s="292"/>
      <c r="L969" s="292"/>
      <c r="M969" s="292"/>
      <c r="N969" s="292"/>
      <c r="O969" s="292"/>
      <c r="P969" s="292"/>
      <c r="Q969" s="292"/>
      <c r="R969" s="292"/>
      <c r="S969" s="292"/>
      <c r="T969" s="292"/>
      <c r="U969" s="292"/>
      <c r="V969" s="292"/>
      <c r="W969" s="292"/>
      <c r="X969" s="292"/>
      <c r="Y969" s="292"/>
      <c r="Z969" s="292"/>
      <c r="AA969" s="292"/>
      <c r="AB969" s="292"/>
      <c r="AC969" s="292"/>
    </row>
    <row r="970">
      <c r="A970" s="292"/>
      <c r="B970" s="292"/>
      <c r="C970" s="292"/>
      <c r="D970" s="292"/>
      <c r="E970" s="292"/>
      <c r="F970" s="292"/>
      <c r="G970" s="292"/>
      <c r="H970" s="292"/>
      <c r="I970" s="292"/>
      <c r="J970" s="292"/>
      <c r="K970" s="292"/>
      <c r="L970" s="292"/>
      <c r="M970" s="292"/>
      <c r="N970" s="292"/>
      <c r="O970" s="292"/>
      <c r="P970" s="292"/>
      <c r="Q970" s="292"/>
      <c r="R970" s="292"/>
      <c r="S970" s="292"/>
      <c r="T970" s="292"/>
      <c r="U970" s="292"/>
      <c r="V970" s="292"/>
      <c r="W970" s="292"/>
      <c r="X970" s="292"/>
      <c r="Y970" s="292"/>
      <c r="Z970" s="292"/>
      <c r="AA970" s="292"/>
      <c r="AB970" s="292"/>
      <c r="AC970" s="292"/>
    </row>
    <row r="971">
      <c r="A971" s="292"/>
      <c r="B971" s="292"/>
      <c r="C971" s="292"/>
      <c r="D971" s="292"/>
      <c r="E971" s="292"/>
      <c r="F971" s="292"/>
      <c r="G971" s="292"/>
      <c r="H971" s="292"/>
      <c r="I971" s="292"/>
      <c r="J971" s="292"/>
      <c r="K971" s="292"/>
      <c r="L971" s="292"/>
      <c r="M971" s="292"/>
      <c r="N971" s="292"/>
      <c r="O971" s="292"/>
      <c r="P971" s="292"/>
      <c r="Q971" s="292"/>
      <c r="R971" s="292"/>
      <c r="S971" s="292"/>
      <c r="T971" s="292"/>
      <c r="U971" s="292"/>
      <c r="V971" s="292"/>
      <c r="W971" s="292"/>
      <c r="X971" s="292"/>
      <c r="Y971" s="292"/>
      <c r="Z971" s="292"/>
      <c r="AA971" s="292"/>
      <c r="AB971" s="292"/>
      <c r="AC971" s="292"/>
    </row>
    <row r="972">
      <c r="A972" s="292"/>
      <c r="B972" s="292"/>
      <c r="C972" s="292"/>
      <c r="D972" s="292"/>
      <c r="E972" s="292"/>
      <c r="F972" s="292"/>
      <c r="G972" s="292"/>
      <c r="H972" s="292"/>
      <c r="I972" s="292"/>
      <c r="J972" s="292"/>
      <c r="K972" s="292"/>
      <c r="L972" s="292"/>
      <c r="M972" s="292"/>
      <c r="N972" s="292"/>
      <c r="O972" s="292"/>
      <c r="P972" s="292"/>
      <c r="Q972" s="292"/>
      <c r="R972" s="292"/>
      <c r="S972" s="292"/>
      <c r="T972" s="292"/>
      <c r="U972" s="292"/>
      <c r="V972" s="292"/>
      <c r="W972" s="292"/>
      <c r="X972" s="292"/>
      <c r="Y972" s="292"/>
      <c r="Z972" s="292"/>
      <c r="AA972" s="292"/>
      <c r="AB972" s="292"/>
      <c r="AC972" s="292"/>
    </row>
    <row r="973">
      <c r="A973" s="292"/>
      <c r="B973" s="292"/>
      <c r="C973" s="292"/>
      <c r="D973" s="292"/>
      <c r="E973" s="292"/>
      <c r="F973" s="292"/>
      <c r="G973" s="292"/>
      <c r="H973" s="292"/>
      <c r="I973" s="292"/>
      <c r="J973" s="292"/>
      <c r="K973" s="292"/>
      <c r="L973" s="292"/>
      <c r="M973" s="292"/>
      <c r="N973" s="292"/>
      <c r="O973" s="292"/>
      <c r="P973" s="292"/>
      <c r="Q973" s="292"/>
      <c r="R973" s="292"/>
      <c r="S973" s="292"/>
      <c r="T973" s="292"/>
      <c r="U973" s="292"/>
      <c r="V973" s="292"/>
      <c r="W973" s="292"/>
      <c r="X973" s="292"/>
      <c r="Y973" s="292"/>
      <c r="Z973" s="292"/>
      <c r="AA973" s="292"/>
      <c r="AB973" s="292"/>
      <c r="AC973" s="292"/>
    </row>
    <row r="974">
      <c r="A974" s="292"/>
      <c r="B974" s="292"/>
      <c r="C974" s="292"/>
      <c r="D974" s="292"/>
      <c r="E974" s="292"/>
      <c r="F974" s="292"/>
      <c r="G974" s="292"/>
      <c r="H974" s="292"/>
      <c r="I974" s="292"/>
      <c r="J974" s="292"/>
      <c r="K974" s="292"/>
      <c r="L974" s="292"/>
      <c r="M974" s="292"/>
      <c r="N974" s="292"/>
      <c r="O974" s="292"/>
      <c r="P974" s="292"/>
      <c r="Q974" s="292"/>
      <c r="R974" s="292"/>
      <c r="S974" s="292"/>
      <c r="T974" s="292"/>
      <c r="U974" s="292"/>
      <c r="V974" s="292"/>
      <c r="W974" s="292"/>
      <c r="X974" s="292"/>
      <c r="Y974" s="292"/>
      <c r="Z974" s="292"/>
      <c r="AA974" s="292"/>
      <c r="AB974" s="292"/>
      <c r="AC974" s="292"/>
    </row>
    <row r="975">
      <c r="A975" s="292"/>
      <c r="B975" s="292"/>
      <c r="C975" s="292"/>
      <c r="D975" s="292"/>
      <c r="E975" s="292"/>
      <c r="F975" s="292"/>
      <c r="G975" s="292"/>
      <c r="H975" s="292"/>
      <c r="I975" s="292"/>
      <c r="J975" s="292"/>
      <c r="K975" s="292"/>
      <c r="L975" s="292"/>
      <c r="M975" s="292"/>
      <c r="N975" s="292"/>
      <c r="O975" s="292"/>
      <c r="P975" s="292"/>
      <c r="Q975" s="292"/>
      <c r="R975" s="292"/>
      <c r="S975" s="292"/>
      <c r="T975" s="292"/>
      <c r="U975" s="292"/>
      <c r="V975" s="292"/>
      <c r="W975" s="292"/>
      <c r="X975" s="292"/>
      <c r="Y975" s="292"/>
      <c r="Z975" s="292"/>
      <c r="AA975" s="292"/>
      <c r="AB975" s="292"/>
      <c r="AC975" s="292"/>
    </row>
    <row r="976">
      <c r="A976" s="292"/>
      <c r="B976" s="292"/>
      <c r="C976" s="292"/>
      <c r="D976" s="292"/>
      <c r="E976" s="292"/>
      <c r="F976" s="292"/>
      <c r="G976" s="292"/>
      <c r="H976" s="292"/>
      <c r="I976" s="292"/>
      <c r="J976" s="292"/>
      <c r="K976" s="292"/>
      <c r="L976" s="292"/>
      <c r="M976" s="292"/>
      <c r="N976" s="292"/>
      <c r="O976" s="292"/>
      <c r="P976" s="292"/>
      <c r="Q976" s="292"/>
      <c r="R976" s="292"/>
      <c r="S976" s="292"/>
      <c r="T976" s="292"/>
      <c r="U976" s="292"/>
      <c r="V976" s="292"/>
      <c r="W976" s="292"/>
      <c r="X976" s="292"/>
      <c r="Y976" s="292"/>
      <c r="Z976" s="292"/>
      <c r="AA976" s="292"/>
      <c r="AB976" s="292"/>
      <c r="AC976" s="292"/>
    </row>
    <row r="977">
      <c r="A977" s="292"/>
      <c r="B977" s="292"/>
      <c r="C977" s="292"/>
      <c r="D977" s="292"/>
      <c r="E977" s="292"/>
      <c r="F977" s="292"/>
      <c r="G977" s="292"/>
      <c r="H977" s="292"/>
      <c r="I977" s="292"/>
      <c r="J977" s="292"/>
      <c r="K977" s="292"/>
      <c r="L977" s="292"/>
      <c r="M977" s="292"/>
      <c r="N977" s="292"/>
      <c r="O977" s="292"/>
      <c r="P977" s="292"/>
      <c r="Q977" s="292"/>
      <c r="R977" s="292"/>
      <c r="S977" s="292"/>
      <c r="T977" s="292"/>
      <c r="U977" s="292"/>
      <c r="V977" s="292"/>
      <c r="W977" s="292"/>
      <c r="X977" s="292"/>
      <c r="Y977" s="292"/>
      <c r="Z977" s="292"/>
      <c r="AA977" s="292"/>
      <c r="AB977" s="292"/>
      <c r="AC977" s="292"/>
    </row>
  </sheetData>
  <hyperlinks>
    <hyperlink r:id="rId1" location="gid=17169895" ref="H3"/>
    <hyperlink r:id="rId2" ref="H4"/>
  </hyperlinks>
  <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sheetData>
    <row r="1">
      <c r="G1" s="205" t="s">
        <v>220</v>
      </c>
    </row>
    <row r="2">
      <c r="G2" s="205" t="s">
        <v>455</v>
      </c>
    </row>
    <row r="3">
      <c r="G3" s="205" t="s">
        <v>343</v>
      </c>
      <c r="H3" s="973" t="s">
        <v>456</v>
      </c>
      <c r="J3" s="975"/>
      <c r="K3" s="975"/>
      <c r="L3" s="975"/>
      <c r="M3" s="975"/>
      <c r="N3" s="975"/>
      <c r="O3" s="975"/>
      <c r="P3" s="975"/>
      <c r="Q3" s="975"/>
      <c r="R3" s="975"/>
      <c r="S3" s="975"/>
      <c r="T3" s="975"/>
      <c r="U3" s="975"/>
      <c r="V3" s="975"/>
      <c r="W3" s="975"/>
      <c r="X3" s="975"/>
      <c r="Y3" s="975"/>
      <c r="Z3" s="975"/>
      <c r="AA3" s="975"/>
      <c r="AB3" s="975"/>
      <c r="AC3" s="975"/>
      <c r="AD3" s="975"/>
      <c r="AE3" s="975"/>
      <c r="AF3" s="975"/>
    </row>
    <row r="4">
      <c r="J4" s="975"/>
      <c r="K4" s="975"/>
      <c r="L4" s="975"/>
      <c r="M4" s="975"/>
      <c r="N4" s="975"/>
      <c r="O4" s="975"/>
      <c r="P4" s="975"/>
      <c r="Q4" s="975"/>
      <c r="R4" s="975"/>
      <c r="S4" s="975"/>
      <c r="T4" s="975"/>
      <c r="U4" s="975"/>
      <c r="V4" s="975"/>
      <c r="W4" s="975"/>
      <c r="X4" s="975"/>
      <c r="Y4" s="975"/>
      <c r="Z4" s="975"/>
      <c r="AA4" s="975"/>
      <c r="AB4" s="975"/>
      <c r="AC4" s="975"/>
      <c r="AD4" s="975"/>
      <c r="AE4" s="975"/>
      <c r="AF4" s="975"/>
    </row>
    <row r="5">
      <c r="A5" s="975"/>
      <c r="B5" s="975"/>
      <c r="C5" s="975"/>
      <c r="D5" s="975"/>
      <c r="E5" s="975"/>
      <c r="F5" s="975"/>
      <c r="G5" s="975"/>
      <c r="H5" s="975"/>
      <c r="I5" s="975"/>
      <c r="J5" s="975"/>
      <c r="K5" s="975"/>
      <c r="L5" s="975"/>
      <c r="M5" s="975"/>
      <c r="N5" s="975"/>
      <c r="O5" s="975"/>
      <c r="P5" s="975"/>
      <c r="Q5" s="975"/>
      <c r="R5" s="975"/>
      <c r="S5" s="975"/>
      <c r="T5" s="975"/>
      <c r="U5" s="975"/>
      <c r="V5" s="975"/>
      <c r="W5" s="975"/>
    </row>
    <row r="6">
      <c r="A6" s="975"/>
      <c r="B6" s="975"/>
      <c r="C6" s="975"/>
      <c r="D6" s="975"/>
      <c r="E6" s="975"/>
      <c r="F6" s="975"/>
      <c r="G6" s="975"/>
      <c r="H6" s="975"/>
      <c r="I6" s="975"/>
      <c r="J6" s="975"/>
      <c r="K6" s="975"/>
      <c r="L6" s="975"/>
      <c r="M6" s="975"/>
      <c r="N6" s="975"/>
      <c r="O6" s="975"/>
      <c r="P6" s="975"/>
      <c r="Q6" s="975"/>
      <c r="R6" s="975"/>
      <c r="S6" s="975"/>
      <c r="T6" s="975"/>
      <c r="U6" s="975"/>
      <c r="V6" s="975"/>
      <c r="W6" s="975"/>
    </row>
    <row r="10">
      <c r="A10" s="981" t="s">
        <v>28</v>
      </c>
      <c r="B10" s="982" t="s">
        <v>415</v>
      </c>
      <c r="C10" s="984" t="b">
        <f>IF(D12&lt;&gt;"Chưa có",True,FALSE)</f>
        <v>1</v>
      </c>
      <c r="D10" s="984" t="s">
        <v>330</v>
      </c>
      <c r="E10" s="984" t="b">
        <f>IF(F12&lt;&gt;"Chưa có",True,FALSE)</f>
        <v>1</v>
      </c>
      <c r="F10" s="984" t="s">
        <v>331</v>
      </c>
      <c r="G10" s="984" t="b">
        <f>IF(H12&lt;&gt;"Chưa có",True,FALSE)</f>
        <v>1</v>
      </c>
      <c r="H10" s="984" t="s">
        <v>332</v>
      </c>
      <c r="I10" s="984" t="b">
        <f>IF(J12&lt;&gt;"Chưa có",True,FALSE)</f>
        <v>1</v>
      </c>
      <c r="J10" s="984" t="s">
        <v>333</v>
      </c>
      <c r="K10" s="984" t="b">
        <f>IF(L12&lt;&gt;"Chưa có",True,FALSE)</f>
        <v>1</v>
      </c>
      <c r="L10" s="984" t="s">
        <v>334</v>
      </c>
      <c r="M10" s="987" t="b">
        <f>IF(N12&lt;&gt;"Chưa có",True,FALSE)</f>
        <v>1</v>
      </c>
      <c r="N10" s="988" t="s">
        <v>335</v>
      </c>
      <c r="O10" s="984" t="b">
        <f>IF(P12&lt;&gt;"Chưa có",True,FALSE)</f>
        <v>1</v>
      </c>
      <c r="P10" s="984" t="s">
        <v>336</v>
      </c>
      <c r="Q10" s="984" t="b">
        <f>IF(R12&lt;&gt;"Chưa có",True,FALSE)</f>
        <v>0</v>
      </c>
      <c r="R10" s="987" t="s">
        <v>348</v>
      </c>
      <c r="S10" s="988" t="b">
        <f>IF(T12&lt;&gt;"Chưa có",True,FALSE)</f>
        <v>0</v>
      </c>
      <c r="T10" s="984" t="s">
        <v>349</v>
      </c>
      <c r="U10" s="984" t="b">
        <f>IF(V12&lt;&gt;"Chưa có",True,FALSE)</f>
        <v>0</v>
      </c>
      <c r="V10" s="987" t="s">
        <v>350</v>
      </c>
      <c r="W10" s="988" t="b">
        <f>IF(X12&lt;&gt;"Chưa có",True,FALSE)</f>
        <v>0</v>
      </c>
      <c r="X10" s="984" t="s">
        <v>351</v>
      </c>
      <c r="Y10" s="987" t="b">
        <f>IF(Z12&lt;&gt;"Chưa có",True,FALSE)</f>
        <v>0</v>
      </c>
      <c r="Z10" s="988" t="s">
        <v>352</v>
      </c>
      <c r="AA10" s="292"/>
      <c r="AB10" s="292"/>
      <c r="AC10" s="292"/>
      <c r="AD10" s="292"/>
      <c r="AE10" s="292"/>
      <c r="AF10" s="292"/>
    </row>
    <row r="11">
      <c r="A11" s="388"/>
      <c r="B11" s="746"/>
      <c r="C11" s="997" t="s">
        <v>464</v>
      </c>
      <c r="D11" s="999" t="s">
        <v>467</v>
      </c>
      <c r="E11" s="1001" t="s">
        <v>464</v>
      </c>
      <c r="F11" s="1002" t="s">
        <v>467</v>
      </c>
      <c r="G11" s="997" t="s">
        <v>464</v>
      </c>
      <c r="H11" s="999" t="s">
        <v>467</v>
      </c>
      <c r="I11" s="1001" t="s">
        <v>464</v>
      </c>
      <c r="J11" s="1002" t="s">
        <v>467</v>
      </c>
      <c r="K11" s="997" t="s">
        <v>464</v>
      </c>
      <c r="L11" s="999" t="s">
        <v>467</v>
      </c>
      <c r="M11" s="1001" t="s">
        <v>464</v>
      </c>
      <c r="N11" s="1002" t="s">
        <v>467</v>
      </c>
      <c r="O11" s="997" t="s">
        <v>464</v>
      </c>
      <c r="P11" s="999" t="s">
        <v>467</v>
      </c>
      <c r="Q11" s="1001" t="s">
        <v>464</v>
      </c>
      <c r="R11" s="1002" t="s">
        <v>467</v>
      </c>
      <c r="S11" s="997" t="s">
        <v>464</v>
      </c>
      <c r="T11" s="999" t="s">
        <v>467</v>
      </c>
      <c r="U11" s="1001" t="s">
        <v>464</v>
      </c>
      <c r="V11" s="1002" t="s">
        <v>467</v>
      </c>
      <c r="W11" s="997" t="s">
        <v>464</v>
      </c>
      <c r="X11" s="999" t="s">
        <v>467</v>
      </c>
      <c r="Y11" s="1001" t="s">
        <v>464</v>
      </c>
      <c r="Z11" s="999" t="s">
        <v>467</v>
      </c>
      <c r="AA11" s="292"/>
      <c r="AB11" s="292"/>
      <c r="AC11" s="292"/>
      <c r="AD11" s="292"/>
      <c r="AE11" s="292"/>
      <c r="AF11" s="292"/>
    </row>
    <row r="12">
      <c r="A12" s="1003">
        <v>1.0</v>
      </c>
      <c r="B12" s="1004" t="s">
        <v>42</v>
      </c>
      <c r="C12" s="1003">
        <v>555.0</v>
      </c>
      <c r="D12" s="1005">
        <v>2.4E-4</v>
      </c>
      <c r="E12" s="1003">
        <v>902.0</v>
      </c>
      <c r="F12" s="1005">
        <v>4.2E-4</v>
      </c>
      <c r="G12" s="1003">
        <v>1054.0</v>
      </c>
      <c r="H12" s="1005">
        <v>4.5E-4</v>
      </c>
      <c r="I12" s="1003">
        <v>1601.0</v>
      </c>
      <c r="J12" s="1005">
        <v>7.0E-4</v>
      </c>
      <c r="K12" s="1009">
        <v>1261.0</v>
      </c>
      <c r="L12" s="1011">
        <v>8.0E-4</v>
      </c>
      <c r="M12" s="1013">
        <v>2069.0</v>
      </c>
      <c r="N12" s="1014">
        <v>0.00121</v>
      </c>
      <c r="O12" s="1003">
        <v>2283.0</v>
      </c>
      <c r="P12" s="1015">
        <v>0.0014</v>
      </c>
      <c r="Q12" s="1016" t="s">
        <v>171</v>
      </c>
      <c r="R12" s="1017" t="s">
        <v>171</v>
      </c>
      <c r="S12" s="1018" t="s">
        <v>171</v>
      </c>
      <c r="T12" s="1019" t="s">
        <v>171</v>
      </c>
      <c r="U12" s="1016" t="s">
        <v>171</v>
      </c>
      <c r="V12" s="1017" t="s">
        <v>171</v>
      </c>
      <c r="W12" s="1018" t="s">
        <v>171</v>
      </c>
      <c r="X12" s="1019" t="s">
        <v>171</v>
      </c>
      <c r="Y12" s="1016" t="s">
        <v>171</v>
      </c>
      <c r="Z12" s="1019" t="s">
        <v>171</v>
      </c>
      <c r="AA12" s="292"/>
      <c r="AB12" s="292"/>
      <c r="AC12" s="292"/>
      <c r="AD12" s="292"/>
      <c r="AE12" s="292"/>
      <c r="AF12" s="292"/>
    </row>
    <row r="13">
      <c r="A13" s="1003">
        <v>2.0</v>
      </c>
      <c r="B13" s="1004" t="s">
        <v>43</v>
      </c>
      <c r="C13" s="1020">
        <v>1330.0</v>
      </c>
      <c r="D13" s="1005">
        <v>0.001</v>
      </c>
      <c r="E13" s="1020">
        <v>1136.0</v>
      </c>
      <c r="F13" s="1005">
        <v>9.5E-4</v>
      </c>
      <c r="G13" s="1020">
        <v>1047.0</v>
      </c>
      <c r="H13" s="1005">
        <v>7.9E-4</v>
      </c>
      <c r="I13" s="1020">
        <v>1029.0</v>
      </c>
      <c r="J13" s="1005">
        <v>8.0E-4</v>
      </c>
      <c r="K13" s="1022">
        <v>1250.0</v>
      </c>
      <c r="L13" s="1011">
        <v>0.00141</v>
      </c>
      <c r="M13" s="1023">
        <v>2098.0</v>
      </c>
      <c r="N13" s="1014">
        <v>0.00219</v>
      </c>
      <c r="O13" s="1020">
        <v>2081.0</v>
      </c>
      <c r="P13" s="1015">
        <v>0.00227</v>
      </c>
      <c r="Q13" s="1016" t="s">
        <v>171</v>
      </c>
      <c r="R13" s="1017" t="s">
        <v>171</v>
      </c>
      <c r="S13" s="1018" t="s">
        <v>171</v>
      </c>
      <c r="T13" s="1019" t="s">
        <v>171</v>
      </c>
      <c r="U13" s="1016" t="s">
        <v>171</v>
      </c>
      <c r="V13" s="1017" t="s">
        <v>171</v>
      </c>
      <c r="W13" s="1018" t="s">
        <v>171</v>
      </c>
      <c r="X13" s="1019" t="s">
        <v>171</v>
      </c>
      <c r="Y13" s="1016" t="s">
        <v>171</v>
      </c>
      <c r="Z13" s="1019" t="s">
        <v>171</v>
      </c>
      <c r="AA13" s="292"/>
      <c r="AB13" s="292"/>
      <c r="AC13" s="292"/>
      <c r="AD13" s="292"/>
      <c r="AE13" s="292"/>
      <c r="AF13" s="292"/>
    </row>
    <row r="14">
      <c r="A14" s="1003">
        <v>3.0</v>
      </c>
      <c r="B14" s="1004" t="s">
        <v>44</v>
      </c>
      <c r="C14" s="1020">
        <v>2913.0</v>
      </c>
      <c r="D14" s="1005">
        <v>0.00241</v>
      </c>
      <c r="E14" s="1020">
        <v>2710.0</v>
      </c>
      <c r="F14" s="1005">
        <v>0.00248</v>
      </c>
      <c r="G14" s="1020">
        <v>2944.0</v>
      </c>
      <c r="H14" s="1005">
        <v>0.00242</v>
      </c>
      <c r="I14" s="1020">
        <v>2574.0</v>
      </c>
      <c r="J14" s="1005">
        <v>0.0022</v>
      </c>
      <c r="K14" s="1022">
        <v>1380.0</v>
      </c>
      <c r="L14" s="1028">
        <v>0.00175</v>
      </c>
      <c r="M14" s="1023">
        <v>2792.0</v>
      </c>
      <c r="N14" s="1014">
        <v>0.00321</v>
      </c>
      <c r="O14" s="1020">
        <v>3644.0</v>
      </c>
      <c r="P14" s="1015">
        <v>0.00439</v>
      </c>
      <c r="Q14" s="1016" t="s">
        <v>171</v>
      </c>
      <c r="R14" s="1017" t="s">
        <v>171</v>
      </c>
      <c r="S14" s="1018" t="s">
        <v>171</v>
      </c>
      <c r="T14" s="1019" t="s">
        <v>171</v>
      </c>
      <c r="U14" s="1016" t="s">
        <v>171</v>
      </c>
      <c r="V14" s="1017" t="s">
        <v>171</v>
      </c>
      <c r="W14" s="1018" t="s">
        <v>171</v>
      </c>
      <c r="X14" s="1019" t="s">
        <v>171</v>
      </c>
      <c r="Y14" s="1016" t="s">
        <v>171</v>
      </c>
      <c r="Z14" s="1019" t="s">
        <v>171</v>
      </c>
      <c r="AA14" s="292"/>
      <c r="AB14" s="292"/>
      <c r="AC14" s="292"/>
      <c r="AD14" s="292"/>
      <c r="AE14" s="292"/>
      <c r="AF14" s="292"/>
    </row>
    <row r="15">
      <c r="A15" s="1003">
        <v>4.0</v>
      </c>
      <c r="B15" s="1004" t="s">
        <v>45</v>
      </c>
      <c r="C15" s="1020">
        <v>526.0</v>
      </c>
      <c r="D15" s="1005">
        <v>5.9E-4</v>
      </c>
      <c r="E15" s="1020">
        <v>566.0</v>
      </c>
      <c r="F15" s="1005">
        <v>6.9E-4</v>
      </c>
      <c r="G15" s="1020">
        <v>497.0</v>
      </c>
      <c r="H15" s="1005">
        <v>5.5E-4</v>
      </c>
      <c r="I15" s="1020">
        <v>502.0</v>
      </c>
      <c r="J15" s="1005">
        <v>5.7E-4</v>
      </c>
      <c r="K15" s="1022">
        <v>666.0</v>
      </c>
      <c r="L15" s="1011">
        <v>0.00111</v>
      </c>
      <c r="M15" s="1023">
        <v>1325.0</v>
      </c>
      <c r="N15" s="1014">
        <v>0.00203</v>
      </c>
      <c r="O15" s="1020">
        <v>970.0</v>
      </c>
      <c r="P15" s="1015">
        <v>0.00154</v>
      </c>
      <c r="Q15" s="1016" t="s">
        <v>171</v>
      </c>
      <c r="R15" s="1017" t="s">
        <v>171</v>
      </c>
      <c r="S15" s="1018" t="s">
        <v>171</v>
      </c>
      <c r="T15" s="1019" t="s">
        <v>171</v>
      </c>
      <c r="U15" s="1016" t="s">
        <v>171</v>
      </c>
      <c r="V15" s="1017" t="s">
        <v>171</v>
      </c>
      <c r="W15" s="1018" t="s">
        <v>171</v>
      </c>
      <c r="X15" s="1019" t="s">
        <v>171</v>
      </c>
      <c r="Y15" s="1016" t="s">
        <v>171</v>
      </c>
      <c r="Z15" s="1019" t="s">
        <v>171</v>
      </c>
      <c r="AA15" s="292"/>
      <c r="AB15" s="292"/>
      <c r="AC15" s="292"/>
      <c r="AD15" s="292"/>
      <c r="AE15" s="292"/>
      <c r="AF15" s="292"/>
    </row>
    <row r="16">
      <c r="A16" s="1003">
        <v>5.0</v>
      </c>
      <c r="B16" s="1004" t="s">
        <v>47</v>
      </c>
      <c r="C16" s="1020">
        <v>517.0</v>
      </c>
      <c r="D16" s="1005">
        <v>3.1E-4</v>
      </c>
      <c r="E16" s="1020">
        <v>754.0</v>
      </c>
      <c r="F16" s="1005">
        <v>5.0E-4</v>
      </c>
      <c r="G16" s="1020">
        <v>646.0</v>
      </c>
      <c r="H16" s="1005">
        <v>3.8E-4</v>
      </c>
      <c r="I16" s="1020">
        <v>879.0</v>
      </c>
      <c r="J16" s="1005">
        <v>5.4E-4</v>
      </c>
      <c r="K16" s="1022">
        <v>1052.0</v>
      </c>
      <c r="L16" s="1011">
        <v>9.3E-4</v>
      </c>
      <c r="M16" s="1023">
        <v>1393.0</v>
      </c>
      <c r="N16" s="1014">
        <v>0.00115</v>
      </c>
      <c r="O16" s="1020">
        <v>1718.0</v>
      </c>
      <c r="P16" s="1015">
        <v>0.00148</v>
      </c>
      <c r="Q16" s="1016" t="s">
        <v>171</v>
      </c>
      <c r="R16" s="1017" t="s">
        <v>171</v>
      </c>
      <c r="S16" s="1018" t="s">
        <v>171</v>
      </c>
      <c r="T16" s="1019" t="s">
        <v>171</v>
      </c>
      <c r="U16" s="1016" t="s">
        <v>171</v>
      </c>
      <c r="V16" s="1017" t="s">
        <v>171</v>
      </c>
      <c r="W16" s="1018" t="s">
        <v>171</v>
      </c>
      <c r="X16" s="1019" t="s">
        <v>171</v>
      </c>
      <c r="Y16" s="1016" t="s">
        <v>171</v>
      </c>
      <c r="Z16" s="1019" t="s">
        <v>171</v>
      </c>
      <c r="AA16" s="292"/>
      <c r="AB16" s="292"/>
      <c r="AC16" s="292"/>
      <c r="AD16" s="292"/>
      <c r="AE16" s="292"/>
      <c r="AF16" s="292"/>
    </row>
    <row r="17">
      <c r="A17" s="1003">
        <v>6.0</v>
      </c>
      <c r="B17" s="1004" t="s">
        <v>48</v>
      </c>
      <c r="C17" s="1020">
        <v>1600.0</v>
      </c>
      <c r="D17" s="1005">
        <v>0.00142</v>
      </c>
      <c r="E17" s="1020">
        <v>2629.0</v>
      </c>
      <c r="F17" s="1005">
        <v>0.00257</v>
      </c>
      <c r="G17" s="1020">
        <v>2786.0</v>
      </c>
      <c r="H17" s="1005">
        <v>0.00244</v>
      </c>
      <c r="I17" s="1020">
        <v>3253.0</v>
      </c>
      <c r="J17" s="1005">
        <v>0.00296</v>
      </c>
      <c r="K17" s="1022">
        <v>1897.0</v>
      </c>
      <c r="L17" s="1011">
        <v>0.00258</v>
      </c>
      <c r="M17" s="1023">
        <v>1775.0</v>
      </c>
      <c r="N17" s="1014">
        <v>0.00219</v>
      </c>
      <c r="O17" s="1020">
        <v>1917.0</v>
      </c>
      <c r="P17" s="1015">
        <v>0.00246</v>
      </c>
      <c r="Q17" s="1016" t="s">
        <v>171</v>
      </c>
      <c r="R17" s="1017" t="s">
        <v>171</v>
      </c>
      <c r="S17" s="1018" t="s">
        <v>171</v>
      </c>
      <c r="T17" s="1019" t="s">
        <v>171</v>
      </c>
      <c r="U17" s="1016" t="s">
        <v>171</v>
      </c>
      <c r="V17" s="1017" t="s">
        <v>171</v>
      </c>
      <c r="W17" s="1018" t="s">
        <v>171</v>
      </c>
      <c r="X17" s="1019" t="s">
        <v>171</v>
      </c>
      <c r="Y17" s="1016" t="s">
        <v>171</v>
      </c>
      <c r="Z17" s="1019" t="s">
        <v>171</v>
      </c>
      <c r="AA17" s="292"/>
      <c r="AB17" s="292"/>
      <c r="AC17" s="292"/>
      <c r="AD17" s="292"/>
      <c r="AE17" s="292"/>
      <c r="AF17" s="292"/>
    </row>
    <row r="18">
      <c r="A18" s="1003">
        <v>7.0</v>
      </c>
      <c r="B18" s="1004" t="s">
        <v>49</v>
      </c>
      <c r="C18" s="1020">
        <v>1353.0</v>
      </c>
      <c r="D18" s="1005">
        <v>0.00113</v>
      </c>
      <c r="E18" s="1020">
        <v>1115.0</v>
      </c>
      <c r="F18" s="1036">
        <v>0.00102</v>
      </c>
      <c r="G18" s="1020">
        <v>1373.0</v>
      </c>
      <c r="H18" s="1005">
        <v>0.00114</v>
      </c>
      <c r="I18" s="1020">
        <v>1191.0</v>
      </c>
      <c r="J18" s="1036">
        <v>0.00103</v>
      </c>
      <c r="K18" s="1022">
        <v>865.0</v>
      </c>
      <c r="L18" s="1011">
        <v>0.0011</v>
      </c>
      <c r="M18" s="1023">
        <v>1625.0</v>
      </c>
      <c r="N18" s="1014">
        <v>0.00187</v>
      </c>
      <c r="O18" s="1020">
        <v>1770.0</v>
      </c>
      <c r="P18" s="1015">
        <v>0.00213</v>
      </c>
      <c r="Q18" s="1016" t="s">
        <v>171</v>
      </c>
      <c r="R18" s="1017" t="s">
        <v>171</v>
      </c>
      <c r="S18" s="1018" t="s">
        <v>171</v>
      </c>
      <c r="T18" s="1019" t="s">
        <v>171</v>
      </c>
      <c r="U18" s="1016" t="s">
        <v>171</v>
      </c>
      <c r="V18" s="1017" t="s">
        <v>171</v>
      </c>
      <c r="W18" s="1018" t="s">
        <v>171</v>
      </c>
      <c r="X18" s="1019" t="s">
        <v>171</v>
      </c>
      <c r="Y18" s="1016" t="s">
        <v>171</v>
      </c>
      <c r="Z18" s="1019" t="s">
        <v>171</v>
      </c>
      <c r="AA18" s="292"/>
      <c r="AB18" s="292"/>
      <c r="AC18" s="292"/>
      <c r="AD18" s="292"/>
      <c r="AE18" s="292"/>
      <c r="AF18" s="292"/>
    </row>
    <row r="19">
      <c r="A19" s="1039"/>
      <c r="B19" s="1040" t="s">
        <v>462</v>
      </c>
      <c r="C19" s="1042">
        <v>8794.0</v>
      </c>
      <c r="D19" s="1044">
        <v>9.0E-4</v>
      </c>
      <c r="E19" s="1042">
        <v>9812.0</v>
      </c>
      <c r="F19" s="1044">
        <v>0.00111</v>
      </c>
      <c r="G19" s="1042">
        <v>10347.0</v>
      </c>
      <c r="H19" s="1044">
        <v>0.00105</v>
      </c>
      <c r="I19" s="1042">
        <v>11029.0</v>
      </c>
      <c r="J19" s="1045">
        <v>0.00116</v>
      </c>
      <c r="K19" s="1046">
        <v>8371.0</v>
      </c>
      <c r="L19" s="1047">
        <v>0.00129</v>
      </c>
      <c r="M19" s="1048">
        <v>13077.0</v>
      </c>
      <c r="N19" s="1049">
        <v>0.00185</v>
      </c>
      <c r="O19" s="1042">
        <v>14383.0</v>
      </c>
      <c r="P19" s="1050">
        <v>0.00212</v>
      </c>
      <c r="Q19" s="1051" t="s">
        <v>171</v>
      </c>
      <c r="R19" s="1053" t="s">
        <v>171</v>
      </c>
      <c r="S19" s="1054" t="s">
        <v>171</v>
      </c>
      <c r="T19" s="1056" t="s">
        <v>171</v>
      </c>
      <c r="U19" s="1051" t="s">
        <v>171</v>
      </c>
      <c r="V19" s="1053" t="s">
        <v>171</v>
      </c>
      <c r="W19" s="1054" t="s">
        <v>171</v>
      </c>
      <c r="X19" s="1056" t="s">
        <v>171</v>
      </c>
      <c r="Y19" s="1051" t="s">
        <v>171</v>
      </c>
      <c r="Z19" s="1056" t="s">
        <v>171</v>
      </c>
      <c r="AA19" s="292"/>
      <c r="AB19" s="292"/>
      <c r="AC19" s="292"/>
      <c r="AD19" s="292"/>
      <c r="AE19" s="292"/>
      <c r="AF19" s="292"/>
    </row>
  </sheetData>
  <mergeCells count="2">
    <mergeCell ref="A10:A11"/>
    <mergeCell ref="B10:B11"/>
  </mergeCells>
  <hyperlinks>
    <hyperlink r:id="rId1" ref="H3"/>
  </hyperlinks>
  <drawing r:id="rId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2.5"/>
  </cols>
  <sheetData>
    <row r="1">
      <c r="G1" s="205" t="s">
        <v>457</v>
      </c>
    </row>
    <row r="2">
      <c r="G2" s="205" t="s">
        <v>458</v>
      </c>
    </row>
    <row r="3">
      <c r="G3" s="205" t="s">
        <v>459</v>
      </c>
      <c r="H3" s="776" t="s">
        <v>460</v>
      </c>
    </row>
    <row r="10">
      <c r="B10" s="992" t="s">
        <v>461</v>
      </c>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9"/>
    </row>
    <row r="11">
      <c r="A11" s="994" t="s">
        <v>358</v>
      </c>
      <c r="B11" s="995" t="s">
        <v>463</v>
      </c>
      <c r="C11" s="996"/>
      <c r="D11" s="996"/>
      <c r="E11" s="998"/>
      <c r="F11" s="995" t="s">
        <v>468</v>
      </c>
      <c r="G11" s="996"/>
      <c r="H11" s="996"/>
      <c r="I11" s="998"/>
      <c r="J11" s="995" t="s">
        <v>413</v>
      </c>
      <c r="K11" s="996"/>
      <c r="L11" s="996"/>
      <c r="M11" s="998"/>
      <c r="N11" s="995" t="s">
        <v>414</v>
      </c>
      <c r="O11" s="996"/>
      <c r="P11" s="996"/>
      <c r="Q11" s="998"/>
      <c r="R11" s="995" t="s">
        <v>389</v>
      </c>
      <c r="S11" s="996"/>
      <c r="T11" s="996"/>
      <c r="U11" s="998"/>
      <c r="V11" s="995" t="s">
        <v>390</v>
      </c>
      <c r="W11" s="996"/>
      <c r="X11" s="996"/>
      <c r="Y11" s="998"/>
      <c r="Z11" s="995" t="s">
        <v>391</v>
      </c>
      <c r="AA11" s="996"/>
      <c r="AB11" s="996"/>
      <c r="AC11" s="998"/>
      <c r="AD11" s="995" t="s">
        <v>392</v>
      </c>
      <c r="AE11" s="996"/>
      <c r="AF11" s="996"/>
      <c r="AG11" s="998"/>
      <c r="AH11" s="995" t="s">
        <v>393</v>
      </c>
      <c r="AI11" s="996"/>
      <c r="AJ11" s="996"/>
      <c r="AK11" s="998"/>
      <c r="AL11" s="995" t="s">
        <v>394</v>
      </c>
      <c r="AM11" s="996"/>
      <c r="AN11" s="996"/>
      <c r="AO11" s="998"/>
      <c r="AP11" s="995" t="s">
        <v>395</v>
      </c>
      <c r="AQ11" s="996"/>
      <c r="AR11" s="996"/>
      <c r="AS11" s="998"/>
      <c r="AT11" s="995" t="s">
        <v>396</v>
      </c>
      <c r="AU11" s="996"/>
      <c r="AV11" s="996"/>
      <c r="AW11" s="1007"/>
    </row>
    <row r="12">
      <c r="A12" s="1008"/>
      <c r="B12" s="1010" t="s">
        <v>475</v>
      </c>
      <c r="C12" s="1010" t="s">
        <v>476</v>
      </c>
      <c r="D12" s="1010" t="s">
        <v>477</v>
      </c>
      <c r="E12" s="1010" t="s">
        <v>478</v>
      </c>
      <c r="F12" s="1010" t="s">
        <v>475</v>
      </c>
      <c r="G12" s="1010" t="s">
        <v>476</v>
      </c>
      <c r="H12" s="1010" t="s">
        <v>477</v>
      </c>
      <c r="I12" s="1010" t="s">
        <v>478</v>
      </c>
      <c r="J12" s="1010" t="s">
        <v>475</v>
      </c>
      <c r="K12" s="1010" t="s">
        <v>476</v>
      </c>
      <c r="L12" s="1010" t="s">
        <v>477</v>
      </c>
      <c r="M12" s="1010" t="s">
        <v>478</v>
      </c>
      <c r="N12" s="1010" t="s">
        <v>475</v>
      </c>
      <c r="O12" s="1010" t="s">
        <v>476</v>
      </c>
      <c r="P12" s="1010" t="s">
        <v>477</v>
      </c>
      <c r="Q12" s="1010" t="s">
        <v>478</v>
      </c>
      <c r="R12" s="1010" t="s">
        <v>475</v>
      </c>
      <c r="S12" s="1010" t="s">
        <v>476</v>
      </c>
      <c r="T12" s="1010" t="s">
        <v>477</v>
      </c>
      <c r="U12" s="1010" t="s">
        <v>478</v>
      </c>
      <c r="V12" s="1010" t="s">
        <v>475</v>
      </c>
      <c r="W12" s="1010" t="s">
        <v>476</v>
      </c>
      <c r="X12" s="1010" t="s">
        <v>477</v>
      </c>
      <c r="Y12" s="1010" t="s">
        <v>478</v>
      </c>
      <c r="Z12" s="1010" t="s">
        <v>475</v>
      </c>
      <c r="AA12" s="1010" t="s">
        <v>476</v>
      </c>
      <c r="AB12" s="1010" t="s">
        <v>477</v>
      </c>
      <c r="AC12" s="1010" t="s">
        <v>478</v>
      </c>
      <c r="AD12" s="1010" t="s">
        <v>475</v>
      </c>
      <c r="AE12" s="1010" t="s">
        <v>476</v>
      </c>
      <c r="AF12" s="1010" t="s">
        <v>477</v>
      </c>
      <c r="AG12" s="1010" t="s">
        <v>478</v>
      </c>
      <c r="AH12" s="1010" t="s">
        <v>475</v>
      </c>
      <c r="AI12" s="1010" t="s">
        <v>476</v>
      </c>
      <c r="AJ12" s="1010" t="s">
        <v>477</v>
      </c>
      <c r="AK12" s="1010" t="s">
        <v>478</v>
      </c>
      <c r="AL12" s="1010" t="s">
        <v>475</v>
      </c>
      <c r="AM12" s="1010" t="s">
        <v>476</v>
      </c>
      <c r="AN12" s="1010" t="s">
        <v>477</v>
      </c>
      <c r="AO12" s="1010" t="s">
        <v>478</v>
      </c>
      <c r="AP12" s="1010" t="s">
        <v>475</v>
      </c>
      <c r="AQ12" s="1010" t="s">
        <v>476</v>
      </c>
      <c r="AR12" s="1010" t="s">
        <v>477</v>
      </c>
      <c r="AS12" s="1010" t="s">
        <v>478</v>
      </c>
      <c r="AT12" s="1010" t="s">
        <v>475</v>
      </c>
      <c r="AU12" s="1010" t="s">
        <v>476</v>
      </c>
      <c r="AV12" s="1010" t="s">
        <v>477</v>
      </c>
      <c r="AW12" s="1010" t="s">
        <v>478</v>
      </c>
    </row>
    <row r="13">
      <c r="A13" s="1027" t="s">
        <v>481</v>
      </c>
      <c r="B13" s="1029">
        <v>385.234</v>
      </c>
      <c r="C13" s="1029">
        <v>363.592</v>
      </c>
      <c r="D13" s="1030">
        <v>-21.642</v>
      </c>
      <c r="E13" s="1031">
        <v>0.9438</v>
      </c>
      <c r="F13" s="1029">
        <v>431.256</v>
      </c>
      <c r="G13" s="1029">
        <v>382.393</v>
      </c>
      <c r="H13" s="1030">
        <v>-48.863</v>
      </c>
      <c r="I13" s="1031">
        <v>0.8867</v>
      </c>
      <c r="J13" s="1029">
        <v>431.256</v>
      </c>
      <c r="K13" s="1029">
        <v>382.393</v>
      </c>
      <c r="L13" s="1030">
        <v>-48.863</v>
      </c>
      <c r="M13" s="1031">
        <v>0.8867</v>
      </c>
      <c r="N13" s="1029">
        <v>418.742</v>
      </c>
      <c r="O13" s="1029">
        <v>412.697</v>
      </c>
      <c r="P13" s="1030">
        <v>-6.045</v>
      </c>
      <c r="Q13" s="1032">
        <v>0.9856</v>
      </c>
      <c r="R13" s="1029">
        <v>313.131</v>
      </c>
      <c r="S13" s="1029">
        <v>422.741</v>
      </c>
      <c r="T13" s="1033">
        <v>109.61</v>
      </c>
      <c r="U13" s="1032">
        <v>1.35</v>
      </c>
      <c r="V13" s="1029">
        <v>420.472</v>
      </c>
      <c r="W13" s="1029">
        <v>395.961</v>
      </c>
      <c r="X13" s="1030">
        <v>-24.511</v>
      </c>
      <c r="Y13" s="1031">
        <v>0.9417</v>
      </c>
      <c r="Z13" s="1029">
        <v>334.374</v>
      </c>
      <c r="AA13" s="1029">
        <v>0.0</v>
      </c>
      <c r="AB13" s="1030">
        <v>-334.374</v>
      </c>
      <c r="AC13" s="1030" t="s">
        <v>483</v>
      </c>
      <c r="AD13" s="1029">
        <v>503.843</v>
      </c>
      <c r="AE13" s="1029">
        <v>0.0</v>
      </c>
      <c r="AF13" s="1030">
        <v>-503.843</v>
      </c>
      <c r="AG13" s="1030" t="s">
        <v>483</v>
      </c>
      <c r="AH13" s="1029">
        <v>269.035</v>
      </c>
      <c r="AI13" s="1029">
        <v>0.0</v>
      </c>
      <c r="AJ13" s="1030">
        <v>-269.035</v>
      </c>
      <c r="AK13" s="1030" t="s">
        <v>483</v>
      </c>
      <c r="AL13" s="1029">
        <v>23.947</v>
      </c>
      <c r="AM13" s="1029">
        <v>0.0</v>
      </c>
      <c r="AN13" s="1030">
        <v>-23.947</v>
      </c>
      <c r="AO13" s="1030" t="s">
        <v>483</v>
      </c>
      <c r="AP13" s="1029">
        <v>372.753</v>
      </c>
      <c r="AQ13" s="1029">
        <v>0.0</v>
      </c>
      <c r="AR13" s="1030">
        <v>-372.753</v>
      </c>
      <c r="AS13" s="1030" t="s">
        <v>483</v>
      </c>
      <c r="AT13" s="1029">
        <v>333.288</v>
      </c>
      <c r="AU13" s="1029">
        <v>0.0</v>
      </c>
      <c r="AV13" s="1030">
        <v>-333.288</v>
      </c>
      <c r="AW13" s="1030" t="s">
        <v>483</v>
      </c>
    </row>
    <row r="14">
      <c r="A14" s="1027" t="s">
        <v>485</v>
      </c>
      <c r="B14" s="1029">
        <v>438.996</v>
      </c>
      <c r="C14" s="1029">
        <v>459.089</v>
      </c>
      <c r="D14" s="1033">
        <v>20.093</v>
      </c>
      <c r="E14" s="1032">
        <v>1.0458</v>
      </c>
      <c r="F14" s="1029">
        <v>458.385</v>
      </c>
      <c r="G14" s="1029">
        <v>425.247</v>
      </c>
      <c r="H14" s="1030">
        <v>-33.138</v>
      </c>
      <c r="I14" s="1031">
        <v>0.9277</v>
      </c>
      <c r="J14" s="1029">
        <v>458.385</v>
      </c>
      <c r="K14" s="1029">
        <v>425.247</v>
      </c>
      <c r="L14" s="1030">
        <v>-33.138</v>
      </c>
      <c r="M14" s="1031">
        <v>0.9277</v>
      </c>
      <c r="N14" s="1029">
        <v>474.864</v>
      </c>
      <c r="O14" s="1029">
        <v>477.617</v>
      </c>
      <c r="P14" s="1033">
        <v>2.753</v>
      </c>
      <c r="Q14" s="1032">
        <v>1.0058</v>
      </c>
      <c r="R14" s="1029">
        <v>299.133</v>
      </c>
      <c r="S14" s="1029">
        <v>489.308</v>
      </c>
      <c r="T14" s="1033">
        <v>190.175</v>
      </c>
      <c r="U14" s="1032">
        <v>1.6358</v>
      </c>
      <c r="V14" s="1029">
        <v>482.461</v>
      </c>
      <c r="W14" s="1029">
        <v>435.494</v>
      </c>
      <c r="X14" s="1030">
        <v>-46.967</v>
      </c>
      <c r="Y14" s="1031">
        <v>0.9027</v>
      </c>
      <c r="Z14" s="1029">
        <v>453.497</v>
      </c>
      <c r="AA14" s="1029">
        <v>0.0</v>
      </c>
      <c r="AB14" s="1030">
        <v>-453.497</v>
      </c>
      <c r="AC14" s="1030" t="s">
        <v>483</v>
      </c>
      <c r="AD14" s="1029">
        <v>469.48</v>
      </c>
      <c r="AE14" s="1029">
        <v>0.0</v>
      </c>
      <c r="AF14" s="1030">
        <v>-469.48</v>
      </c>
      <c r="AG14" s="1030" t="s">
        <v>483</v>
      </c>
      <c r="AH14" s="1029">
        <v>454.847</v>
      </c>
      <c r="AI14" s="1029">
        <v>0.0</v>
      </c>
      <c r="AJ14" s="1030">
        <v>-454.847</v>
      </c>
      <c r="AK14" s="1030" t="s">
        <v>483</v>
      </c>
      <c r="AL14" s="1029">
        <v>73.158</v>
      </c>
      <c r="AM14" s="1029">
        <v>0.0</v>
      </c>
      <c r="AN14" s="1030">
        <v>-73.158</v>
      </c>
      <c r="AO14" s="1030" t="s">
        <v>483</v>
      </c>
      <c r="AP14" s="1029">
        <v>445.272</v>
      </c>
      <c r="AQ14" s="1029">
        <v>0.0</v>
      </c>
      <c r="AR14" s="1030">
        <v>-445.272</v>
      </c>
      <c r="AS14" s="1030" t="s">
        <v>483</v>
      </c>
      <c r="AT14" s="1029">
        <v>423.33</v>
      </c>
      <c r="AU14" s="1029">
        <v>0.0</v>
      </c>
      <c r="AV14" s="1030">
        <v>-423.33</v>
      </c>
      <c r="AW14" s="1030" t="s">
        <v>483</v>
      </c>
    </row>
    <row r="15">
      <c r="A15" s="1027" t="s">
        <v>488</v>
      </c>
      <c r="B15" s="1029">
        <v>403.007</v>
      </c>
      <c r="C15" s="1029">
        <v>308.368</v>
      </c>
      <c r="D15" s="1030">
        <v>-94.639</v>
      </c>
      <c r="E15" s="1031">
        <v>0.7652</v>
      </c>
      <c r="F15" s="1029">
        <v>399.7</v>
      </c>
      <c r="G15" s="1029">
        <v>285.361</v>
      </c>
      <c r="H15" s="1030">
        <v>-114.339</v>
      </c>
      <c r="I15" s="1031">
        <v>0.7139</v>
      </c>
      <c r="J15" s="1029">
        <v>399.7</v>
      </c>
      <c r="K15" s="1029">
        <v>285.361</v>
      </c>
      <c r="L15" s="1030">
        <v>-114.339</v>
      </c>
      <c r="M15" s="1031">
        <v>0.7139</v>
      </c>
      <c r="N15" s="1029">
        <v>411.836</v>
      </c>
      <c r="O15" s="1029">
        <v>300.544</v>
      </c>
      <c r="P15" s="1030">
        <v>-111.292</v>
      </c>
      <c r="Q15" s="1031">
        <v>0.7298</v>
      </c>
      <c r="R15" s="1029">
        <v>412.156</v>
      </c>
      <c r="S15" s="1029">
        <v>344.589</v>
      </c>
      <c r="T15" s="1030">
        <v>-67.567</v>
      </c>
      <c r="U15" s="1031">
        <v>0.8361</v>
      </c>
      <c r="V15" s="1029">
        <v>351.493</v>
      </c>
      <c r="W15" s="1029">
        <v>242.267</v>
      </c>
      <c r="X15" s="1030">
        <v>-109.226</v>
      </c>
      <c r="Y15" s="1031">
        <v>0.6893</v>
      </c>
      <c r="Z15" s="1029">
        <v>295.019</v>
      </c>
      <c r="AA15" s="1029">
        <v>0.0</v>
      </c>
      <c r="AB15" s="1030">
        <v>-295.019</v>
      </c>
      <c r="AC15" s="1030" t="s">
        <v>483</v>
      </c>
      <c r="AD15" s="1029">
        <v>407.672</v>
      </c>
      <c r="AE15" s="1029">
        <v>0.0</v>
      </c>
      <c r="AF15" s="1030">
        <v>-407.672</v>
      </c>
      <c r="AG15" s="1030" t="s">
        <v>483</v>
      </c>
      <c r="AH15" s="1029">
        <v>96.914</v>
      </c>
      <c r="AI15" s="1029">
        <v>0.0</v>
      </c>
      <c r="AJ15" s="1030">
        <v>-96.914</v>
      </c>
      <c r="AK15" s="1030" t="s">
        <v>483</v>
      </c>
      <c r="AL15" s="1029">
        <v>2.013</v>
      </c>
      <c r="AM15" s="1029">
        <v>0.0</v>
      </c>
      <c r="AN15" s="1030">
        <v>-2.013</v>
      </c>
      <c r="AO15" s="1030" t="s">
        <v>483</v>
      </c>
      <c r="AP15" s="1029">
        <v>305.683</v>
      </c>
      <c r="AQ15" s="1029">
        <v>0.0</v>
      </c>
      <c r="AR15" s="1030">
        <v>-305.683</v>
      </c>
      <c r="AS15" s="1030" t="s">
        <v>483</v>
      </c>
      <c r="AT15" s="1029">
        <v>201.881</v>
      </c>
      <c r="AU15" s="1029">
        <v>0.0</v>
      </c>
      <c r="AV15" s="1030">
        <v>-201.881</v>
      </c>
      <c r="AW15" s="1030" t="s">
        <v>483</v>
      </c>
    </row>
    <row r="16">
      <c r="A16" s="1027" t="s">
        <v>492</v>
      </c>
      <c r="B16" s="1029">
        <v>391.611</v>
      </c>
      <c r="C16" s="1029">
        <v>423.323</v>
      </c>
      <c r="D16" s="1033">
        <v>31.712</v>
      </c>
      <c r="E16" s="1032">
        <v>1.081</v>
      </c>
      <c r="F16" s="1029">
        <v>466.22</v>
      </c>
      <c r="G16" s="1029">
        <v>343.584</v>
      </c>
      <c r="H16" s="1030">
        <v>-122.636</v>
      </c>
      <c r="I16" s="1031">
        <v>0.737</v>
      </c>
      <c r="J16" s="1029">
        <v>466.22</v>
      </c>
      <c r="K16" s="1029">
        <v>343.584</v>
      </c>
      <c r="L16" s="1030">
        <v>-122.636</v>
      </c>
      <c r="M16" s="1031">
        <v>0.737</v>
      </c>
      <c r="N16" s="1029">
        <v>516.969</v>
      </c>
      <c r="O16" s="1029">
        <v>434.541</v>
      </c>
      <c r="P16" s="1030">
        <v>-82.428</v>
      </c>
      <c r="Q16" s="1031">
        <v>0.8406</v>
      </c>
      <c r="R16" s="1029">
        <v>510.422</v>
      </c>
      <c r="S16" s="1029">
        <v>450.974</v>
      </c>
      <c r="T16" s="1030">
        <v>-59.448</v>
      </c>
      <c r="U16" s="1031">
        <v>0.8835</v>
      </c>
      <c r="V16" s="1029">
        <v>515.804</v>
      </c>
      <c r="W16" s="1029">
        <v>481.863</v>
      </c>
      <c r="X16" s="1030">
        <v>-33.941</v>
      </c>
      <c r="Y16" s="1031">
        <v>0.9342</v>
      </c>
      <c r="Z16" s="1029">
        <v>392.504</v>
      </c>
      <c r="AA16" s="1029">
        <v>0.0</v>
      </c>
      <c r="AB16" s="1030">
        <v>-392.504</v>
      </c>
      <c r="AC16" s="1030" t="s">
        <v>483</v>
      </c>
      <c r="AD16" s="1029">
        <v>446.612</v>
      </c>
      <c r="AE16" s="1029">
        <v>0.0</v>
      </c>
      <c r="AF16" s="1030">
        <v>-446.612</v>
      </c>
      <c r="AG16" s="1030" t="s">
        <v>483</v>
      </c>
      <c r="AH16" s="1029">
        <v>352.163</v>
      </c>
      <c r="AI16" s="1029">
        <v>0.0</v>
      </c>
      <c r="AJ16" s="1030">
        <v>-352.163</v>
      </c>
      <c r="AK16" s="1030" t="s">
        <v>483</v>
      </c>
      <c r="AL16" s="1029">
        <v>78.358</v>
      </c>
      <c r="AM16" s="1029">
        <v>0.0</v>
      </c>
      <c r="AN16" s="1030">
        <v>-78.358</v>
      </c>
      <c r="AO16" s="1030" t="s">
        <v>483</v>
      </c>
      <c r="AP16" s="1029">
        <v>467.993</v>
      </c>
      <c r="AQ16" s="1029">
        <v>0.0</v>
      </c>
      <c r="AR16" s="1030">
        <v>-467.993</v>
      </c>
      <c r="AS16" s="1030" t="s">
        <v>483</v>
      </c>
      <c r="AT16" s="1029">
        <v>390.986</v>
      </c>
      <c r="AU16" s="1029">
        <v>0.0</v>
      </c>
      <c r="AV16" s="1030">
        <v>-390.986</v>
      </c>
      <c r="AW16" s="1030" t="s">
        <v>483</v>
      </c>
    </row>
    <row r="17">
      <c r="A17" s="1027" t="s">
        <v>496</v>
      </c>
      <c r="B17" s="1029">
        <v>340.447</v>
      </c>
      <c r="C17" s="1029">
        <v>323.138</v>
      </c>
      <c r="D17" s="1030">
        <v>-17.309</v>
      </c>
      <c r="E17" s="1031">
        <v>0.9492</v>
      </c>
      <c r="F17" s="1029">
        <v>358.631</v>
      </c>
      <c r="G17" s="1029">
        <v>310.097</v>
      </c>
      <c r="H17" s="1030">
        <v>-48.534</v>
      </c>
      <c r="I17" s="1031">
        <v>0.8647</v>
      </c>
      <c r="J17" s="1029">
        <v>358.631</v>
      </c>
      <c r="K17" s="1029">
        <v>310.097</v>
      </c>
      <c r="L17" s="1030">
        <v>-48.534</v>
      </c>
      <c r="M17" s="1031">
        <v>0.8647</v>
      </c>
      <c r="N17" s="1029">
        <v>370.065</v>
      </c>
      <c r="O17" s="1029">
        <v>197.231</v>
      </c>
      <c r="P17" s="1030">
        <v>-172.834</v>
      </c>
      <c r="Q17" s="1031">
        <v>0.533</v>
      </c>
      <c r="R17" s="1029">
        <v>286.838</v>
      </c>
      <c r="S17" s="1029">
        <v>340.138</v>
      </c>
      <c r="T17" s="1033">
        <v>53.3</v>
      </c>
      <c r="U17" s="1032">
        <v>1.1858</v>
      </c>
      <c r="V17" s="1029">
        <v>371.538</v>
      </c>
      <c r="W17" s="1029">
        <v>316.849</v>
      </c>
      <c r="X17" s="1030">
        <v>-54.689</v>
      </c>
      <c r="Y17" s="1031">
        <v>0.8528</v>
      </c>
      <c r="Z17" s="1029">
        <v>355.511</v>
      </c>
      <c r="AA17" s="1029">
        <v>0.0</v>
      </c>
      <c r="AB17" s="1030">
        <v>-355.511</v>
      </c>
      <c r="AC17" s="1030" t="s">
        <v>483</v>
      </c>
      <c r="AD17" s="1029">
        <v>364.777</v>
      </c>
      <c r="AE17" s="1029">
        <v>0.0</v>
      </c>
      <c r="AF17" s="1030">
        <v>-364.777</v>
      </c>
      <c r="AG17" s="1030" t="s">
        <v>483</v>
      </c>
      <c r="AH17" s="1029">
        <v>170.797</v>
      </c>
      <c r="AI17" s="1029">
        <v>0.0</v>
      </c>
      <c r="AJ17" s="1030">
        <v>-170.797</v>
      </c>
      <c r="AK17" s="1030" t="s">
        <v>483</v>
      </c>
      <c r="AL17" s="1029">
        <v>1.337</v>
      </c>
      <c r="AM17" s="1029">
        <v>0.0</v>
      </c>
      <c r="AN17" s="1030">
        <v>-1.337</v>
      </c>
      <c r="AO17" s="1030" t="s">
        <v>483</v>
      </c>
      <c r="AP17" s="1029">
        <v>312.247</v>
      </c>
      <c r="AQ17" s="1029">
        <v>0.0</v>
      </c>
      <c r="AR17" s="1030">
        <v>-312.247</v>
      </c>
      <c r="AS17" s="1030" t="s">
        <v>483</v>
      </c>
      <c r="AT17" s="1029">
        <v>319.839</v>
      </c>
      <c r="AU17" s="1029">
        <v>0.0</v>
      </c>
      <c r="AV17" s="1030">
        <v>-319.839</v>
      </c>
      <c r="AW17" s="1030" t="s">
        <v>483</v>
      </c>
    </row>
    <row r="18">
      <c r="A18" s="1027" t="s">
        <v>499</v>
      </c>
      <c r="B18" s="1029">
        <v>583.978</v>
      </c>
      <c r="C18" s="1029">
        <v>524.723</v>
      </c>
      <c r="D18" s="1030">
        <v>-59.255</v>
      </c>
      <c r="E18" s="1031">
        <v>0.8985</v>
      </c>
      <c r="F18" s="1029">
        <v>633.786</v>
      </c>
      <c r="G18" s="1029">
        <v>409.186</v>
      </c>
      <c r="H18" s="1030">
        <v>-224.6</v>
      </c>
      <c r="I18" s="1031">
        <v>0.6456</v>
      </c>
      <c r="J18" s="1029">
        <v>633.786</v>
      </c>
      <c r="K18" s="1029">
        <v>409.186</v>
      </c>
      <c r="L18" s="1030">
        <v>-224.6</v>
      </c>
      <c r="M18" s="1031">
        <v>0.6456</v>
      </c>
      <c r="N18" s="1029">
        <v>667.798</v>
      </c>
      <c r="O18" s="1029">
        <v>483.751</v>
      </c>
      <c r="P18" s="1030">
        <v>-184.047</v>
      </c>
      <c r="Q18" s="1031">
        <v>0.7244</v>
      </c>
      <c r="R18" s="1029">
        <v>299.572</v>
      </c>
      <c r="S18" s="1029">
        <v>492.401</v>
      </c>
      <c r="T18" s="1033">
        <v>192.829</v>
      </c>
      <c r="U18" s="1032">
        <v>1.6437</v>
      </c>
      <c r="V18" s="1029">
        <v>717.232</v>
      </c>
      <c r="W18" s="1029">
        <v>421.097</v>
      </c>
      <c r="X18" s="1030">
        <v>-296.135</v>
      </c>
      <c r="Y18" s="1031">
        <v>0.5871</v>
      </c>
      <c r="Z18" s="1029">
        <v>659.986</v>
      </c>
      <c r="AA18" s="1029">
        <v>0.0</v>
      </c>
      <c r="AB18" s="1030">
        <v>-659.986</v>
      </c>
      <c r="AC18" s="1030" t="s">
        <v>483</v>
      </c>
      <c r="AD18" s="1029">
        <v>635.318</v>
      </c>
      <c r="AE18" s="1029">
        <v>0.0</v>
      </c>
      <c r="AF18" s="1030">
        <v>-635.318</v>
      </c>
      <c r="AG18" s="1030" t="s">
        <v>483</v>
      </c>
      <c r="AH18" s="1029">
        <v>647.486</v>
      </c>
      <c r="AI18" s="1029">
        <v>0.0</v>
      </c>
      <c r="AJ18" s="1030">
        <v>-647.486</v>
      </c>
      <c r="AK18" s="1030" t="s">
        <v>483</v>
      </c>
      <c r="AL18" s="1029">
        <v>88.955</v>
      </c>
      <c r="AM18" s="1029">
        <v>0.0</v>
      </c>
      <c r="AN18" s="1030">
        <v>-88.955</v>
      </c>
      <c r="AO18" s="1030" t="s">
        <v>483</v>
      </c>
      <c r="AP18" s="1029">
        <v>517.538</v>
      </c>
      <c r="AQ18" s="1029">
        <v>0.0</v>
      </c>
      <c r="AR18" s="1030">
        <v>-517.538</v>
      </c>
      <c r="AS18" s="1030" t="s">
        <v>483</v>
      </c>
      <c r="AT18" s="1029">
        <v>542.217</v>
      </c>
      <c r="AU18" s="1029">
        <v>0.0</v>
      </c>
      <c r="AV18" s="1030">
        <v>-542.217</v>
      </c>
      <c r="AW18" s="1030" t="s">
        <v>483</v>
      </c>
    </row>
    <row r="19">
      <c r="A19" s="1027" t="s">
        <v>501</v>
      </c>
      <c r="B19" s="1029">
        <v>316.278</v>
      </c>
      <c r="C19" s="1029">
        <v>325.421</v>
      </c>
      <c r="D19" s="1033">
        <v>9.143</v>
      </c>
      <c r="E19" s="1032">
        <v>1.0289</v>
      </c>
      <c r="F19" s="1029">
        <v>398.292</v>
      </c>
      <c r="G19" s="1029">
        <v>307.791</v>
      </c>
      <c r="H19" s="1030">
        <v>-90.501</v>
      </c>
      <c r="I19" s="1031">
        <v>0.7728</v>
      </c>
      <c r="J19" s="1029">
        <v>398.292</v>
      </c>
      <c r="K19" s="1029">
        <v>307.791</v>
      </c>
      <c r="L19" s="1030">
        <v>-90.501</v>
      </c>
      <c r="M19" s="1031">
        <v>0.7728</v>
      </c>
      <c r="N19" s="1029">
        <v>345.5</v>
      </c>
      <c r="O19" s="1029">
        <v>306.934</v>
      </c>
      <c r="P19" s="1030">
        <v>-38.566</v>
      </c>
      <c r="Q19" s="1031">
        <v>0.8884</v>
      </c>
      <c r="R19" s="1029">
        <v>460.422</v>
      </c>
      <c r="S19" s="1029">
        <v>363.245</v>
      </c>
      <c r="T19" s="1030">
        <v>-97.177</v>
      </c>
      <c r="U19" s="1031">
        <v>0.7889</v>
      </c>
      <c r="V19" s="1029">
        <v>355.494</v>
      </c>
      <c r="W19" s="1029">
        <v>343.815</v>
      </c>
      <c r="X19" s="1030">
        <v>-11.679</v>
      </c>
      <c r="Y19" s="1031">
        <v>0.9671</v>
      </c>
      <c r="Z19" s="1029">
        <v>272.692</v>
      </c>
      <c r="AA19" s="1029">
        <v>0.0</v>
      </c>
      <c r="AB19" s="1030">
        <v>-272.692</v>
      </c>
      <c r="AC19" s="1030" t="s">
        <v>483</v>
      </c>
      <c r="AD19" s="1029">
        <v>422.711</v>
      </c>
      <c r="AE19" s="1029">
        <v>0.0</v>
      </c>
      <c r="AF19" s="1030">
        <v>-422.711</v>
      </c>
      <c r="AG19" s="1030" t="s">
        <v>483</v>
      </c>
      <c r="AH19" s="1029">
        <v>5.946</v>
      </c>
      <c r="AI19" s="1029">
        <v>0.0</v>
      </c>
      <c r="AJ19" s="1030">
        <v>-5.946</v>
      </c>
      <c r="AK19" s="1030" t="s">
        <v>483</v>
      </c>
      <c r="AL19" s="1029">
        <v>21.514</v>
      </c>
      <c r="AM19" s="1029">
        <v>0.0</v>
      </c>
      <c r="AN19" s="1030">
        <v>-21.514</v>
      </c>
      <c r="AO19" s="1030" t="s">
        <v>483</v>
      </c>
      <c r="AP19" s="1029">
        <v>287.1</v>
      </c>
      <c r="AQ19" s="1029">
        <v>0.0</v>
      </c>
      <c r="AR19" s="1030">
        <v>-287.1</v>
      </c>
      <c r="AS19" s="1030" t="s">
        <v>483</v>
      </c>
      <c r="AT19" s="1029">
        <v>254.785</v>
      </c>
      <c r="AU19" s="1029">
        <v>0.0</v>
      </c>
      <c r="AV19" s="1030">
        <v>-254.785</v>
      </c>
      <c r="AW19" s="1030" t="s">
        <v>483</v>
      </c>
    </row>
    <row r="20">
      <c r="A20" s="1068" t="s">
        <v>504</v>
      </c>
      <c r="B20" s="1069" t="s">
        <v>505</v>
      </c>
      <c r="C20" s="1069" t="s">
        <v>506</v>
      </c>
      <c r="D20" s="1070">
        <v>-131.897</v>
      </c>
      <c r="E20" s="1031">
        <v>0.9539</v>
      </c>
      <c r="F20" s="1069" t="s">
        <v>507</v>
      </c>
      <c r="G20" s="1069" t="s">
        <v>508</v>
      </c>
      <c r="H20" s="1070">
        <v>-682.611</v>
      </c>
      <c r="I20" s="1031">
        <v>0.783</v>
      </c>
      <c r="J20" s="1069" t="s">
        <v>507</v>
      </c>
      <c r="K20" s="1069" t="s">
        <v>508</v>
      </c>
      <c r="L20" s="1070">
        <v>-682.611</v>
      </c>
      <c r="M20" s="1031">
        <v>0.783</v>
      </c>
      <c r="N20" s="1069" t="s">
        <v>509</v>
      </c>
      <c r="O20" s="1069" t="s">
        <v>510</v>
      </c>
      <c r="P20" s="1070">
        <v>-592.459</v>
      </c>
      <c r="Q20" s="1031">
        <v>0.8152</v>
      </c>
      <c r="R20" s="1069" t="s">
        <v>511</v>
      </c>
      <c r="S20" s="1069" t="s">
        <v>512</v>
      </c>
      <c r="T20" s="1071">
        <v>321.722</v>
      </c>
      <c r="U20" s="1032">
        <v>1.1246</v>
      </c>
      <c r="V20" s="1069" t="s">
        <v>513</v>
      </c>
      <c r="W20" s="1069" t="s">
        <v>514</v>
      </c>
      <c r="X20" s="1070">
        <v>-577.148</v>
      </c>
      <c r="Y20" s="1031">
        <v>0.8205</v>
      </c>
      <c r="Z20" s="1069" t="s">
        <v>515</v>
      </c>
      <c r="AA20" s="1069">
        <v>0.0</v>
      </c>
      <c r="AB20" s="1070" t="s">
        <v>516</v>
      </c>
      <c r="AC20" s="1070" t="s">
        <v>483</v>
      </c>
      <c r="AD20" s="1069" t="s">
        <v>517</v>
      </c>
      <c r="AE20" s="1069">
        <v>0.0</v>
      </c>
      <c r="AF20" s="1070" t="s">
        <v>518</v>
      </c>
      <c r="AG20" s="1070" t="s">
        <v>483</v>
      </c>
      <c r="AH20" s="1069" t="s">
        <v>519</v>
      </c>
      <c r="AI20" s="1069">
        <v>0.0</v>
      </c>
      <c r="AJ20" s="1070" t="s">
        <v>520</v>
      </c>
      <c r="AK20" s="1070" t="s">
        <v>483</v>
      </c>
      <c r="AL20" s="1069">
        <v>289.282</v>
      </c>
      <c r="AM20" s="1069">
        <v>0.0</v>
      </c>
      <c r="AN20" s="1070">
        <v>-289.282</v>
      </c>
      <c r="AO20" s="1070" t="s">
        <v>483</v>
      </c>
      <c r="AP20" s="1069" t="s">
        <v>524</v>
      </c>
      <c r="AQ20" s="1069">
        <v>0.0</v>
      </c>
      <c r="AR20" s="1070" t="s">
        <v>525</v>
      </c>
      <c r="AS20" s="1070" t="s">
        <v>483</v>
      </c>
      <c r="AT20" s="1069" t="s">
        <v>526</v>
      </c>
      <c r="AU20" s="1069">
        <v>0.0</v>
      </c>
      <c r="AV20" s="1070" t="s">
        <v>527</v>
      </c>
      <c r="AW20" s="1070" t="s">
        <v>483</v>
      </c>
    </row>
    <row r="21">
      <c r="A21" s="1068" t="s">
        <v>528</v>
      </c>
      <c r="B21" s="1069" t="s">
        <v>505</v>
      </c>
      <c r="C21" s="1069" t="s">
        <v>506</v>
      </c>
      <c r="D21" s="1070">
        <v>-131.897</v>
      </c>
      <c r="E21" s="1031">
        <v>0.9539</v>
      </c>
      <c r="F21" s="1069" t="s">
        <v>507</v>
      </c>
      <c r="G21" s="1069" t="s">
        <v>508</v>
      </c>
      <c r="H21" s="1070">
        <v>-682.611</v>
      </c>
      <c r="I21" s="1031">
        <v>0.783</v>
      </c>
      <c r="J21" s="1069" t="s">
        <v>507</v>
      </c>
      <c r="K21" s="1069" t="s">
        <v>508</v>
      </c>
      <c r="L21" s="1070">
        <v>-682.611</v>
      </c>
      <c r="M21" s="1031">
        <v>0.783</v>
      </c>
      <c r="N21" s="1069" t="s">
        <v>509</v>
      </c>
      <c r="O21" s="1069" t="s">
        <v>510</v>
      </c>
      <c r="P21" s="1070">
        <v>-592.459</v>
      </c>
      <c r="Q21" s="1031">
        <v>0.8152</v>
      </c>
      <c r="R21" s="1069" t="s">
        <v>511</v>
      </c>
      <c r="S21" s="1069" t="s">
        <v>512</v>
      </c>
      <c r="T21" s="1071">
        <v>321.722</v>
      </c>
      <c r="U21" s="1032">
        <v>1.1246</v>
      </c>
      <c r="V21" s="1069" t="s">
        <v>513</v>
      </c>
      <c r="W21" s="1069" t="s">
        <v>514</v>
      </c>
      <c r="X21" s="1070">
        <v>-577.148</v>
      </c>
      <c r="Y21" s="1031">
        <v>0.8205</v>
      </c>
      <c r="Z21" s="1069" t="s">
        <v>515</v>
      </c>
      <c r="AA21" s="1069">
        <v>0.0</v>
      </c>
      <c r="AB21" s="1070" t="s">
        <v>516</v>
      </c>
      <c r="AC21" s="1070" t="s">
        <v>483</v>
      </c>
      <c r="AD21" s="1069" t="s">
        <v>517</v>
      </c>
      <c r="AE21" s="1069">
        <v>0.0</v>
      </c>
      <c r="AF21" s="1070" t="s">
        <v>518</v>
      </c>
      <c r="AG21" s="1070" t="s">
        <v>483</v>
      </c>
      <c r="AH21" s="1069" t="s">
        <v>519</v>
      </c>
      <c r="AI21" s="1069">
        <v>0.0</v>
      </c>
      <c r="AJ21" s="1070" t="s">
        <v>520</v>
      </c>
      <c r="AK21" s="1070" t="s">
        <v>483</v>
      </c>
      <c r="AL21" s="1069">
        <v>289.282</v>
      </c>
      <c r="AM21" s="1069">
        <v>0.0</v>
      </c>
      <c r="AN21" s="1070">
        <v>-289.282</v>
      </c>
      <c r="AO21" s="1070" t="s">
        <v>483</v>
      </c>
      <c r="AP21" s="1069" t="s">
        <v>524</v>
      </c>
      <c r="AQ21" s="1069">
        <v>0.0</v>
      </c>
      <c r="AR21" s="1070" t="s">
        <v>525</v>
      </c>
      <c r="AS21" s="1070" t="s">
        <v>483</v>
      </c>
      <c r="AT21" s="1069" t="s">
        <v>526</v>
      </c>
      <c r="AU21" s="1069">
        <v>0.0</v>
      </c>
      <c r="AV21" s="1070" t="s">
        <v>527</v>
      </c>
      <c r="AW21" s="1070" t="s">
        <v>483</v>
      </c>
    </row>
    <row r="22">
      <c r="A22" s="1080" t="s">
        <v>533</v>
      </c>
      <c r="B22" s="1081">
        <v>0.0</v>
      </c>
      <c r="C22" s="1081">
        <v>26.419</v>
      </c>
      <c r="D22" s="1082"/>
      <c r="E22" s="1082"/>
      <c r="F22" s="1081">
        <v>0.0</v>
      </c>
      <c r="G22" s="1081">
        <v>35.452</v>
      </c>
      <c r="H22" s="1082"/>
      <c r="I22" s="1082"/>
      <c r="J22" s="1081">
        <v>0.0</v>
      </c>
      <c r="K22" s="1081">
        <v>35.452</v>
      </c>
      <c r="L22" s="1082"/>
      <c r="M22" s="1082"/>
      <c r="N22" s="1081">
        <v>0.0</v>
      </c>
      <c r="O22" s="1081">
        <v>67.138</v>
      </c>
      <c r="P22" s="1082"/>
      <c r="Q22" s="1082"/>
      <c r="R22" s="1081">
        <v>0.0</v>
      </c>
      <c r="S22" s="1081">
        <v>80.445</v>
      </c>
      <c r="T22" s="1082"/>
      <c r="U22" s="1082"/>
      <c r="V22" s="1081">
        <v>0.0</v>
      </c>
      <c r="W22" s="1081">
        <v>82.491</v>
      </c>
      <c r="X22" s="1082"/>
      <c r="Y22" s="1082"/>
      <c r="Z22" s="1082"/>
      <c r="AA22" s="1081">
        <v>0.0</v>
      </c>
      <c r="AB22" s="1082"/>
      <c r="AC22" s="1082"/>
      <c r="AD22" s="1082"/>
      <c r="AE22" s="1081">
        <v>0.0</v>
      </c>
      <c r="AF22" s="1082"/>
      <c r="AG22" s="1082"/>
      <c r="AH22" s="1082"/>
      <c r="AI22" s="1081">
        <v>0.0</v>
      </c>
      <c r="AJ22" s="1082"/>
      <c r="AK22" s="1082"/>
      <c r="AL22" s="1082"/>
      <c r="AM22" s="1081">
        <v>0.0</v>
      </c>
      <c r="AN22" s="1082"/>
      <c r="AO22" s="1082"/>
      <c r="AP22" s="1082"/>
      <c r="AQ22" s="1081">
        <v>0.0</v>
      </c>
      <c r="AR22" s="1082"/>
      <c r="AS22" s="1082"/>
      <c r="AT22" s="1082"/>
      <c r="AU22" s="1081">
        <v>0.0</v>
      </c>
      <c r="AV22" s="1082"/>
      <c r="AW22" s="1082"/>
    </row>
    <row r="23">
      <c r="A23" s="1084" t="s">
        <v>539</v>
      </c>
      <c r="B23" s="1085" t="s">
        <v>505</v>
      </c>
      <c r="C23" s="1085" t="s">
        <v>540</v>
      </c>
      <c r="D23" s="1085">
        <v>-105.478</v>
      </c>
      <c r="E23" s="1089">
        <v>0.9631</v>
      </c>
      <c r="F23" s="1085" t="s">
        <v>507</v>
      </c>
      <c r="G23" s="1085" t="s">
        <v>541</v>
      </c>
      <c r="H23" s="1085">
        <v>-647.159</v>
      </c>
      <c r="I23" s="1089">
        <v>0.7943</v>
      </c>
      <c r="J23" s="1085" t="s">
        <v>507</v>
      </c>
      <c r="K23" s="1085" t="s">
        <v>541</v>
      </c>
      <c r="L23" s="1085">
        <v>-647.159</v>
      </c>
      <c r="M23" s="1089">
        <v>0.7943</v>
      </c>
      <c r="N23" s="1085" t="s">
        <v>509</v>
      </c>
      <c r="O23" s="1085" t="s">
        <v>543</v>
      </c>
      <c r="P23" s="1085">
        <v>-525.321</v>
      </c>
      <c r="Q23" s="1089">
        <v>0.8361</v>
      </c>
      <c r="R23" s="1085" t="s">
        <v>511</v>
      </c>
      <c r="S23" s="1085" t="s">
        <v>544</v>
      </c>
      <c r="T23" s="1085">
        <v>402.167</v>
      </c>
      <c r="U23" s="1085" t="s">
        <v>545</v>
      </c>
      <c r="V23" s="1085" t="s">
        <v>513</v>
      </c>
      <c r="W23" s="1085" t="s">
        <v>546</v>
      </c>
      <c r="X23" s="1085">
        <v>-494.657</v>
      </c>
      <c r="Y23" s="1089">
        <v>0.8461</v>
      </c>
      <c r="Z23" s="1092"/>
      <c r="AA23" s="1085">
        <v>0.0</v>
      </c>
      <c r="AB23" s="1085">
        <v>0.0</v>
      </c>
      <c r="AC23" s="1085" t="s">
        <v>547</v>
      </c>
      <c r="AD23" s="1092"/>
      <c r="AE23" s="1085">
        <v>0.0</v>
      </c>
      <c r="AF23" s="1085">
        <v>0.0</v>
      </c>
      <c r="AG23" s="1085" t="s">
        <v>547</v>
      </c>
      <c r="AH23" s="1092"/>
      <c r="AI23" s="1085">
        <v>0.0</v>
      </c>
      <c r="AJ23" s="1085">
        <v>0.0</v>
      </c>
      <c r="AK23" s="1085" t="s">
        <v>547</v>
      </c>
      <c r="AL23" s="1092"/>
      <c r="AM23" s="1085">
        <v>0.0</v>
      </c>
      <c r="AN23" s="1085">
        <v>0.0</v>
      </c>
      <c r="AO23" s="1085" t="s">
        <v>547</v>
      </c>
      <c r="AP23" s="1092"/>
      <c r="AQ23" s="1085">
        <v>0.0</v>
      </c>
      <c r="AR23" s="1085">
        <v>0.0</v>
      </c>
      <c r="AS23" s="1085" t="s">
        <v>547</v>
      </c>
      <c r="AT23" s="1092"/>
      <c r="AU23" s="1085">
        <v>0.0</v>
      </c>
      <c r="AV23" s="1085">
        <v>0.0</v>
      </c>
      <c r="AW23" s="1085" t="s">
        <v>547</v>
      </c>
    </row>
    <row r="24">
      <c r="A24" s="1080" t="s">
        <v>548</v>
      </c>
      <c r="B24" s="1081" t="s">
        <v>549</v>
      </c>
      <c r="C24" s="1081" t="s">
        <v>550</v>
      </c>
      <c r="D24" s="1081">
        <v>-122.157</v>
      </c>
      <c r="E24" s="1093">
        <v>0.9575</v>
      </c>
      <c r="F24" s="1081" t="s">
        <v>551</v>
      </c>
      <c r="G24" s="1081" t="s">
        <v>552</v>
      </c>
      <c r="H24" s="1081">
        <v>-745.133</v>
      </c>
      <c r="I24" s="1093">
        <v>0.7699</v>
      </c>
      <c r="J24" s="1081" t="s">
        <v>553</v>
      </c>
      <c r="K24" s="1081" t="s">
        <v>554</v>
      </c>
      <c r="L24" s="1081">
        <v>-616.556</v>
      </c>
      <c r="M24" s="1093">
        <v>0.8163</v>
      </c>
      <c r="N24" s="1081" t="s">
        <v>555</v>
      </c>
      <c r="O24" s="1081" t="s">
        <v>556</v>
      </c>
      <c r="P24" s="1081">
        <v>-636.965</v>
      </c>
      <c r="Q24" s="1093">
        <v>0.8077</v>
      </c>
      <c r="R24" s="1081" t="s">
        <v>557</v>
      </c>
      <c r="S24" s="1081" t="s">
        <v>544</v>
      </c>
      <c r="T24" s="1081">
        <v>285.552</v>
      </c>
      <c r="U24" s="1081" t="s">
        <v>558</v>
      </c>
      <c r="V24" s="1081" t="s">
        <v>559</v>
      </c>
      <c r="W24" s="1081" t="s">
        <v>560</v>
      </c>
      <c r="X24" s="1081">
        <v>-695.123</v>
      </c>
      <c r="Y24" s="1093">
        <v>0.7956</v>
      </c>
      <c r="Z24" s="1082"/>
      <c r="AA24" s="1082"/>
      <c r="AB24" s="1081">
        <v>0.0</v>
      </c>
      <c r="AC24" s="1081" t="s">
        <v>547</v>
      </c>
      <c r="AD24" s="1082"/>
      <c r="AE24" s="1082"/>
      <c r="AF24" s="1081">
        <v>0.0</v>
      </c>
      <c r="AG24" s="1081" t="s">
        <v>547</v>
      </c>
      <c r="AH24" s="1082"/>
      <c r="AI24" s="1082"/>
      <c r="AJ24" s="1081">
        <v>0.0</v>
      </c>
      <c r="AK24" s="1081" t="s">
        <v>547</v>
      </c>
      <c r="AL24" s="1082"/>
      <c r="AM24" s="1082"/>
      <c r="AN24" s="1081">
        <v>0.0</v>
      </c>
      <c r="AO24" s="1081" t="s">
        <v>547</v>
      </c>
      <c r="AP24" s="1082"/>
      <c r="AQ24" s="1082"/>
      <c r="AR24" s="1081">
        <v>0.0</v>
      </c>
      <c r="AS24" s="1081" t="s">
        <v>547</v>
      </c>
      <c r="AT24" s="1082"/>
      <c r="AU24" s="1082"/>
      <c r="AV24" s="1081">
        <v>0.0</v>
      </c>
      <c r="AW24" s="1081" t="s">
        <v>547</v>
      </c>
    </row>
    <row r="25">
      <c r="A25" s="1095"/>
      <c r="B25" s="1095"/>
      <c r="C25" s="1096"/>
      <c r="D25" s="1095"/>
      <c r="E25" s="1095"/>
      <c r="F25" s="1096"/>
      <c r="G25" s="1095"/>
      <c r="H25" s="1095"/>
      <c r="I25" s="1095"/>
      <c r="J25" s="1095"/>
      <c r="K25" s="1095"/>
      <c r="L25" s="1095"/>
      <c r="M25" s="1095"/>
      <c r="N25" s="1095"/>
      <c r="O25" s="1096"/>
      <c r="P25" s="1096"/>
      <c r="Q25" s="1096"/>
      <c r="R25" s="1096"/>
      <c r="S25" s="1096"/>
      <c r="T25" s="1096"/>
      <c r="U25" s="1096"/>
      <c r="V25" s="1096"/>
      <c r="W25" s="1096"/>
      <c r="X25" s="1096"/>
      <c r="Y25" s="1096"/>
      <c r="Z25" s="1096"/>
      <c r="AA25" s="1096"/>
      <c r="AB25" s="1096"/>
      <c r="AC25" s="1096"/>
      <c r="AD25" s="1096"/>
      <c r="AE25" s="1096"/>
      <c r="AF25" s="1096"/>
      <c r="AG25" s="1096"/>
      <c r="AH25" s="1096"/>
      <c r="AI25" s="1096"/>
      <c r="AJ25" s="1096"/>
      <c r="AK25" s="1096"/>
      <c r="AL25" s="1096"/>
      <c r="AM25" s="1096"/>
      <c r="AN25" s="1096"/>
      <c r="AO25" s="1096"/>
      <c r="AP25" s="1096"/>
      <c r="AQ25" s="1096"/>
      <c r="AR25" s="1096"/>
      <c r="AS25" s="1096"/>
      <c r="AT25" s="1096"/>
      <c r="AU25" s="1096"/>
      <c r="AV25" s="1096"/>
      <c r="AW25" s="1096"/>
    </row>
    <row r="26">
      <c r="B26" s="992" t="s">
        <v>562</v>
      </c>
      <c r="C26" s="7"/>
      <c r="D26" s="7"/>
      <c r="E26" s="9"/>
      <c r="F26" s="1096"/>
      <c r="G26" s="1095"/>
      <c r="H26" s="1095"/>
      <c r="I26" s="1095"/>
      <c r="J26" s="1095"/>
      <c r="K26" s="1095"/>
      <c r="L26" s="1095"/>
      <c r="M26" s="1095"/>
      <c r="N26" s="1095"/>
      <c r="O26" s="1096"/>
      <c r="P26" s="1096"/>
      <c r="Q26" s="1096"/>
      <c r="R26" s="1096"/>
      <c r="S26" s="1096"/>
      <c r="T26" s="1096"/>
      <c r="U26" s="1096"/>
      <c r="V26" s="1096"/>
      <c r="W26" s="1096"/>
      <c r="X26" s="1096"/>
      <c r="Y26" s="1096"/>
      <c r="Z26" s="1096"/>
      <c r="AA26" s="1096"/>
      <c r="AB26" s="1096"/>
      <c r="AC26" s="1096"/>
      <c r="AD26" s="1096"/>
      <c r="AE26" s="1096"/>
      <c r="AF26" s="1096"/>
      <c r="AG26" s="1096"/>
      <c r="AH26" s="1096"/>
      <c r="AI26" s="1096"/>
      <c r="AJ26" s="1096"/>
      <c r="AK26" s="1096"/>
      <c r="AL26" s="1096"/>
      <c r="AM26" s="1096"/>
      <c r="AN26" s="1096"/>
      <c r="AO26" s="1096"/>
      <c r="AP26" s="1096"/>
      <c r="AQ26" s="1096"/>
      <c r="AR26" s="1096"/>
      <c r="AS26" s="1096"/>
      <c r="AT26" s="1096"/>
      <c r="AU26" s="1096"/>
      <c r="AV26" s="1096"/>
      <c r="AW26" s="1096"/>
    </row>
    <row r="27">
      <c r="A27" s="1097" t="s">
        <v>564</v>
      </c>
      <c r="B27" s="1098" t="s">
        <v>390</v>
      </c>
      <c r="C27" s="1100"/>
      <c r="D27" s="1097" t="s">
        <v>565</v>
      </c>
      <c r="E27" s="1098" t="s">
        <v>283</v>
      </c>
      <c r="F27" s="1096"/>
      <c r="G27" s="1101" t="s">
        <v>566</v>
      </c>
      <c r="H27" s="1102"/>
      <c r="I27" s="1104" t="s">
        <v>567</v>
      </c>
      <c r="J27" s="7"/>
      <c r="K27" s="7"/>
      <c r="L27" s="7"/>
      <c r="M27" s="7"/>
      <c r="N27" s="9"/>
      <c r="O27" s="1096"/>
      <c r="P27" s="1096"/>
      <c r="Q27" s="1096"/>
      <c r="R27" s="1096"/>
      <c r="S27" s="1096"/>
      <c r="T27" s="1096"/>
      <c r="U27" s="1096"/>
      <c r="V27" s="1096"/>
      <c r="W27" s="1096"/>
      <c r="X27" s="1096"/>
      <c r="Y27" s="1096"/>
      <c r="Z27" s="1096"/>
      <c r="AA27" s="1096"/>
      <c r="AB27" s="1096"/>
      <c r="AC27" s="1096"/>
      <c r="AD27" s="1096"/>
      <c r="AE27" s="1096"/>
      <c r="AF27" s="1096"/>
      <c r="AG27" s="1096"/>
      <c r="AH27" s="1096"/>
      <c r="AI27" s="1096"/>
      <c r="AJ27" s="1096"/>
      <c r="AK27" s="1096"/>
      <c r="AL27" s="1096"/>
      <c r="AM27" s="1096"/>
      <c r="AN27" s="1096"/>
      <c r="AO27" s="1096"/>
      <c r="AP27" s="1096"/>
      <c r="AQ27" s="1096"/>
      <c r="AR27" s="1096"/>
      <c r="AS27" s="1096"/>
      <c r="AT27" s="1096"/>
      <c r="AU27" s="1096"/>
      <c r="AV27" s="1096"/>
      <c r="AW27" s="1096"/>
    </row>
    <row r="28">
      <c r="A28" s="1100"/>
      <c r="B28" s="1100"/>
      <c r="C28" s="1100"/>
      <c r="D28" s="1100"/>
      <c r="E28" s="1100"/>
      <c r="F28" s="1096"/>
      <c r="G28" s="1101" t="s">
        <v>568</v>
      </c>
      <c r="H28" s="9"/>
      <c r="I28" s="1105" t="s">
        <v>569</v>
      </c>
      <c r="J28" s="7"/>
      <c r="K28" s="7"/>
      <c r="L28" s="7"/>
      <c r="M28" s="7"/>
      <c r="N28" s="9"/>
      <c r="O28" s="1096"/>
      <c r="P28" s="1096"/>
      <c r="Q28" s="1096"/>
      <c r="R28" s="1096"/>
      <c r="S28" s="1096"/>
      <c r="T28" s="1096"/>
      <c r="U28" s="1096"/>
      <c r="V28" s="1096"/>
      <c r="W28" s="1096"/>
      <c r="X28" s="1096"/>
      <c r="Y28" s="1096"/>
      <c r="Z28" s="1096"/>
      <c r="AA28" s="1096"/>
      <c r="AB28" s="1096"/>
      <c r="AC28" s="1096"/>
      <c r="AD28" s="1096"/>
      <c r="AE28" s="1096"/>
      <c r="AF28" s="1096"/>
      <c r="AG28" s="1096"/>
      <c r="AH28" s="1096"/>
      <c r="AI28" s="1096"/>
      <c r="AJ28" s="1096"/>
      <c r="AK28" s="1096"/>
      <c r="AL28" s="1096"/>
      <c r="AM28" s="1096"/>
      <c r="AN28" s="1096"/>
      <c r="AO28" s="1096"/>
      <c r="AP28" s="1096"/>
      <c r="AQ28" s="1096"/>
      <c r="AR28" s="1096"/>
      <c r="AS28" s="1096"/>
      <c r="AT28" s="1096"/>
      <c r="AU28" s="1096"/>
      <c r="AV28" s="1096"/>
      <c r="AW28" s="1096"/>
    </row>
    <row r="29">
      <c r="A29" s="1107" t="s">
        <v>358</v>
      </c>
      <c r="B29" s="1107" t="s">
        <v>475</v>
      </c>
      <c r="C29" s="1107" t="s">
        <v>476</v>
      </c>
      <c r="D29" s="1107" t="s">
        <v>477</v>
      </c>
      <c r="E29" s="1107" t="s">
        <v>478</v>
      </c>
      <c r="F29" s="1096"/>
      <c r="G29" s="1101" t="s">
        <v>571</v>
      </c>
      <c r="H29" s="9"/>
      <c r="I29" s="1108">
        <v>46223.0</v>
      </c>
      <c r="J29" s="7"/>
      <c r="K29" s="7"/>
      <c r="L29" s="7"/>
      <c r="M29" s="7"/>
      <c r="N29" s="9"/>
      <c r="O29" s="1096"/>
      <c r="P29" s="1096"/>
      <c r="Q29" s="1096"/>
      <c r="R29" s="1096"/>
      <c r="S29" s="1096"/>
      <c r="T29" s="1096"/>
      <c r="U29" s="1096"/>
      <c r="V29" s="1096"/>
      <c r="W29" s="1096"/>
      <c r="X29" s="1096"/>
      <c r="Y29" s="1096"/>
      <c r="Z29" s="1096"/>
      <c r="AA29" s="1096"/>
      <c r="AB29" s="1096"/>
      <c r="AC29" s="1096"/>
      <c r="AD29" s="1096"/>
      <c r="AE29" s="1096"/>
      <c r="AF29" s="1096"/>
      <c r="AG29" s="1096"/>
      <c r="AH29" s="1096"/>
      <c r="AI29" s="1096"/>
      <c r="AJ29" s="1096"/>
      <c r="AK29" s="1096"/>
      <c r="AL29" s="1096"/>
      <c r="AM29" s="1096"/>
      <c r="AN29" s="1096"/>
      <c r="AO29" s="1096"/>
      <c r="AP29" s="1096"/>
      <c r="AQ29" s="1096"/>
      <c r="AR29" s="1096"/>
      <c r="AS29" s="1096"/>
      <c r="AT29" s="1096"/>
      <c r="AU29" s="1096"/>
      <c r="AV29" s="1096"/>
      <c r="AW29" s="1096"/>
    </row>
    <row r="30">
      <c r="A30" s="1109" t="s">
        <v>481</v>
      </c>
      <c r="B30" s="1110">
        <v>420.472</v>
      </c>
      <c r="C30" s="1110">
        <v>395.961</v>
      </c>
      <c r="D30" s="1111">
        <v>-24.511</v>
      </c>
      <c r="E30" s="1111" t="s">
        <v>572</v>
      </c>
      <c r="F30" s="1096"/>
      <c r="G30" s="1096"/>
      <c r="H30" s="1096"/>
      <c r="I30" s="1096"/>
      <c r="J30" s="1096"/>
      <c r="K30" s="1096"/>
      <c r="L30" s="1096"/>
      <c r="M30" s="1096"/>
      <c r="N30" s="1096"/>
      <c r="O30" s="1096"/>
      <c r="P30" s="1096"/>
      <c r="Q30" s="1096"/>
      <c r="R30" s="1096"/>
      <c r="S30" s="1096"/>
      <c r="T30" s="1096"/>
      <c r="U30" s="1096"/>
      <c r="V30" s="1096"/>
      <c r="W30" s="1096"/>
      <c r="X30" s="1096"/>
      <c r="Y30" s="1096"/>
      <c r="Z30" s="1096"/>
      <c r="AA30" s="1096"/>
      <c r="AB30" s="1096"/>
      <c r="AC30" s="1096"/>
      <c r="AD30" s="1096"/>
      <c r="AE30" s="1096"/>
      <c r="AF30" s="1096"/>
      <c r="AG30" s="1096"/>
      <c r="AH30" s="1096"/>
      <c r="AI30" s="1096"/>
      <c r="AJ30" s="1096"/>
      <c r="AK30" s="1096"/>
      <c r="AL30" s="1096"/>
      <c r="AM30" s="1096"/>
      <c r="AN30" s="1096"/>
      <c r="AO30" s="1096"/>
      <c r="AP30" s="1096"/>
      <c r="AQ30" s="1096"/>
      <c r="AR30" s="1096"/>
      <c r="AS30" s="1096"/>
      <c r="AT30" s="1096"/>
      <c r="AU30" s="1096"/>
      <c r="AV30" s="1096"/>
      <c r="AW30" s="1096"/>
    </row>
    <row r="31">
      <c r="A31" s="1109" t="s">
        <v>485</v>
      </c>
      <c r="B31" s="1110">
        <v>482.461</v>
      </c>
      <c r="C31" s="1110">
        <v>435.494</v>
      </c>
      <c r="D31" s="1111">
        <v>-46.967</v>
      </c>
      <c r="E31" s="1111" t="s">
        <v>573</v>
      </c>
      <c r="F31" s="1096"/>
      <c r="G31" s="1096"/>
      <c r="H31" s="1096"/>
      <c r="I31" s="1112" t="s">
        <v>574</v>
      </c>
      <c r="J31" s="7"/>
      <c r="K31" s="7"/>
      <c r="L31" s="7"/>
      <c r="M31" s="7"/>
      <c r="N31" s="9"/>
      <c r="O31" s="1096"/>
      <c r="P31" s="1096"/>
      <c r="Q31" s="1096"/>
      <c r="R31" s="1096"/>
      <c r="S31" s="1096"/>
      <c r="T31" s="1096"/>
      <c r="U31" s="1096"/>
      <c r="V31" s="1096"/>
      <c r="W31" s="1096"/>
      <c r="X31" s="1096"/>
      <c r="Y31" s="1096"/>
      <c r="Z31" s="1096"/>
      <c r="AA31" s="1096"/>
      <c r="AB31" s="1096"/>
      <c r="AC31" s="1096"/>
      <c r="AD31" s="1096"/>
      <c r="AE31" s="1096"/>
      <c r="AF31" s="1096"/>
      <c r="AG31" s="1096"/>
      <c r="AH31" s="1096"/>
      <c r="AI31" s="1096"/>
      <c r="AJ31" s="1096"/>
      <c r="AK31" s="1096"/>
      <c r="AL31" s="1096"/>
      <c r="AM31" s="1096"/>
      <c r="AN31" s="1096"/>
      <c r="AO31" s="1096"/>
      <c r="AP31" s="1096"/>
      <c r="AQ31" s="1096"/>
      <c r="AR31" s="1096"/>
      <c r="AS31" s="1096"/>
      <c r="AT31" s="1096"/>
      <c r="AU31" s="1096"/>
      <c r="AV31" s="1096"/>
      <c r="AW31" s="1096"/>
    </row>
    <row r="32">
      <c r="A32" s="1109" t="s">
        <v>488</v>
      </c>
      <c r="B32" s="1110">
        <v>351.493</v>
      </c>
      <c r="C32" s="1110">
        <v>242.267</v>
      </c>
      <c r="D32" s="1111">
        <v>-109.226</v>
      </c>
      <c r="E32" s="1111" t="s">
        <v>575</v>
      </c>
      <c r="F32" s="1096"/>
      <c r="G32" s="1096"/>
      <c r="H32" s="1096"/>
      <c r="I32" s="1096"/>
      <c r="J32" s="1096"/>
      <c r="K32" s="1096"/>
      <c r="L32" s="1096"/>
      <c r="M32" s="1096"/>
      <c r="N32" s="1096"/>
      <c r="O32" s="1096"/>
      <c r="P32" s="1096"/>
      <c r="Q32" s="1096"/>
      <c r="R32" s="1096"/>
      <c r="S32" s="1096"/>
      <c r="T32" s="1096"/>
      <c r="U32" s="1096"/>
      <c r="V32" s="1096"/>
      <c r="W32" s="1096"/>
      <c r="X32" s="1096"/>
      <c r="Y32" s="1096"/>
      <c r="Z32" s="1096"/>
      <c r="AA32" s="1096"/>
      <c r="AB32" s="1096"/>
      <c r="AC32" s="1096"/>
      <c r="AD32" s="1096"/>
      <c r="AE32" s="1096"/>
      <c r="AF32" s="1096"/>
      <c r="AG32" s="1096"/>
      <c r="AH32" s="1096"/>
      <c r="AI32" s="1096"/>
      <c r="AJ32" s="1096"/>
      <c r="AK32" s="1096"/>
      <c r="AL32" s="1096"/>
      <c r="AM32" s="1096"/>
      <c r="AN32" s="1096"/>
      <c r="AO32" s="1096"/>
      <c r="AP32" s="1096"/>
      <c r="AQ32" s="1096"/>
      <c r="AR32" s="1096"/>
      <c r="AS32" s="1096"/>
      <c r="AT32" s="1096"/>
      <c r="AU32" s="1096"/>
      <c r="AV32" s="1096"/>
      <c r="AW32" s="1096"/>
    </row>
    <row r="33">
      <c r="A33" s="1109" t="s">
        <v>492</v>
      </c>
      <c r="B33" s="1110">
        <v>515.804</v>
      </c>
      <c r="C33" s="1110">
        <v>481.863</v>
      </c>
      <c r="D33" s="1111">
        <v>-33.941</v>
      </c>
      <c r="E33" s="1111" t="s">
        <v>576</v>
      </c>
      <c r="F33" s="1096"/>
      <c r="G33" s="1096"/>
      <c r="H33" s="1096"/>
      <c r="I33" s="1115"/>
      <c r="J33" s="1115"/>
      <c r="K33" s="1115"/>
      <c r="L33" s="1115"/>
      <c r="M33" s="1115"/>
      <c r="N33" s="1115"/>
      <c r="O33" s="1096"/>
      <c r="P33" s="1096"/>
      <c r="Q33" s="1096"/>
      <c r="R33" s="1096"/>
      <c r="S33" s="1096"/>
      <c r="T33" s="1096"/>
      <c r="U33" s="1096"/>
      <c r="V33" s="1096"/>
      <c r="W33" s="1096"/>
      <c r="X33" s="1096"/>
      <c r="Y33" s="1096"/>
      <c r="Z33" s="1096"/>
      <c r="AA33" s="1096"/>
      <c r="AB33" s="1096"/>
      <c r="AC33" s="1096"/>
      <c r="AD33" s="1096"/>
      <c r="AE33" s="1096"/>
      <c r="AF33" s="1096"/>
      <c r="AG33" s="1096"/>
      <c r="AH33" s="1096"/>
      <c r="AI33" s="1096"/>
      <c r="AJ33" s="1096"/>
      <c r="AK33" s="1096"/>
      <c r="AL33" s="1096"/>
      <c r="AM33" s="1096"/>
      <c r="AN33" s="1096"/>
      <c r="AO33" s="1096"/>
      <c r="AP33" s="1096"/>
      <c r="AQ33" s="1096"/>
      <c r="AR33" s="1096"/>
      <c r="AS33" s="1096"/>
      <c r="AT33" s="1096"/>
      <c r="AU33" s="1096"/>
      <c r="AV33" s="1096"/>
      <c r="AW33" s="1096"/>
    </row>
    <row r="34">
      <c r="A34" s="1109" t="s">
        <v>496</v>
      </c>
      <c r="B34" s="1110">
        <v>371.538</v>
      </c>
      <c r="C34" s="1110">
        <v>316.849</v>
      </c>
      <c r="D34" s="1111">
        <v>-54.689</v>
      </c>
      <c r="E34" s="1111" t="s">
        <v>577</v>
      </c>
      <c r="F34" s="1096"/>
      <c r="G34" s="1096"/>
      <c r="H34" s="1115"/>
      <c r="I34" s="1115"/>
      <c r="J34" s="1115"/>
      <c r="K34" s="1115"/>
      <c r="L34" s="1115"/>
      <c r="M34" s="1115"/>
      <c r="N34" s="1115"/>
      <c r="O34" s="1115"/>
      <c r="P34" s="1115"/>
      <c r="Q34" s="1115"/>
      <c r="R34" s="1115"/>
      <c r="S34" s="1096"/>
      <c r="T34" s="1096"/>
      <c r="U34" s="1096"/>
      <c r="V34" s="1096"/>
      <c r="W34" s="1096"/>
      <c r="X34" s="1096"/>
      <c r="Y34" s="1096"/>
      <c r="Z34" s="1096"/>
      <c r="AA34" s="1096"/>
      <c r="AB34" s="1096"/>
      <c r="AC34" s="1096"/>
      <c r="AD34" s="1096"/>
      <c r="AE34" s="1096"/>
      <c r="AF34" s="1096"/>
      <c r="AG34" s="1096"/>
      <c r="AH34" s="1096"/>
      <c r="AI34" s="1096"/>
      <c r="AJ34" s="1096"/>
      <c r="AK34" s="1096"/>
      <c r="AL34" s="1096"/>
      <c r="AM34" s="1096"/>
      <c r="AN34" s="1096"/>
      <c r="AO34" s="1096"/>
      <c r="AP34" s="1096"/>
      <c r="AQ34" s="1096"/>
      <c r="AR34" s="1096"/>
      <c r="AS34" s="1096"/>
      <c r="AT34" s="1096"/>
      <c r="AU34" s="1096"/>
      <c r="AV34" s="1096"/>
      <c r="AW34" s="1096"/>
    </row>
    <row r="35">
      <c r="A35" s="1109" t="s">
        <v>499</v>
      </c>
      <c r="B35" s="1110">
        <v>717.232</v>
      </c>
      <c r="C35" s="1110">
        <v>421.097</v>
      </c>
      <c r="D35" s="1111">
        <v>-296.135</v>
      </c>
      <c r="E35" s="1111" t="s">
        <v>578</v>
      </c>
      <c r="F35" s="1096"/>
      <c r="G35" s="1096"/>
      <c r="H35" s="1115"/>
      <c r="I35" s="1115"/>
      <c r="J35" s="1115"/>
      <c r="K35" s="1115"/>
      <c r="L35" s="1115"/>
      <c r="M35" s="1115"/>
      <c r="N35" s="1115"/>
      <c r="O35" s="1115"/>
      <c r="P35" s="1115"/>
      <c r="Q35" s="1115"/>
      <c r="R35" s="1115"/>
      <c r="S35" s="1096"/>
      <c r="T35" s="1096"/>
      <c r="U35" s="1096"/>
      <c r="V35" s="1096"/>
      <c r="W35" s="1096"/>
      <c r="X35" s="1096"/>
      <c r="Y35" s="1096"/>
      <c r="Z35" s="1096"/>
      <c r="AA35" s="1096"/>
      <c r="AB35" s="1096"/>
      <c r="AC35" s="1096"/>
      <c r="AD35" s="1096"/>
      <c r="AE35" s="1096"/>
      <c r="AF35" s="1096"/>
      <c r="AG35" s="1096"/>
      <c r="AH35" s="1096"/>
      <c r="AI35" s="1096"/>
      <c r="AJ35" s="1096"/>
      <c r="AK35" s="1096"/>
      <c r="AL35" s="1096"/>
      <c r="AM35" s="1096"/>
      <c r="AN35" s="1096"/>
      <c r="AO35" s="1096"/>
      <c r="AP35" s="1096"/>
      <c r="AQ35" s="1096"/>
      <c r="AR35" s="1096"/>
      <c r="AS35" s="1096"/>
      <c r="AT35" s="1096"/>
      <c r="AU35" s="1096"/>
      <c r="AV35" s="1096"/>
      <c r="AW35" s="1096"/>
    </row>
    <row r="36">
      <c r="A36" s="1109" t="s">
        <v>501</v>
      </c>
      <c r="B36" s="1110">
        <v>355.494</v>
      </c>
      <c r="C36" s="1110">
        <v>343.815</v>
      </c>
      <c r="D36" s="1111">
        <v>-11.679</v>
      </c>
      <c r="E36" s="1111" t="s">
        <v>579</v>
      </c>
      <c r="F36" s="1096"/>
      <c r="G36" s="1096"/>
      <c r="H36" s="1115"/>
      <c r="I36" s="1115"/>
      <c r="J36" s="1115"/>
      <c r="K36" s="1115"/>
      <c r="L36" s="1115"/>
      <c r="M36" s="1115"/>
      <c r="N36" s="1115"/>
      <c r="O36" s="1115"/>
      <c r="P36" s="1115"/>
      <c r="Q36" s="1115"/>
      <c r="R36" s="1115"/>
      <c r="S36" s="1096"/>
      <c r="T36" s="1096"/>
      <c r="U36" s="1096"/>
      <c r="V36" s="1096"/>
      <c r="W36" s="1096"/>
      <c r="X36" s="1096"/>
      <c r="Y36" s="1096"/>
      <c r="Z36" s="1096"/>
      <c r="AA36" s="1096"/>
      <c r="AB36" s="1096"/>
      <c r="AC36" s="1096"/>
      <c r="AD36" s="1096"/>
      <c r="AE36" s="1096"/>
      <c r="AF36" s="1096"/>
      <c r="AG36" s="1096"/>
      <c r="AH36" s="1096"/>
      <c r="AI36" s="1096"/>
      <c r="AJ36" s="1096"/>
      <c r="AK36" s="1096"/>
      <c r="AL36" s="1096"/>
      <c r="AM36" s="1096"/>
      <c r="AN36" s="1096"/>
      <c r="AO36" s="1096"/>
      <c r="AP36" s="1096"/>
      <c r="AQ36" s="1096"/>
      <c r="AR36" s="1096"/>
      <c r="AS36" s="1096"/>
      <c r="AT36" s="1096"/>
      <c r="AU36" s="1096"/>
      <c r="AV36" s="1096"/>
      <c r="AW36" s="1096"/>
    </row>
    <row r="37">
      <c r="A37" s="1068" t="s">
        <v>504</v>
      </c>
      <c r="B37" s="1069" t="s">
        <v>513</v>
      </c>
      <c r="C37" s="1069" t="s">
        <v>514</v>
      </c>
      <c r="D37" s="1070">
        <v>-577.148</v>
      </c>
      <c r="E37" s="1070" t="s">
        <v>580</v>
      </c>
      <c r="F37" s="1096"/>
      <c r="G37" s="1096"/>
      <c r="H37" s="1096"/>
      <c r="I37" s="1115"/>
      <c r="J37" s="1115"/>
      <c r="K37" s="1115"/>
      <c r="L37" s="1115"/>
      <c r="M37" s="1115"/>
      <c r="N37" s="1115"/>
      <c r="O37" s="1096"/>
      <c r="P37" s="1096"/>
      <c r="Q37" s="1096"/>
      <c r="R37" s="1096"/>
      <c r="S37" s="1096"/>
      <c r="T37" s="1096"/>
      <c r="U37" s="1096"/>
      <c r="V37" s="1096"/>
      <c r="W37" s="1096"/>
      <c r="X37" s="1096"/>
      <c r="Y37" s="1096"/>
      <c r="Z37" s="1096"/>
      <c r="AA37" s="1096"/>
      <c r="AB37" s="1096"/>
      <c r="AC37" s="1096"/>
      <c r="AD37" s="1096"/>
      <c r="AE37" s="1096"/>
      <c r="AF37" s="1096"/>
      <c r="AG37" s="1096"/>
      <c r="AH37" s="1096"/>
      <c r="AI37" s="1096"/>
      <c r="AJ37" s="1096"/>
      <c r="AK37" s="1096"/>
      <c r="AL37" s="1096"/>
      <c r="AM37" s="1096"/>
      <c r="AN37" s="1096"/>
      <c r="AO37" s="1096"/>
      <c r="AP37" s="1096"/>
      <c r="AQ37" s="1096"/>
      <c r="AR37" s="1096"/>
      <c r="AS37" s="1096"/>
      <c r="AT37" s="1096"/>
      <c r="AU37" s="1096"/>
      <c r="AV37" s="1096"/>
      <c r="AW37" s="1096"/>
    </row>
    <row r="38">
      <c r="A38" s="1095"/>
      <c r="B38" s="1095"/>
      <c r="C38" s="1096"/>
      <c r="D38" s="1095"/>
      <c r="E38" s="1095"/>
      <c r="F38" s="1096"/>
      <c r="G38" s="1096"/>
      <c r="H38" s="1096"/>
      <c r="I38" s="1096"/>
      <c r="J38" s="1096"/>
      <c r="K38" s="1096"/>
      <c r="L38" s="1096"/>
      <c r="M38" s="1096"/>
      <c r="N38" s="1096"/>
      <c r="O38" s="1096"/>
      <c r="P38" s="1096"/>
      <c r="Q38" s="1096"/>
      <c r="R38" s="1096"/>
      <c r="S38" s="1096"/>
      <c r="T38" s="1096"/>
      <c r="U38" s="1096"/>
      <c r="V38" s="1096"/>
      <c r="W38" s="1096"/>
      <c r="X38" s="1096"/>
      <c r="Y38" s="1096"/>
      <c r="Z38" s="1096"/>
      <c r="AA38" s="1096"/>
      <c r="AB38" s="1096"/>
      <c r="AC38" s="1096"/>
      <c r="AD38" s="1096"/>
      <c r="AE38" s="1096"/>
      <c r="AF38" s="1096"/>
      <c r="AG38" s="1096"/>
      <c r="AH38" s="1096"/>
      <c r="AI38" s="1096"/>
      <c r="AJ38" s="1096"/>
      <c r="AK38" s="1096"/>
      <c r="AL38" s="1096"/>
      <c r="AM38" s="1096"/>
      <c r="AN38" s="1096"/>
      <c r="AO38" s="1096"/>
      <c r="AP38" s="1096"/>
      <c r="AQ38" s="1096"/>
      <c r="AR38" s="1096"/>
      <c r="AS38" s="1096"/>
      <c r="AT38" s="1096"/>
      <c r="AU38" s="1096"/>
      <c r="AV38" s="1096"/>
      <c r="AW38" s="1096"/>
    </row>
    <row r="39">
      <c r="B39" s="992" t="s">
        <v>583</v>
      </c>
      <c r="C39" s="7"/>
      <c r="D39" s="7"/>
      <c r="E39" s="9"/>
      <c r="F39" s="1096"/>
      <c r="G39" s="1096"/>
      <c r="H39" s="1096"/>
      <c r="I39" s="1096"/>
      <c r="J39" s="1096"/>
      <c r="K39" s="1096"/>
      <c r="L39" s="1096"/>
      <c r="M39" s="1096"/>
      <c r="N39" s="1096"/>
      <c r="O39" s="1096"/>
      <c r="P39" s="1096"/>
      <c r="Q39" s="1096"/>
      <c r="R39" s="1096"/>
      <c r="S39" s="1096"/>
      <c r="T39" s="1096"/>
      <c r="U39" s="1096"/>
      <c r="V39" s="1096"/>
      <c r="W39" s="1096"/>
      <c r="X39" s="1096"/>
      <c r="Y39" s="1096"/>
      <c r="Z39" s="1096"/>
      <c r="AA39" s="1096"/>
      <c r="AB39" s="1096"/>
      <c r="AC39" s="1096"/>
      <c r="AD39" s="1096"/>
      <c r="AE39" s="1096"/>
      <c r="AF39" s="1096"/>
      <c r="AG39" s="1096"/>
      <c r="AH39" s="1096"/>
      <c r="AI39" s="1096"/>
      <c r="AJ39" s="1096"/>
      <c r="AK39" s="1096"/>
      <c r="AL39" s="1096"/>
      <c r="AM39" s="1096"/>
      <c r="AN39" s="1096"/>
      <c r="AO39" s="1096"/>
      <c r="AP39" s="1096"/>
      <c r="AQ39" s="1096"/>
      <c r="AR39" s="1096"/>
      <c r="AS39" s="1096"/>
      <c r="AT39" s="1096"/>
      <c r="AU39" s="1096"/>
      <c r="AV39" s="1096"/>
      <c r="AW39" s="1096"/>
    </row>
    <row r="40">
      <c r="A40" s="1097" t="s">
        <v>584</v>
      </c>
      <c r="B40" s="1098" t="s">
        <v>585</v>
      </c>
      <c r="C40" s="1100"/>
      <c r="D40" s="1097" t="s">
        <v>565</v>
      </c>
      <c r="E40" s="1098" t="s">
        <v>283</v>
      </c>
      <c r="F40" s="1096"/>
      <c r="G40" s="1096"/>
      <c r="H40" s="1096"/>
      <c r="I40" s="1096"/>
      <c r="J40" s="1096"/>
      <c r="K40" s="1096"/>
      <c r="L40" s="1096"/>
      <c r="M40" s="1096"/>
      <c r="N40" s="1096"/>
      <c r="O40" s="1096"/>
      <c r="P40" s="1096"/>
      <c r="Q40" s="1096"/>
      <c r="R40" s="1096"/>
      <c r="S40" s="1096"/>
      <c r="T40" s="1096"/>
      <c r="U40" s="1096"/>
      <c r="V40" s="1096"/>
      <c r="W40" s="1096"/>
      <c r="X40" s="1096"/>
      <c r="Y40" s="1096"/>
      <c r="Z40" s="1096"/>
      <c r="AA40" s="1096"/>
      <c r="AB40" s="1096"/>
      <c r="AC40" s="1096"/>
      <c r="AD40" s="1096"/>
      <c r="AE40" s="1096"/>
      <c r="AF40" s="1096"/>
      <c r="AG40" s="1096"/>
      <c r="AH40" s="1096"/>
      <c r="AI40" s="1096"/>
      <c r="AJ40" s="1096"/>
      <c r="AK40" s="1096"/>
      <c r="AL40" s="1096"/>
      <c r="AM40" s="1096"/>
      <c r="AN40" s="1096"/>
      <c r="AO40" s="1096"/>
      <c r="AP40" s="1096"/>
      <c r="AQ40" s="1096"/>
      <c r="AR40" s="1096"/>
      <c r="AS40" s="1096"/>
      <c r="AT40" s="1096"/>
      <c r="AU40" s="1096"/>
      <c r="AV40" s="1096"/>
      <c r="AW40" s="1096"/>
    </row>
    <row r="41">
      <c r="A41" s="1100"/>
      <c r="B41" s="1100"/>
      <c r="C41" s="1100"/>
      <c r="D41" s="1100"/>
      <c r="E41" s="1100"/>
      <c r="F41" s="1096"/>
      <c r="G41" s="1096"/>
      <c r="H41" s="1096"/>
      <c r="I41" s="1096"/>
      <c r="J41" s="1096"/>
      <c r="K41" s="1096"/>
      <c r="L41" s="1096"/>
      <c r="M41" s="1096"/>
      <c r="N41" s="1096"/>
      <c r="O41" s="1096"/>
      <c r="P41" s="1096"/>
      <c r="Q41" s="1096"/>
      <c r="R41" s="1096"/>
      <c r="S41" s="1096"/>
      <c r="T41" s="1096"/>
      <c r="U41" s="1096"/>
      <c r="V41" s="1096"/>
      <c r="W41" s="1096"/>
      <c r="X41" s="1096"/>
      <c r="Y41" s="1096"/>
      <c r="Z41" s="1096"/>
      <c r="AA41" s="1096"/>
      <c r="AB41" s="1096"/>
      <c r="AC41" s="1096"/>
      <c r="AD41" s="1096"/>
      <c r="AE41" s="1096"/>
      <c r="AF41" s="1096"/>
      <c r="AG41" s="1096"/>
      <c r="AH41" s="1096"/>
      <c r="AI41" s="1096"/>
      <c r="AJ41" s="1096"/>
      <c r="AK41" s="1096"/>
      <c r="AL41" s="1096"/>
      <c r="AM41" s="1096"/>
      <c r="AN41" s="1096"/>
      <c r="AO41" s="1096"/>
      <c r="AP41" s="1096"/>
      <c r="AQ41" s="1096"/>
      <c r="AR41" s="1096"/>
      <c r="AS41" s="1096"/>
      <c r="AT41" s="1096"/>
      <c r="AU41" s="1096"/>
      <c r="AV41" s="1096"/>
      <c r="AW41" s="1096"/>
    </row>
    <row r="42">
      <c r="A42" s="1107" t="s">
        <v>358</v>
      </c>
      <c r="B42" s="1107" t="s">
        <v>475</v>
      </c>
      <c r="C42" s="1107" t="s">
        <v>476</v>
      </c>
      <c r="D42" s="1107" t="s">
        <v>477</v>
      </c>
      <c r="E42" s="1107" t="s">
        <v>478</v>
      </c>
      <c r="F42" s="1096"/>
      <c r="G42" s="1096"/>
      <c r="H42" s="1096"/>
      <c r="I42" s="1096"/>
      <c r="J42" s="1096"/>
      <c r="K42" s="1096"/>
      <c r="L42" s="1096"/>
      <c r="M42" s="1096"/>
      <c r="N42" s="1096"/>
      <c r="O42" s="1096"/>
      <c r="P42" s="1096"/>
      <c r="Q42" s="1096"/>
      <c r="R42" s="1096"/>
      <c r="S42" s="1096"/>
      <c r="T42" s="1096"/>
      <c r="U42" s="1096"/>
      <c r="V42" s="1096"/>
      <c r="W42" s="1096"/>
      <c r="X42" s="1096"/>
      <c r="Y42" s="1096"/>
      <c r="Z42" s="1096"/>
      <c r="AA42" s="1096"/>
      <c r="AB42" s="1096"/>
      <c r="AC42" s="1096"/>
      <c r="AD42" s="1096"/>
      <c r="AE42" s="1096"/>
      <c r="AF42" s="1096"/>
      <c r="AG42" s="1096"/>
      <c r="AH42" s="1096"/>
      <c r="AI42" s="1096"/>
      <c r="AJ42" s="1096"/>
      <c r="AK42" s="1096"/>
      <c r="AL42" s="1096"/>
      <c r="AM42" s="1096"/>
      <c r="AN42" s="1096"/>
      <c r="AO42" s="1096"/>
      <c r="AP42" s="1096"/>
      <c r="AQ42" s="1096"/>
      <c r="AR42" s="1096"/>
      <c r="AS42" s="1096"/>
      <c r="AT42" s="1096"/>
      <c r="AU42" s="1096"/>
      <c r="AV42" s="1096"/>
      <c r="AW42" s="1096"/>
    </row>
    <row r="43">
      <c r="A43" s="1109" t="s">
        <v>481</v>
      </c>
      <c r="B43" s="1110" t="s">
        <v>588</v>
      </c>
      <c r="C43" s="1110" t="s">
        <v>589</v>
      </c>
      <c r="D43" s="1117">
        <v>79.054</v>
      </c>
      <c r="E43" s="1117" t="s">
        <v>590</v>
      </c>
      <c r="F43" s="1096"/>
      <c r="G43" s="1096"/>
      <c r="H43" s="1096"/>
      <c r="I43" s="1096"/>
      <c r="J43" s="1096"/>
      <c r="K43" s="1096"/>
      <c r="L43" s="1096"/>
      <c r="M43" s="1096"/>
      <c r="N43" s="1096"/>
      <c r="O43" s="1096"/>
      <c r="P43" s="1096"/>
      <c r="Q43" s="1096"/>
      <c r="R43" s="1096"/>
      <c r="S43" s="1096"/>
      <c r="T43" s="1096"/>
      <c r="U43" s="1096"/>
      <c r="V43" s="1096"/>
      <c r="W43" s="1096"/>
      <c r="X43" s="1096"/>
      <c r="Y43" s="1096"/>
      <c r="Z43" s="1096"/>
      <c r="AA43" s="1096"/>
      <c r="AB43" s="1096"/>
      <c r="AC43" s="1096"/>
      <c r="AD43" s="1096"/>
      <c r="AE43" s="1096"/>
      <c r="AF43" s="1096"/>
      <c r="AG43" s="1096"/>
      <c r="AH43" s="1096"/>
      <c r="AI43" s="1096"/>
      <c r="AJ43" s="1096"/>
      <c r="AK43" s="1096"/>
      <c r="AL43" s="1096"/>
      <c r="AM43" s="1096"/>
      <c r="AN43" s="1096"/>
      <c r="AO43" s="1096"/>
      <c r="AP43" s="1096"/>
      <c r="AQ43" s="1096"/>
      <c r="AR43" s="1096"/>
      <c r="AS43" s="1096"/>
      <c r="AT43" s="1096"/>
      <c r="AU43" s="1096"/>
      <c r="AV43" s="1096"/>
      <c r="AW43" s="1096"/>
    </row>
    <row r="44">
      <c r="A44" s="1109" t="s">
        <v>485</v>
      </c>
      <c r="B44" s="1110" t="s">
        <v>591</v>
      </c>
      <c r="C44" s="1110" t="s">
        <v>592</v>
      </c>
      <c r="D44" s="1117">
        <v>145.961</v>
      </c>
      <c r="E44" s="1117" t="s">
        <v>593</v>
      </c>
      <c r="F44" s="1096"/>
      <c r="G44" s="1096"/>
      <c r="H44" s="1096"/>
      <c r="I44" s="1096"/>
      <c r="J44" s="1096"/>
      <c r="K44" s="1096"/>
      <c r="L44" s="1096"/>
      <c r="M44" s="1096"/>
      <c r="N44" s="1096"/>
      <c r="O44" s="1096"/>
      <c r="P44" s="1096"/>
      <c r="Q44" s="1096"/>
      <c r="R44" s="1096"/>
      <c r="S44" s="1096"/>
      <c r="T44" s="1096"/>
      <c r="U44" s="1096"/>
      <c r="V44" s="1096"/>
      <c r="W44" s="1096"/>
      <c r="X44" s="1096"/>
      <c r="Y44" s="1096"/>
      <c r="Z44" s="1096"/>
      <c r="AA44" s="1096"/>
      <c r="AB44" s="1096"/>
      <c r="AC44" s="1096"/>
      <c r="AD44" s="1096"/>
      <c r="AE44" s="1096"/>
      <c r="AF44" s="1096"/>
      <c r="AG44" s="1096"/>
      <c r="AH44" s="1096"/>
      <c r="AI44" s="1096"/>
      <c r="AJ44" s="1096"/>
      <c r="AK44" s="1096"/>
      <c r="AL44" s="1096"/>
      <c r="AM44" s="1096"/>
      <c r="AN44" s="1096"/>
      <c r="AO44" s="1096"/>
      <c r="AP44" s="1096"/>
      <c r="AQ44" s="1096"/>
      <c r="AR44" s="1096"/>
      <c r="AS44" s="1096"/>
      <c r="AT44" s="1096"/>
      <c r="AU44" s="1096"/>
      <c r="AV44" s="1096"/>
      <c r="AW44" s="1096"/>
    </row>
    <row r="45">
      <c r="A45" s="1109" t="s">
        <v>488</v>
      </c>
      <c r="B45" s="1110" t="s">
        <v>594</v>
      </c>
      <c r="C45" s="1110">
        <v>887.4</v>
      </c>
      <c r="D45" s="1111">
        <v>-288.085</v>
      </c>
      <c r="E45" s="1111" t="s">
        <v>595</v>
      </c>
      <c r="F45" s="1096"/>
      <c r="G45" s="1096"/>
      <c r="H45" s="1096"/>
      <c r="I45" s="1096"/>
      <c r="J45" s="1096"/>
      <c r="K45" s="1096"/>
      <c r="L45" s="1096"/>
      <c r="M45" s="1096"/>
      <c r="N45" s="1096"/>
      <c r="O45" s="1096"/>
      <c r="P45" s="1096"/>
      <c r="Q45" s="1096"/>
      <c r="R45" s="1096"/>
      <c r="S45" s="1096"/>
      <c r="T45" s="1096"/>
      <c r="U45" s="1096"/>
      <c r="V45" s="1096"/>
      <c r="W45" s="1096"/>
      <c r="X45" s="1096"/>
      <c r="Y45" s="1096"/>
      <c r="Z45" s="1096"/>
      <c r="AA45" s="1096"/>
      <c r="AB45" s="1096"/>
      <c r="AC45" s="1096"/>
      <c r="AD45" s="1096"/>
      <c r="AE45" s="1096"/>
      <c r="AF45" s="1096"/>
      <c r="AG45" s="1096"/>
      <c r="AH45" s="1096"/>
      <c r="AI45" s="1096"/>
      <c r="AJ45" s="1096"/>
      <c r="AK45" s="1096"/>
      <c r="AL45" s="1096"/>
      <c r="AM45" s="1096"/>
      <c r="AN45" s="1096"/>
      <c r="AO45" s="1096"/>
      <c r="AP45" s="1096"/>
      <c r="AQ45" s="1096"/>
      <c r="AR45" s="1096"/>
      <c r="AS45" s="1096"/>
      <c r="AT45" s="1096"/>
      <c r="AU45" s="1096"/>
      <c r="AV45" s="1096"/>
      <c r="AW45" s="1096"/>
    </row>
    <row r="46">
      <c r="A46" s="1109" t="s">
        <v>492</v>
      </c>
      <c r="B46" s="1110" t="s">
        <v>596</v>
      </c>
      <c r="C46" s="1110" t="s">
        <v>597</v>
      </c>
      <c r="D46" s="1111">
        <v>-175.817</v>
      </c>
      <c r="E46" s="1111" t="s">
        <v>598</v>
      </c>
      <c r="F46" s="1096"/>
      <c r="G46" s="1096"/>
      <c r="H46" s="1096"/>
      <c r="I46" s="1096"/>
      <c r="J46" s="1096"/>
      <c r="K46" s="1096"/>
      <c r="L46" s="1096"/>
      <c r="M46" s="1096"/>
      <c r="N46" s="1096"/>
      <c r="O46" s="1096"/>
      <c r="P46" s="1096"/>
      <c r="Q46" s="1096"/>
      <c r="R46" s="1096"/>
      <c r="S46" s="1096"/>
      <c r="T46" s="1096"/>
      <c r="U46" s="1096"/>
      <c r="V46" s="1096"/>
      <c r="W46" s="1096"/>
      <c r="X46" s="1096"/>
      <c r="Y46" s="1096"/>
      <c r="Z46" s="1096"/>
      <c r="AA46" s="1096"/>
      <c r="AB46" s="1096"/>
      <c r="AC46" s="1096"/>
      <c r="AD46" s="1096"/>
      <c r="AE46" s="1096"/>
      <c r="AF46" s="1096"/>
      <c r="AG46" s="1096"/>
      <c r="AH46" s="1096"/>
      <c r="AI46" s="1096"/>
      <c r="AJ46" s="1096"/>
      <c r="AK46" s="1096"/>
      <c r="AL46" s="1096"/>
      <c r="AM46" s="1096"/>
      <c r="AN46" s="1096"/>
      <c r="AO46" s="1096"/>
      <c r="AP46" s="1096"/>
      <c r="AQ46" s="1096"/>
      <c r="AR46" s="1096"/>
      <c r="AS46" s="1096"/>
      <c r="AT46" s="1096"/>
      <c r="AU46" s="1096"/>
      <c r="AV46" s="1096"/>
      <c r="AW46" s="1096"/>
    </row>
    <row r="47">
      <c r="A47" s="1109" t="s">
        <v>496</v>
      </c>
      <c r="B47" s="1110" t="s">
        <v>599</v>
      </c>
      <c r="C47" s="1110">
        <v>854.218</v>
      </c>
      <c r="D47" s="1111">
        <v>-174.223</v>
      </c>
      <c r="E47" s="1111" t="s">
        <v>600</v>
      </c>
      <c r="F47" s="1096"/>
      <c r="G47" s="1096"/>
      <c r="H47" s="1096"/>
      <c r="I47" s="1096"/>
      <c r="J47" s="1096"/>
      <c r="K47" s="1096"/>
      <c r="L47" s="1096"/>
      <c r="M47" s="1096"/>
      <c r="N47" s="1096"/>
      <c r="O47" s="1096"/>
      <c r="P47" s="1096"/>
      <c r="Q47" s="1096"/>
      <c r="R47" s="1096"/>
      <c r="S47" s="1096"/>
      <c r="T47" s="1096"/>
      <c r="U47" s="1096"/>
      <c r="V47" s="1096"/>
      <c r="W47" s="1096"/>
      <c r="X47" s="1096"/>
      <c r="Y47" s="1096"/>
      <c r="Z47" s="1096"/>
      <c r="AA47" s="1096"/>
      <c r="AB47" s="1096"/>
      <c r="AC47" s="1096"/>
      <c r="AD47" s="1096"/>
      <c r="AE47" s="1096"/>
      <c r="AF47" s="1096"/>
      <c r="AG47" s="1096"/>
      <c r="AH47" s="1096"/>
      <c r="AI47" s="1096"/>
      <c r="AJ47" s="1096"/>
      <c r="AK47" s="1096"/>
      <c r="AL47" s="1096"/>
      <c r="AM47" s="1096"/>
      <c r="AN47" s="1096"/>
      <c r="AO47" s="1096"/>
      <c r="AP47" s="1096"/>
      <c r="AQ47" s="1096"/>
      <c r="AR47" s="1096"/>
      <c r="AS47" s="1096"/>
      <c r="AT47" s="1096"/>
      <c r="AU47" s="1096"/>
      <c r="AV47" s="1096"/>
      <c r="AW47" s="1096"/>
    </row>
    <row r="48">
      <c r="A48" s="1109" t="s">
        <v>499</v>
      </c>
      <c r="B48" s="1110" t="s">
        <v>601</v>
      </c>
      <c r="C48" s="1110" t="s">
        <v>602</v>
      </c>
      <c r="D48" s="1111">
        <v>-287.353</v>
      </c>
      <c r="E48" s="1111" t="s">
        <v>603</v>
      </c>
      <c r="F48" s="1096"/>
      <c r="G48" s="1096"/>
      <c r="H48" s="1096"/>
      <c r="I48" s="1096"/>
      <c r="J48" s="1096"/>
      <c r="K48" s="1096"/>
      <c r="L48" s="1096"/>
      <c r="M48" s="1096"/>
      <c r="N48" s="1096"/>
      <c r="O48" s="1096"/>
      <c r="P48" s="1096"/>
      <c r="Q48" s="1096"/>
      <c r="R48" s="1096"/>
      <c r="S48" s="1096"/>
      <c r="T48" s="1096"/>
      <c r="U48" s="1096"/>
      <c r="V48" s="1096"/>
      <c r="W48" s="1096"/>
      <c r="X48" s="1096"/>
      <c r="Y48" s="1096"/>
      <c r="Z48" s="1096"/>
      <c r="AA48" s="1096"/>
      <c r="AB48" s="1096"/>
      <c r="AC48" s="1096"/>
      <c r="AD48" s="1096"/>
      <c r="AE48" s="1096"/>
      <c r="AF48" s="1096"/>
      <c r="AG48" s="1096"/>
      <c r="AH48" s="1096"/>
      <c r="AI48" s="1096"/>
      <c r="AJ48" s="1096"/>
      <c r="AK48" s="1096"/>
      <c r="AL48" s="1096"/>
      <c r="AM48" s="1096"/>
      <c r="AN48" s="1096"/>
      <c r="AO48" s="1096"/>
      <c r="AP48" s="1096"/>
      <c r="AQ48" s="1096"/>
      <c r="AR48" s="1096"/>
      <c r="AS48" s="1096"/>
      <c r="AT48" s="1096"/>
      <c r="AU48" s="1096"/>
      <c r="AV48" s="1096"/>
      <c r="AW48" s="1096"/>
    </row>
    <row r="49">
      <c r="A49" s="1109" t="s">
        <v>501</v>
      </c>
      <c r="B49" s="1110" t="s">
        <v>604</v>
      </c>
      <c r="C49" s="1110" t="s">
        <v>605</v>
      </c>
      <c r="D49" s="1111">
        <v>-147.422</v>
      </c>
      <c r="E49" s="1111" t="s">
        <v>606</v>
      </c>
      <c r="F49" s="1096"/>
      <c r="G49" s="1096"/>
      <c r="H49" s="1096"/>
      <c r="I49" s="1096"/>
      <c r="J49" s="1096"/>
      <c r="K49" s="1096"/>
      <c r="L49" s="1096"/>
      <c r="M49" s="1096"/>
      <c r="N49" s="1096"/>
      <c r="O49" s="1096"/>
      <c r="P49" s="1096"/>
      <c r="Q49" s="1096"/>
      <c r="R49" s="1096"/>
      <c r="S49" s="1096"/>
      <c r="T49" s="1096"/>
      <c r="U49" s="1096"/>
      <c r="V49" s="1096"/>
      <c r="W49" s="1096"/>
      <c r="X49" s="1096"/>
      <c r="Y49" s="1096"/>
      <c r="Z49" s="1096"/>
      <c r="AA49" s="1096"/>
      <c r="AB49" s="1096"/>
      <c r="AC49" s="1096"/>
      <c r="AD49" s="1096"/>
      <c r="AE49" s="1096"/>
      <c r="AF49" s="1096"/>
      <c r="AG49" s="1096"/>
      <c r="AH49" s="1096"/>
      <c r="AI49" s="1096"/>
      <c r="AJ49" s="1096"/>
      <c r="AK49" s="1096"/>
      <c r="AL49" s="1096"/>
      <c r="AM49" s="1096"/>
      <c r="AN49" s="1096"/>
      <c r="AO49" s="1096"/>
      <c r="AP49" s="1096"/>
      <c r="AQ49" s="1096"/>
      <c r="AR49" s="1096"/>
      <c r="AS49" s="1096"/>
      <c r="AT49" s="1096"/>
      <c r="AU49" s="1096"/>
      <c r="AV49" s="1096"/>
      <c r="AW49" s="1096"/>
    </row>
    <row r="50">
      <c r="A50" s="1068" t="s">
        <v>504</v>
      </c>
      <c r="B50" s="1069" t="s">
        <v>607</v>
      </c>
      <c r="C50" s="1069" t="s">
        <v>608</v>
      </c>
      <c r="D50" s="1070">
        <v>-847.885</v>
      </c>
      <c r="E50" s="1070" t="s">
        <v>609</v>
      </c>
      <c r="F50" s="1096"/>
      <c r="G50" s="1096"/>
      <c r="H50" s="1096"/>
      <c r="I50" s="1096"/>
      <c r="J50" s="1096"/>
      <c r="K50" s="1096"/>
      <c r="L50" s="1096"/>
      <c r="M50" s="1096"/>
      <c r="N50" s="1096"/>
      <c r="O50" s="1096"/>
      <c r="P50" s="1096"/>
      <c r="Q50" s="1096"/>
      <c r="R50" s="1096"/>
      <c r="S50" s="1096"/>
      <c r="T50" s="1096"/>
      <c r="U50" s="1096"/>
      <c r="V50" s="1096"/>
      <c r="W50" s="1096"/>
      <c r="X50" s="1096"/>
      <c r="Y50" s="1096"/>
      <c r="Z50" s="1096"/>
      <c r="AA50" s="1096"/>
      <c r="AB50" s="1096"/>
      <c r="AC50" s="1096"/>
      <c r="AD50" s="1096"/>
      <c r="AE50" s="1096"/>
      <c r="AF50" s="1096"/>
      <c r="AG50" s="1096"/>
      <c r="AH50" s="1096"/>
      <c r="AI50" s="1096"/>
      <c r="AJ50" s="1096"/>
      <c r="AK50" s="1096"/>
      <c r="AL50" s="1096"/>
      <c r="AM50" s="1096"/>
      <c r="AN50" s="1096"/>
      <c r="AO50" s="1096"/>
      <c r="AP50" s="1096"/>
      <c r="AQ50" s="1096"/>
      <c r="AR50" s="1096"/>
      <c r="AS50" s="1096"/>
      <c r="AT50" s="1096"/>
      <c r="AU50" s="1096"/>
      <c r="AV50" s="1096"/>
      <c r="AW50" s="1096"/>
    </row>
  </sheetData>
  <mergeCells count="23">
    <mergeCell ref="AD11:AG11"/>
    <mergeCell ref="AH11:AK11"/>
    <mergeCell ref="AL11:AO11"/>
    <mergeCell ref="AP11:AS11"/>
    <mergeCell ref="B10:AW10"/>
    <mergeCell ref="A11:A12"/>
    <mergeCell ref="B11:E11"/>
    <mergeCell ref="F11:I11"/>
    <mergeCell ref="J11:M11"/>
    <mergeCell ref="N11:Q11"/>
    <mergeCell ref="R11:U11"/>
    <mergeCell ref="AT11:AW11"/>
    <mergeCell ref="G29:H29"/>
    <mergeCell ref="I29:N29"/>
    <mergeCell ref="I31:N31"/>
    <mergeCell ref="B39:E39"/>
    <mergeCell ref="V11:Y11"/>
    <mergeCell ref="Z11:AC11"/>
    <mergeCell ref="B26:E26"/>
    <mergeCell ref="G27:H27"/>
    <mergeCell ref="I27:N27"/>
    <mergeCell ref="G28:H28"/>
    <mergeCell ref="I28:N28"/>
  </mergeCells>
  <hyperlinks>
    <hyperlink r:id="rId1" ref="H3"/>
    <hyperlink r:id="rId2" ref="I27"/>
  </hyperlinks>
  <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2" max="2" width="20.0"/>
  </cols>
  <sheetData>
    <row r="1">
      <c r="G1" s="205" t="s">
        <v>521</v>
      </c>
    </row>
    <row r="2">
      <c r="G2" s="205" t="s">
        <v>522</v>
      </c>
    </row>
    <row r="3">
      <c r="G3" s="205" t="s">
        <v>343</v>
      </c>
      <c r="H3" s="205" t="s">
        <v>523</v>
      </c>
    </row>
    <row r="10">
      <c r="A10" s="1072"/>
      <c r="B10" s="1072"/>
      <c r="C10" s="1072"/>
      <c r="D10" s="1072"/>
      <c r="E10" s="1072"/>
      <c r="F10" s="1072"/>
      <c r="G10" s="1072"/>
      <c r="H10" s="1072"/>
      <c r="I10" s="1072"/>
      <c r="J10" s="1072"/>
      <c r="K10" s="1072"/>
      <c r="L10" s="1072"/>
      <c r="M10" s="1072"/>
      <c r="N10" s="1072"/>
      <c r="O10" s="1072"/>
    </row>
    <row r="11">
      <c r="A11" s="1072"/>
      <c r="B11" s="1073" t="s">
        <v>521</v>
      </c>
      <c r="C11" s="1073"/>
      <c r="D11" s="1072"/>
      <c r="E11" s="1072"/>
      <c r="F11" s="1072"/>
      <c r="G11" s="1072"/>
      <c r="H11" s="1072"/>
      <c r="I11" s="1072"/>
      <c r="J11" s="1072"/>
      <c r="K11" s="1072"/>
      <c r="L11" s="1072"/>
      <c r="M11" s="1072"/>
      <c r="N11" s="1072"/>
      <c r="O11" s="1072"/>
    </row>
    <row r="12">
      <c r="A12" s="1072"/>
      <c r="B12" s="1072"/>
      <c r="C12" s="1072"/>
      <c r="D12" s="1072"/>
      <c r="E12" s="1072"/>
      <c r="F12" s="1072"/>
      <c r="G12" s="1072"/>
      <c r="H12" s="1072"/>
      <c r="I12" s="1072"/>
      <c r="J12" s="1072"/>
      <c r="K12" s="1072"/>
      <c r="L12" s="1072"/>
      <c r="M12" s="1072"/>
      <c r="N12" s="1072"/>
      <c r="O12" s="1072"/>
    </row>
    <row r="13">
      <c r="A13" s="1072"/>
      <c r="B13" s="1075" t="s">
        <v>529</v>
      </c>
      <c r="C13" s="1076" t="s">
        <v>330</v>
      </c>
      <c r="D13" s="1076" t="s">
        <v>331</v>
      </c>
      <c r="E13" s="1076" t="s">
        <v>332</v>
      </c>
      <c r="F13" s="1076" t="s">
        <v>333</v>
      </c>
      <c r="G13" s="1076" t="s">
        <v>334</v>
      </c>
      <c r="H13" s="1076" t="s">
        <v>335</v>
      </c>
      <c r="I13" s="1076" t="s">
        <v>336</v>
      </c>
      <c r="J13" s="1076" t="s">
        <v>348</v>
      </c>
      <c r="K13" s="1076" t="s">
        <v>349</v>
      </c>
      <c r="L13" s="1076" t="s">
        <v>350</v>
      </c>
      <c r="M13" s="1076" t="s">
        <v>351</v>
      </c>
      <c r="N13" s="1076" t="s">
        <v>352</v>
      </c>
      <c r="O13" s="1076" t="s">
        <v>530</v>
      </c>
    </row>
    <row r="14">
      <c r="A14" s="1072"/>
      <c r="B14" s="1077" t="s">
        <v>531</v>
      </c>
      <c r="C14" s="1078">
        <v>8.8972954E7</v>
      </c>
      <c r="D14" s="1078">
        <v>8.8972954E7</v>
      </c>
      <c r="E14" s="1078">
        <v>8.8972954E7</v>
      </c>
      <c r="F14" s="1078">
        <v>8.8972954E7</v>
      </c>
      <c r="G14" s="1078">
        <v>8.8972954E7</v>
      </c>
      <c r="H14" s="1078">
        <v>8.8972954E7</v>
      </c>
      <c r="I14" s="1078">
        <v>8.8972954E7</v>
      </c>
      <c r="J14" s="1078">
        <v>8.8972954E7</v>
      </c>
      <c r="K14" s="1078">
        <v>8.8972954E7</v>
      </c>
      <c r="L14" s="1078">
        <v>8.8972954E7</v>
      </c>
      <c r="M14" s="1078">
        <v>8.8972954E7</v>
      </c>
      <c r="N14" s="1078">
        <v>8.8972954E7</v>
      </c>
      <c r="O14" s="1079">
        <v>1.067675448E9</v>
      </c>
    </row>
    <row r="15">
      <c r="A15" s="1072"/>
      <c r="B15" s="1077" t="s">
        <v>532</v>
      </c>
      <c r="C15" s="1078">
        <v>1.25691064E8</v>
      </c>
      <c r="D15" s="1078">
        <v>1.25691064E8</v>
      </c>
      <c r="E15" s="1078">
        <v>1.25691064E8</v>
      </c>
      <c r="F15" s="1078">
        <v>1.25691064E8</v>
      </c>
      <c r="G15" s="1078">
        <v>1.25691064E8</v>
      </c>
      <c r="H15" s="1078">
        <v>1.25691064E8</v>
      </c>
      <c r="I15" s="1078">
        <v>1.25691064E8</v>
      </c>
      <c r="J15" s="1078">
        <v>1.25691064E8</v>
      </c>
      <c r="K15" s="1078">
        <v>1.25691064E8</v>
      </c>
      <c r="L15" s="1078">
        <v>1.25691064E8</v>
      </c>
      <c r="M15" s="1078">
        <v>1.25691064E8</v>
      </c>
      <c r="N15" s="1078">
        <v>1.25691064E8</v>
      </c>
      <c r="O15" s="1079">
        <v>1.508292768E9</v>
      </c>
    </row>
    <row r="16">
      <c r="A16" s="1072"/>
      <c r="B16" s="1077" t="s">
        <v>534</v>
      </c>
      <c r="C16" s="1078">
        <v>1.06998716E8</v>
      </c>
      <c r="D16" s="1078">
        <v>1.06998716E8</v>
      </c>
      <c r="E16" s="1078">
        <v>1.06998716E8</v>
      </c>
      <c r="F16" s="1078">
        <v>1.06998716E8</v>
      </c>
      <c r="G16" s="1078">
        <v>1.06998716E8</v>
      </c>
      <c r="H16" s="1078">
        <v>1.06998716E8</v>
      </c>
      <c r="I16" s="1078">
        <v>1.06998716E8</v>
      </c>
      <c r="J16" s="1078">
        <v>1.06998716E8</v>
      </c>
      <c r="K16" s="1078">
        <v>1.06998716E8</v>
      </c>
      <c r="L16" s="1078">
        <v>1.06998716E8</v>
      </c>
      <c r="M16" s="1078">
        <v>1.06998716E8</v>
      </c>
      <c r="N16" s="1078">
        <v>1.06998716E8</v>
      </c>
      <c r="O16" s="1079">
        <v>1.283984592E9</v>
      </c>
    </row>
    <row r="17">
      <c r="A17" s="1072"/>
      <c r="B17" s="1077" t="s">
        <v>535</v>
      </c>
      <c r="C17" s="1078">
        <v>7.5843637E7</v>
      </c>
      <c r="D17" s="1078">
        <v>7.5843637E7</v>
      </c>
      <c r="E17" s="1078">
        <v>7.5843637E7</v>
      </c>
      <c r="F17" s="1078">
        <v>7.5843637E7</v>
      </c>
      <c r="G17" s="1078">
        <v>7.5843637E7</v>
      </c>
      <c r="H17" s="1078">
        <v>7.5843637E7</v>
      </c>
      <c r="I17" s="1078">
        <v>7.5843637E7</v>
      </c>
      <c r="J17" s="1078">
        <v>7.5843637E7</v>
      </c>
      <c r="K17" s="1078">
        <v>7.5843637E7</v>
      </c>
      <c r="L17" s="1078">
        <v>7.5843637E7</v>
      </c>
      <c r="M17" s="1078">
        <v>7.5843637E7</v>
      </c>
      <c r="N17" s="1078">
        <v>7.5843637E7</v>
      </c>
      <c r="O17" s="1079">
        <v>9.10123644E8</v>
      </c>
    </row>
    <row r="18">
      <c r="A18" s="1072"/>
      <c r="B18" s="1077" t="s">
        <v>536</v>
      </c>
      <c r="C18" s="1078">
        <v>1.0906E8</v>
      </c>
      <c r="D18" s="1078">
        <v>1.0906E8</v>
      </c>
      <c r="E18" s="1078">
        <v>1.0906E8</v>
      </c>
      <c r="F18" s="1078">
        <v>1.0906E8</v>
      </c>
      <c r="G18" s="1078">
        <v>1.0906E8</v>
      </c>
      <c r="H18" s="1078">
        <v>1.0906E8</v>
      </c>
      <c r="I18" s="1078">
        <v>1.0906E8</v>
      </c>
      <c r="J18" s="1078">
        <v>1.0906E8</v>
      </c>
      <c r="K18" s="1078">
        <v>1.0906E8</v>
      </c>
      <c r="L18" s="1078">
        <v>1.0906E8</v>
      </c>
      <c r="M18" s="1078">
        <v>1.0906E8</v>
      </c>
      <c r="N18" s="1078">
        <v>1.0906E8</v>
      </c>
      <c r="O18" s="1079">
        <v>1.30872E9</v>
      </c>
    </row>
    <row r="19">
      <c r="A19" s="1072"/>
      <c r="B19" s="1077" t="s">
        <v>537</v>
      </c>
      <c r="C19" s="1078">
        <v>1.9608E8</v>
      </c>
      <c r="D19" s="1078">
        <v>1.9608E8</v>
      </c>
      <c r="E19" s="1078">
        <v>1.9608E8</v>
      </c>
      <c r="F19" s="1078">
        <v>1.9608E8</v>
      </c>
      <c r="G19" s="1078">
        <v>1.9608E8</v>
      </c>
      <c r="H19" s="1078">
        <v>1.9608E8</v>
      </c>
      <c r="I19" s="1078">
        <v>1.9608E8</v>
      </c>
      <c r="J19" s="1078">
        <v>1.9608E8</v>
      </c>
      <c r="K19" s="1078">
        <v>1.9608E8</v>
      </c>
      <c r="L19" s="1078">
        <v>1.9608E8</v>
      </c>
      <c r="M19" s="1078">
        <v>1.9608E8</v>
      </c>
      <c r="N19" s="1078">
        <v>1.9608E8</v>
      </c>
      <c r="O19" s="1079">
        <v>2.35296E9</v>
      </c>
    </row>
    <row r="20">
      <c r="A20" s="1072"/>
      <c r="B20" s="1077" t="s">
        <v>538</v>
      </c>
      <c r="C20" s="1078">
        <v>1.20271365E8</v>
      </c>
      <c r="D20" s="1078">
        <v>1.20271365E8</v>
      </c>
      <c r="E20" s="1078">
        <v>1.20271365E8</v>
      </c>
      <c r="F20" s="1078">
        <v>1.20271365E8</v>
      </c>
      <c r="G20" s="1078">
        <v>1.20271365E8</v>
      </c>
      <c r="H20" s="1078">
        <v>1.20271365E8</v>
      </c>
      <c r="I20" s="1078">
        <v>1.20271365E8</v>
      </c>
      <c r="J20" s="1078">
        <v>1.20271365E8</v>
      </c>
      <c r="K20" s="1078">
        <v>1.20271365E8</v>
      </c>
      <c r="L20" s="1078">
        <v>1.20271365E8</v>
      </c>
      <c r="M20" s="1078">
        <v>1.20271365E8</v>
      </c>
      <c r="N20" s="1078">
        <v>1.20271365E8</v>
      </c>
      <c r="O20" s="1079">
        <v>1.44325638E9</v>
      </c>
    </row>
    <row r="21">
      <c r="A21" s="1072"/>
      <c r="B21" s="1083" t="s">
        <v>530</v>
      </c>
      <c r="C21" s="1079">
        <v>8.22917736E8</v>
      </c>
      <c r="D21" s="1079">
        <v>8.22917736E8</v>
      </c>
      <c r="E21" s="1079">
        <v>8.22917736E8</v>
      </c>
      <c r="F21" s="1079">
        <v>8.22917736E8</v>
      </c>
      <c r="G21" s="1079">
        <v>8.22917736E8</v>
      </c>
      <c r="H21" s="1079">
        <v>8.22917736E8</v>
      </c>
      <c r="I21" s="1079">
        <v>8.22917736E8</v>
      </c>
      <c r="J21" s="1079">
        <v>8.22917736E8</v>
      </c>
      <c r="K21" s="1079">
        <v>8.22917736E8</v>
      </c>
      <c r="L21" s="1079">
        <v>8.22917736E8</v>
      </c>
      <c r="M21" s="1079">
        <v>8.22917736E8</v>
      </c>
      <c r="N21" s="1079">
        <v>8.22917736E8</v>
      </c>
      <c r="O21" s="1086">
        <v>9.875012832E9</v>
      </c>
    </row>
    <row r="22">
      <c r="A22" s="1072"/>
      <c r="B22" s="1087"/>
      <c r="C22" s="1088"/>
      <c r="D22" s="1088"/>
      <c r="E22" s="1088"/>
      <c r="F22" s="1088"/>
      <c r="G22" s="1088"/>
      <c r="H22" s="1088"/>
      <c r="I22" s="1088"/>
      <c r="J22" s="1088"/>
      <c r="K22" s="1088"/>
      <c r="L22" s="1088"/>
      <c r="M22" s="1088"/>
      <c r="N22" s="1088"/>
      <c r="O22" s="1088"/>
    </row>
    <row r="23">
      <c r="A23" s="1072"/>
      <c r="B23" s="1073" t="s">
        <v>542</v>
      </c>
      <c r="C23" s="1076" t="s">
        <v>330</v>
      </c>
      <c r="D23" s="1076" t="s">
        <v>331</v>
      </c>
      <c r="E23" s="1076" t="s">
        <v>332</v>
      </c>
      <c r="F23" s="1076" t="s">
        <v>333</v>
      </c>
      <c r="G23" s="1076" t="s">
        <v>334</v>
      </c>
      <c r="H23" s="1076" t="s">
        <v>335</v>
      </c>
      <c r="I23" s="1076" t="s">
        <v>336</v>
      </c>
      <c r="J23" s="1076" t="s">
        <v>348</v>
      </c>
      <c r="K23" s="1076" t="s">
        <v>349</v>
      </c>
      <c r="L23" s="1076" t="s">
        <v>350</v>
      </c>
      <c r="M23" s="1076" t="s">
        <v>351</v>
      </c>
      <c r="N23" s="1076" t="s">
        <v>352</v>
      </c>
      <c r="O23" s="1076" t="s">
        <v>530</v>
      </c>
    </row>
    <row r="24">
      <c r="A24" s="1072"/>
      <c r="B24" s="1077" t="s">
        <v>531</v>
      </c>
      <c r="C24" s="1090">
        <v>3.8119384E7</v>
      </c>
      <c r="D24" s="1090">
        <v>3.8119384E7</v>
      </c>
      <c r="E24" s="1090">
        <v>3.8119384E7</v>
      </c>
      <c r="F24" s="1090">
        <v>3.8119384E7</v>
      </c>
      <c r="G24" s="1090">
        <v>3.8119384E7</v>
      </c>
      <c r="H24" s="1090">
        <v>3.8119384E7</v>
      </c>
      <c r="I24" s="1090">
        <v>3.8119384E7</v>
      </c>
      <c r="J24" s="1090">
        <v>3.8119384E7</v>
      </c>
      <c r="K24" s="1090">
        <v>3.8119384E7</v>
      </c>
      <c r="L24" s="1090">
        <v>3.8119384E7</v>
      </c>
      <c r="M24" s="1090">
        <v>3.8119384E7</v>
      </c>
      <c r="N24" s="1090">
        <v>3.8119384E7</v>
      </c>
      <c r="O24" s="1091">
        <v>4.57432608E8</v>
      </c>
    </row>
    <row r="25">
      <c r="A25" s="1072"/>
      <c r="B25" s="1077" t="s">
        <v>532</v>
      </c>
      <c r="C25" s="1090">
        <v>4.3487786E7</v>
      </c>
      <c r="D25" s="1090">
        <v>4.3487786E7</v>
      </c>
      <c r="E25" s="1090">
        <v>4.3487786E7</v>
      </c>
      <c r="F25" s="1090">
        <v>4.3487786E7</v>
      </c>
      <c r="G25" s="1090">
        <v>4.3487786E7</v>
      </c>
      <c r="H25" s="1090">
        <v>4.3487786E7</v>
      </c>
      <c r="I25" s="1090">
        <v>4.3487786E7</v>
      </c>
      <c r="J25" s="1090">
        <v>4.3487786E7</v>
      </c>
      <c r="K25" s="1090">
        <v>4.3487786E7</v>
      </c>
      <c r="L25" s="1090">
        <v>4.3487786E7</v>
      </c>
      <c r="M25" s="1090">
        <v>4.3487786E7</v>
      </c>
      <c r="N25" s="1090">
        <v>4.3487786E7</v>
      </c>
      <c r="O25" s="1091">
        <v>5.21853432E8</v>
      </c>
    </row>
    <row r="26">
      <c r="A26" s="1072"/>
      <c r="B26" s="1077" t="s">
        <v>534</v>
      </c>
      <c r="C26" s="1090">
        <v>1.3362168E7</v>
      </c>
      <c r="D26" s="1090">
        <v>1.3362168E7</v>
      </c>
      <c r="E26" s="1090">
        <v>1.3362168E7</v>
      </c>
      <c r="F26" s="1090">
        <v>1.3362168E7</v>
      </c>
      <c r="G26" s="1090">
        <v>1.3362168E7</v>
      </c>
      <c r="H26" s="1090">
        <v>1.3362168E7</v>
      </c>
      <c r="I26" s="1090">
        <v>1.3362168E7</v>
      </c>
      <c r="J26" s="1090">
        <v>1.3362168E7</v>
      </c>
      <c r="K26" s="1090">
        <v>1.3362168E7</v>
      </c>
      <c r="L26" s="1090">
        <v>1.3362168E7</v>
      </c>
      <c r="M26" s="1090">
        <v>1.3362168E7</v>
      </c>
      <c r="N26" s="1090">
        <v>1.3362168E7</v>
      </c>
      <c r="O26" s="1091">
        <v>1.60346016E8</v>
      </c>
    </row>
    <row r="27">
      <c r="A27" s="1072"/>
      <c r="B27" s="1077" t="s">
        <v>535</v>
      </c>
      <c r="C27" s="1090">
        <v>4.49898422E8</v>
      </c>
      <c r="D27" s="1090">
        <v>4.49898422E8</v>
      </c>
      <c r="E27" s="1090">
        <v>4.49898422E8</v>
      </c>
      <c r="F27" s="1090">
        <v>4.49898422E8</v>
      </c>
      <c r="G27" s="1090">
        <v>4.49898422E8</v>
      </c>
      <c r="H27" s="1090">
        <v>4.49898422E8</v>
      </c>
      <c r="I27" s="1090">
        <v>4.49898422E8</v>
      </c>
      <c r="J27" s="1090">
        <v>4.49898422E8</v>
      </c>
      <c r="K27" s="1090">
        <v>4.49898422E8</v>
      </c>
      <c r="L27" s="1090">
        <v>4.49898422E8</v>
      </c>
      <c r="M27" s="1090">
        <v>4.49898422E8</v>
      </c>
      <c r="N27" s="1090">
        <v>4.49898422E8</v>
      </c>
      <c r="O27" s="1091">
        <v>5.398781059E9</v>
      </c>
    </row>
    <row r="28">
      <c r="A28" s="1072"/>
      <c r="B28" s="1077" t="s">
        <v>536</v>
      </c>
      <c r="C28" s="1090">
        <v>1.0552344E7</v>
      </c>
      <c r="D28" s="1090">
        <v>1.0552344E7</v>
      </c>
      <c r="E28" s="1090">
        <v>1.0552344E7</v>
      </c>
      <c r="F28" s="1090">
        <v>1.0552344E7</v>
      </c>
      <c r="G28" s="1090">
        <v>1.0552344E7</v>
      </c>
      <c r="H28" s="1090">
        <v>1.0552344E7</v>
      </c>
      <c r="I28" s="1090">
        <v>1.0552344E7</v>
      </c>
      <c r="J28" s="1090">
        <v>1.0552344E7</v>
      </c>
      <c r="K28" s="1090">
        <v>1.0552344E7</v>
      </c>
      <c r="L28" s="1090">
        <v>1.0552344E7</v>
      </c>
      <c r="M28" s="1090">
        <v>1.0552344E7</v>
      </c>
      <c r="N28" s="1090">
        <v>1.0552344E7</v>
      </c>
      <c r="O28" s="1091">
        <v>1.26628128E8</v>
      </c>
    </row>
    <row r="29">
      <c r="A29" s="1072"/>
      <c r="B29" s="1077" t="s">
        <v>537</v>
      </c>
      <c r="C29" s="1090">
        <v>2867670.0</v>
      </c>
      <c r="D29" s="1090">
        <v>2867670.0</v>
      </c>
      <c r="E29" s="1090">
        <v>2867670.0</v>
      </c>
      <c r="F29" s="1090">
        <v>2867670.0</v>
      </c>
      <c r="G29" s="1090">
        <v>2867670.0</v>
      </c>
      <c r="H29" s="1090">
        <v>2867670.0</v>
      </c>
      <c r="I29" s="1090">
        <v>2867670.0</v>
      </c>
      <c r="J29" s="1090">
        <v>2867670.0</v>
      </c>
      <c r="K29" s="1090">
        <v>2867670.0</v>
      </c>
      <c r="L29" s="1090">
        <v>2867670.0</v>
      </c>
      <c r="M29" s="1090">
        <v>2867670.0</v>
      </c>
      <c r="N29" s="1090">
        <v>2867670.0</v>
      </c>
      <c r="O29" s="1091">
        <v>3.441204E7</v>
      </c>
    </row>
    <row r="30">
      <c r="A30" s="1072"/>
      <c r="B30" s="1077" t="s">
        <v>538</v>
      </c>
      <c r="C30" s="1090">
        <v>2934360.0</v>
      </c>
      <c r="D30" s="1090">
        <v>2934360.0</v>
      </c>
      <c r="E30" s="1090">
        <v>2934360.0</v>
      </c>
      <c r="F30" s="1090">
        <v>2934360.0</v>
      </c>
      <c r="G30" s="1090">
        <v>2934360.0</v>
      </c>
      <c r="H30" s="1090">
        <v>2934360.0</v>
      </c>
      <c r="I30" s="1090">
        <v>2934360.0</v>
      </c>
      <c r="J30" s="1090">
        <v>2934360.0</v>
      </c>
      <c r="K30" s="1090">
        <v>2934360.0</v>
      </c>
      <c r="L30" s="1090">
        <v>2934360.0</v>
      </c>
      <c r="M30" s="1090">
        <v>2934360.0</v>
      </c>
      <c r="N30" s="1090">
        <v>2934360.0</v>
      </c>
      <c r="O30" s="1091">
        <v>3.521232E7</v>
      </c>
    </row>
    <row r="31">
      <c r="A31" s="1072"/>
      <c r="B31" s="1083" t="s">
        <v>530</v>
      </c>
      <c r="C31" s="1091">
        <v>5.61222134E8</v>
      </c>
      <c r="D31" s="1091">
        <v>5.61222134E8</v>
      </c>
      <c r="E31" s="1091">
        <v>5.61222134E8</v>
      </c>
      <c r="F31" s="1091">
        <v>5.61222134E8</v>
      </c>
      <c r="G31" s="1091">
        <v>5.61222134E8</v>
      </c>
      <c r="H31" s="1091">
        <v>5.61222134E8</v>
      </c>
      <c r="I31" s="1091">
        <v>5.61222134E8</v>
      </c>
      <c r="J31" s="1091">
        <v>5.61222134E8</v>
      </c>
      <c r="K31" s="1091">
        <v>5.61222134E8</v>
      </c>
      <c r="L31" s="1091">
        <v>5.61222134E8</v>
      </c>
      <c r="M31" s="1091">
        <v>5.61222134E8</v>
      </c>
      <c r="N31" s="1091">
        <v>5.61222134E8</v>
      </c>
      <c r="O31" s="1094">
        <v>6.734665603E9</v>
      </c>
    </row>
    <row r="32">
      <c r="A32" s="1072"/>
      <c r="B32" s="1087"/>
      <c r="C32" s="1088"/>
      <c r="D32" s="1088"/>
      <c r="E32" s="1088"/>
      <c r="F32" s="1088"/>
      <c r="G32" s="1088"/>
      <c r="H32" s="1088"/>
      <c r="I32" s="1088"/>
      <c r="J32" s="1088"/>
      <c r="K32" s="1088"/>
      <c r="L32" s="1088"/>
      <c r="M32" s="1088"/>
      <c r="N32" s="1088"/>
      <c r="O32" s="1088"/>
    </row>
    <row r="33">
      <c r="A33" s="1072"/>
      <c r="B33" s="1073" t="s">
        <v>561</v>
      </c>
      <c r="C33" s="1076" t="s">
        <v>330</v>
      </c>
      <c r="D33" s="1076" t="s">
        <v>331</v>
      </c>
      <c r="E33" s="1076" t="s">
        <v>332</v>
      </c>
      <c r="F33" s="1076" t="s">
        <v>333</v>
      </c>
      <c r="G33" s="1076" t="s">
        <v>334</v>
      </c>
      <c r="H33" s="1076" t="s">
        <v>335</v>
      </c>
      <c r="I33" s="1076" t="s">
        <v>336</v>
      </c>
      <c r="J33" s="1076" t="s">
        <v>348</v>
      </c>
      <c r="K33" s="1076" t="s">
        <v>349</v>
      </c>
      <c r="L33" s="1076" t="s">
        <v>350</v>
      </c>
      <c r="M33" s="1076" t="s">
        <v>351</v>
      </c>
      <c r="N33" s="1076" t="s">
        <v>352</v>
      </c>
      <c r="O33" s="1076" t="s">
        <v>530</v>
      </c>
    </row>
    <row r="34">
      <c r="A34" s="1072"/>
      <c r="B34" s="1077" t="s">
        <v>531</v>
      </c>
      <c r="C34" s="1090">
        <v>1.6815304E7</v>
      </c>
      <c r="D34" s="1090">
        <v>1.6815304E7</v>
      </c>
      <c r="E34" s="1090">
        <v>1.6815304E7</v>
      </c>
      <c r="F34" s="1090">
        <v>1.6815304E7</v>
      </c>
      <c r="G34" s="1090">
        <v>1.6815304E7</v>
      </c>
      <c r="H34" s="1090">
        <v>1.6815304E7</v>
      </c>
      <c r="I34" s="1090">
        <v>1.6815304E7</v>
      </c>
      <c r="J34" s="1090">
        <v>1.6815304E7</v>
      </c>
      <c r="K34" s="1090">
        <v>1.6815304E7</v>
      </c>
      <c r="L34" s="1090">
        <v>1.6815304E7</v>
      </c>
      <c r="M34" s="1090">
        <v>1.6815304E7</v>
      </c>
      <c r="N34" s="1090">
        <v>1.6815304E7</v>
      </c>
      <c r="O34" s="1091">
        <v>2.01783648E8</v>
      </c>
    </row>
    <row r="35">
      <c r="A35" s="1072"/>
      <c r="B35" s="1077" t="s">
        <v>532</v>
      </c>
      <c r="C35" s="1090">
        <v>3.7170672E7</v>
      </c>
      <c r="D35" s="1090">
        <v>3.7170672E7</v>
      </c>
      <c r="E35" s="1090">
        <v>3.7170672E7</v>
      </c>
      <c r="F35" s="1090">
        <v>3.7170672E7</v>
      </c>
      <c r="G35" s="1090">
        <v>3.7170672E7</v>
      </c>
      <c r="H35" s="1090">
        <v>3.7170672E7</v>
      </c>
      <c r="I35" s="1090">
        <v>3.7170672E7</v>
      </c>
      <c r="J35" s="1090">
        <v>3.7170672E7</v>
      </c>
      <c r="K35" s="1090">
        <v>3.7170672E7</v>
      </c>
      <c r="L35" s="1090">
        <v>3.7170672E7</v>
      </c>
      <c r="M35" s="1090">
        <v>3.7170672E7</v>
      </c>
      <c r="N35" s="1090">
        <v>3.7170672E7</v>
      </c>
      <c r="O35" s="1091">
        <v>4.46048064E8</v>
      </c>
    </row>
    <row r="36">
      <c r="A36" s="1072"/>
      <c r="B36" s="1077" t="s">
        <v>534</v>
      </c>
      <c r="C36" s="1090">
        <v>2.152198E7</v>
      </c>
      <c r="D36" s="1090">
        <v>2.152198E7</v>
      </c>
      <c r="E36" s="1090">
        <v>2.152198E7</v>
      </c>
      <c r="F36" s="1090">
        <v>2.152198E7</v>
      </c>
      <c r="G36" s="1090">
        <v>2.152198E7</v>
      </c>
      <c r="H36" s="1090">
        <v>2.152198E7</v>
      </c>
      <c r="I36" s="1090">
        <v>2.152198E7</v>
      </c>
      <c r="J36" s="1090">
        <v>2.152198E7</v>
      </c>
      <c r="K36" s="1090">
        <v>2.152198E7</v>
      </c>
      <c r="L36" s="1090">
        <v>2.152198E7</v>
      </c>
      <c r="M36" s="1090">
        <v>2.152198E7</v>
      </c>
      <c r="N36" s="1090">
        <v>2.152198E7</v>
      </c>
      <c r="O36" s="1091">
        <v>2.5826376E8</v>
      </c>
    </row>
    <row r="37">
      <c r="A37" s="1072"/>
      <c r="B37" s="1077" t="s">
        <v>535</v>
      </c>
      <c r="C37" s="1090">
        <v>4.1544052E7</v>
      </c>
      <c r="D37" s="1090">
        <v>4.1544052E7</v>
      </c>
      <c r="E37" s="1090">
        <v>4.1544052E7</v>
      </c>
      <c r="F37" s="1090">
        <v>4.1544052E7</v>
      </c>
      <c r="G37" s="1090">
        <v>4.1544052E7</v>
      </c>
      <c r="H37" s="1090">
        <v>4.1544052E7</v>
      </c>
      <c r="I37" s="1090">
        <v>4.1544052E7</v>
      </c>
      <c r="J37" s="1090">
        <v>4.1544052E7</v>
      </c>
      <c r="K37" s="1090">
        <v>4.1544052E7</v>
      </c>
      <c r="L37" s="1090">
        <v>4.1544052E7</v>
      </c>
      <c r="M37" s="1090">
        <v>4.1544052E7</v>
      </c>
      <c r="N37" s="1090">
        <v>4.1544052E7</v>
      </c>
      <c r="O37" s="1091">
        <v>4.98528624E8</v>
      </c>
    </row>
    <row r="38">
      <c r="A38" s="1072"/>
      <c r="B38" s="1077" t="s">
        <v>536</v>
      </c>
      <c r="C38" s="1090">
        <v>4902500.0</v>
      </c>
      <c r="D38" s="1090">
        <v>4902500.0</v>
      </c>
      <c r="E38" s="1090">
        <v>4902500.0</v>
      </c>
      <c r="F38" s="1090">
        <v>4902500.0</v>
      </c>
      <c r="G38" s="1090">
        <v>4902500.0</v>
      </c>
      <c r="H38" s="1090">
        <v>4902500.0</v>
      </c>
      <c r="I38" s="1090">
        <v>4902500.0</v>
      </c>
      <c r="J38" s="1090">
        <v>4902500.0</v>
      </c>
      <c r="K38" s="1090">
        <v>4902500.0</v>
      </c>
      <c r="L38" s="1090">
        <v>4902500.0</v>
      </c>
      <c r="M38" s="1090">
        <v>4902500.0</v>
      </c>
      <c r="N38" s="1090">
        <v>4902500.0</v>
      </c>
      <c r="O38" s="1091">
        <v>5.883E7</v>
      </c>
    </row>
    <row r="39">
      <c r="A39" s="1072"/>
      <c r="B39" s="1077" t="s">
        <v>537</v>
      </c>
      <c r="C39" s="1090">
        <v>3630500.0</v>
      </c>
      <c r="D39" s="1090">
        <v>3630500.0</v>
      </c>
      <c r="E39" s="1090">
        <v>3630500.0</v>
      </c>
      <c r="F39" s="1090">
        <v>3630500.0</v>
      </c>
      <c r="G39" s="1090">
        <v>3630500.0</v>
      </c>
      <c r="H39" s="1090">
        <v>3630500.0</v>
      </c>
      <c r="I39" s="1090">
        <v>3630500.0</v>
      </c>
      <c r="J39" s="1090">
        <v>3630500.0</v>
      </c>
      <c r="K39" s="1090">
        <v>3630500.0</v>
      </c>
      <c r="L39" s="1090">
        <v>3630500.0</v>
      </c>
      <c r="M39" s="1090">
        <v>3630500.0</v>
      </c>
      <c r="N39" s="1090">
        <v>3630500.0</v>
      </c>
      <c r="O39" s="1091">
        <v>4.3566E7</v>
      </c>
    </row>
    <row r="40">
      <c r="A40" s="1072"/>
      <c r="B40" s="1077" t="s">
        <v>538</v>
      </c>
      <c r="C40" s="1090">
        <v>7420000.0</v>
      </c>
      <c r="D40" s="1090">
        <v>7420000.0</v>
      </c>
      <c r="E40" s="1090">
        <v>7420000.0</v>
      </c>
      <c r="F40" s="1090">
        <v>7420000.0</v>
      </c>
      <c r="G40" s="1090">
        <v>7420000.0</v>
      </c>
      <c r="H40" s="1090">
        <v>7420000.0</v>
      </c>
      <c r="I40" s="1090">
        <v>7420000.0</v>
      </c>
      <c r="J40" s="1090">
        <v>7420000.0</v>
      </c>
      <c r="K40" s="1090">
        <v>7420000.0</v>
      </c>
      <c r="L40" s="1090">
        <v>7420000.0</v>
      </c>
      <c r="M40" s="1090">
        <v>7420000.0</v>
      </c>
      <c r="N40" s="1090">
        <v>7420000.0</v>
      </c>
      <c r="O40" s="1091">
        <v>8.904E7</v>
      </c>
    </row>
    <row r="41">
      <c r="A41" s="1072"/>
      <c r="B41" s="1083" t="s">
        <v>530</v>
      </c>
      <c r="C41" s="1091">
        <v>1.33005008E8</v>
      </c>
      <c r="D41" s="1091">
        <v>1.33005008E8</v>
      </c>
      <c r="E41" s="1091">
        <v>1.33005008E8</v>
      </c>
      <c r="F41" s="1091">
        <v>1.33005008E8</v>
      </c>
      <c r="G41" s="1091">
        <v>1.33005008E8</v>
      </c>
      <c r="H41" s="1091">
        <v>1.33005008E8</v>
      </c>
      <c r="I41" s="1091">
        <v>1.33005008E8</v>
      </c>
      <c r="J41" s="1091">
        <v>1.33005008E8</v>
      </c>
      <c r="K41" s="1091">
        <v>1.33005008E8</v>
      </c>
      <c r="L41" s="1091">
        <v>1.33005008E8</v>
      </c>
      <c r="M41" s="1091">
        <v>1.33005008E8</v>
      </c>
      <c r="N41" s="1091">
        <v>1.33005008E8</v>
      </c>
      <c r="O41" s="1094">
        <v>1.596060096E9</v>
      </c>
    </row>
    <row r="42">
      <c r="A42" s="1072"/>
      <c r="B42" s="1087"/>
      <c r="C42" s="1072"/>
      <c r="D42" s="1072"/>
      <c r="E42" s="1072"/>
      <c r="F42" s="1072"/>
      <c r="G42" s="1072"/>
      <c r="H42" s="1072"/>
      <c r="I42" s="1072"/>
      <c r="J42" s="1072"/>
      <c r="K42" s="1072"/>
      <c r="L42" s="1072"/>
      <c r="M42" s="1072"/>
      <c r="N42" s="1072"/>
      <c r="O42" s="1072"/>
    </row>
    <row r="43">
      <c r="A43" s="1072"/>
      <c r="B43" s="1073" t="s">
        <v>563</v>
      </c>
      <c r="C43" s="1076" t="s">
        <v>330</v>
      </c>
      <c r="D43" s="1076" t="s">
        <v>331</v>
      </c>
      <c r="E43" s="1076" t="s">
        <v>332</v>
      </c>
      <c r="F43" s="1076" t="s">
        <v>333</v>
      </c>
      <c r="G43" s="1076" t="s">
        <v>334</v>
      </c>
      <c r="H43" s="1076" t="s">
        <v>335</v>
      </c>
      <c r="I43" s="1076" t="s">
        <v>336</v>
      </c>
      <c r="J43" s="1076" t="s">
        <v>348</v>
      </c>
      <c r="K43" s="1076" t="s">
        <v>349</v>
      </c>
      <c r="L43" s="1076" t="s">
        <v>350</v>
      </c>
      <c r="M43" s="1076" t="s">
        <v>351</v>
      </c>
      <c r="N43" s="1076" t="s">
        <v>352</v>
      </c>
      <c r="O43" s="1076" t="s">
        <v>530</v>
      </c>
    </row>
    <row r="44">
      <c r="A44" s="1072"/>
      <c r="B44" s="1077" t="s">
        <v>531</v>
      </c>
      <c r="C44" s="1090">
        <v>1.05E7</v>
      </c>
      <c r="D44" s="1090">
        <v>1.05E7</v>
      </c>
      <c r="E44" s="1090">
        <v>1.05E7</v>
      </c>
      <c r="F44" s="1090">
        <v>1.05E7</v>
      </c>
      <c r="G44" s="1090">
        <v>1.05E7</v>
      </c>
      <c r="H44" s="1090">
        <v>1.05E7</v>
      </c>
      <c r="I44" s="1090">
        <v>1.05E7</v>
      </c>
      <c r="J44" s="1090">
        <v>1.05E7</v>
      </c>
      <c r="K44" s="1090">
        <v>1.05E7</v>
      </c>
      <c r="L44" s="1090">
        <v>1.05E7</v>
      </c>
      <c r="M44" s="1090">
        <v>1.05E7</v>
      </c>
      <c r="N44" s="1090">
        <v>1.05E7</v>
      </c>
      <c r="O44" s="1091">
        <v>1.26E8</v>
      </c>
    </row>
    <row r="45">
      <c r="A45" s="1072"/>
      <c r="B45" s="1077" t="s">
        <v>532</v>
      </c>
      <c r="C45" s="1099">
        <v>0.0</v>
      </c>
      <c r="D45" s="1099">
        <v>0.0</v>
      </c>
      <c r="E45" s="1099">
        <v>0.0</v>
      </c>
      <c r="F45" s="1099">
        <v>0.0</v>
      </c>
      <c r="G45" s="1099">
        <v>0.0</v>
      </c>
      <c r="H45" s="1099">
        <v>0.0</v>
      </c>
      <c r="I45" s="1099">
        <v>0.0</v>
      </c>
      <c r="J45" s="1099">
        <v>0.0</v>
      </c>
      <c r="K45" s="1099">
        <v>0.0</v>
      </c>
      <c r="L45" s="1099">
        <v>0.0</v>
      </c>
      <c r="M45" s="1099">
        <v>0.0</v>
      </c>
      <c r="N45" s="1099">
        <v>0.0</v>
      </c>
      <c r="O45" s="1103">
        <v>0.0</v>
      </c>
    </row>
    <row r="46">
      <c r="A46" s="1072"/>
      <c r="B46" s="1077" t="s">
        <v>534</v>
      </c>
      <c r="C46" s="1099">
        <v>0.0</v>
      </c>
      <c r="D46" s="1099">
        <v>0.0</v>
      </c>
      <c r="E46" s="1099">
        <v>0.0</v>
      </c>
      <c r="F46" s="1099">
        <v>0.0</v>
      </c>
      <c r="G46" s="1099">
        <v>0.0</v>
      </c>
      <c r="H46" s="1099">
        <v>0.0</v>
      </c>
      <c r="I46" s="1099">
        <v>0.0</v>
      </c>
      <c r="J46" s="1099">
        <v>0.0</v>
      </c>
      <c r="K46" s="1099">
        <v>0.0</v>
      </c>
      <c r="L46" s="1099">
        <v>0.0</v>
      </c>
      <c r="M46" s="1099">
        <v>0.0</v>
      </c>
      <c r="N46" s="1099">
        <v>0.0</v>
      </c>
      <c r="O46" s="1103">
        <v>0.0</v>
      </c>
    </row>
    <row r="47">
      <c r="A47" s="1072"/>
      <c r="B47" s="1077" t="s">
        <v>535</v>
      </c>
      <c r="C47" s="1090">
        <v>1320000.0</v>
      </c>
      <c r="D47" s="1090">
        <v>1320000.0</v>
      </c>
      <c r="E47" s="1090">
        <v>1320000.0</v>
      </c>
      <c r="F47" s="1090">
        <v>1320000.0</v>
      </c>
      <c r="G47" s="1090">
        <v>1320000.0</v>
      </c>
      <c r="H47" s="1090">
        <v>1320000.0</v>
      </c>
      <c r="I47" s="1090">
        <v>1320000.0</v>
      </c>
      <c r="J47" s="1090">
        <v>1320000.0</v>
      </c>
      <c r="K47" s="1090">
        <v>1320000.0</v>
      </c>
      <c r="L47" s="1090">
        <v>1320000.0</v>
      </c>
      <c r="M47" s="1090">
        <v>1320000.0</v>
      </c>
      <c r="N47" s="1090">
        <v>1320000.0</v>
      </c>
      <c r="O47" s="1091">
        <v>1.584E7</v>
      </c>
    </row>
    <row r="48">
      <c r="A48" s="1072"/>
      <c r="B48" s="1077" t="s">
        <v>536</v>
      </c>
      <c r="C48" s="1099">
        <v>0.0</v>
      </c>
      <c r="D48" s="1099">
        <v>0.0</v>
      </c>
      <c r="E48" s="1099">
        <v>0.0</v>
      </c>
      <c r="F48" s="1099">
        <v>0.0</v>
      </c>
      <c r="G48" s="1099">
        <v>0.0</v>
      </c>
      <c r="H48" s="1099">
        <v>0.0</v>
      </c>
      <c r="I48" s="1099">
        <v>0.0</v>
      </c>
      <c r="J48" s="1099">
        <v>0.0</v>
      </c>
      <c r="K48" s="1099">
        <v>0.0</v>
      </c>
      <c r="L48" s="1099">
        <v>0.0</v>
      </c>
      <c r="M48" s="1099">
        <v>0.0</v>
      </c>
      <c r="N48" s="1099">
        <v>0.0</v>
      </c>
      <c r="O48" s="1103">
        <v>0.0</v>
      </c>
    </row>
    <row r="49">
      <c r="A49" s="1072"/>
      <c r="B49" s="1077" t="s">
        <v>537</v>
      </c>
      <c r="C49" s="1099">
        <v>0.0</v>
      </c>
      <c r="D49" s="1099">
        <v>0.0</v>
      </c>
      <c r="E49" s="1099">
        <v>0.0</v>
      </c>
      <c r="F49" s="1099">
        <v>0.0</v>
      </c>
      <c r="G49" s="1099">
        <v>0.0</v>
      </c>
      <c r="H49" s="1099">
        <v>0.0</v>
      </c>
      <c r="I49" s="1099">
        <v>0.0</v>
      </c>
      <c r="J49" s="1099">
        <v>0.0</v>
      </c>
      <c r="K49" s="1099">
        <v>0.0</v>
      </c>
      <c r="L49" s="1099">
        <v>0.0</v>
      </c>
      <c r="M49" s="1099">
        <v>0.0</v>
      </c>
      <c r="N49" s="1099">
        <v>0.0</v>
      </c>
      <c r="O49" s="1103">
        <v>0.0</v>
      </c>
    </row>
    <row r="50">
      <c r="A50" s="1072"/>
      <c r="B50" s="1077" t="s">
        <v>538</v>
      </c>
      <c r="C50" s="1090">
        <v>1.056544E7</v>
      </c>
      <c r="D50" s="1090">
        <v>1.056544E7</v>
      </c>
      <c r="E50" s="1090">
        <v>1.056544E7</v>
      </c>
      <c r="F50" s="1090">
        <v>1.056544E7</v>
      </c>
      <c r="G50" s="1090">
        <v>1.056544E7</v>
      </c>
      <c r="H50" s="1090">
        <v>1.056544E7</v>
      </c>
      <c r="I50" s="1090">
        <v>1.056544E7</v>
      </c>
      <c r="J50" s="1090">
        <v>1.056544E7</v>
      </c>
      <c r="K50" s="1090">
        <v>1.056544E7</v>
      </c>
      <c r="L50" s="1090">
        <v>1.056544E7</v>
      </c>
      <c r="M50" s="1090">
        <v>1.056544E7</v>
      </c>
      <c r="N50" s="1090">
        <v>1.056544E7</v>
      </c>
      <c r="O50" s="1091">
        <v>1.2678528E8</v>
      </c>
    </row>
    <row r="51">
      <c r="A51" s="1072"/>
      <c r="B51" s="1083" t="s">
        <v>530</v>
      </c>
      <c r="C51" s="1091">
        <v>2.238544E7</v>
      </c>
      <c r="D51" s="1091">
        <v>2.238544E7</v>
      </c>
      <c r="E51" s="1091">
        <v>2.238544E7</v>
      </c>
      <c r="F51" s="1091">
        <v>2.238544E7</v>
      </c>
      <c r="G51" s="1091">
        <v>2.238544E7</v>
      </c>
      <c r="H51" s="1091">
        <v>2.238544E7</v>
      </c>
      <c r="I51" s="1091">
        <v>2.238544E7</v>
      </c>
      <c r="J51" s="1091">
        <v>2.238544E7</v>
      </c>
      <c r="K51" s="1091">
        <v>2.238544E7</v>
      </c>
      <c r="L51" s="1091">
        <v>2.238544E7</v>
      </c>
      <c r="M51" s="1091">
        <v>2.238544E7</v>
      </c>
      <c r="N51" s="1091">
        <v>2.238544E7</v>
      </c>
      <c r="O51" s="1094">
        <v>2.6862528E8</v>
      </c>
    </row>
    <row r="52">
      <c r="A52" s="1072"/>
      <c r="B52" s="1072"/>
      <c r="C52" s="1072"/>
      <c r="D52" s="1072"/>
      <c r="E52" s="1072"/>
      <c r="F52" s="1072"/>
      <c r="G52" s="1072"/>
      <c r="H52" s="1072"/>
      <c r="I52" s="1072"/>
      <c r="J52" s="1072"/>
      <c r="K52" s="1072"/>
      <c r="L52" s="1072"/>
      <c r="M52" s="1072"/>
      <c r="N52" s="1072"/>
      <c r="O52" s="1072"/>
    </row>
    <row r="53">
      <c r="A53" s="1072"/>
      <c r="B53" s="1072"/>
      <c r="C53" s="1072"/>
      <c r="D53" s="1072"/>
      <c r="E53" s="1072"/>
      <c r="F53" s="1072"/>
      <c r="G53" s="1072"/>
      <c r="H53" s="1072"/>
      <c r="I53" s="1072"/>
      <c r="J53" s="1072"/>
      <c r="K53" s="1072"/>
      <c r="L53" s="1072"/>
      <c r="M53" s="1072"/>
      <c r="N53" s="1072"/>
      <c r="O53" s="1072"/>
    </row>
    <row r="54">
      <c r="A54" s="1072"/>
      <c r="B54" s="1072"/>
      <c r="C54" s="1072"/>
      <c r="D54" s="1072"/>
      <c r="E54" s="1072"/>
      <c r="F54" s="1072"/>
      <c r="G54" s="1072"/>
      <c r="H54" s="1072"/>
      <c r="I54" s="1072"/>
      <c r="J54" s="1072"/>
      <c r="K54" s="1072"/>
      <c r="L54" s="1072"/>
      <c r="M54" s="1072"/>
      <c r="N54" s="1072"/>
      <c r="O54" s="1086">
        <v>1.8474363811E10</v>
      </c>
    </row>
    <row r="55">
      <c r="B55" s="1106" t="s">
        <v>570</v>
      </c>
      <c r="C55" s="1076" t="s">
        <v>330</v>
      </c>
      <c r="D55" s="1076" t="s">
        <v>331</v>
      </c>
      <c r="E55" s="1076" t="s">
        <v>332</v>
      </c>
      <c r="F55" s="1076" t="s">
        <v>333</v>
      </c>
      <c r="G55" s="1076" t="s">
        <v>334</v>
      </c>
      <c r="H55" s="1076" t="s">
        <v>335</v>
      </c>
      <c r="I55" s="1076" t="s">
        <v>336</v>
      </c>
      <c r="J55" s="1076" t="s">
        <v>348</v>
      </c>
      <c r="K55" s="1076" t="s">
        <v>349</v>
      </c>
      <c r="L55" s="1076" t="s">
        <v>350</v>
      </c>
      <c r="M55" s="1076" t="s">
        <v>351</v>
      </c>
      <c r="N55" s="1076" t="s">
        <v>352</v>
      </c>
    </row>
    <row r="56">
      <c r="B56" s="1077" t="s">
        <v>531</v>
      </c>
      <c r="C56" s="495">
        <f t="shared" ref="C56:N56" si="1">sum(C14,C24,C34,C44)</f>
        <v>154407642</v>
      </c>
      <c r="D56" s="495">
        <f t="shared" si="1"/>
        <v>154407642</v>
      </c>
      <c r="E56" s="495">
        <f t="shared" si="1"/>
        <v>154407642</v>
      </c>
      <c r="F56" s="495">
        <f t="shared" si="1"/>
        <v>154407642</v>
      </c>
      <c r="G56" s="495">
        <f t="shared" si="1"/>
        <v>154407642</v>
      </c>
      <c r="H56" s="495">
        <f t="shared" si="1"/>
        <v>154407642</v>
      </c>
      <c r="I56" s="495">
        <f t="shared" si="1"/>
        <v>154407642</v>
      </c>
      <c r="J56" s="495">
        <f t="shared" si="1"/>
        <v>154407642</v>
      </c>
      <c r="K56" s="495">
        <f t="shared" si="1"/>
        <v>154407642</v>
      </c>
      <c r="L56" s="495">
        <f t="shared" si="1"/>
        <v>154407642</v>
      </c>
      <c r="M56" s="495">
        <f t="shared" si="1"/>
        <v>154407642</v>
      </c>
      <c r="N56" s="495">
        <f t="shared" si="1"/>
        <v>154407642</v>
      </c>
    </row>
    <row r="57">
      <c r="B57" s="1077" t="s">
        <v>532</v>
      </c>
      <c r="C57" s="495">
        <f t="shared" ref="C57:N57" si="2">sum(C15,C25,C35,C45)</f>
        <v>206349522</v>
      </c>
      <c r="D57" s="495">
        <f t="shared" si="2"/>
        <v>206349522</v>
      </c>
      <c r="E57" s="495">
        <f t="shared" si="2"/>
        <v>206349522</v>
      </c>
      <c r="F57" s="495">
        <f t="shared" si="2"/>
        <v>206349522</v>
      </c>
      <c r="G57" s="495">
        <f t="shared" si="2"/>
        <v>206349522</v>
      </c>
      <c r="H57" s="495">
        <f t="shared" si="2"/>
        <v>206349522</v>
      </c>
      <c r="I57" s="495">
        <f t="shared" si="2"/>
        <v>206349522</v>
      </c>
      <c r="J57" s="495">
        <f t="shared" si="2"/>
        <v>206349522</v>
      </c>
      <c r="K57" s="495">
        <f t="shared" si="2"/>
        <v>206349522</v>
      </c>
      <c r="L57" s="495">
        <f t="shared" si="2"/>
        <v>206349522</v>
      </c>
      <c r="M57" s="495">
        <f t="shared" si="2"/>
        <v>206349522</v>
      </c>
      <c r="N57" s="495">
        <f t="shared" si="2"/>
        <v>206349522</v>
      </c>
    </row>
    <row r="58">
      <c r="B58" s="1077" t="s">
        <v>534</v>
      </c>
      <c r="C58" s="495">
        <f t="shared" ref="C58:N58" si="3">sum(C16,C26,C36,C46)</f>
        <v>141882864</v>
      </c>
      <c r="D58" s="495">
        <f t="shared" si="3"/>
        <v>141882864</v>
      </c>
      <c r="E58" s="495">
        <f t="shared" si="3"/>
        <v>141882864</v>
      </c>
      <c r="F58" s="495">
        <f t="shared" si="3"/>
        <v>141882864</v>
      </c>
      <c r="G58" s="495">
        <f t="shared" si="3"/>
        <v>141882864</v>
      </c>
      <c r="H58" s="495">
        <f t="shared" si="3"/>
        <v>141882864</v>
      </c>
      <c r="I58" s="495">
        <f t="shared" si="3"/>
        <v>141882864</v>
      </c>
      <c r="J58" s="495">
        <f t="shared" si="3"/>
        <v>141882864</v>
      </c>
      <c r="K58" s="495">
        <f t="shared" si="3"/>
        <v>141882864</v>
      </c>
      <c r="L58" s="495">
        <f t="shared" si="3"/>
        <v>141882864</v>
      </c>
      <c r="M58" s="495">
        <f t="shared" si="3"/>
        <v>141882864</v>
      </c>
      <c r="N58" s="495">
        <f t="shared" si="3"/>
        <v>141882864</v>
      </c>
    </row>
    <row r="59">
      <c r="B59" s="1077" t="s">
        <v>535</v>
      </c>
      <c r="C59" s="495">
        <f t="shared" ref="C59:N59" si="4">sum(C17,C27,C37,C47)</f>
        <v>568606111</v>
      </c>
      <c r="D59" s="495">
        <f t="shared" si="4"/>
        <v>568606111</v>
      </c>
      <c r="E59" s="495">
        <f t="shared" si="4"/>
        <v>568606111</v>
      </c>
      <c r="F59" s="495">
        <f t="shared" si="4"/>
        <v>568606111</v>
      </c>
      <c r="G59" s="495">
        <f t="shared" si="4"/>
        <v>568606111</v>
      </c>
      <c r="H59" s="495">
        <f t="shared" si="4"/>
        <v>568606111</v>
      </c>
      <c r="I59" s="495">
        <f t="shared" si="4"/>
        <v>568606111</v>
      </c>
      <c r="J59" s="495">
        <f t="shared" si="4"/>
        <v>568606111</v>
      </c>
      <c r="K59" s="495">
        <f t="shared" si="4"/>
        <v>568606111</v>
      </c>
      <c r="L59" s="495">
        <f t="shared" si="4"/>
        <v>568606111</v>
      </c>
      <c r="M59" s="495">
        <f t="shared" si="4"/>
        <v>568606111</v>
      </c>
      <c r="N59" s="495">
        <f t="shared" si="4"/>
        <v>568606111</v>
      </c>
    </row>
    <row r="60">
      <c r="B60" s="1077" t="s">
        <v>536</v>
      </c>
      <c r="C60" s="495">
        <f t="shared" ref="C60:N60" si="5">sum(C18,C28,C38,C48)</f>
        <v>124514844</v>
      </c>
      <c r="D60" s="495">
        <f t="shared" si="5"/>
        <v>124514844</v>
      </c>
      <c r="E60" s="495">
        <f t="shared" si="5"/>
        <v>124514844</v>
      </c>
      <c r="F60" s="495">
        <f t="shared" si="5"/>
        <v>124514844</v>
      </c>
      <c r="G60" s="495">
        <f t="shared" si="5"/>
        <v>124514844</v>
      </c>
      <c r="H60" s="495">
        <f t="shared" si="5"/>
        <v>124514844</v>
      </c>
      <c r="I60" s="495">
        <f t="shared" si="5"/>
        <v>124514844</v>
      </c>
      <c r="J60" s="495">
        <f t="shared" si="5"/>
        <v>124514844</v>
      </c>
      <c r="K60" s="495">
        <f t="shared" si="5"/>
        <v>124514844</v>
      </c>
      <c r="L60" s="495">
        <f t="shared" si="5"/>
        <v>124514844</v>
      </c>
      <c r="M60" s="495">
        <f t="shared" si="5"/>
        <v>124514844</v>
      </c>
      <c r="N60" s="495">
        <f t="shared" si="5"/>
        <v>124514844</v>
      </c>
    </row>
    <row r="61">
      <c r="B61" s="1077" t="s">
        <v>537</v>
      </c>
      <c r="C61" s="495">
        <f t="shared" ref="C61:N61" si="6">sum(C19,C29,C39,C49)</f>
        <v>202578170</v>
      </c>
      <c r="D61" s="495">
        <f t="shared" si="6"/>
        <v>202578170</v>
      </c>
      <c r="E61" s="495">
        <f t="shared" si="6"/>
        <v>202578170</v>
      </c>
      <c r="F61" s="495">
        <f t="shared" si="6"/>
        <v>202578170</v>
      </c>
      <c r="G61" s="495">
        <f t="shared" si="6"/>
        <v>202578170</v>
      </c>
      <c r="H61" s="495">
        <f t="shared" si="6"/>
        <v>202578170</v>
      </c>
      <c r="I61" s="495">
        <f t="shared" si="6"/>
        <v>202578170</v>
      </c>
      <c r="J61" s="495">
        <f t="shared" si="6"/>
        <v>202578170</v>
      </c>
      <c r="K61" s="495">
        <f t="shared" si="6"/>
        <v>202578170</v>
      </c>
      <c r="L61" s="495">
        <f t="shared" si="6"/>
        <v>202578170</v>
      </c>
      <c r="M61" s="495">
        <f t="shared" si="6"/>
        <v>202578170</v>
      </c>
      <c r="N61" s="495">
        <f t="shared" si="6"/>
        <v>202578170</v>
      </c>
    </row>
    <row r="62">
      <c r="B62" s="1077" t="s">
        <v>538</v>
      </c>
      <c r="C62" s="495">
        <f t="shared" ref="C62:N62" si="7">sum(C20,C30,C40,C50)</f>
        <v>141191165</v>
      </c>
      <c r="D62" s="495">
        <f t="shared" si="7"/>
        <v>141191165</v>
      </c>
      <c r="E62" s="495">
        <f t="shared" si="7"/>
        <v>141191165</v>
      </c>
      <c r="F62" s="495">
        <f t="shared" si="7"/>
        <v>141191165</v>
      </c>
      <c r="G62" s="495">
        <f t="shared" si="7"/>
        <v>141191165</v>
      </c>
      <c r="H62" s="495">
        <f t="shared" si="7"/>
        <v>141191165</v>
      </c>
      <c r="I62" s="495">
        <f t="shared" si="7"/>
        <v>141191165</v>
      </c>
      <c r="J62" s="495">
        <f t="shared" si="7"/>
        <v>141191165</v>
      </c>
      <c r="K62" s="495">
        <f t="shared" si="7"/>
        <v>141191165</v>
      </c>
      <c r="L62" s="495">
        <f t="shared" si="7"/>
        <v>141191165</v>
      </c>
      <c r="M62" s="495">
        <f t="shared" si="7"/>
        <v>141191165</v>
      </c>
      <c r="N62" s="495">
        <f t="shared" si="7"/>
        <v>141191165</v>
      </c>
    </row>
    <row r="63">
      <c r="A63" s="1113"/>
      <c r="B63" s="1083" t="s">
        <v>530</v>
      </c>
      <c r="C63" s="1114">
        <f t="shared" ref="C63:N63" si="8">sum(C21,C31,C41,C51)</f>
        <v>1539530318</v>
      </c>
      <c r="D63" s="1114">
        <f t="shared" si="8"/>
        <v>1539530318</v>
      </c>
      <c r="E63" s="1114">
        <f t="shared" si="8"/>
        <v>1539530318</v>
      </c>
      <c r="F63" s="1114">
        <f t="shared" si="8"/>
        <v>1539530318</v>
      </c>
      <c r="G63" s="1114">
        <f t="shared" si="8"/>
        <v>1539530318</v>
      </c>
      <c r="H63" s="1114">
        <f t="shared" si="8"/>
        <v>1539530318</v>
      </c>
      <c r="I63" s="1114">
        <f t="shared" si="8"/>
        <v>1539530318</v>
      </c>
      <c r="J63" s="1114">
        <f t="shared" si="8"/>
        <v>1539530318</v>
      </c>
      <c r="K63" s="1114">
        <f t="shared" si="8"/>
        <v>1539530318</v>
      </c>
      <c r="L63" s="1114">
        <f t="shared" si="8"/>
        <v>1539530318</v>
      </c>
      <c r="M63" s="1114">
        <f t="shared" si="8"/>
        <v>1539530318</v>
      </c>
      <c r="N63" s="1114">
        <f t="shared" si="8"/>
        <v>1539530318</v>
      </c>
      <c r="O63" s="1113"/>
      <c r="P63" s="1113"/>
      <c r="Q63" s="1113"/>
      <c r="R63" s="1113"/>
      <c r="S63" s="1113"/>
      <c r="T63" s="1113"/>
      <c r="U63" s="1113"/>
      <c r="V63" s="1113"/>
      <c r="W63" s="1113"/>
      <c r="X63" s="1113"/>
      <c r="Y63" s="1113"/>
      <c r="Z63" s="1113"/>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6.13"/>
  </cols>
  <sheetData>
    <row r="1">
      <c r="G1" s="205" t="s">
        <v>581</v>
      </c>
    </row>
    <row r="2">
      <c r="G2" s="205" t="s">
        <v>522</v>
      </c>
    </row>
    <row r="3">
      <c r="G3" s="205" t="s">
        <v>343</v>
      </c>
      <c r="H3" s="776" t="s">
        <v>582</v>
      </c>
    </row>
    <row r="10">
      <c r="A10" s="626"/>
      <c r="B10" s="627" t="s">
        <v>412</v>
      </c>
      <c r="C10" s="628" t="s">
        <v>330</v>
      </c>
      <c r="D10" s="629"/>
      <c r="E10" s="630"/>
      <c r="F10" s="628" t="s">
        <v>331</v>
      </c>
      <c r="G10" s="629"/>
      <c r="H10" s="630"/>
      <c r="I10" s="628" t="s">
        <v>332</v>
      </c>
      <c r="J10" s="629"/>
      <c r="K10" s="630"/>
      <c r="L10" s="628" t="s">
        <v>333</v>
      </c>
      <c r="M10" s="629"/>
      <c r="N10" s="630"/>
      <c r="O10" s="628" t="s">
        <v>334</v>
      </c>
      <c r="P10" s="629"/>
      <c r="Q10" s="630"/>
      <c r="R10" s="628" t="s">
        <v>335</v>
      </c>
      <c r="S10" s="629"/>
      <c r="T10" s="630"/>
      <c r="U10" s="628" t="s">
        <v>336</v>
      </c>
      <c r="V10" s="629"/>
      <c r="W10" s="630"/>
      <c r="X10" s="628" t="s">
        <v>348</v>
      </c>
      <c r="Y10" s="629"/>
      <c r="Z10" s="630"/>
      <c r="AA10" s="628" t="s">
        <v>349</v>
      </c>
      <c r="AB10" s="629"/>
      <c r="AC10" s="630"/>
      <c r="AD10" s="628" t="s">
        <v>350</v>
      </c>
      <c r="AE10" s="629"/>
      <c r="AF10" s="630"/>
      <c r="AG10" s="628" t="s">
        <v>351</v>
      </c>
      <c r="AH10" s="629"/>
      <c r="AI10" s="630"/>
      <c r="AJ10" s="628" t="s">
        <v>352</v>
      </c>
      <c r="AK10" s="629"/>
      <c r="AL10" s="630"/>
      <c r="AM10" s="635"/>
      <c r="AN10" s="635"/>
      <c r="AO10" s="635"/>
      <c r="AP10" s="635"/>
      <c r="AQ10" s="635"/>
      <c r="AR10" s="635"/>
      <c r="AS10" s="635"/>
      <c r="AT10" s="635"/>
      <c r="AU10" s="635"/>
      <c r="AV10" s="635"/>
      <c r="AW10" s="635"/>
      <c r="AX10" s="635"/>
      <c r="AY10" s="635"/>
      <c r="AZ10" s="635"/>
      <c r="BA10" s="635"/>
      <c r="BB10" s="635"/>
      <c r="BC10" s="635"/>
      <c r="BD10" s="635"/>
      <c r="BE10" s="635"/>
      <c r="BF10" s="635"/>
      <c r="BG10" s="635"/>
      <c r="BH10" s="635"/>
      <c r="BI10" s="635"/>
      <c r="BJ10" s="635"/>
      <c r="BK10" s="635"/>
      <c r="BL10" s="635"/>
      <c r="BM10" s="635"/>
      <c r="BN10" s="635"/>
      <c r="BO10" s="635"/>
      <c r="BP10" s="635"/>
      <c r="BQ10" s="635"/>
      <c r="BR10" s="635"/>
      <c r="BS10" s="635"/>
      <c r="BT10" s="635"/>
      <c r="BU10" s="635"/>
      <c r="BV10" s="635"/>
      <c r="BW10" s="635"/>
      <c r="BX10" s="635"/>
      <c r="BY10" s="635"/>
      <c r="BZ10" s="635"/>
      <c r="CA10" s="635"/>
      <c r="CB10" s="635"/>
      <c r="CC10" s="635"/>
      <c r="CD10" s="635"/>
      <c r="CE10" s="635"/>
      <c r="CF10" s="635"/>
      <c r="CG10" s="635"/>
      <c r="CH10" s="635"/>
      <c r="CI10" s="635"/>
      <c r="CJ10" s="635"/>
      <c r="CK10" s="635"/>
      <c r="CL10" s="635"/>
      <c r="CM10" s="635"/>
      <c r="CN10" s="635"/>
      <c r="CO10" s="635"/>
      <c r="CP10" s="635"/>
      <c r="CQ10" s="635"/>
      <c r="CR10" s="635"/>
      <c r="CS10" s="635"/>
      <c r="CT10" s="635"/>
      <c r="CU10" s="635"/>
      <c r="CV10" s="635"/>
      <c r="CW10" s="635"/>
      <c r="CX10" s="635"/>
      <c r="CY10" s="635"/>
      <c r="CZ10" s="635"/>
      <c r="DA10" s="635"/>
      <c r="DB10" s="635"/>
      <c r="DC10" s="635"/>
      <c r="DD10" s="635"/>
      <c r="DE10" s="635"/>
      <c r="DF10" s="635"/>
      <c r="DG10" s="635"/>
      <c r="DH10" s="635"/>
      <c r="DI10" s="635"/>
      <c r="DJ10" s="635"/>
      <c r="DK10" s="635"/>
      <c r="DL10" s="635"/>
      <c r="DM10" s="635"/>
      <c r="DN10" s="635"/>
      <c r="DO10" s="635"/>
      <c r="DP10" s="635"/>
      <c r="DQ10" s="635"/>
      <c r="DR10" s="635"/>
      <c r="DS10" s="635"/>
      <c r="DT10" s="635"/>
      <c r="DU10" s="635"/>
      <c r="DV10" s="635"/>
      <c r="DW10" s="635"/>
      <c r="DX10" s="635"/>
      <c r="DY10" s="635"/>
      <c r="DZ10" s="635"/>
      <c r="EA10" s="635"/>
      <c r="EB10" s="635"/>
      <c r="EC10" s="635"/>
      <c r="ED10" s="635"/>
      <c r="EE10" s="635"/>
      <c r="EF10" s="635"/>
      <c r="EG10" s="635"/>
      <c r="EH10" s="635"/>
      <c r="EI10" s="635"/>
      <c r="EJ10" s="635"/>
      <c r="EK10" s="635"/>
      <c r="EL10" s="635"/>
      <c r="EM10" s="635"/>
      <c r="EN10" s="635"/>
      <c r="EO10" s="635"/>
      <c r="EP10" s="635"/>
      <c r="EQ10" s="635"/>
      <c r="ER10" s="635"/>
      <c r="ES10" s="635"/>
      <c r="ET10" s="635"/>
      <c r="EU10" s="635"/>
      <c r="EV10" s="635"/>
      <c r="EW10" s="635"/>
      <c r="EX10" s="635"/>
      <c r="EY10" s="635"/>
      <c r="EZ10" s="635"/>
      <c r="FA10" s="635"/>
      <c r="FB10" s="635"/>
      <c r="FC10" s="635"/>
      <c r="FD10" s="635"/>
      <c r="FE10" s="635"/>
      <c r="FF10" s="635"/>
      <c r="FG10" s="635"/>
      <c r="FH10" s="635"/>
      <c r="FI10" s="635"/>
      <c r="FJ10" s="635"/>
      <c r="FK10" s="635"/>
      <c r="FL10" s="635"/>
      <c r="FM10" s="635"/>
      <c r="FN10" s="635"/>
      <c r="FO10" s="635"/>
      <c r="FP10" s="635"/>
      <c r="FQ10" s="635"/>
      <c r="FR10" s="635"/>
      <c r="FS10" s="635"/>
      <c r="FT10" s="635"/>
      <c r="FU10" s="635"/>
      <c r="FV10" s="635"/>
      <c r="FW10" s="635"/>
      <c r="FX10" s="635"/>
      <c r="FY10" s="635"/>
      <c r="FZ10" s="635"/>
      <c r="GA10" s="635"/>
      <c r="GB10" s="635"/>
      <c r="GC10" s="635"/>
      <c r="GD10" s="635"/>
      <c r="GE10" s="635"/>
      <c r="GF10" s="635"/>
      <c r="GG10" s="635"/>
      <c r="GH10" s="635"/>
      <c r="GI10" s="635"/>
      <c r="GJ10" s="635"/>
      <c r="GK10" s="635"/>
      <c r="GL10" s="635"/>
      <c r="GM10" s="635"/>
      <c r="GN10" s="635"/>
      <c r="GO10" s="635"/>
      <c r="GP10" s="635"/>
      <c r="GQ10" s="635"/>
      <c r="GR10" s="635"/>
      <c r="GS10" s="635"/>
      <c r="GT10" s="635"/>
      <c r="GU10" s="635"/>
      <c r="GV10" s="635"/>
      <c r="GW10" s="635"/>
      <c r="GX10" s="635"/>
      <c r="GY10" s="635"/>
      <c r="GZ10" s="635"/>
      <c r="HA10" s="635"/>
      <c r="HB10" s="635"/>
      <c r="HC10" s="635"/>
      <c r="HD10" s="635"/>
      <c r="HE10" s="635"/>
      <c r="HF10" s="635"/>
      <c r="HG10" s="635"/>
      <c r="HH10" s="635"/>
      <c r="HI10" s="635"/>
      <c r="HJ10" s="635"/>
      <c r="HK10" s="635"/>
      <c r="HL10" s="635"/>
      <c r="HM10" s="635"/>
      <c r="HN10" s="635"/>
      <c r="HO10" s="635"/>
      <c r="HP10" s="635"/>
      <c r="HQ10" s="635"/>
      <c r="HR10" s="635"/>
      <c r="HS10" s="635"/>
      <c r="HT10" s="635"/>
      <c r="HU10" s="635"/>
      <c r="HV10" s="635"/>
      <c r="HW10" s="635"/>
      <c r="HX10" s="635"/>
      <c r="HY10" s="635"/>
      <c r="HZ10" s="635"/>
      <c r="IA10" s="635"/>
      <c r="IB10" s="635"/>
      <c r="IC10" s="635"/>
      <c r="ID10" s="635"/>
      <c r="IE10" s="635"/>
      <c r="IF10" s="635"/>
      <c r="IG10" s="635"/>
      <c r="IH10" s="635"/>
      <c r="II10" s="635"/>
      <c r="IJ10" s="635"/>
      <c r="IK10" s="635"/>
      <c r="IL10" s="635"/>
      <c r="IM10" s="635"/>
      <c r="IN10" s="635"/>
      <c r="IO10" s="635"/>
      <c r="IP10" s="635"/>
      <c r="IQ10" s="635"/>
      <c r="IR10" s="635"/>
      <c r="IS10" s="635"/>
      <c r="IT10" s="635"/>
      <c r="IU10" s="635"/>
      <c r="IV10" s="635"/>
      <c r="IW10" s="635"/>
      <c r="IX10" s="635"/>
      <c r="IY10" s="635"/>
      <c r="IZ10" s="635"/>
      <c r="JA10" s="635"/>
      <c r="JB10" s="635"/>
      <c r="JC10" s="635"/>
      <c r="JD10" s="635"/>
      <c r="JE10" s="635"/>
      <c r="JF10" s="635"/>
      <c r="JG10" s="635"/>
      <c r="JH10" s="635"/>
      <c r="JI10" s="635"/>
      <c r="JJ10" s="635"/>
      <c r="JK10" s="635"/>
      <c r="JL10" s="635"/>
      <c r="JM10" s="635"/>
      <c r="JN10" s="635"/>
      <c r="JO10" s="635"/>
      <c r="JP10" s="635"/>
      <c r="JQ10" s="635"/>
      <c r="JR10" s="635"/>
      <c r="JS10" s="635"/>
      <c r="JT10" s="635"/>
      <c r="JU10" s="635"/>
      <c r="JV10" s="635"/>
      <c r="JW10" s="635"/>
      <c r="JX10" s="635"/>
      <c r="JY10" s="635"/>
      <c r="JZ10" s="635"/>
      <c r="KA10" s="635"/>
      <c r="KB10" s="635"/>
      <c r="KC10" s="635"/>
      <c r="KD10" s="635"/>
      <c r="KE10" s="635"/>
      <c r="KF10" s="635"/>
      <c r="KG10" s="635"/>
      <c r="KH10" s="635"/>
      <c r="KI10" s="635"/>
      <c r="KJ10" s="635"/>
      <c r="KK10" s="635"/>
      <c r="KL10" s="635"/>
      <c r="KM10" s="635"/>
      <c r="KN10" s="635"/>
      <c r="KO10" s="635"/>
      <c r="KP10" s="635"/>
      <c r="KQ10" s="635"/>
      <c r="KR10" s="635"/>
      <c r="KS10" s="635"/>
      <c r="KT10" s="635"/>
      <c r="KU10" s="635"/>
      <c r="KV10" s="635"/>
      <c r="KW10" s="635"/>
      <c r="KX10" s="635"/>
      <c r="KY10" s="635"/>
      <c r="KZ10" s="635"/>
      <c r="LA10" s="635"/>
      <c r="LB10" s="635"/>
      <c r="LC10" s="635"/>
      <c r="LD10" s="635"/>
      <c r="LE10" s="635"/>
      <c r="LF10" s="635"/>
      <c r="LG10" s="635"/>
      <c r="LH10" s="635"/>
      <c r="LI10" s="635"/>
      <c r="LJ10" s="635"/>
      <c r="LK10" s="635"/>
      <c r="LL10" s="635"/>
      <c r="LM10" s="635"/>
      <c r="LN10" s="635"/>
      <c r="LO10" s="635"/>
      <c r="LP10" s="635"/>
      <c r="LQ10" s="635"/>
      <c r="LR10" s="635"/>
      <c r="LS10" s="635"/>
      <c r="LT10" s="635"/>
      <c r="LU10" s="635"/>
      <c r="LV10" s="635"/>
      <c r="LW10" s="635"/>
      <c r="LX10" s="635"/>
      <c r="LY10" s="635"/>
      <c r="LZ10" s="635"/>
      <c r="MA10" s="635"/>
      <c r="MB10" s="635"/>
      <c r="MC10" s="635"/>
      <c r="MD10" s="635"/>
      <c r="ME10" s="635"/>
      <c r="MF10" s="635"/>
      <c r="MG10" s="635"/>
      <c r="MH10" s="635"/>
      <c r="MI10" s="635"/>
      <c r="MJ10" s="635"/>
      <c r="MK10" s="635"/>
      <c r="ML10" s="635"/>
      <c r="MM10" s="635"/>
      <c r="MN10" s="635"/>
      <c r="MO10" s="635"/>
      <c r="MP10" s="635"/>
      <c r="MQ10" s="635"/>
      <c r="MR10" s="635"/>
      <c r="MS10" s="635"/>
      <c r="MT10" s="635"/>
      <c r="MU10" s="635"/>
      <c r="MV10" s="635"/>
      <c r="MW10" s="635"/>
      <c r="MX10" s="635"/>
      <c r="MY10" s="635"/>
      <c r="MZ10" s="635"/>
      <c r="NA10" s="635"/>
      <c r="NB10" s="635"/>
      <c r="NC10" s="635"/>
      <c r="ND10" s="635"/>
      <c r="NE10" s="635"/>
      <c r="NF10" s="635"/>
      <c r="NG10" s="635"/>
      <c r="NH10" s="635"/>
      <c r="NI10" s="635"/>
      <c r="NJ10" s="635"/>
      <c r="NK10" s="635"/>
      <c r="NL10" s="635"/>
      <c r="NM10" s="635"/>
      <c r="NN10" s="635"/>
      <c r="NO10" s="635"/>
      <c r="NP10" s="635"/>
      <c r="NQ10" s="635"/>
      <c r="NR10" s="635"/>
      <c r="NS10" s="635"/>
      <c r="NT10" s="635"/>
      <c r="NU10" s="635"/>
      <c r="NV10" s="635"/>
      <c r="NW10" s="635"/>
      <c r="NX10" s="635"/>
      <c r="NY10" s="635"/>
      <c r="NZ10" s="635"/>
      <c r="OA10" s="635"/>
      <c r="OB10" s="635"/>
      <c r="OC10" s="635"/>
      <c r="OD10" s="635"/>
      <c r="OE10" s="635"/>
      <c r="OF10" s="635"/>
      <c r="OG10" s="635"/>
      <c r="OH10" s="635"/>
      <c r="OI10" s="635"/>
      <c r="OJ10" s="635"/>
      <c r="OK10" s="635"/>
      <c r="OL10" s="635"/>
      <c r="OM10" s="635"/>
      <c r="ON10" s="635"/>
      <c r="OO10" s="635"/>
      <c r="OP10" s="635"/>
      <c r="OQ10" s="635"/>
      <c r="OR10" s="635"/>
      <c r="OS10" s="635"/>
      <c r="OT10" s="635"/>
      <c r="OU10" s="635"/>
    </row>
    <row r="11">
      <c r="A11" s="642" t="s">
        <v>28</v>
      </c>
      <c r="B11" s="643" t="s">
        <v>586</v>
      </c>
      <c r="C11" s="644" t="s">
        <v>587</v>
      </c>
      <c r="D11" s="645" t="s">
        <v>338</v>
      </c>
      <c r="E11" s="1116" t="s">
        <v>430</v>
      </c>
      <c r="F11" s="644" t="s">
        <v>587</v>
      </c>
      <c r="G11" s="645" t="s">
        <v>338</v>
      </c>
      <c r="H11" s="1116" t="s">
        <v>430</v>
      </c>
      <c r="I11" s="644" t="s">
        <v>587</v>
      </c>
      <c r="J11" s="645" t="s">
        <v>338</v>
      </c>
      <c r="K11" s="1116" t="s">
        <v>430</v>
      </c>
      <c r="L11" s="644" t="s">
        <v>587</v>
      </c>
      <c r="M11" s="645" t="s">
        <v>338</v>
      </c>
      <c r="N11" s="1116" t="s">
        <v>430</v>
      </c>
      <c r="O11" s="644" t="s">
        <v>587</v>
      </c>
      <c r="P11" s="645" t="s">
        <v>338</v>
      </c>
      <c r="Q11" s="1116" t="s">
        <v>430</v>
      </c>
      <c r="R11" s="644" t="s">
        <v>587</v>
      </c>
      <c r="S11" s="645" t="s">
        <v>338</v>
      </c>
      <c r="T11" s="1116" t="s">
        <v>430</v>
      </c>
      <c r="U11" s="644" t="s">
        <v>587</v>
      </c>
      <c r="V11" s="645" t="s">
        <v>338</v>
      </c>
      <c r="W11" s="1116" t="s">
        <v>430</v>
      </c>
      <c r="X11" s="644" t="s">
        <v>587</v>
      </c>
      <c r="Y11" s="645" t="s">
        <v>338</v>
      </c>
      <c r="Z11" s="1116" t="s">
        <v>430</v>
      </c>
      <c r="AA11" s="644" t="s">
        <v>587</v>
      </c>
      <c r="AB11" s="645" t="s">
        <v>338</v>
      </c>
      <c r="AC11" s="1116" t="s">
        <v>430</v>
      </c>
      <c r="AD11" s="644" t="s">
        <v>587</v>
      </c>
      <c r="AE11" s="645" t="s">
        <v>338</v>
      </c>
      <c r="AF11" s="1116" t="s">
        <v>430</v>
      </c>
      <c r="AG11" s="644" t="s">
        <v>587</v>
      </c>
      <c r="AH11" s="645" t="s">
        <v>338</v>
      </c>
      <c r="AI11" s="1116" t="s">
        <v>430</v>
      </c>
      <c r="AJ11" s="644" t="s">
        <v>587</v>
      </c>
      <c r="AK11" s="645" t="s">
        <v>338</v>
      </c>
      <c r="AL11" s="1116" t="s">
        <v>430</v>
      </c>
      <c r="AM11" s="356"/>
      <c r="AN11" s="356"/>
      <c r="AO11" s="356"/>
      <c r="AP11" s="356"/>
      <c r="AQ11" s="356"/>
      <c r="AR11" s="356"/>
      <c r="AS11" s="356"/>
      <c r="AT11" s="356"/>
      <c r="AU11" s="356"/>
      <c r="AV11" s="356"/>
      <c r="AW11" s="356"/>
      <c r="AX11" s="356"/>
      <c r="AY11" s="356"/>
      <c r="AZ11" s="356"/>
      <c r="BA11" s="356"/>
      <c r="BB11" s="356"/>
      <c r="BC11" s="356"/>
      <c r="BD11" s="356"/>
      <c r="BE11" s="356"/>
      <c r="BF11" s="356"/>
      <c r="BG11" s="356"/>
      <c r="BH11" s="356"/>
      <c r="BI11" s="356"/>
      <c r="BJ11" s="356"/>
      <c r="BK11" s="356"/>
      <c r="BL11" s="356"/>
      <c r="BM11" s="356"/>
      <c r="BN11" s="356"/>
      <c r="BO11" s="356"/>
      <c r="BP11" s="356"/>
      <c r="BQ11" s="356"/>
      <c r="BR11" s="356"/>
      <c r="BS11" s="356"/>
      <c r="BT11" s="356"/>
      <c r="BU11" s="356"/>
      <c r="BV11" s="356"/>
      <c r="BW11" s="356"/>
      <c r="BX11" s="356"/>
      <c r="BY11" s="356"/>
      <c r="BZ11" s="356"/>
      <c r="CA11" s="356"/>
      <c r="CB11" s="356"/>
      <c r="CC11" s="356"/>
      <c r="CD11" s="356"/>
      <c r="CE11" s="356"/>
      <c r="CF11" s="356"/>
      <c r="CG11" s="356"/>
      <c r="CH11" s="356"/>
      <c r="CI11" s="356"/>
      <c r="CJ11" s="356"/>
      <c r="CK11" s="356"/>
      <c r="CL11" s="356"/>
      <c r="CM11" s="356"/>
      <c r="CN11" s="356"/>
      <c r="CO11" s="356"/>
      <c r="CP11" s="356"/>
      <c r="CQ11" s="356"/>
      <c r="CR11" s="356"/>
      <c r="CS11" s="356"/>
      <c r="CT11" s="356"/>
      <c r="CU11" s="356"/>
      <c r="CV11" s="356"/>
      <c r="CW11" s="356"/>
      <c r="CX11" s="356"/>
      <c r="CY11" s="356"/>
      <c r="CZ11" s="356"/>
      <c r="DA11" s="356"/>
      <c r="DB11" s="356"/>
      <c r="DC11" s="356"/>
      <c r="DD11" s="356"/>
      <c r="DE11" s="356"/>
      <c r="DF11" s="356"/>
      <c r="DG11" s="356"/>
      <c r="DH11" s="356"/>
      <c r="DI11" s="356"/>
      <c r="DJ11" s="356"/>
      <c r="DK11" s="356"/>
      <c r="DL11" s="356"/>
      <c r="DM11" s="356"/>
      <c r="DN11" s="356"/>
      <c r="DO11" s="356"/>
      <c r="DP11" s="356"/>
      <c r="DQ11" s="356"/>
      <c r="DR11" s="356"/>
      <c r="DS11" s="356"/>
      <c r="DT11" s="356"/>
      <c r="DU11" s="356"/>
      <c r="DV11" s="356"/>
      <c r="DW11" s="356"/>
      <c r="DX11" s="356"/>
      <c r="DY11" s="356"/>
      <c r="DZ11" s="356"/>
      <c r="EA11" s="356"/>
      <c r="EB11" s="356"/>
      <c r="EC11" s="356"/>
      <c r="ED11" s="356"/>
      <c r="EE11" s="356"/>
      <c r="EF11" s="356"/>
      <c r="EG11" s="356"/>
      <c r="EH11" s="356"/>
      <c r="EI11" s="356"/>
      <c r="EJ11" s="356"/>
      <c r="EK11" s="356"/>
      <c r="EL11" s="356"/>
      <c r="EM11" s="356"/>
      <c r="EN11" s="356"/>
      <c r="EO11" s="356"/>
      <c r="EP11" s="356"/>
      <c r="EQ11" s="356"/>
      <c r="ER11" s="356"/>
      <c r="ES11" s="356"/>
      <c r="ET11" s="356"/>
      <c r="EU11" s="356"/>
      <c r="EV11" s="356"/>
      <c r="EW11" s="356"/>
      <c r="EX11" s="356"/>
      <c r="EY11" s="356"/>
      <c r="EZ11" s="356"/>
      <c r="FA11" s="356"/>
      <c r="FB11" s="356"/>
      <c r="FC11" s="356"/>
      <c r="FD11" s="356"/>
      <c r="FE11" s="356"/>
      <c r="FF11" s="356"/>
      <c r="FG11" s="356"/>
      <c r="FH11" s="356"/>
      <c r="FI11" s="356"/>
      <c r="FJ11" s="356"/>
      <c r="FK11" s="356"/>
      <c r="FL11" s="356"/>
      <c r="FM11" s="356"/>
      <c r="FN11" s="356"/>
      <c r="FO11" s="356"/>
      <c r="FP11" s="356"/>
      <c r="FQ11" s="356"/>
      <c r="FR11" s="356"/>
      <c r="FS11" s="356"/>
      <c r="FT11" s="356"/>
      <c r="FU11" s="356"/>
      <c r="FV11" s="356"/>
      <c r="FW11" s="356"/>
      <c r="FX11" s="356"/>
      <c r="FY11" s="356"/>
      <c r="FZ11" s="356"/>
      <c r="GA11" s="356"/>
      <c r="GB11" s="356"/>
      <c r="GC11" s="356"/>
      <c r="GD11" s="356"/>
      <c r="GE11" s="356"/>
      <c r="GF11" s="356"/>
      <c r="GG11" s="356"/>
      <c r="GH11" s="356"/>
      <c r="GI11" s="356"/>
      <c r="GJ11" s="356"/>
      <c r="GK11" s="356"/>
      <c r="GL11" s="356"/>
      <c r="GM11" s="356"/>
      <c r="GN11" s="356"/>
      <c r="GO11" s="356"/>
      <c r="GP11" s="356"/>
      <c r="GQ11" s="356"/>
      <c r="GR11" s="356"/>
      <c r="GS11" s="356"/>
      <c r="GT11" s="356"/>
      <c r="GU11" s="356"/>
      <c r="GV11" s="356"/>
      <c r="GW11" s="356"/>
      <c r="GX11" s="356"/>
      <c r="GY11" s="356"/>
      <c r="GZ11" s="356"/>
      <c r="HA11" s="356"/>
      <c r="HB11" s="356"/>
      <c r="HC11" s="356"/>
      <c r="HD11" s="356"/>
      <c r="HE11" s="356"/>
      <c r="HF11" s="356"/>
      <c r="HG11" s="356"/>
      <c r="HH11" s="356"/>
      <c r="HI11" s="356"/>
      <c r="HJ11" s="356"/>
      <c r="HK11" s="356"/>
      <c r="HL11" s="356"/>
      <c r="HM11" s="356"/>
      <c r="HN11" s="356"/>
      <c r="HO11" s="356"/>
      <c r="HP11" s="356"/>
      <c r="HQ11" s="356"/>
      <c r="HR11" s="356"/>
      <c r="HS11" s="356"/>
      <c r="HT11" s="356"/>
      <c r="HU11" s="356"/>
      <c r="HV11" s="356"/>
      <c r="HW11" s="356"/>
      <c r="HX11" s="356"/>
      <c r="HY11" s="356"/>
      <c r="HZ11" s="356"/>
      <c r="IA11" s="356"/>
      <c r="IB11" s="356"/>
      <c r="IC11" s="356"/>
      <c r="ID11" s="356"/>
      <c r="IE11" s="356"/>
      <c r="IF11" s="356"/>
      <c r="IG11" s="356"/>
      <c r="IH11" s="356"/>
      <c r="II11" s="356"/>
      <c r="IJ11" s="356"/>
      <c r="IK11" s="356"/>
      <c r="IL11" s="356"/>
      <c r="IM11" s="356"/>
      <c r="IN11" s="356"/>
      <c r="IO11" s="356"/>
      <c r="IP11" s="356"/>
      <c r="IQ11" s="356"/>
      <c r="IR11" s="356"/>
      <c r="IS11" s="356"/>
      <c r="IT11" s="356"/>
      <c r="IU11" s="356"/>
      <c r="IV11" s="356"/>
      <c r="IW11" s="356"/>
      <c r="IX11" s="356"/>
      <c r="IY11" s="356"/>
      <c r="IZ11" s="356"/>
      <c r="JA11" s="356"/>
      <c r="JB11" s="356"/>
      <c r="JC11" s="356"/>
      <c r="JD11" s="356"/>
      <c r="JE11" s="356"/>
      <c r="JF11" s="356"/>
      <c r="JG11" s="356"/>
      <c r="JH11" s="356"/>
      <c r="JI11" s="356"/>
      <c r="JJ11" s="356"/>
      <c r="JK11" s="356"/>
      <c r="JL11" s="356"/>
      <c r="JM11" s="356"/>
      <c r="JN11" s="356"/>
      <c r="JO11" s="356"/>
      <c r="JP11" s="356"/>
      <c r="JQ11" s="356"/>
      <c r="JR11" s="356"/>
      <c r="JS11" s="356"/>
      <c r="JT11" s="356"/>
      <c r="JU11" s="356"/>
      <c r="JV11" s="356"/>
      <c r="JW11" s="356"/>
      <c r="JX11" s="356"/>
      <c r="JY11" s="356"/>
      <c r="JZ11" s="356"/>
      <c r="KA11" s="356"/>
      <c r="KB11" s="356"/>
      <c r="KC11" s="356"/>
      <c r="KD11" s="356"/>
      <c r="KE11" s="356"/>
      <c r="KF11" s="356"/>
      <c r="KG11" s="356"/>
      <c r="KH11" s="356"/>
      <c r="KI11" s="356"/>
      <c r="KJ11" s="356"/>
      <c r="KK11" s="356"/>
      <c r="KL11" s="356"/>
      <c r="KM11" s="356"/>
      <c r="KN11" s="356"/>
      <c r="KO11" s="356"/>
      <c r="KP11" s="356"/>
      <c r="KQ11" s="356"/>
      <c r="KR11" s="356"/>
      <c r="KS11" s="356"/>
      <c r="KT11" s="356"/>
      <c r="KU11" s="356"/>
      <c r="KV11" s="356"/>
      <c r="KW11" s="356"/>
      <c r="KX11" s="356"/>
      <c r="KY11" s="356"/>
      <c r="KZ11" s="356"/>
      <c r="LA11" s="356"/>
      <c r="LB11" s="356"/>
      <c r="LC11" s="356"/>
      <c r="LD11" s="356"/>
      <c r="LE11" s="356"/>
      <c r="LF11" s="356"/>
      <c r="LG11" s="356"/>
      <c r="LH11" s="356"/>
      <c r="LI11" s="356"/>
      <c r="LJ11" s="356"/>
      <c r="LK11" s="356"/>
      <c r="LL11" s="356"/>
      <c r="LM11" s="356"/>
      <c r="LN11" s="356"/>
      <c r="LO11" s="356"/>
      <c r="LP11" s="356"/>
      <c r="LQ11" s="356"/>
      <c r="LR11" s="356"/>
      <c r="LS11" s="356"/>
      <c r="LT11" s="356"/>
      <c r="LU11" s="356"/>
      <c r="LV11" s="356"/>
      <c r="LW11" s="356"/>
      <c r="LX11" s="356"/>
      <c r="LY11" s="356"/>
      <c r="LZ11" s="356"/>
      <c r="MA11" s="356"/>
      <c r="MB11" s="356"/>
      <c r="MC11" s="356"/>
      <c r="MD11" s="356"/>
      <c r="ME11" s="356"/>
      <c r="MF11" s="356"/>
      <c r="MG11" s="356"/>
      <c r="MH11" s="356"/>
      <c r="MI11" s="356"/>
      <c r="MJ11" s="356"/>
      <c r="MK11" s="356"/>
      <c r="ML11" s="356"/>
      <c r="MM11" s="356"/>
      <c r="MN11" s="356"/>
      <c r="MO11" s="356"/>
      <c r="MP11" s="356"/>
      <c r="MQ11" s="356"/>
      <c r="MR11" s="356"/>
      <c r="MS11" s="356"/>
      <c r="MT11" s="356"/>
      <c r="MU11" s="356"/>
      <c r="MV11" s="356"/>
      <c r="MW11" s="356"/>
      <c r="MX11" s="356"/>
      <c r="MY11" s="356"/>
      <c r="MZ11" s="356"/>
      <c r="NA11" s="356"/>
      <c r="NB11" s="356"/>
      <c r="NC11" s="356"/>
      <c r="ND11" s="356"/>
      <c r="NE11" s="356"/>
      <c r="NF11" s="356"/>
      <c r="NG11" s="356"/>
      <c r="NH11" s="356"/>
      <c r="NI11" s="356"/>
      <c r="NJ11" s="356"/>
      <c r="NK11" s="356"/>
      <c r="NL11" s="356"/>
      <c r="NM11" s="356"/>
      <c r="NN11" s="356"/>
      <c r="NO11" s="356"/>
      <c r="NP11" s="356"/>
      <c r="NQ11" s="356"/>
      <c r="NR11" s="356"/>
      <c r="NS11" s="356"/>
      <c r="NT11" s="356"/>
      <c r="NU11" s="356"/>
      <c r="NV11" s="356"/>
      <c r="NW11" s="356"/>
      <c r="NX11" s="356"/>
      <c r="NY11" s="356"/>
      <c r="NZ11" s="356"/>
      <c r="OA11" s="356"/>
      <c r="OB11" s="356"/>
      <c r="OC11" s="356"/>
      <c r="OD11" s="356"/>
      <c r="OE11" s="356"/>
      <c r="OF11" s="356"/>
      <c r="OG11" s="356"/>
      <c r="OH11" s="356"/>
      <c r="OI11" s="356"/>
      <c r="OJ11" s="356"/>
      <c r="OK11" s="356"/>
      <c r="OL11" s="356"/>
      <c r="OM11" s="356"/>
      <c r="ON11" s="356"/>
      <c r="OO11" s="356"/>
      <c r="OP11" s="356"/>
      <c r="OQ11" s="356"/>
      <c r="OR11" s="356"/>
      <c r="OS11" s="356"/>
      <c r="OT11" s="356"/>
      <c r="OU11" s="356"/>
    </row>
    <row r="12">
      <c r="A12" s="686">
        <v>1.0</v>
      </c>
      <c r="B12" s="156" t="s">
        <v>42</v>
      </c>
      <c r="C12" s="1118">
        <f>sum(E28:E30)</f>
        <v>25023</v>
      </c>
      <c r="D12" s="1119">
        <f>sum(Q28:Q30)</f>
        <v>25679</v>
      </c>
      <c r="E12" s="696">
        <f t="shared" ref="E12:E21" si="1">D12/C12</f>
        <v>1.026215881</v>
      </c>
      <c r="F12" s="1118">
        <f>sum(F28:F30)</f>
        <v>24938</v>
      </c>
      <c r="G12" s="1119">
        <f>sum(R28:R30)</f>
        <v>25637</v>
      </c>
      <c r="H12" s="698">
        <f t="shared" ref="H12:H21" si="2">G12/F12</f>
        <v>1.028029513</v>
      </c>
      <c r="I12" s="1120">
        <f>sum(G28:G30)</f>
        <v>26020</v>
      </c>
      <c r="J12" s="176">
        <f>sum(S28:S30)</f>
        <v>26304</v>
      </c>
      <c r="K12" s="698">
        <f t="shared" ref="K12:K21" si="3">J12/I12</f>
        <v>1.010914681</v>
      </c>
      <c r="L12" s="1120">
        <f>sum(H28:H30)</f>
        <v>25880</v>
      </c>
      <c r="M12" s="176">
        <f>sum(T28:T30)</f>
        <v>25547</v>
      </c>
      <c r="N12" s="698">
        <f t="shared" ref="N12:N21" si="4">M12/L12</f>
        <v>0.9871329212</v>
      </c>
      <c r="O12" s="1120">
        <f>sum(I28:I30)</f>
        <v>26425</v>
      </c>
      <c r="P12" s="176">
        <f>sum(U28:U30)</f>
        <v>25868</v>
      </c>
      <c r="Q12" s="696">
        <f t="shared" ref="Q12:Q21" si="5">P12/O12</f>
        <v>0.9789214759</v>
      </c>
      <c r="R12" s="1121">
        <f>sum(J28:J30)</f>
        <v>26627</v>
      </c>
      <c r="S12" s="1122">
        <f>sum(V28:V30)</f>
        <v>27374</v>
      </c>
      <c r="T12" s="696">
        <f t="shared" ref="T12:T21" si="6">S12/R12</f>
        <v>1.028054231</v>
      </c>
      <c r="U12" s="1123">
        <f>sum(K28:K30)</f>
        <v>27040</v>
      </c>
      <c r="V12" s="1124">
        <f>sum(W28:W30)</f>
        <v>0</v>
      </c>
      <c r="W12" s="692">
        <f t="shared" ref="W12:W19" si="7">V12/U12</f>
        <v>0</v>
      </c>
      <c r="X12" s="687"/>
      <c r="Y12" s="688"/>
      <c r="Z12" s="692" t="str">
        <f t="shared" ref="Z12:Z19" si="8">Y12/X12</f>
        <v>#DIV/0!</v>
      </c>
      <c r="AA12" s="687"/>
      <c r="AB12" s="688"/>
      <c r="AC12" s="692" t="str">
        <f t="shared" ref="AC12:AC19" si="9">AB12/AA12</f>
        <v>#DIV/0!</v>
      </c>
      <c r="AD12" s="687"/>
      <c r="AE12" s="688"/>
      <c r="AF12" s="692" t="str">
        <f t="shared" ref="AF12:AF19" si="10">AE12/AD12</f>
        <v>#DIV/0!</v>
      </c>
      <c r="AG12" s="687"/>
      <c r="AH12" s="688"/>
      <c r="AI12" s="692" t="str">
        <f t="shared" ref="AI12:AI19" si="11">AH12/AG12</f>
        <v>#DIV/0!</v>
      </c>
      <c r="AJ12" s="687"/>
      <c r="AK12" s="688"/>
      <c r="AL12" s="692" t="str">
        <f t="shared" ref="AL12:AL19" si="12">AK12/AJ12</f>
        <v>#DIV/0!</v>
      </c>
    </row>
    <row r="13">
      <c r="A13" s="686">
        <v>2.0</v>
      </c>
      <c r="B13" s="156" t="s">
        <v>43</v>
      </c>
      <c r="C13" s="1118">
        <f>sum(E32:E33)</f>
        <v>16138</v>
      </c>
      <c r="D13" s="1119">
        <f>sum(Q32:Q33)</f>
        <v>16404</v>
      </c>
      <c r="E13" s="696">
        <f t="shared" si="1"/>
        <v>1.016482836</v>
      </c>
      <c r="F13" s="1118">
        <f>sum(F32:F33)</f>
        <v>16037</v>
      </c>
      <c r="G13" s="1119">
        <f>sum(R32:R33)</f>
        <v>16005</v>
      </c>
      <c r="H13" s="698">
        <f t="shared" si="2"/>
        <v>0.9980046143</v>
      </c>
      <c r="I13" s="1120">
        <f>sum(G32:G33)</f>
        <v>16855</v>
      </c>
      <c r="J13" s="176">
        <f>sum(S32:S33)</f>
        <v>18391</v>
      </c>
      <c r="K13" s="698">
        <f t="shared" si="3"/>
        <v>1.091130228</v>
      </c>
      <c r="L13" s="1120">
        <f>sum(H32:H33)</f>
        <v>16648</v>
      </c>
      <c r="M13" s="176">
        <f>sum(T32:T33)</f>
        <v>16363</v>
      </c>
      <c r="N13" s="698">
        <f t="shared" si="4"/>
        <v>0.9828808265</v>
      </c>
      <c r="O13" s="1120">
        <f>sum(I32:I33)</f>
        <v>17010</v>
      </c>
      <c r="P13" s="176">
        <f>sum(U32:U33)</f>
        <v>16524</v>
      </c>
      <c r="Q13" s="696">
        <f t="shared" si="5"/>
        <v>0.9714285714</v>
      </c>
      <c r="R13" s="1125">
        <f>sum(J32:J33)</f>
        <v>17110</v>
      </c>
      <c r="S13" s="1126">
        <f>sum(V32:V33)</f>
        <v>16473</v>
      </c>
      <c r="T13" s="696">
        <f t="shared" si="6"/>
        <v>0.9627703098</v>
      </c>
      <c r="U13" s="1127">
        <f>sum(K32:K33)</f>
        <v>17378</v>
      </c>
      <c r="V13" s="1128">
        <f>sum(W32:W33)</f>
        <v>0</v>
      </c>
      <c r="W13" s="692">
        <f t="shared" si="7"/>
        <v>0</v>
      </c>
      <c r="X13" s="687"/>
      <c r="Y13" s="688"/>
      <c r="Z13" s="692" t="str">
        <f t="shared" si="8"/>
        <v>#DIV/0!</v>
      </c>
      <c r="AA13" s="687"/>
      <c r="AB13" s="688"/>
      <c r="AC13" s="692" t="str">
        <f t="shared" si="9"/>
        <v>#DIV/0!</v>
      </c>
      <c r="AD13" s="687"/>
      <c r="AE13" s="688"/>
      <c r="AF13" s="692" t="str">
        <f t="shared" si="10"/>
        <v>#DIV/0!</v>
      </c>
      <c r="AG13" s="687"/>
      <c r="AH13" s="688"/>
      <c r="AI13" s="692" t="str">
        <f t="shared" si="11"/>
        <v>#DIV/0!</v>
      </c>
      <c r="AJ13" s="687"/>
      <c r="AK13" s="688"/>
      <c r="AL13" s="692" t="str">
        <f t="shared" si="12"/>
        <v>#DIV/0!</v>
      </c>
    </row>
    <row r="14">
      <c r="A14" s="686">
        <v>3.0</v>
      </c>
      <c r="B14" s="156" t="s">
        <v>44</v>
      </c>
      <c r="C14" s="1118">
        <f>sum(E41,E44,E49)</f>
        <v>14747</v>
      </c>
      <c r="D14" s="1119">
        <f>sum(Q41,Q44,Q49)</f>
        <v>15254</v>
      </c>
      <c r="E14" s="696">
        <f t="shared" si="1"/>
        <v>1.034379874</v>
      </c>
      <c r="F14" s="1118">
        <f>sum(F41,F44,F49)</f>
        <v>14667</v>
      </c>
      <c r="G14" s="1119">
        <f>sum(R41,R44,R49)</f>
        <v>13741</v>
      </c>
      <c r="H14" s="698">
        <f t="shared" si="2"/>
        <v>0.9368650712</v>
      </c>
      <c r="I14" s="1120">
        <f>sum(G41,G44,G49)</f>
        <v>15502</v>
      </c>
      <c r="J14" s="176">
        <f>sum(S41,S44,S49)</f>
        <v>14476</v>
      </c>
      <c r="K14" s="698">
        <f t="shared" si="3"/>
        <v>0.9338149916</v>
      </c>
      <c r="L14" s="1120">
        <f>sum(H41,H44,H49)</f>
        <v>15318</v>
      </c>
      <c r="M14" s="176">
        <f>sum(T41,T44,T49)</f>
        <v>15153</v>
      </c>
      <c r="N14" s="698">
        <f t="shared" si="4"/>
        <v>0.9892283588</v>
      </c>
      <c r="O14" s="1120">
        <f>sum(I41,I44,I49)</f>
        <v>15726</v>
      </c>
      <c r="P14" s="176">
        <f>sum(U41,U44,U49)</f>
        <v>14315</v>
      </c>
      <c r="Q14" s="696">
        <f t="shared" si="5"/>
        <v>0.9102759761</v>
      </c>
      <c r="R14" s="1125">
        <f>sum(J41,J44,J49)</f>
        <v>15863</v>
      </c>
      <c r="S14" s="1126">
        <f>sum(V41,V44,V49)</f>
        <v>14269</v>
      </c>
      <c r="T14" s="696">
        <f t="shared" si="6"/>
        <v>0.8995145937</v>
      </c>
      <c r="U14" s="1127">
        <f>sum(K41,K44,K49)</f>
        <v>16144</v>
      </c>
      <c r="V14" s="1128">
        <f>sum(W41,W44,W49)</f>
        <v>0</v>
      </c>
      <c r="W14" s="692">
        <f t="shared" si="7"/>
        <v>0</v>
      </c>
      <c r="X14" s="687"/>
      <c r="Y14" s="688"/>
      <c r="Z14" s="692" t="str">
        <f t="shared" si="8"/>
        <v>#DIV/0!</v>
      </c>
      <c r="AA14" s="687"/>
      <c r="AB14" s="688"/>
      <c r="AC14" s="692" t="str">
        <f t="shared" si="9"/>
        <v>#DIV/0!</v>
      </c>
      <c r="AD14" s="687"/>
      <c r="AE14" s="688"/>
      <c r="AF14" s="692" t="str">
        <f t="shared" si="10"/>
        <v>#DIV/0!</v>
      </c>
      <c r="AG14" s="687"/>
      <c r="AH14" s="688"/>
      <c r="AI14" s="692" t="str">
        <f t="shared" si="11"/>
        <v>#DIV/0!</v>
      </c>
      <c r="AJ14" s="687"/>
      <c r="AK14" s="688"/>
      <c r="AL14" s="692" t="str">
        <f t="shared" si="12"/>
        <v>#DIV/0!</v>
      </c>
    </row>
    <row r="15">
      <c r="A15" s="686">
        <v>4.0</v>
      </c>
      <c r="B15" s="156" t="s">
        <v>45</v>
      </c>
      <c r="C15" s="1118">
        <f>sum(E34,E36,E38,E40)</f>
        <v>12170</v>
      </c>
      <c r="D15" s="1119">
        <f>sum(Q34,Q36,Q38,Q40)</f>
        <v>13229</v>
      </c>
      <c r="E15" s="696">
        <f t="shared" si="1"/>
        <v>1.087017256</v>
      </c>
      <c r="F15" s="1118">
        <f>sum(F34,F36,F38,F40)</f>
        <v>12105</v>
      </c>
      <c r="G15" s="176">
        <f>sum(R34,R36,R38,R40)</f>
        <v>12917</v>
      </c>
      <c r="H15" s="698">
        <f t="shared" si="2"/>
        <v>1.067079719</v>
      </c>
      <c r="I15" s="1120">
        <f>sum(G34,G36,G38,G40)</f>
        <v>12960</v>
      </c>
      <c r="J15" s="176">
        <f>sum(S34,S36,S38,S40)</f>
        <v>15345</v>
      </c>
      <c r="K15" s="698">
        <f t="shared" si="3"/>
        <v>1.184027778</v>
      </c>
      <c r="L15" s="1120">
        <f>sum(H34,H36,H38,H40)</f>
        <v>12802</v>
      </c>
      <c r="M15" s="176">
        <f>sum(T34,T36,T38,T40)</f>
        <v>13034</v>
      </c>
      <c r="N15" s="698">
        <f t="shared" si="4"/>
        <v>1.018122168</v>
      </c>
      <c r="O15" s="1120">
        <f>sum(I34,I36,I38,I40)</f>
        <v>13214</v>
      </c>
      <c r="P15" s="176">
        <f>sum(U34,U36,U38,U40)</f>
        <v>13080</v>
      </c>
      <c r="Q15" s="696">
        <f t="shared" si="5"/>
        <v>0.9898592402</v>
      </c>
      <c r="R15" s="1125">
        <f>sum(J34,J36,J38,J40)</f>
        <v>13350</v>
      </c>
      <c r="S15" s="1126">
        <f>sum(V34,V36,V38,V40)</f>
        <v>12715</v>
      </c>
      <c r="T15" s="696">
        <f t="shared" si="6"/>
        <v>0.9524344569</v>
      </c>
      <c r="U15" s="1127">
        <f>sum(K34,K36,K38,K40)</f>
        <v>13672</v>
      </c>
      <c r="V15" s="1128">
        <f>sum(W34,W36,W38,W40)</f>
        <v>0</v>
      </c>
      <c r="W15" s="692">
        <f t="shared" si="7"/>
        <v>0</v>
      </c>
      <c r="X15" s="687"/>
      <c r="Y15" s="688"/>
      <c r="Z15" s="692" t="str">
        <f t="shared" si="8"/>
        <v>#DIV/0!</v>
      </c>
      <c r="AA15" s="687"/>
      <c r="AB15" s="688"/>
      <c r="AC15" s="692" t="str">
        <f t="shared" si="9"/>
        <v>#DIV/0!</v>
      </c>
      <c r="AD15" s="687"/>
      <c r="AE15" s="688"/>
      <c r="AF15" s="692" t="str">
        <f t="shared" si="10"/>
        <v>#DIV/0!</v>
      </c>
      <c r="AG15" s="687"/>
      <c r="AH15" s="688"/>
      <c r="AI15" s="692" t="str">
        <f t="shared" si="11"/>
        <v>#DIV/0!</v>
      </c>
      <c r="AJ15" s="687"/>
      <c r="AK15" s="688"/>
      <c r="AL15" s="692" t="str">
        <f t="shared" si="12"/>
        <v>#DIV/0!</v>
      </c>
    </row>
    <row r="16">
      <c r="A16" s="686">
        <v>5.0</v>
      </c>
      <c r="B16" s="156" t="s">
        <v>47</v>
      </c>
      <c r="C16" s="1118">
        <f>sum(E35,E30,E37,E39)</f>
        <v>24055</v>
      </c>
      <c r="D16" s="1119">
        <f>sum(Q35,Q30,Q37,Q39)</f>
        <v>25323</v>
      </c>
      <c r="E16" s="696">
        <f t="shared" si="1"/>
        <v>1.052712534</v>
      </c>
      <c r="F16" s="1118">
        <f>sum(F35,F30,F37,F39)</f>
        <v>23900</v>
      </c>
      <c r="G16" s="176">
        <f>sum(R35,R30,R37,R39)</f>
        <v>25399</v>
      </c>
      <c r="H16" s="698">
        <f t="shared" si="2"/>
        <v>1.062719665</v>
      </c>
      <c r="I16" s="1120">
        <f>sum(G35,G30,G37,G39)</f>
        <v>25216</v>
      </c>
      <c r="J16" s="176">
        <f>sum(S35,S30,S37,S39)</f>
        <v>25779</v>
      </c>
      <c r="K16" s="698">
        <f t="shared" si="3"/>
        <v>1.022327094</v>
      </c>
      <c r="L16" s="1120">
        <f>sum(H35,H30,H37,H39)</f>
        <v>24918</v>
      </c>
      <c r="M16" s="176">
        <f>sum(T35,T30,T37,T39)</f>
        <v>25254</v>
      </c>
      <c r="N16" s="698">
        <f t="shared" si="4"/>
        <v>1.013484228</v>
      </c>
      <c r="O16" s="1120">
        <f>sum(I35,I30,I37,I39)</f>
        <v>25538</v>
      </c>
      <c r="P16" s="176">
        <f>sum(U35,U30,U37,U39)</f>
        <v>25744</v>
      </c>
      <c r="Q16" s="696">
        <f t="shared" si="5"/>
        <v>1.008066411</v>
      </c>
      <c r="R16" s="1125">
        <f>sum(J35,J30,J37,J39)</f>
        <v>25702</v>
      </c>
      <c r="S16" s="1126">
        <f>sum(V35,V30,V37,V39)</f>
        <v>27304</v>
      </c>
      <c r="T16" s="696">
        <f t="shared" si="6"/>
        <v>1.06232978</v>
      </c>
      <c r="U16" s="1127">
        <f>sum(K35,K30,K37,K39)</f>
        <v>26138</v>
      </c>
      <c r="V16" s="1128">
        <f>sum(W35,W30,W37,W39)</f>
        <v>0</v>
      </c>
      <c r="W16" s="692">
        <f t="shared" si="7"/>
        <v>0</v>
      </c>
      <c r="X16" s="687"/>
      <c r="Y16" s="688"/>
      <c r="Z16" s="692" t="str">
        <f t="shared" si="8"/>
        <v>#DIV/0!</v>
      </c>
      <c r="AA16" s="687"/>
      <c r="AB16" s="688"/>
      <c r="AC16" s="692" t="str">
        <f t="shared" si="9"/>
        <v>#DIV/0!</v>
      </c>
      <c r="AD16" s="687"/>
      <c r="AE16" s="688"/>
      <c r="AF16" s="692" t="str">
        <f t="shared" si="10"/>
        <v>#DIV/0!</v>
      </c>
      <c r="AG16" s="687"/>
      <c r="AH16" s="688"/>
      <c r="AI16" s="692" t="str">
        <f t="shared" si="11"/>
        <v>#DIV/0!</v>
      </c>
      <c r="AJ16" s="687"/>
      <c r="AK16" s="688"/>
      <c r="AL16" s="692" t="str">
        <f t="shared" si="12"/>
        <v>#DIV/0!</v>
      </c>
    </row>
    <row r="17">
      <c r="A17" s="686">
        <v>6.0</v>
      </c>
      <c r="B17" s="156" t="s">
        <v>48</v>
      </c>
      <c r="C17" s="1118">
        <f>sum(E43,E46,E47)</f>
        <v>10513</v>
      </c>
      <c r="D17" s="1119">
        <f>sum(Q43,Q46,Q47)</f>
        <v>11422</v>
      </c>
      <c r="E17" s="696">
        <f t="shared" si="1"/>
        <v>1.086464377</v>
      </c>
      <c r="F17" s="1118">
        <f>sum(F43,F46,F47)</f>
        <v>10511</v>
      </c>
      <c r="G17" s="176">
        <f>sum(R43,R46,R47)</f>
        <v>10230</v>
      </c>
      <c r="H17" s="698">
        <f t="shared" si="2"/>
        <v>0.9732661022</v>
      </c>
      <c r="I17" s="1120">
        <f>sum(G43,G46,G47)</f>
        <v>11146</v>
      </c>
      <c r="J17" s="176">
        <f>sum(S43,S46,S47)</f>
        <v>10352</v>
      </c>
      <c r="K17" s="698">
        <f t="shared" si="3"/>
        <v>0.928763682</v>
      </c>
      <c r="L17" s="1120">
        <f>sum(H43,H46,H47)</f>
        <v>11056</v>
      </c>
      <c r="M17" s="176">
        <f>sum(T43,T46,T47)</f>
        <v>11101</v>
      </c>
      <c r="N17" s="698">
        <f t="shared" si="4"/>
        <v>1.004070188</v>
      </c>
      <c r="O17" s="1120">
        <f>sum(I43,I46,I47)</f>
        <v>11363</v>
      </c>
      <c r="P17" s="176">
        <f>sum(U43,U46,U47)</f>
        <v>10548</v>
      </c>
      <c r="Q17" s="696">
        <f t="shared" si="5"/>
        <v>0.9282759835</v>
      </c>
      <c r="R17" s="1125">
        <f>sum(J43,J46,J47)</f>
        <v>11501</v>
      </c>
      <c r="S17" s="1126">
        <f>sum(V43,V46,V47)</f>
        <v>11047</v>
      </c>
      <c r="T17" s="696">
        <f t="shared" si="6"/>
        <v>0.9605251717</v>
      </c>
      <c r="U17" s="1127">
        <f>sum(K43,K46,K47)</f>
        <v>11743</v>
      </c>
      <c r="V17" s="1128">
        <f>sum(W43,W46,W47)</f>
        <v>0</v>
      </c>
      <c r="W17" s="692">
        <f t="shared" si="7"/>
        <v>0</v>
      </c>
      <c r="X17" s="687"/>
      <c r="Y17" s="688"/>
      <c r="Z17" s="692" t="str">
        <f t="shared" si="8"/>
        <v>#DIV/0!</v>
      </c>
      <c r="AA17" s="687"/>
      <c r="AB17" s="688"/>
      <c r="AC17" s="692" t="str">
        <f t="shared" si="9"/>
        <v>#DIV/0!</v>
      </c>
      <c r="AD17" s="687"/>
      <c r="AE17" s="688"/>
      <c r="AF17" s="692" t="str">
        <f t="shared" si="10"/>
        <v>#DIV/0!</v>
      </c>
      <c r="AG17" s="687"/>
      <c r="AH17" s="688"/>
      <c r="AI17" s="692" t="str">
        <f t="shared" si="11"/>
        <v>#DIV/0!</v>
      </c>
      <c r="AJ17" s="687"/>
      <c r="AK17" s="688"/>
      <c r="AL17" s="692" t="str">
        <f t="shared" si="12"/>
        <v>#DIV/0!</v>
      </c>
    </row>
    <row r="18">
      <c r="A18" s="686">
        <v>7.0</v>
      </c>
      <c r="B18" s="156" t="s">
        <v>49</v>
      </c>
      <c r="C18" s="1118">
        <f>sum(E42,E48,E45)</f>
        <v>16983</v>
      </c>
      <c r="D18" s="1119">
        <f>sum(Q42,Q48,Q45)</f>
        <v>18937</v>
      </c>
      <c r="E18" s="696">
        <f t="shared" si="1"/>
        <v>1.115056233</v>
      </c>
      <c r="F18" s="1118">
        <f>sum(F42,F48,F45)</f>
        <v>16894</v>
      </c>
      <c r="G18" s="176">
        <f>sum(R42,R48,R45)</f>
        <v>16771</v>
      </c>
      <c r="H18" s="698">
        <f t="shared" si="2"/>
        <v>0.9927193086</v>
      </c>
      <c r="I18" s="1120">
        <f>sum(G42,G48,G45)</f>
        <v>17870</v>
      </c>
      <c r="J18" s="176">
        <f>sum(S42,S48,S45)</f>
        <v>17123</v>
      </c>
      <c r="K18" s="698">
        <f t="shared" si="3"/>
        <v>0.9581980974</v>
      </c>
      <c r="L18" s="1120">
        <f>sum(H42,H48,H45)</f>
        <v>17682</v>
      </c>
      <c r="M18" s="176">
        <f>sum(T42,T48,T45)</f>
        <v>17878</v>
      </c>
      <c r="N18" s="698">
        <f t="shared" si="4"/>
        <v>1.011084719</v>
      </c>
      <c r="O18" s="1120">
        <f>sum(I42,I48,I45)</f>
        <v>18126</v>
      </c>
      <c r="P18" s="176">
        <f>sum(U42,U48,U45)</f>
        <v>17229</v>
      </c>
      <c r="Q18" s="696">
        <f t="shared" si="5"/>
        <v>0.9505130751</v>
      </c>
      <c r="R18" s="1129">
        <f>sum(J42,J48,J45)</f>
        <v>18275</v>
      </c>
      <c r="S18" s="1130">
        <f>sum(V42,V48,V45)</f>
        <v>17148</v>
      </c>
      <c r="T18" s="696">
        <f t="shared" si="6"/>
        <v>0.9383310534</v>
      </c>
      <c r="U18" s="1131">
        <f>sum(K42,K48,K45)</f>
        <v>18596</v>
      </c>
      <c r="V18" s="1132">
        <f>sum(W42,W48,W45)</f>
        <v>0</v>
      </c>
      <c r="W18" s="692">
        <f t="shared" si="7"/>
        <v>0</v>
      </c>
      <c r="X18" s="687"/>
      <c r="Y18" s="688"/>
      <c r="Z18" s="692" t="str">
        <f t="shared" si="8"/>
        <v>#DIV/0!</v>
      </c>
      <c r="AA18" s="687"/>
      <c r="AB18" s="688"/>
      <c r="AC18" s="692" t="str">
        <f t="shared" si="9"/>
        <v>#DIV/0!</v>
      </c>
      <c r="AD18" s="687"/>
      <c r="AE18" s="688"/>
      <c r="AF18" s="692" t="str">
        <f t="shared" si="10"/>
        <v>#DIV/0!</v>
      </c>
      <c r="AG18" s="687"/>
      <c r="AH18" s="688"/>
      <c r="AI18" s="692" t="str">
        <f t="shared" si="11"/>
        <v>#DIV/0!</v>
      </c>
      <c r="AJ18" s="687"/>
      <c r="AK18" s="688"/>
      <c r="AL18" s="692" t="str">
        <f t="shared" si="12"/>
        <v>#DIV/0!</v>
      </c>
    </row>
    <row r="19">
      <c r="A19" s="688"/>
      <c r="B19" s="90" t="s">
        <v>50</v>
      </c>
      <c r="C19" s="1133">
        <f t="shared" ref="C19:D19" si="13">sum(C12:C18)</f>
        <v>119629</v>
      </c>
      <c r="D19" s="1134">
        <f t="shared" si="13"/>
        <v>126248</v>
      </c>
      <c r="E19" s="725">
        <f t="shared" si="1"/>
        <v>1.055329393</v>
      </c>
      <c r="F19" s="1133">
        <f t="shared" ref="F19:G19" si="14">sum(F12:F18)</f>
        <v>119052</v>
      </c>
      <c r="G19" s="1134">
        <f t="shared" si="14"/>
        <v>120700</v>
      </c>
      <c r="H19" s="725">
        <f t="shared" si="2"/>
        <v>1.013842691</v>
      </c>
      <c r="I19" s="1133">
        <f t="shared" ref="I19:J19" si="15">sum(I12:I18)</f>
        <v>125569</v>
      </c>
      <c r="J19" s="1134">
        <f t="shared" si="15"/>
        <v>127770</v>
      </c>
      <c r="K19" s="725">
        <f t="shared" si="3"/>
        <v>1.017528212</v>
      </c>
      <c r="L19" s="1133">
        <f t="shared" ref="L19:M19" si="16">sum(L12:L18)</f>
        <v>124304</v>
      </c>
      <c r="M19" s="1134">
        <f t="shared" si="16"/>
        <v>124330</v>
      </c>
      <c r="N19" s="725">
        <f t="shared" si="4"/>
        <v>1.000209165</v>
      </c>
      <c r="O19" s="1133">
        <f t="shared" ref="O19:P19" si="17">sum(O12:O18)</f>
        <v>127402</v>
      </c>
      <c r="P19" s="1134">
        <f t="shared" si="17"/>
        <v>123308</v>
      </c>
      <c r="Q19" s="725">
        <f t="shared" si="5"/>
        <v>0.9678654966</v>
      </c>
      <c r="R19" s="1133">
        <f t="shared" ref="R19:S19" si="18">sum(R12:R18)</f>
        <v>128428</v>
      </c>
      <c r="S19" s="1134">
        <f t="shared" si="18"/>
        <v>126330</v>
      </c>
      <c r="T19" s="725">
        <f t="shared" si="6"/>
        <v>0.9836639985</v>
      </c>
      <c r="U19" s="1133">
        <f t="shared" ref="U19:V19" si="19">sum(U12:U18)</f>
        <v>130711</v>
      </c>
      <c r="V19" s="719">
        <f t="shared" si="19"/>
        <v>0</v>
      </c>
      <c r="W19" s="721">
        <f t="shared" si="7"/>
        <v>0</v>
      </c>
      <c r="X19" s="718"/>
      <c r="Y19" s="719"/>
      <c r="Z19" s="721" t="str">
        <f t="shared" si="8"/>
        <v>#DIV/0!</v>
      </c>
      <c r="AA19" s="718"/>
      <c r="AB19" s="719"/>
      <c r="AC19" s="721" t="str">
        <f t="shared" si="9"/>
        <v>#DIV/0!</v>
      </c>
      <c r="AD19" s="718"/>
      <c r="AE19" s="719"/>
      <c r="AF19" s="721" t="str">
        <f t="shared" si="10"/>
        <v>#DIV/0!</v>
      </c>
      <c r="AG19" s="718"/>
      <c r="AH19" s="719"/>
      <c r="AI19" s="721" t="str">
        <f t="shared" si="11"/>
        <v>#DIV/0!</v>
      </c>
      <c r="AJ19" s="718"/>
      <c r="AK19" s="719"/>
      <c r="AL19" s="721" t="str">
        <f t="shared" si="12"/>
        <v>#DIV/0!</v>
      </c>
    </row>
    <row r="20">
      <c r="A20" s="205">
        <v>8.0</v>
      </c>
      <c r="B20" s="205" t="s">
        <v>80</v>
      </c>
      <c r="C20" s="495">
        <f>E50</f>
        <v>4118</v>
      </c>
      <c r="D20" s="495">
        <f>Q50</f>
        <v>3662</v>
      </c>
      <c r="E20" s="275">
        <f t="shared" si="1"/>
        <v>0.8892666343</v>
      </c>
      <c r="F20" s="495">
        <f>F50</f>
        <v>4118</v>
      </c>
      <c r="G20" s="495">
        <f>R50</f>
        <v>5595</v>
      </c>
      <c r="H20" s="275">
        <f t="shared" si="2"/>
        <v>1.358669257</v>
      </c>
      <c r="I20" s="495">
        <f>G50</f>
        <v>4118</v>
      </c>
      <c r="J20" s="495">
        <f>S50</f>
        <v>6853</v>
      </c>
      <c r="K20" s="275">
        <f t="shared" si="3"/>
        <v>1.664157358</v>
      </c>
      <c r="L20" s="495">
        <f>H50</f>
        <v>4186</v>
      </c>
      <c r="M20" s="495">
        <f>T50</f>
        <v>5036</v>
      </c>
      <c r="N20" s="275">
        <f t="shared" si="4"/>
        <v>1.203057812</v>
      </c>
      <c r="O20" s="495">
        <f>I50</f>
        <v>4186</v>
      </c>
      <c r="P20" s="495">
        <f>U50</f>
        <v>5573</v>
      </c>
      <c r="Q20" s="275">
        <f t="shared" si="5"/>
        <v>1.33134257</v>
      </c>
      <c r="R20" s="495">
        <f>J50</f>
        <v>6119</v>
      </c>
      <c r="S20" s="495">
        <f>V50</f>
        <v>8925</v>
      </c>
      <c r="T20" s="275">
        <f t="shared" si="6"/>
        <v>1.458571662</v>
      </c>
    </row>
    <row r="21">
      <c r="A21" s="205">
        <v>9.0</v>
      </c>
      <c r="B21" s="205" t="s">
        <v>81</v>
      </c>
      <c r="C21" s="495">
        <f>E50</f>
        <v>4118</v>
      </c>
      <c r="D21" s="495">
        <f>Q50</f>
        <v>3662</v>
      </c>
      <c r="E21" s="275">
        <f t="shared" si="1"/>
        <v>0.8892666343</v>
      </c>
      <c r="F21" s="495">
        <f>F50</f>
        <v>4118</v>
      </c>
      <c r="G21" s="495">
        <f>R50</f>
        <v>5595</v>
      </c>
      <c r="H21" s="275">
        <f t="shared" si="2"/>
        <v>1.358669257</v>
      </c>
      <c r="I21" s="495">
        <f>G50</f>
        <v>4118</v>
      </c>
      <c r="J21" s="495">
        <f>S50</f>
        <v>6853</v>
      </c>
      <c r="K21" s="275">
        <f t="shared" si="3"/>
        <v>1.664157358</v>
      </c>
      <c r="L21" s="495">
        <f>H50</f>
        <v>4186</v>
      </c>
      <c r="M21" s="495">
        <f>T50</f>
        <v>5036</v>
      </c>
      <c r="N21" s="275">
        <f t="shared" si="4"/>
        <v>1.203057812</v>
      </c>
      <c r="O21" s="495">
        <f>I50</f>
        <v>4186</v>
      </c>
      <c r="P21" s="495">
        <f>U50</f>
        <v>5573</v>
      </c>
      <c r="Q21" s="275">
        <f t="shared" si="5"/>
        <v>1.33134257</v>
      </c>
      <c r="R21" s="495">
        <f>J50</f>
        <v>6119</v>
      </c>
      <c r="S21" s="495">
        <f>V50</f>
        <v>8925</v>
      </c>
      <c r="T21" s="275">
        <f t="shared" si="6"/>
        <v>1.458571662</v>
      </c>
    </row>
    <row r="23">
      <c r="A23" s="1135" t="s">
        <v>174</v>
      </c>
      <c r="B23" s="1135" t="s">
        <v>612</v>
      </c>
      <c r="C23" s="1135" t="s">
        <v>329</v>
      </c>
      <c r="D23" s="1135" t="s">
        <v>613</v>
      </c>
      <c r="E23" s="1136" t="s">
        <v>614</v>
      </c>
      <c r="F23" s="1137"/>
      <c r="G23" s="1137"/>
      <c r="H23" s="1137"/>
      <c r="I23" s="1137"/>
      <c r="J23" s="1137"/>
      <c r="K23" s="1137"/>
      <c r="L23" s="1137"/>
      <c r="M23" s="1137"/>
      <c r="N23" s="1137"/>
      <c r="O23" s="1137"/>
      <c r="P23" s="1138"/>
      <c r="Q23" s="1136" t="s">
        <v>615</v>
      </c>
      <c r="R23" s="1137"/>
      <c r="S23" s="1137"/>
      <c r="T23" s="1137"/>
      <c r="U23" s="1137"/>
      <c r="V23" s="1137"/>
      <c r="W23" s="1137"/>
      <c r="X23" s="1137"/>
      <c r="Y23" s="1137"/>
      <c r="Z23" s="1137"/>
      <c r="AA23" s="1137"/>
      <c r="AB23" s="1137"/>
      <c r="AC23" s="1138"/>
      <c r="AD23" s="1136" t="s">
        <v>616</v>
      </c>
      <c r="AE23" s="1137"/>
      <c r="AF23" s="1138"/>
      <c r="AG23" s="1136" t="s">
        <v>617</v>
      </c>
      <c r="AH23" s="1138"/>
      <c r="AI23" s="1136" t="s">
        <v>618</v>
      </c>
      <c r="AJ23" s="1137"/>
      <c r="AK23" s="1137"/>
      <c r="AL23" s="1137"/>
      <c r="AM23" s="1137"/>
      <c r="AN23" s="1137"/>
      <c r="AO23" s="1137"/>
      <c r="AP23" s="1137"/>
      <c r="AQ23" s="1137"/>
      <c r="AR23" s="1137"/>
      <c r="AS23" s="1137"/>
      <c r="AT23" s="1137"/>
      <c r="AU23" s="1137"/>
      <c r="AV23" s="1138"/>
    </row>
    <row r="24">
      <c r="A24" s="1139"/>
      <c r="B24" s="1139"/>
      <c r="C24" s="1139"/>
      <c r="D24" s="1139"/>
      <c r="E24" s="1140" t="s">
        <v>434</v>
      </c>
      <c r="F24" s="1140" t="s">
        <v>435</v>
      </c>
      <c r="G24" s="1140" t="s">
        <v>436</v>
      </c>
      <c r="H24" s="1140" t="s">
        <v>437</v>
      </c>
      <c r="I24" s="1140" t="s">
        <v>438</v>
      </c>
      <c r="J24" s="1140" t="s">
        <v>439</v>
      </c>
      <c r="K24" s="1140" t="s">
        <v>440</v>
      </c>
      <c r="L24" s="1140" t="s">
        <v>441</v>
      </c>
      <c r="M24" s="1140" t="s">
        <v>442</v>
      </c>
      <c r="N24" s="1140" t="s">
        <v>443</v>
      </c>
      <c r="O24" s="1140" t="s">
        <v>444</v>
      </c>
      <c r="P24" s="1140" t="s">
        <v>445</v>
      </c>
      <c r="Q24" s="1140" t="s">
        <v>434</v>
      </c>
      <c r="R24" s="1140" t="s">
        <v>435</v>
      </c>
      <c r="S24" s="1140" t="s">
        <v>436</v>
      </c>
      <c r="T24" s="1140" t="s">
        <v>437</v>
      </c>
      <c r="U24" s="1140" t="s">
        <v>438</v>
      </c>
      <c r="V24" s="1140" t="s">
        <v>439</v>
      </c>
      <c r="W24" s="1140" t="s">
        <v>440</v>
      </c>
      <c r="X24" s="1140" t="s">
        <v>441</v>
      </c>
      <c r="Y24" s="1140" t="s">
        <v>442</v>
      </c>
      <c r="Z24" s="1140" t="s">
        <v>443</v>
      </c>
      <c r="AA24" s="1140" t="s">
        <v>444</v>
      </c>
      <c r="AB24" s="1140" t="s">
        <v>445</v>
      </c>
      <c r="AC24" s="1140" t="s">
        <v>619</v>
      </c>
      <c r="AD24" s="1140" t="s">
        <v>620</v>
      </c>
      <c r="AE24" s="1140" t="s">
        <v>621</v>
      </c>
      <c r="AF24" s="1140" t="s">
        <v>622</v>
      </c>
      <c r="AG24" s="1140" t="s">
        <v>166</v>
      </c>
      <c r="AH24" s="1140" t="s">
        <v>622</v>
      </c>
      <c r="AI24" s="1140" t="s">
        <v>623</v>
      </c>
      <c r="AJ24" s="1140" t="s">
        <v>434</v>
      </c>
      <c r="AK24" s="1140" t="s">
        <v>435</v>
      </c>
      <c r="AL24" s="1140" t="s">
        <v>436</v>
      </c>
      <c r="AM24" s="1140" t="s">
        <v>437</v>
      </c>
      <c r="AN24" s="1140" t="s">
        <v>438</v>
      </c>
      <c r="AO24" s="1140" t="s">
        <v>439</v>
      </c>
      <c r="AP24" s="1140" t="s">
        <v>440</v>
      </c>
      <c r="AQ24" s="1140" t="s">
        <v>441</v>
      </c>
      <c r="AR24" s="1140" t="s">
        <v>442</v>
      </c>
      <c r="AS24" s="1140" t="s">
        <v>443</v>
      </c>
      <c r="AT24" s="1140" t="s">
        <v>444</v>
      </c>
      <c r="AU24" s="1140" t="s">
        <v>445</v>
      </c>
      <c r="AV24" s="1140" t="s">
        <v>624</v>
      </c>
    </row>
    <row r="25">
      <c r="A25" s="1141"/>
      <c r="B25" s="1142" t="s">
        <v>625</v>
      </c>
      <c r="C25" s="1141"/>
      <c r="D25" s="1143"/>
      <c r="E25" s="1137"/>
      <c r="F25" s="1137"/>
      <c r="G25" s="1137"/>
      <c r="H25" s="1137"/>
      <c r="I25" s="1137"/>
      <c r="J25" s="1137"/>
      <c r="K25" s="1137"/>
      <c r="L25" s="1137"/>
      <c r="M25" s="1137"/>
      <c r="N25" s="1137"/>
      <c r="O25" s="1137"/>
      <c r="P25" s="1137"/>
      <c r="Q25" s="1137"/>
      <c r="R25" s="1137"/>
      <c r="S25" s="1137"/>
      <c r="T25" s="1137"/>
      <c r="U25" s="1137"/>
      <c r="V25" s="1137"/>
      <c r="W25" s="1137"/>
      <c r="X25" s="1137"/>
      <c r="Y25" s="1137"/>
      <c r="Z25" s="1137"/>
      <c r="AA25" s="1137"/>
      <c r="AB25" s="1137"/>
      <c r="AC25" s="1137"/>
      <c r="AD25" s="1137"/>
      <c r="AE25" s="1137"/>
      <c r="AF25" s="1137"/>
      <c r="AG25" s="1137"/>
      <c r="AH25" s="1137"/>
      <c r="AI25" s="1137"/>
      <c r="AJ25" s="1137"/>
      <c r="AK25" s="1137"/>
      <c r="AL25" s="1137"/>
      <c r="AM25" s="1137"/>
      <c r="AN25" s="1137"/>
      <c r="AO25" s="1137"/>
      <c r="AP25" s="1137"/>
      <c r="AQ25" s="1137"/>
      <c r="AR25" s="1137"/>
      <c r="AS25" s="1137"/>
      <c r="AT25" s="1137"/>
      <c r="AU25" s="1137"/>
      <c r="AV25" s="1138"/>
    </row>
    <row r="26">
      <c r="A26" s="1144" t="s">
        <v>626</v>
      </c>
      <c r="B26" s="1145" t="s">
        <v>627</v>
      </c>
      <c r="C26" s="1146" t="s">
        <v>23</v>
      </c>
      <c r="D26" s="1147">
        <v>1641011.0</v>
      </c>
      <c r="E26" s="1147">
        <v>120542.0</v>
      </c>
      <c r="F26" s="1147">
        <v>119965.0</v>
      </c>
      <c r="G26" s="1147">
        <v>126417.0</v>
      </c>
      <c r="H26" s="1147">
        <v>125194.0</v>
      </c>
      <c r="I26" s="1147">
        <v>128238.0</v>
      </c>
      <c r="J26" s="1147">
        <v>131172.0</v>
      </c>
      <c r="K26" s="1147">
        <v>133858.0</v>
      </c>
      <c r="L26" s="1147">
        <v>137161.0</v>
      </c>
      <c r="M26" s="1147">
        <v>142714.0</v>
      </c>
      <c r="N26" s="1147">
        <v>150342.0</v>
      </c>
      <c r="O26" s="1147">
        <v>151748.0</v>
      </c>
      <c r="P26" s="1147">
        <v>173659.0</v>
      </c>
      <c r="Q26" s="1147">
        <v>126132.0</v>
      </c>
      <c r="R26" s="1147">
        <v>122581.0</v>
      </c>
      <c r="S26" s="1147">
        <v>130623.0</v>
      </c>
      <c r="T26" s="1147">
        <v>125734.0</v>
      </c>
      <c r="U26" s="1147">
        <v>125279.0</v>
      </c>
      <c r="V26" s="1147">
        <v>130156.0</v>
      </c>
      <c r="W26" s="1148"/>
      <c r="X26" s="1148"/>
      <c r="Y26" s="1148"/>
      <c r="Z26" s="1148"/>
      <c r="AA26" s="1148"/>
      <c r="AB26" s="1148"/>
      <c r="AC26" s="1147">
        <v>760506.0</v>
      </c>
      <c r="AD26" s="1149">
        <v>0.859</v>
      </c>
      <c r="AE26" s="1150">
        <v>0.463</v>
      </c>
      <c r="AF26" s="1151"/>
      <c r="AG26" s="1149">
        <v>0.953</v>
      </c>
      <c r="AH26" s="1151"/>
      <c r="AI26" s="1147">
        <v>798081.0</v>
      </c>
      <c r="AJ26" s="1147">
        <v>115335.0</v>
      </c>
      <c r="AK26" s="1147">
        <v>112248.0</v>
      </c>
      <c r="AL26" s="1147">
        <v>114528.0</v>
      </c>
      <c r="AM26" s="1147">
        <v>113175.0</v>
      </c>
      <c r="AN26" s="1147">
        <v>113373.0</v>
      </c>
      <c r="AO26" s="1147">
        <v>114564.0</v>
      </c>
      <c r="AP26" s="1147">
        <v>114857.0</v>
      </c>
      <c r="AQ26" s="1147">
        <v>114569.0</v>
      </c>
      <c r="AR26" s="1147">
        <v>113638.0</v>
      </c>
      <c r="AS26" s="1147">
        <v>115032.0</v>
      </c>
      <c r="AT26" s="1147">
        <v>117495.0</v>
      </c>
      <c r="AU26" s="1147">
        <v>156288.0</v>
      </c>
      <c r="AV26" s="1147">
        <v>1415103.0</v>
      </c>
    </row>
    <row r="27">
      <c r="A27" s="1144"/>
      <c r="B27" s="1152"/>
      <c r="C27" s="1146"/>
      <c r="D27" s="1147"/>
      <c r="E27" s="1147"/>
      <c r="F27" s="1147"/>
      <c r="G27" s="1147"/>
      <c r="H27" s="1147"/>
      <c r="I27" s="1147"/>
      <c r="J27" s="1147"/>
      <c r="K27" s="1147"/>
      <c r="L27" s="1147"/>
      <c r="M27" s="1147"/>
      <c r="N27" s="1147"/>
      <c r="O27" s="1147"/>
      <c r="P27" s="1147"/>
      <c r="Q27" s="1147"/>
      <c r="R27" s="1147"/>
      <c r="S27" s="1147"/>
      <c r="T27" s="1147"/>
      <c r="U27" s="1147"/>
      <c r="V27" s="1147"/>
      <c r="W27" s="1148"/>
      <c r="X27" s="1148"/>
      <c r="Y27" s="1148"/>
      <c r="Z27" s="1148"/>
      <c r="AA27" s="1148"/>
      <c r="AB27" s="1148"/>
      <c r="AC27" s="1147"/>
      <c r="AD27" s="1149"/>
      <c r="AE27" s="1150"/>
      <c r="AF27" s="1151"/>
      <c r="AG27" s="1149"/>
      <c r="AH27" s="1151"/>
      <c r="AI27" s="1147"/>
      <c r="AJ27" s="1147"/>
      <c r="AK27" s="1147"/>
      <c r="AL27" s="1147"/>
      <c r="AM27" s="1147"/>
      <c r="AN27" s="1147"/>
      <c r="AO27" s="1147"/>
      <c r="AP27" s="1147"/>
      <c r="AQ27" s="1147"/>
      <c r="AR27" s="1147"/>
      <c r="AS27" s="1147"/>
      <c r="AT27" s="1147"/>
      <c r="AU27" s="1147"/>
      <c r="AV27" s="1147"/>
    </row>
    <row r="28">
      <c r="A28" s="1153"/>
      <c r="B28" s="1154" t="s">
        <v>42</v>
      </c>
      <c r="C28" s="1155" t="s">
        <v>23</v>
      </c>
      <c r="D28" s="1156">
        <v>143426.0</v>
      </c>
      <c r="E28" s="1156">
        <v>11130.0</v>
      </c>
      <c r="F28" s="1156">
        <v>11062.0</v>
      </c>
      <c r="G28" s="1156">
        <v>11518.0</v>
      </c>
      <c r="H28" s="1156">
        <v>11441.0</v>
      </c>
      <c r="I28" s="1156">
        <v>11668.0</v>
      </c>
      <c r="J28" s="1156">
        <v>11729.0</v>
      </c>
      <c r="K28" s="1156">
        <v>11887.0</v>
      </c>
      <c r="L28" s="1156">
        <v>12093.0</v>
      </c>
      <c r="M28" s="1156">
        <v>12457.0</v>
      </c>
      <c r="N28" s="1156">
        <v>12689.0</v>
      </c>
      <c r="O28" s="1156">
        <v>12759.0</v>
      </c>
      <c r="P28" s="1156">
        <v>12994.0</v>
      </c>
      <c r="Q28" s="1156">
        <v>11189.0</v>
      </c>
      <c r="R28" s="1156">
        <v>11190.0</v>
      </c>
      <c r="S28" s="1156">
        <v>11420.0</v>
      </c>
      <c r="T28" s="1156">
        <v>11207.0</v>
      </c>
      <c r="U28" s="1156">
        <v>11408.0</v>
      </c>
      <c r="V28" s="1156">
        <v>11329.0</v>
      </c>
      <c r="W28" s="1157"/>
      <c r="X28" s="1157"/>
      <c r="Y28" s="1157"/>
      <c r="Z28" s="1157"/>
      <c r="AA28" s="1157"/>
      <c r="AB28" s="1157"/>
      <c r="AC28" s="1158">
        <v>67743.0</v>
      </c>
      <c r="AD28" s="1159">
        <v>0.842</v>
      </c>
      <c r="AE28" s="1160">
        <v>0.472</v>
      </c>
      <c r="AF28" s="1161">
        <v>6.0</v>
      </c>
      <c r="AG28" s="1162">
        <v>0.897</v>
      </c>
      <c r="AH28" s="1161">
        <v>19.0</v>
      </c>
      <c r="AI28" s="1156">
        <v>75485.0</v>
      </c>
      <c r="AJ28" s="1156">
        <v>10765.0</v>
      </c>
      <c r="AK28" s="1156">
        <v>10731.0</v>
      </c>
      <c r="AL28" s="1156">
        <v>10839.0</v>
      </c>
      <c r="AM28" s="1156">
        <v>10719.0</v>
      </c>
      <c r="AN28" s="1156">
        <v>10733.0</v>
      </c>
      <c r="AO28" s="1156">
        <v>10708.0</v>
      </c>
      <c r="AP28" s="1156">
        <v>10990.0</v>
      </c>
      <c r="AQ28" s="1156">
        <v>10750.0</v>
      </c>
      <c r="AR28" s="1156">
        <v>10633.0</v>
      </c>
      <c r="AS28" s="1156">
        <v>11367.0</v>
      </c>
      <c r="AT28" s="1156">
        <v>10735.0</v>
      </c>
      <c r="AU28" s="1156">
        <v>12307.0</v>
      </c>
      <c r="AV28" s="1156">
        <v>131277.0</v>
      </c>
    </row>
    <row r="29">
      <c r="A29" s="1153"/>
      <c r="B29" s="1154" t="s">
        <v>474</v>
      </c>
      <c r="C29" s="1155" t="s">
        <v>23</v>
      </c>
      <c r="D29" s="1156">
        <v>92039.0</v>
      </c>
      <c r="E29" s="1156">
        <v>6982.0</v>
      </c>
      <c r="F29" s="1156">
        <v>6975.0</v>
      </c>
      <c r="G29" s="1156">
        <v>7297.0</v>
      </c>
      <c r="H29" s="1156">
        <v>7252.0</v>
      </c>
      <c r="I29" s="1156">
        <v>7407.0</v>
      </c>
      <c r="J29" s="1156">
        <v>7478.0</v>
      </c>
      <c r="K29" s="1156">
        <v>7611.0</v>
      </c>
      <c r="L29" s="1156">
        <v>7756.0</v>
      </c>
      <c r="M29" s="1156">
        <v>7976.0</v>
      </c>
      <c r="N29" s="1156">
        <v>8141.0</v>
      </c>
      <c r="O29" s="1156">
        <v>8415.0</v>
      </c>
      <c r="P29" s="1156">
        <v>8748.0</v>
      </c>
      <c r="Q29" s="1156">
        <v>7151.0</v>
      </c>
      <c r="R29" s="1156">
        <v>7183.0</v>
      </c>
      <c r="S29" s="1156">
        <v>7278.0</v>
      </c>
      <c r="T29" s="1156">
        <v>7152.0</v>
      </c>
      <c r="U29" s="1156">
        <v>7201.0</v>
      </c>
      <c r="V29" s="1156">
        <v>7243.0</v>
      </c>
      <c r="W29" s="1157"/>
      <c r="X29" s="1157"/>
      <c r="Y29" s="1157"/>
      <c r="Z29" s="1157"/>
      <c r="AA29" s="1157"/>
      <c r="AB29" s="1157"/>
      <c r="AC29" s="1158">
        <v>43208.0</v>
      </c>
      <c r="AD29" s="1162">
        <v>0.847</v>
      </c>
      <c r="AE29" s="1160">
        <v>0.47</v>
      </c>
      <c r="AF29" s="1161">
        <v>8.0</v>
      </c>
      <c r="AG29" s="1162">
        <v>0.958</v>
      </c>
      <c r="AH29" s="1161">
        <v>9.0</v>
      </c>
      <c r="AI29" s="1156">
        <v>45106.0</v>
      </c>
      <c r="AJ29" s="1156">
        <v>6396.0</v>
      </c>
      <c r="AK29" s="1156">
        <v>6416.0</v>
      </c>
      <c r="AL29" s="1156">
        <v>6425.0</v>
      </c>
      <c r="AM29" s="1156">
        <v>6446.0</v>
      </c>
      <c r="AN29" s="1156">
        <v>6438.0</v>
      </c>
      <c r="AO29" s="1156">
        <v>6436.0</v>
      </c>
      <c r="AP29" s="1156">
        <v>6549.0</v>
      </c>
      <c r="AQ29" s="1156">
        <v>6451.0</v>
      </c>
      <c r="AR29" s="1156">
        <v>6490.0</v>
      </c>
      <c r="AS29" s="1156">
        <v>6605.0</v>
      </c>
      <c r="AT29" s="1156">
        <v>6627.0</v>
      </c>
      <c r="AU29" s="1156">
        <v>11440.0</v>
      </c>
      <c r="AV29" s="1156">
        <v>82719.0</v>
      </c>
    </row>
    <row r="30">
      <c r="A30" s="1153"/>
      <c r="B30" s="1154" t="s">
        <v>479</v>
      </c>
      <c r="C30" s="1155" t="s">
        <v>23</v>
      </c>
      <c r="D30" s="1156">
        <v>91147.0</v>
      </c>
      <c r="E30" s="1156">
        <v>6911.0</v>
      </c>
      <c r="F30" s="1156">
        <v>6901.0</v>
      </c>
      <c r="G30" s="1156">
        <v>7205.0</v>
      </c>
      <c r="H30" s="1156">
        <v>7187.0</v>
      </c>
      <c r="I30" s="1156">
        <v>7350.0</v>
      </c>
      <c r="J30" s="1156">
        <v>7420.0</v>
      </c>
      <c r="K30" s="1156">
        <v>7542.0</v>
      </c>
      <c r="L30" s="1156">
        <v>7694.0</v>
      </c>
      <c r="M30" s="1156">
        <v>7889.0</v>
      </c>
      <c r="N30" s="1156">
        <v>8036.0</v>
      </c>
      <c r="O30" s="1156">
        <v>8334.0</v>
      </c>
      <c r="P30" s="1156">
        <v>8677.0</v>
      </c>
      <c r="Q30" s="1156">
        <v>7339.0</v>
      </c>
      <c r="R30" s="1156">
        <v>7264.0</v>
      </c>
      <c r="S30" s="1156">
        <v>7606.0</v>
      </c>
      <c r="T30" s="1156">
        <v>7188.0</v>
      </c>
      <c r="U30" s="1156">
        <v>7259.0</v>
      </c>
      <c r="V30" s="1156">
        <v>8802.0</v>
      </c>
      <c r="W30" s="1157"/>
      <c r="X30" s="1157"/>
      <c r="Y30" s="1157"/>
      <c r="Z30" s="1157"/>
      <c r="AA30" s="1157"/>
      <c r="AB30" s="1157"/>
      <c r="AC30" s="1158">
        <v>45458.0</v>
      </c>
      <c r="AD30" s="1162">
        <v>0.9</v>
      </c>
      <c r="AE30" s="1160">
        <v>0.499</v>
      </c>
      <c r="AF30" s="1163">
        <v>2.0</v>
      </c>
      <c r="AG30" s="1162">
        <v>1.027</v>
      </c>
      <c r="AH30" s="1163">
        <v>3.0</v>
      </c>
      <c r="AI30" s="1156">
        <v>44245.0</v>
      </c>
      <c r="AJ30" s="1156">
        <v>6425.0</v>
      </c>
      <c r="AK30" s="1156">
        <v>6271.0</v>
      </c>
      <c r="AL30" s="1156">
        <v>6264.0</v>
      </c>
      <c r="AM30" s="1156">
        <v>6259.0</v>
      </c>
      <c r="AN30" s="1156">
        <v>6309.0</v>
      </c>
      <c r="AO30" s="1156">
        <v>6078.0</v>
      </c>
      <c r="AP30" s="1156">
        <v>6640.0</v>
      </c>
      <c r="AQ30" s="1156">
        <v>6324.0</v>
      </c>
      <c r="AR30" s="1156">
        <v>6552.0</v>
      </c>
      <c r="AS30" s="1156">
        <v>6440.0</v>
      </c>
      <c r="AT30" s="1156">
        <v>6395.0</v>
      </c>
      <c r="AU30" s="1156">
        <v>8320.0</v>
      </c>
      <c r="AV30" s="1156">
        <v>78276.0</v>
      </c>
    </row>
    <row r="31">
      <c r="A31" s="1153"/>
      <c r="B31" s="1154" t="s">
        <v>491</v>
      </c>
      <c r="C31" s="1155" t="s">
        <v>23</v>
      </c>
      <c r="D31" s="1156">
        <v>50108.0</v>
      </c>
      <c r="E31" s="1156">
        <v>3707.0</v>
      </c>
      <c r="F31" s="1156">
        <v>3696.0</v>
      </c>
      <c r="G31" s="1156">
        <v>3936.0</v>
      </c>
      <c r="H31" s="1156">
        <v>3891.0</v>
      </c>
      <c r="I31" s="1156">
        <v>4002.0</v>
      </c>
      <c r="J31" s="1156">
        <v>4044.0</v>
      </c>
      <c r="K31" s="1156">
        <v>4134.0</v>
      </c>
      <c r="L31" s="1156">
        <v>4237.0</v>
      </c>
      <c r="M31" s="1156">
        <v>4440.0</v>
      </c>
      <c r="N31" s="1156">
        <v>4550.0</v>
      </c>
      <c r="O31" s="1156">
        <v>4595.0</v>
      </c>
      <c r="P31" s="1156">
        <v>4876.0</v>
      </c>
      <c r="Q31" s="1156">
        <v>3561.0</v>
      </c>
      <c r="R31" s="1156">
        <v>3550.0</v>
      </c>
      <c r="S31" s="1156">
        <v>3606.0</v>
      </c>
      <c r="T31" s="1156">
        <v>3557.0</v>
      </c>
      <c r="U31" s="1156">
        <v>3658.0</v>
      </c>
      <c r="V31" s="1156">
        <v>3705.0</v>
      </c>
      <c r="W31" s="1157"/>
      <c r="X31" s="1157"/>
      <c r="Y31" s="1157"/>
      <c r="Z31" s="1157"/>
      <c r="AA31" s="1157"/>
      <c r="AB31" s="1157"/>
      <c r="AC31" s="1158">
        <v>21637.0</v>
      </c>
      <c r="AD31" s="1159">
        <v>0.789</v>
      </c>
      <c r="AE31" s="1160">
        <v>0.432</v>
      </c>
      <c r="AF31" s="1164">
        <v>20.0</v>
      </c>
      <c r="AG31" s="1162">
        <v>0.914</v>
      </c>
      <c r="AH31" s="1161">
        <v>17.0</v>
      </c>
      <c r="AI31" s="1156">
        <v>23685.0</v>
      </c>
      <c r="AJ31" s="1156">
        <v>3429.0</v>
      </c>
      <c r="AK31" s="1156">
        <v>3405.0</v>
      </c>
      <c r="AL31" s="1156">
        <v>3378.0</v>
      </c>
      <c r="AM31" s="1156">
        <v>3332.0</v>
      </c>
      <c r="AN31" s="1156">
        <v>3370.0</v>
      </c>
      <c r="AO31" s="1156">
        <v>3336.0</v>
      </c>
      <c r="AP31" s="1156">
        <v>3435.0</v>
      </c>
      <c r="AQ31" s="1156">
        <v>3315.0</v>
      </c>
      <c r="AR31" s="1156">
        <v>3293.0</v>
      </c>
      <c r="AS31" s="1156">
        <v>3472.0</v>
      </c>
      <c r="AT31" s="1156">
        <v>3367.0</v>
      </c>
      <c r="AU31" s="1156">
        <v>3634.0</v>
      </c>
      <c r="AV31" s="1156">
        <v>40767.0</v>
      </c>
    </row>
    <row r="32">
      <c r="A32" s="1153"/>
      <c r="B32" s="1154" t="s">
        <v>43</v>
      </c>
      <c r="C32" s="1155" t="s">
        <v>23</v>
      </c>
      <c r="D32" s="1156">
        <v>153363.0</v>
      </c>
      <c r="E32" s="1156">
        <v>11901.0</v>
      </c>
      <c r="F32" s="1156">
        <v>11792.0</v>
      </c>
      <c r="G32" s="1156">
        <v>12407.0</v>
      </c>
      <c r="H32" s="1156">
        <v>12207.0</v>
      </c>
      <c r="I32" s="1156">
        <v>12461.0</v>
      </c>
      <c r="J32" s="1156">
        <v>12506.0</v>
      </c>
      <c r="K32" s="1156">
        <v>12683.0</v>
      </c>
      <c r="L32" s="1156">
        <v>12913.0</v>
      </c>
      <c r="M32" s="1156">
        <v>13037.0</v>
      </c>
      <c r="N32" s="1156">
        <v>13554.0</v>
      </c>
      <c r="O32" s="1156">
        <v>13609.0</v>
      </c>
      <c r="P32" s="1156">
        <v>14292.0</v>
      </c>
      <c r="Q32" s="1156">
        <v>12144.0</v>
      </c>
      <c r="R32" s="1156">
        <v>11726.0</v>
      </c>
      <c r="S32" s="1156">
        <v>14057.0</v>
      </c>
      <c r="T32" s="1156">
        <v>12073.0</v>
      </c>
      <c r="U32" s="1156">
        <v>12156.0</v>
      </c>
      <c r="V32" s="1156">
        <v>12070.0</v>
      </c>
      <c r="W32" s="1157"/>
      <c r="X32" s="1157"/>
      <c r="Y32" s="1157"/>
      <c r="Z32" s="1157"/>
      <c r="AA32" s="1157"/>
      <c r="AB32" s="1157"/>
      <c r="AC32" s="1158">
        <v>74225.0</v>
      </c>
      <c r="AD32" s="1162">
        <v>0.864</v>
      </c>
      <c r="AE32" s="1160">
        <v>0.484</v>
      </c>
      <c r="AF32" s="1161">
        <v>4.0</v>
      </c>
      <c r="AG32" s="1162">
        <v>0.941</v>
      </c>
      <c r="AH32" s="1161">
        <v>12.0</v>
      </c>
      <c r="AI32" s="1156">
        <v>78911.0</v>
      </c>
      <c r="AJ32" s="1156">
        <v>11186.0</v>
      </c>
      <c r="AK32" s="1156">
        <v>11213.0</v>
      </c>
      <c r="AL32" s="1156">
        <v>11278.0</v>
      </c>
      <c r="AM32" s="1156">
        <v>11288.0</v>
      </c>
      <c r="AN32" s="1156">
        <v>11174.0</v>
      </c>
      <c r="AO32" s="1156">
        <v>11228.0</v>
      </c>
      <c r="AP32" s="1156">
        <v>11544.0</v>
      </c>
      <c r="AQ32" s="1156">
        <v>11111.0</v>
      </c>
      <c r="AR32" s="1156">
        <v>11137.0</v>
      </c>
      <c r="AS32" s="1156">
        <v>11508.0</v>
      </c>
      <c r="AT32" s="1156">
        <v>11750.0</v>
      </c>
      <c r="AU32" s="1156">
        <v>12822.0</v>
      </c>
      <c r="AV32" s="1156">
        <v>137240.0</v>
      </c>
    </row>
    <row r="33">
      <c r="A33" s="1153"/>
      <c r="B33" s="1154" t="s">
        <v>480</v>
      </c>
      <c r="C33" s="1155" t="s">
        <v>23</v>
      </c>
      <c r="D33" s="1156">
        <v>56796.0</v>
      </c>
      <c r="E33" s="1156">
        <v>4237.0</v>
      </c>
      <c r="F33" s="1156">
        <v>4245.0</v>
      </c>
      <c r="G33" s="1156">
        <v>4448.0</v>
      </c>
      <c r="H33" s="1156">
        <v>4441.0</v>
      </c>
      <c r="I33" s="1156">
        <v>4549.0</v>
      </c>
      <c r="J33" s="1156">
        <v>4604.0</v>
      </c>
      <c r="K33" s="1156">
        <v>4695.0</v>
      </c>
      <c r="L33" s="1156">
        <v>4797.0</v>
      </c>
      <c r="M33" s="1156">
        <v>4822.0</v>
      </c>
      <c r="N33" s="1156">
        <v>5124.0</v>
      </c>
      <c r="O33" s="1156">
        <v>5181.0</v>
      </c>
      <c r="P33" s="1156">
        <v>5653.0</v>
      </c>
      <c r="Q33" s="1156">
        <v>4260.0</v>
      </c>
      <c r="R33" s="1156">
        <v>4279.0</v>
      </c>
      <c r="S33" s="1156">
        <v>4334.0</v>
      </c>
      <c r="T33" s="1156">
        <v>4290.0</v>
      </c>
      <c r="U33" s="1156">
        <v>4368.0</v>
      </c>
      <c r="V33" s="1156">
        <v>4403.0</v>
      </c>
      <c r="W33" s="1157"/>
      <c r="X33" s="1157"/>
      <c r="Y33" s="1157"/>
      <c r="Z33" s="1157"/>
      <c r="AA33" s="1157"/>
      <c r="AB33" s="1157"/>
      <c r="AC33" s="1158">
        <v>25934.0</v>
      </c>
      <c r="AD33" s="1159">
        <v>0.831</v>
      </c>
      <c r="AE33" s="1160">
        <v>0.457</v>
      </c>
      <c r="AF33" s="1161">
        <v>13.0</v>
      </c>
      <c r="AG33" s="1162">
        <v>0.981</v>
      </c>
      <c r="AH33" s="1161">
        <v>4.0</v>
      </c>
      <c r="AI33" s="1156">
        <v>26431.0</v>
      </c>
      <c r="AJ33" s="1156">
        <v>3793.0</v>
      </c>
      <c r="AK33" s="1156">
        <v>3758.0</v>
      </c>
      <c r="AL33" s="1156">
        <v>3792.0</v>
      </c>
      <c r="AM33" s="1156">
        <v>3759.0</v>
      </c>
      <c r="AN33" s="1156">
        <v>3753.0</v>
      </c>
      <c r="AO33" s="1156">
        <v>3758.0</v>
      </c>
      <c r="AP33" s="1156">
        <v>3817.0</v>
      </c>
      <c r="AQ33" s="1156">
        <v>3774.0</v>
      </c>
      <c r="AR33" s="1156">
        <v>3766.0</v>
      </c>
      <c r="AS33" s="1156">
        <v>3948.0</v>
      </c>
      <c r="AT33" s="1156">
        <v>4286.0</v>
      </c>
      <c r="AU33" s="1156">
        <v>4583.0</v>
      </c>
      <c r="AV33" s="1156">
        <v>46788.0</v>
      </c>
    </row>
    <row r="34">
      <c r="A34" s="1153"/>
      <c r="B34" s="1154" t="s">
        <v>45</v>
      </c>
      <c r="C34" s="1155" t="s">
        <v>23</v>
      </c>
      <c r="D34" s="1156">
        <v>54787.0</v>
      </c>
      <c r="E34" s="1156">
        <v>4100.0</v>
      </c>
      <c r="F34" s="1156">
        <v>4055.0</v>
      </c>
      <c r="G34" s="1156">
        <v>4344.0</v>
      </c>
      <c r="H34" s="1156">
        <v>4265.0</v>
      </c>
      <c r="I34" s="1156">
        <v>4392.0</v>
      </c>
      <c r="J34" s="1156">
        <v>4418.0</v>
      </c>
      <c r="K34" s="1156">
        <v>4509.0</v>
      </c>
      <c r="L34" s="1156">
        <v>4625.0</v>
      </c>
      <c r="M34" s="1156">
        <v>4791.0</v>
      </c>
      <c r="N34" s="1156">
        <v>4906.0</v>
      </c>
      <c r="O34" s="1156">
        <v>4935.0</v>
      </c>
      <c r="P34" s="1156">
        <v>5447.0</v>
      </c>
      <c r="Q34" s="1156">
        <v>4606.0</v>
      </c>
      <c r="R34" s="1156">
        <v>4497.0</v>
      </c>
      <c r="S34" s="1156">
        <v>6950.0</v>
      </c>
      <c r="T34" s="1156">
        <v>4406.0</v>
      </c>
      <c r="U34" s="1156">
        <v>4467.0</v>
      </c>
      <c r="V34" s="1156">
        <v>4298.0</v>
      </c>
      <c r="W34" s="1157"/>
      <c r="X34" s="1157"/>
      <c r="Y34" s="1157"/>
      <c r="Z34" s="1157"/>
      <c r="AA34" s="1157"/>
      <c r="AB34" s="1157"/>
      <c r="AC34" s="1158">
        <v>29224.0</v>
      </c>
      <c r="AD34" s="1162">
        <v>0.971</v>
      </c>
      <c r="AE34" s="1160">
        <v>0.533</v>
      </c>
      <c r="AF34" s="1163">
        <v>1.0</v>
      </c>
      <c r="AG34" s="1162">
        <v>1.065</v>
      </c>
      <c r="AH34" s="1163">
        <v>2.0</v>
      </c>
      <c r="AI34" s="1156">
        <v>27429.0</v>
      </c>
      <c r="AJ34" s="1156">
        <v>4055.0</v>
      </c>
      <c r="AK34" s="1156">
        <v>3888.0</v>
      </c>
      <c r="AL34" s="1156">
        <v>3860.0</v>
      </c>
      <c r="AM34" s="1156">
        <v>3961.0</v>
      </c>
      <c r="AN34" s="1156">
        <v>3879.0</v>
      </c>
      <c r="AO34" s="1156">
        <v>3777.0</v>
      </c>
      <c r="AP34" s="1156">
        <v>4009.0</v>
      </c>
      <c r="AQ34" s="1156">
        <v>3873.0</v>
      </c>
      <c r="AR34" s="1156">
        <v>3831.0</v>
      </c>
      <c r="AS34" s="1156">
        <v>3915.0</v>
      </c>
      <c r="AT34" s="1156">
        <v>4140.0</v>
      </c>
      <c r="AU34" s="1156">
        <v>5595.0</v>
      </c>
      <c r="AV34" s="1156">
        <v>48783.0</v>
      </c>
    </row>
    <row r="35">
      <c r="A35" s="1153"/>
      <c r="B35" s="1154" t="s">
        <v>490</v>
      </c>
      <c r="C35" s="1155" t="s">
        <v>23</v>
      </c>
      <c r="D35" s="1156">
        <v>133719.0</v>
      </c>
      <c r="E35" s="1156">
        <v>10431.0</v>
      </c>
      <c r="F35" s="1156">
        <v>10289.0</v>
      </c>
      <c r="G35" s="1156">
        <v>10917.0</v>
      </c>
      <c r="H35" s="1156">
        <v>10703.0</v>
      </c>
      <c r="I35" s="1156">
        <v>10964.0</v>
      </c>
      <c r="J35" s="1156">
        <v>10985.0</v>
      </c>
      <c r="K35" s="1156">
        <v>11152.0</v>
      </c>
      <c r="L35" s="1156">
        <v>11382.0</v>
      </c>
      <c r="M35" s="1156">
        <v>11363.0</v>
      </c>
      <c r="N35" s="1156">
        <v>11590.0</v>
      </c>
      <c r="O35" s="1156">
        <v>11822.0</v>
      </c>
      <c r="P35" s="1156">
        <v>12122.0</v>
      </c>
      <c r="Q35" s="1156">
        <v>10931.0</v>
      </c>
      <c r="R35" s="1156">
        <v>10991.0</v>
      </c>
      <c r="S35" s="1156">
        <v>10996.0</v>
      </c>
      <c r="T35" s="1156">
        <v>10934.0</v>
      </c>
      <c r="U35" s="1156">
        <v>11109.0</v>
      </c>
      <c r="V35" s="1156">
        <v>11248.0</v>
      </c>
      <c r="W35" s="1157"/>
      <c r="X35" s="1157"/>
      <c r="Y35" s="1157"/>
      <c r="Z35" s="1157"/>
      <c r="AA35" s="1157"/>
      <c r="AB35" s="1157"/>
      <c r="AC35" s="1158">
        <v>66208.0</v>
      </c>
      <c r="AD35" s="1162">
        <v>0.878</v>
      </c>
      <c r="AE35" s="1160">
        <v>0.495</v>
      </c>
      <c r="AF35" s="1163">
        <v>3.0</v>
      </c>
      <c r="AG35" s="1162">
        <v>0.894</v>
      </c>
      <c r="AH35" s="1161">
        <v>20.0</v>
      </c>
      <c r="AI35" s="1156">
        <v>74042.0</v>
      </c>
      <c r="AJ35" s="1156">
        <v>10905.0</v>
      </c>
      <c r="AK35" s="1156">
        <v>9826.0</v>
      </c>
      <c r="AL35" s="1156">
        <v>10523.0</v>
      </c>
      <c r="AM35" s="1156">
        <v>10876.0</v>
      </c>
      <c r="AN35" s="1156">
        <v>10683.0</v>
      </c>
      <c r="AO35" s="1156">
        <v>10256.0</v>
      </c>
      <c r="AP35" s="1156">
        <v>10972.0</v>
      </c>
      <c r="AQ35" s="1156">
        <v>10370.0</v>
      </c>
      <c r="AR35" s="1156">
        <v>10693.0</v>
      </c>
      <c r="AS35" s="1156">
        <v>10160.0</v>
      </c>
      <c r="AT35" s="1156">
        <v>9867.0</v>
      </c>
      <c r="AU35" s="1156">
        <v>11181.0</v>
      </c>
      <c r="AV35" s="1156">
        <v>126312.0</v>
      </c>
    </row>
    <row r="36">
      <c r="A36" s="1153"/>
      <c r="B36" s="1154" t="s">
        <v>486</v>
      </c>
      <c r="C36" s="1155" t="s">
        <v>23</v>
      </c>
      <c r="D36" s="1156">
        <v>30403.0</v>
      </c>
      <c r="E36" s="1156">
        <v>2118.0</v>
      </c>
      <c r="F36" s="1156">
        <v>2126.0</v>
      </c>
      <c r="G36" s="1156">
        <v>2289.0</v>
      </c>
      <c r="H36" s="1156">
        <v>2274.0</v>
      </c>
      <c r="I36" s="1156">
        <v>2357.0</v>
      </c>
      <c r="J36" s="1156">
        <v>2398.0</v>
      </c>
      <c r="K36" s="1156">
        <v>2470.0</v>
      </c>
      <c r="L36" s="1156">
        <v>2548.0</v>
      </c>
      <c r="M36" s="1156">
        <v>2765.0</v>
      </c>
      <c r="N36" s="1156">
        <v>2844.0</v>
      </c>
      <c r="O36" s="1156">
        <v>2887.0</v>
      </c>
      <c r="P36" s="1156">
        <v>3327.0</v>
      </c>
      <c r="Q36" s="1156">
        <v>2391.0</v>
      </c>
      <c r="R36" s="1156">
        <v>2368.0</v>
      </c>
      <c r="S36" s="1156">
        <v>2270.0</v>
      </c>
      <c r="T36" s="1156">
        <v>2276.0</v>
      </c>
      <c r="U36" s="1156">
        <v>2284.0</v>
      </c>
      <c r="V36" s="1156">
        <v>2256.0</v>
      </c>
      <c r="W36" s="1157"/>
      <c r="X36" s="1157"/>
      <c r="Y36" s="1157"/>
      <c r="Z36" s="1157"/>
      <c r="AA36" s="1157"/>
      <c r="AB36" s="1157"/>
      <c r="AC36" s="1158">
        <v>13845.0</v>
      </c>
      <c r="AD36" s="1162">
        <v>0.864</v>
      </c>
      <c r="AE36" s="1160">
        <v>0.455</v>
      </c>
      <c r="AF36" s="1161">
        <v>14.0</v>
      </c>
      <c r="AG36" s="1162">
        <v>1.089</v>
      </c>
      <c r="AH36" s="1163">
        <v>1.0</v>
      </c>
      <c r="AI36" s="1156">
        <v>12708.0</v>
      </c>
      <c r="AJ36" s="1156">
        <v>1848.0</v>
      </c>
      <c r="AK36" s="1156">
        <v>1794.0</v>
      </c>
      <c r="AL36" s="1156">
        <v>1816.0</v>
      </c>
      <c r="AM36" s="1156">
        <v>1771.0</v>
      </c>
      <c r="AN36" s="1156">
        <v>1821.0</v>
      </c>
      <c r="AO36" s="1156">
        <v>1774.0</v>
      </c>
      <c r="AP36" s="1156">
        <v>1884.0</v>
      </c>
      <c r="AQ36" s="1156">
        <v>1853.0</v>
      </c>
      <c r="AR36" s="1156">
        <v>1768.0</v>
      </c>
      <c r="AS36" s="1156">
        <v>1831.0</v>
      </c>
      <c r="AT36" s="1156">
        <v>2281.0</v>
      </c>
      <c r="AU36" s="1156">
        <v>2711.0</v>
      </c>
      <c r="AV36" s="1156">
        <v>23153.0</v>
      </c>
    </row>
    <row r="37">
      <c r="A37" s="1153"/>
      <c r="B37" s="1154" t="s">
        <v>493</v>
      </c>
      <c r="C37" s="1155" t="s">
        <v>23</v>
      </c>
      <c r="D37" s="1156">
        <v>40075.0</v>
      </c>
      <c r="E37" s="1156">
        <v>2941.0</v>
      </c>
      <c r="F37" s="1156">
        <v>2963.0</v>
      </c>
      <c r="G37" s="1156">
        <v>3098.0</v>
      </c>
      <c r="H37" s="1156">
        <v>3093.0</v>
      </c>
      <c r="I37" s="1156">
        <v>3178.0</v>
      </c>
      <c r="J37" s="1156">
        <v>3220.0</v>
      </c>
      <c r="K37" s="1156">
        <v>3287.0</v>
      </c>
      <c r="L37" s="1156">
        <v>3365.0</v>
      </c>
      <c r="M37" s="1156">
        <v>3377.0</v>
      </c>
      <c r="N37" s="1156">
        <v>3663.0</v>
      </c>
      <c r="O37" s="1156">
        <v>3923.0</v>
      </c>
      <c r="P37" s="1156">
        <v>3968.0</v>
      </c>
      <c r="Q37" s="1156">
        <v>3095.0</v>
      </c>
      <c r="R37" s="1156">
        <v>3172.0</v>
      </c>
      <c r="S37" s="1156">
        <v>3152.0</v>
      </c>
      <c r="T37" s="1156">
        <v>3086.0</v>
      </c>
      <c r="U37" s="1156">
        <v>3194.0</v>
      </c>
      <c r="V37" s="1156">
        <v>3200.0</v>
      </c>
      <c r="W37" s="1157"/>
      <c r="X37" s="1157"/>
      <c r="Y37" s="1157"/>
      <c r="Z37" s="1157"/>
      <c r="AA37" s="1157"/>
      <c r="AB37" s="1157"/>
      <c r="AC37" s="1158">
        <v>18899.0</v>
      </c>
      <c r="AD37" s="1162">
        <v>0.868</v>
      </c>
      <c r="AE37" s="1160">
        <v>0.472</v>
      </c>
      <c r="AF37" s="1161">
        <v>7.0</v>
      </c>
      <c r="AG37" s="1162">
        <v>0.974</v>
      </c>
      <c r="AH37" s="1161">
        <v>6.0</v>
      </c>
      <c r="AI37" s="1156">
        <v>19414.0</v>
      </c>
      <c r="AJ37" s="1156">
        <v>2761.0</v>
      </c>
      <c r="AK37" s="1156">
        <v>2811.0</v>
      </c>
      <c r="AL37" s="1156">
        <v>2728.0</v>
      </c>
      <c r="AM37" s="1156">
        <v>2745.0</v>
      </c>
      <c r="AN37" s="1156">
        <v>2780.0</v>
      </c>
      <c r="AO37" s="1156">
        <v>2766.0</v>
      </c>
      <c r="AP37" s="1156">
        <v>2822.0</v>
      </c>
      <c r="AQ37" s="1156">
        <v>2722.0</v>
      </c>
      <c r="AR37" s="1156">
        <v>2755.0</v>
      </c>
      <c r="AS37" s="1156">
        <v>2830.0</v>
      </c>
      <c r="AT37" s="1156">
        <v>2823.0</v>
      </c>
      <c r="AU37" s="1156">
        <v>3760.0</v>
      </c>
      <c r="AV37" s="1156">
        <v>34304.0</v>
      </c>
    </row>
    <row r="38">
      <c r="A38" s="1153"/>
      <c r="B38" s="1154" t="s">
        <v>487</v>
      </c>
      <c r="C38" s="1155" t="s">
        <v>23</v>
      </c>
      <c r="D38" s="1156">
        <v>36237.0</v>
      </c>
      <c r="E38" s="1156">
        <v>2625.0</v>
      </c>
      <c r="F38" s="1156">
        <v>2609.0</v>
      </c>
      <c r="G38" s="1156">
        <v>2815.0</v>
      </c>
      <c r="H38" s="1156">
        <v>2772.0</v>
      </c>
      <c r="I38" s="1156">
        <v>2868.0</v>
      </c>
      <c r="J38" s="1156">
        <v>2899.0</v>
      </c>
      <c r="K38" s="1156">
        <v>2973.0</v>
      </c>
      <c r="L38" s="1156">
        <v>3062.0</v>
      </c>
      <c r="M38" s="1156">
        <v>3255.0</v>
      </c>
      <c r="N38" s="1156">
        <v>3340.0</v>
      </c>
      <c r="O38" s="1156">
        <v>3378.0</v>
      </c>
      <c r="P38" s="1156">
        <v>3641.0</v>
      </c>
      <c r="Q38" s="1156">
        <v>2813.0</v>
      </c>
      <c r="R38" s="1156">
        <v>2740.0</v>
      </c>
      <c r="S38" s="1156">
        <v>2751.0</v>
      </c>
      <c r="T38" s="1156">
        <v>2843.0</v>
      </c>
      <c r="U38" s="1156">
        <v>2854.0</v>
      </c>
      <c r="V38" s="1156">
        <v>2771.0</v>
      </c>
      <c r="W38" s="1157"/>
      <c r="X38" s="1157"/>
      <c r="Y38" s="1157"/>
      <c r="Z38" s="1157"/>
      <c r="AA38" s="1157"/>
      <c r="AB38" s="1157"/>
      <c r="AC38" s="1158">
        <v>16772.0</v>
      </c>
      <c r="AD38" s="1162">
        <v>0.857</v>
      </c>
      <c r="AE38" s="1160">
        <v>0.463</v>
      </c>
      <c r="AF38" s="1161">
        <v>10.0</v>
      </c>
      <c r="AG38" s="1162">
        <v>0.978</v>
      </c>
      <c r="AH38" s="1161">
        <v>5.0</v>
      </c>
      <c r="AI38" s="1156">
        <v>17159.0</v>
      </c>
      <c r="AJ38" s="1156">
        <v>2466.0</v>
      </c>
      <c r="AK38" s="1156">
        <v>2408.0</v>
      </c>
      <c r="AL38" s="1156">
        <v>2456.0</v>
      </c>
      <c r="AM38" s="1156">
        <v>2458.0</v>
      </c>
      <c r="AN38" s="1156">
        <v>2482.0</v>
      </c>
      <c r="AO38" s="1156">
        <v>2396.0</v>
      </c>
      <c r="AP38" s="1156">
        <v>2493.0</v>
      </c>
      <c r="AQ38" s="1156">
        <v>2457.0</v>
      </c>
      <c r="AR38" s="1156">
        <v>2405.0</v>
      </c>
      <c r="AS38" s="1156">
        <v>2452.0</v>
      </c>
      <c r="AT38" s="1156">
        <v>2379.0</v>
      </c>
      <c r="AU38" s="1156">
        <v>2879.0</v>
      </c>
      <c r="AV38" s="1156">
        <v>29731.0</v>
      </c>
    </row>
    <row r="39">
      <c r="A39" s="1153"/>
      <c r="B39" s="1154" t="s">
        <v>494</v>
      </c>
      <c r="C39" s="1155" t="s">
        <v>23</v>
      </c>
      <c r="D39" s="1156">
        <v>50415.0</v>
      </c>
      <c r="E39" s="1156">
        <v>3772.0</v>
      </c>
      <c r="F39" s="1156">
        <v>3747.0</v>
      </c>
      <c r="G39" s="1156">
        <v>3996.0</v>
      </c>
      <c r="H39" s="1156">
        <v>3935.0</v>
      </c>
      <c r="I39" s="1156">
        <v>4046.0</v>
      </c>
      <c r="J39" s="1156">
        <v>4077.0</v>
      </c>
      <c r="K39" s="1156">
        <v>4157.0</v>
      </c>
      <c r="L39" s="1156">
        <v>4258.0</v>
      </c>
      <c r="M39" s="1156">
        <v>4243.0</v>
      </c>
      <c r="N39" s="1156">
        <v>4743.0</v>
      </c>
      <c r="O39" s="1156">
        <v>4578.0</v>
      </c>
      <c r="P39" s="1156">
        <v>4864.0</v>
      </c>
      <c r="Q39" s="1156">
        <v>3958.0</v>
      </c>
      <c r="R39" s="1156">
        <v>3972.0</v>
      </c>
      <c r="S39" s="1156">
        <v>4025.0</v>
      </c>
      <c r="T39" s="1156">
        <v>4046.0</v>
      </c>
      <c r="U39" s="1156">
        <v>4182.0</v>
      </c>
      <c r="V39" s="1156">
        <v>4054.0</v>
      </c>
      <c r="W39" s="1157"/>
      <c r="X39" s="1157"/>
      <c r="Y39" s="1157"/>
      <c r="Z39" s="1157"/>
      <c r="AA39" s="1157"/>
      <c r="AB39" s="1157"/>
      <c r="AC39" s="1158">
        <v>24237.0</v>
      </c>
      <c r="AD39" s="1162">
        <v>0.874</v>
      </c>
      <c r="AE39" s="1160">
        <v>0.481</v>
      </c>
      <c r="AF39" s="1161">
        <v>5.0</v>
      </c>
      <c r="AG39" s="1162">
        <v>0.967</v>
      </c>
      <c r="AH39" s="1161">
        <v>7.0</v>
      </c>
      <c r="AI39" s="1156">
        <v>25060.0</v>
      </c>
      <c r="AJ39" s="1156">
        <v>3641.0</v>
      </c>
      <c r="AK39" s="1156">
        <v>3516.0</v>
      </c>
      <c r="AL39" s="1156">
        <v>3570.0</v>
      </c>
      <c r="AM39" s="1156">
        <v>3569.0</v>
      </c>
      <c r="AN39" s="1156">
        <v>3622.0</v>
      </c>
      <c r="AO39" s="1156">
        <v>3514.0</v>
      </c>
      <c r="AP39" s="1156">
        <v>3626.0</v>
      </c>
      <c r="AQ39" s="1156">
        <v>3591.0</v>
      </c>
      <c r="AR39" s="1156">
        <v>3556.0</v>
      </c>
      <c r="AS39" s="1156">
        <v>3499.0</v>
      </c>
      <c r="AT39" s="1156">
        <v>3531.0</v>
      </c>
      <c r="AU39" s="1156">
        <v>3740.0</v>
      </c>
      <c r="AV39" s="1156">
        <v>42977.0</v>
      </c>
    </row>
    <row r="40">
      <c r="A40" s="1153"/>
      <c r="B40" s="1154" t="s">
        <v>489</v>
      </c>
      <c r="C40" s="1155" t="s">
        <v>23</v>
      </c>
      <c r="D40" s="1156">
        <v>45514.0</v>
      </c>
      <c r="E40" s="1156">
        <v>3327.0</v>
      </c>
      <c r="F40" s="1156">
        <v>3315.0</v>
      </c>
      <c r="G40" s="1156">
        <v>3512.0</v>
      </c>
      <c r="H40" s="1156">
        <v>3491.0</v>
      </c>
      <c r="I40" s="1156">
        <v>3597.0</v>
      </c>
      <c r="J40" s="1156">
        <v>3635.0</v>
      </c>
      <c r="K40" s="1156">
        <v>3720.0</v>
      </c>
      <c r="L40" s="1156">
        <v>3814.0</v>
      </c>
      <c r="M40" s="1156">
        <v>4217.0</v>
      </c>
      <c r="N40" s="1156">
        <v>4111.0</v>
      </c>
      <c r="O40" s="1156">
        <v>4153.0</v>
      </c>
      <c r="P40" s="1156">
        <v>4620.0</v>
      </c>
      <c r="Q40" s="1156">
        <v>3419.0</v>
      </c>
      <c r="R40" s="1156">
        <v>3312.0</v>
      </c>
      <c r="S40" s="1156">
        <v>3374.0</v>
      </c>
      <c r="T40" s="1156">
        <v>3509.0</v>
      </c>
      <c r="U40" s="1156">
        <v>3475.0</v>
      </c>
      <c r="V40" s="1156">
        <v>3390.0</v>
      </c>
      <c r="W40" s="1157"/>
      <c r="X40" s="1157"/>
      <c r="Y40" s="1157"/>
      <c r="Z40" s="1157"/>
      <c r="AA40" s="1157"/>
      <c r="AB40" s="1157"/>
      <c r="AC40" s="1158">
        <v>20478.0</v>
      </c>
      <c r="AD40" s="1159">
        <v>0.833</v>
      </c>
      <c r="AE40" s="1160">
        <v>0.45</v>
      </c>
      <c r="AF40" s="1161">
        <v>16.0</v>
      </c>
      <c r="AG40" s="1162">
        <v>0.944</v>
      </c>
      <c r="AH40" s="1161">
        <v>11.0</v>
      </c>
      <c r="AI40" s="1156">
        <v>21689.0</v>
      </c>
      <c r="AJ40" s="1156">
        <v>3044.0</v>
      </c>
      <c r="AK40" s="1156">
        <v>3171.0</v>
      </c>
      <c r="AL40" s="1156">
        <v>3099.0</v>
      </c>
      <c r="AM40" s="1156">
        <v>3010.0</v>
      </c>
      <c r="AN40" s="1156">
        <v>3009.0</v>
      </c>
      <c r="AO40" s="1156">
        <v>2961.0</v>
      </c>
      <c r="AP40" s="1156">
        <v>3397.0</v>
      </c>
      <c r="AQ40" s="1156">
        <v>2985.0</v>
      </c>
      <c r="AR40" s="1156">
        <v>3029.0</v>
      </c>
      <c r="AS40" s="1156">
        <v>3027.0</v>
      </c>
      <c r="AT40" s="1156">
        <v>2952.0</v>
      </c>
      <c r="AU40" s="1156">
        <v>3374.0</v>
      </c>
      <c r="AV40" s="1156">
        <v>37056.0</v>
      </c>
    </row>
    <row r="41">
      <c r="A41" s="1153"/>
      <c r="B41" s="1154" t="s">
        <v>482</v>
      </c>
      <c r="C41" s="1155" t="s">
        <v>23</v>
      </c>
      <c r="D41" s="1156">
        <v>39901.0</v>
      </c>
      <c r="E41" s="1156">
        <v>2855.0</v>
      </c>
      <c r="F41" s="1156">
        <v>2851.0</v>
      </c>
      <c r="G41" s="1156">
        <v>3042.0</v>
      </c>
      <c r="H41" s="1156">
        <v>3008.0</v>
      </c>
      <c r="I41" s="1156">
        <v>3096.0</v>
      </c>
      <c r="J41" s="1156">
        <v>3133.0</v>
      </c>
      <c r="K41" s="1156">
        <v>3200.0</v>
      </c>
      <c r="L41" s="1156">
        <v>3284.0</v>
      </c>
      <c r="M41" s="1156">
        <v>3690.0</v>
      </c>
      <c r="N41" s="1156">
        <v>3737.0</v>
      </c>
      <c r="O41" s="1156">
        <v>3977.0</v>
      </c>
      <c r="P41" s="1156">
        <v>4027.0</v>
      </c>
      <c r="Q41" s="1156">
        <v>2959.0</v>
      </c>
      <c r="R41" s="1156">
        <v>2625.0</v>
      </c>
      <c r="S41" s="1156">
        <v>2741.0</v>
      </c>
      <c r="T41" s="1156">
        <v>2921.0</v>
      </c>
      <c r="U41" s="1156">
        <v>2715.0</v>
      </c>
      <c r="V41" s="1156">
        <v>2698.0</v>
      </c>
      <c r="W41" s="1157"/>
      <c r="X41" s="1157"/>
      <c r="Y41" s="1157"/>
      <c r="Z41" s="1157"/>
      <c r="AA41" s="1157"/>
      <c r="AB41" s="1157"/>
      <c r="AC41" s="1158">
        <v>16659.0</v>
      </c>
      <c r="AD41" s="1159">
        <v>0.786</v>
      </c>
      <c r="AE41" s="1160">
        <v>0.418</v>
      </c>
      <c r="AF41" s="1164">
        <v>22.0</v>
      </c>
      <c r="AG41" s="1159">
        <v>0.79</v>
      </c>
      <c r="AH41" s="1164">
        <v>22.0</v>
      </c>
      <c r="AI41" s="1156">
        <v>21096.0</v>
      </c>
      <c r="AJ41" s="1156">
        <v>3661.0</v>
      </c>
      <c r="AK41" s="1156">
        <v>3026.0</v>
      </c>
      <c r="AL41" s="1156">
        <v>3202.0</v>
      </c>
      <c r="AM41" s="1156">
        <v>2929.0</v>
      </c>
      <c r="AN41" s="1156">
        <v>2798.0</v>
      </c>
      <c r="AO41" s="1156">
        <v>2816.0</v>
      </c>
      <c r="AP41" s="1156">
        <v>2664.0</v>
      </c>
      <c r="AQ41" s="1156">
        <v>2642.0</v>
      </c>
      <c r="AR41" s="1156">
        <v>2584.0</v>
      </c>
      <c r="AS41" s="1156">
        <v>2641.0</v>
      </c>
      <c r="AT41" s="1156">
        <v>2825.0</v>
      </c>
      <c r="AU41" s="1156">
        <v>2750.0</v>
      </c>
      <c r="AV41" s="1156">
        <v>34539.0</v>
      </c>
    </row>
    <row r="42">
      <c r="A42" s="1153"/>
      <c r="B42" s="1154" t="s">
        <v>498</v>
      </c>
      <c r="C42" s="1155" t="s">
        <v>23</v>
      </c>
      <c r="D42" s="1156">
        <v>56141.0</v>
      </c>
      <c r="E42" s="1156">
        <v>4139.0</v>
      </c>
      <c r="F42" s="1156">
        <v>4131.0</v>
      </c>
      <c r="G42" s="1156">
        <v>4380.0</v>
      </c>
      <c r="H42" s="1156">
        <v>4330.0</v>
      </c>
      <c r="I42" s="1156">
        <v>4444.0</v>
      </c>
      <c r="J42" s="1156">
        <v>4490.0</v>
      </c>
      <c r="K42" s="1156">
        <v>4578.0</v>
      </c>
      <c r="L42" s="1156">
        <v>4684.0</v>
      </c>
      <c r="M42" s="1156">
        <v>5091.0</v>
      </c>
      <c r="N42" s="1156">
        <v>5164.0</v>
      </c>
      <c r="O42" s="1156">
        <v>5213.0</v>
      </c>
      <c r="P42" s="1156">
        <v>5497.0</v>
      </c>
      <c r="Q42" s="1156">
        <v>4506.0</v>
      </c>
      <c r="R42" s="1156">
        <v>4033.0</v>
      </c>
      <c r="S42" s="1156">
        <v>4144.0</v>
      </c>
      <c r="T42" s="1156">
        <v>4313.0</v>
      </c>
      <c r="U42" s="1156">
        <v>4168.0</v>
      </c>
      <c r="V42" s="1156">
        <v>4094.0</v>
      </c>
      <c r="W42" s="1157"/>
      <c r="X42" s="1157"/>
      <c r="Y42" s="1157"/>
      <c r="Z42" s="1157"/>
      <c r="AA42" s="1157"/>
      <c r="AB42" s="1157"/>
      <c r="AC42" s="1158">
        <v>25259.0</v>
      </c>
      <c r="AD42" s="1159">
        <v>0.828</v>
      </c>
      <c r="AE42" s="1160">
        <v>0.45</v>
      </c>
      <c r="AF42" s="1161">
        <v>17.0</v>
      </c>
      <c r="AG42" s="1162">
        <v>0.914</v>
      </c>
      <c r="AH42" s="1161">
        <v>16.0</v>
      </c>
      <c r="AI42" s="1156">
        <v>27630.0</v>
      </c>
      <c r="AJ42" s="1156">
        <v>4011.0</v>
      </c>
      <c r="AK42" s="1156">
        <v>3890.0</v>
      </c>
      <c r="AL42" s="1156">
        <v>3997.0</v>
      </c>
      <c r="AM42" s="1156">
        <v>3927.0</v>
      </c>
      <c r="AN42" s="1156">
        <v>3962.0</v>
      </c>
      <c r="AO42" s="1156">
        <v>3947.0</v>
      </c>
      <c r="AP42" s="1156">
        <v>3896.0</v>
      </c>
      <c r="AQ42" s="1156">
        <v>3930.0</v>
      </c>
      <c r="AR42" s="1156">
        <v>3977.0</v>
      </c>
      <c r="AS42" s="1156">
        <v>3982.0</v>
      </c>
      <c r="AT42" s="1156">
        <v>4151.0</v>
      </c>
      <c r="AU42" s="1156">
        <v>4203.0</v>
      </c>
      <c r="AV42" s="1156">
        <v>47873.0</v>
      </c>
    </row>
    <row r="43">
      <c r="A43" s="1153"/>
      <c r="B43" s="1154" t="s">
        <v>495</v>
      </c>
      <c r="C43" s="1155" t="s">
        <v>23</v>
      </c>
      <c r="D43" s="1156">
        <v>60545.0</v>
      </c>
      <c r="E43" s="1156">
        <v>4451.0</v>
      </c>
      <c r="F43" s="1156">
        <v>4441.0</v>
      </c>
      <c r="G43" s="1156">
        <v>4695.0</v>
      </c>
      <c r="H43" s="1156">
        <v>4647.0</v>
      </c>
      <c r="I43" s="1156">
        <v>4764.0</v>
      </c>
      <c r="J43" s="1156">
        <v>4812.0</v>
      </c>
      <c r="K43" s="1156">
        <v>4902.0</v>
      </c>
      <c r="L43" s="1156">
        <v>5012.0</v>
      </c>
      <c r="M43" s="1156">
        <v>5420.0</v>
      </c>
      <c r="N43" s="1156">
        <v>5801.0</v>
      </c>
      <c r="O43" s="1156">
        <v>5655.0</v>
      </c>
      <c r="P43" s="1156">
        <v>5944.0</v>
      </c>
      <c r="Q43" s="1156">
        <v>4872.0</v>
      </c>
      <c r="R43" s="1156">
        <v>4389.0</v>
      </c>
      <c r="S43" s="1156">
        <v>4438.0</v>
      </c>
      <c r="T43" s="1156">
        <v>4729.0</v>
      </c>
      <c r="U43" s="1156">
        <v>4521.0</v>
      </c>
      <c r="V43" s="1156">
        <v>5006.0</v>
      </c>
      <c r="W43" s="1157"/>
      <c r="X43" s="1157"/>
      <c r="Y43" s="1157"/>
      <c r="Z43" s="1157"/>
      <c r="AA43" s="1157"/>
      <c r="AB43" s="1157"/>
      <c r="AC43" s="1158">
        <v>27955.0</v>
      </c>
      <c r="AD43" s="1162">
        <v>0.855</v>
      </c>
      <c r="AE43" s="1160">
        <v>0.462</v>
      </c>
      <c r="AF43" s="1161">
        <v>11.0</v>
      </c>
      <c r="AG43" s="1162">
        <v>0.965</v>
      </c>
      <c r="AH43" s="1161">
        <v>8.0</v>
      </c>
      <c r="AI43" s="1156">
        <v>28965.0</v>
      </c>
      <c r="AJ43" s="1156">
        <v>4242.0</v>
      </c>
      <c r="AK43" s="1156">
        <v>4115.0</v>
      </c>
      <c r="AL43" s="1156">
        <v>4165.0</v>
      </c>
      <c r="AM43" s="1156">
        <v>4091.0</v>
      </c>
      <c r="AN43" s="1156">
        <v>4303.0</v>
      </c>
      <c r="AO43" s="1156">
        <v>3978.0</v>
      </c>
      <c r="AP43" s="1156">
        <v>4072.0</v>
      </c>
      <c r="AQ43" s="1156">
        <v>4060.0</v>
      </c>
      <c r="AR43" s="1156">
        <v>4050.0</v>
      </c>
      <c r="AS43" s="1156">
        <v>4161.0</v>
      </c>
      <c r="AT43" s="1156">
        <v>4445.0</v>
      </c>
      <c r="AU43" s="1156">
        <v>4479.0</v>
      </c>
      <c r="AV43" s="1156">
        <v>50159.0</v>
      </c>
    </row>
    <row r="44">
      <c r="A44" s="1153"/>
      <c r="B44" s="1154" t="s">
        <v>44</v>
      </c>
      <c r="C44" s="1155" t="s">
        <v>23</v>
      </c>
      <c r="D44" s="1156">
        <v>79607.0</v>
      </c>
      <c r="E44" s="1156">
        <v>6028.0</v>
      </c>
      <c r="F44" s="1156">
        <v>5999.0</v>
      </c>
      <c r="G44" s="1156">
        <v>6318.0</v>
      </c>
      <c r="H44" s="1156">
        <v>6246.0</v>
      </c>
      <c r="I44" s="1156">
        <v>6392.0</v>
      </c>
      <c r="J44" s="1156">
        <v>6439.0</v>
      </c>
      <c r="K44" s="1156">
        <v>6545.0</v>
      </c>
      <c r="L44" s="1156">
        <v>6680.0</v>
      </c>
      <c r="M44" s="1156">
        <v>7045.0</v>
      </c>
      <c r="N44" s="1156">
        <v>7147.0</v>
      </c>
      <c r="O44" s="1156">
        <v>7220.0</v>
      </c>
      <c r="P44" s="1156">
        <v>7548.0</v>
      </c>
      <c r="Q44" s="1156">
        <v>6241.0</v>
      </c>
      <c r="R44" s="1156">
        <v>5778.0</v>
      </c>
      <c r="S44" s="1156">
        <v>5949.0</v>
      </c>
      <c r="T44" s="1156">
        <v>6327.0</v>
      </c>
      <c r="U44" s="1156">
        <v>5962.0</v>
      </c>
      <c r="V44" s="1156">
        <v>5932.0</v>
      </c>
      <c r="W44" s="1157"/>
      <c r="X44" s="1157"/>
      <c r="Y44" s="1157"/>
      <c r="Z44" s="1157"/>
      <c r="AA44" s="1157"/>
      <c r="AB44" s="1157"/>
      <c r="AC44" s="1158">
        <v>36187.0</v>
      </c>
      <c r="AD44" s="1159">
        <v>0.823</v>
      </c>
      <c r="AE44" s="1160">
        <v>0.455</v>
      </c>
      <c r="AF44" s="1161">
        <v>15.0</v>
      </c>
      <c r="AG44" s="1162">
        <v>0.881</v>
      </c>
      <c r="AH44" s="1164">
        <v>21.0</v>
      </c>
      <c r="AI44" s="1156">
        <v>41082.0</v>
      </c>
      <c r="AJ44" s="1156">
        <v>6062.0</v>
      </c>
      <c r="AK44" s="1156">
        <v>5765.0</v>
      </c>
      <c r="AL44" s="1156">
        <v>5879.0</v>
      </c>
      <c r="AM44" s="1156">
        <v>5882.0</v>
      </c>
      <c r="AN44" s="1156">
        <v>5862.0</v>
      </c>
      <c r="AO44" s="1156">
        <v>5846.0</v>
      </c>
      <c r="AP44" s="1156">
        <v>5786.0</v>
      </c>
      <c r="AQ44" s="1156">
        <v>5739.0</v>
      </c>
      <c r="AR44" s="1156">
        <v>5671.0</v>
      </c>
      <c r="AS44" s="1156">
        <v>5721.0</v>
      </c>
      <c r="AT44" s="1156">
        <v>5897.0</v>
      </c>
      <c r="AU44" s="1156">
        <v>6027.0</v>
      </c>
      <c r="AV44" s="1156">
        <v>70138.0</v>
      </c>
    </row>
    <row r="45">
      <c r="A45" s="1153"/>
      <c r="B45" s="1154" t="s">
        <v>500</v>
      </c>
      <c r="C45" s="1155" t="s">
        <v>23</v>
      </c>
      <c r="D45" s="1156">
        <v>59712.0</v>
      </c>
      <c r="E45" s="1156">
        <v>4353.0</v>
      </c>
      <c r="F45" s="1156">
        <v>4348.0</v>
      </c>
      <c r="G45" s="1156">
        <v>4592.0</v>
      </c>
      <c r="H45" s="1156">
        <v>4573.0</v>
      </c>
      <c r="I45" s="1156">
        <v>4701.0</v>
      </c>
      <c r="J45" s="1156">
        <v>4755.0</v>
      </c>
      <c r="K45" s="1156">
        <v>4854.0</v>
      </c>
      <c r="L45" s="1156">
        <v>4974.0</v>
      </c>
      <c r="M45" s="1156">
        <v>4974.0</v>
      </c>
      <c r="N45" s="1156">
        <v>5784.0</v>
      </c>
      <c r="O45" s="1156">
        <v>5852.0</v>
      </c>
      <c r="P45" s="1156">
        <v>5952.0</v>
      </c>
      <c r="Q45" s="1156">
        <v>4881.0</v>
      </c>
      <c r="R45" s="1156">
        <v>4395.0</v>
      </c>
      <c r="S45" s="1156">
        <v>4444.0</v>
      </c>
      <c r="T45" s="1156">
        <v>4724.0</v>
      </c>
      <c r="U45" s="1156">
        <v>4513.0</v>
      </c>
      <c r="V45" s="1156">
        <v>4501.0</v>
      </c>
      <c r="W45" s="1157"/>
      <c r="X45" s="1157"/>
      <c r="Y45" s="1157"/>
      <c r="Z45" s="1157"/>
      <c r="AA45" s="1157"/>
      <c r="AB45" s="1157"/>
      <c r="AC45" s="1158">
        <v>27457.0</v>
      </c>
      <c r="AD45" s="1162">
        <v>0.853</v>
      </c>
      <c r="AE45" s="1160">
        <v>0.46</v>
      </c>
      <c r="AF45" s="1161">
        <v>12.0</v>
      </c>
      <c r="AG45" s="1162">
        <v>0.944</v>
      </c>
      <c r="AH45" s="1161">
        <v>10.0</v>
      </c>
      <c r="AI45" s="1156">
        <v>29081.0</v>
      </c>
      <c r="AJ45" s="1156">
        <v>4184.0</v>
      </c>
      <c r="AK45" s="1156">
        <v>4095.0</v>
      </c>
      <c r="AL45" s="1156">
        <v>4127.0</v>
      </c>
      <c r="AM45" s="1156">
        <v>4113.0</v>
      </c>
      <c r="AN45" s="1156">
        <v>4227.0</v>
      </c>
      <c r="AO45" s="1156">
        <v>4238.0</v>
      </c>
      <c r="AP45" s="1156">
        <v>4097.0</v>
      </c>
      <c r="AQ45" s="1156">
        <v>4096.0</v>
      </c>
      <c r="AR45" s="1156">
        <v>4376.0</v>
      </c>
      <c r="AS45" s="1156">
        <v>4236.0</v>
      </c>
      <c r="AT45" s="1156">
        <v>4322.0</v>
      </c>
      <c r="AU45" s="1156">
        <v>4355.0</v>
      </c>
      <c r="AV45" s="1156">
        <v>50467.0</v>
      </c>
    </row>
    <row r="46">
      <c r="A46" s="1153"/>
      <c r="B46" s="1154" t="s">
        <v>497</v>
      </c>
      <c r="C46" s="1155" t="s">
        <v>23</v>
      </c>
      <c r="D46" s="1156">
        <v>38354.0</v>
      </c>
      <c r="E46" s="1156">
        <v>2726.0</v>
      </c>
      <c r="F46" s="1156">
        <v>2721.0</v>
      </c>
      <c r="G46" s="1156">
        <v>2922.0</v>
      </c>
      <c r="H46" s="1156">
        <v>2885.0</v>
      </c>
      <c r="I46" s="1156">
        <v>2979.0</v>
      </c>
      <c r="J46" s="1156">
        <v>3017.0</v>
      </c>
      <c r="K46" s="1156">
        <v>3089.0</v>
      </c>
      <c r="L46" s="1156">
        <v>3176.0</v>
      </c>
      <c r="M46" s="1156">
        <v>3383.0</v>
      </c>
      <c r="N46" s="1156">
        <v>3839.0</v>
      </c>
      <c r="O46" s="1156">
        <v>3680.0</v>
      </c>
      <c r="P46" s="1156">
        <v>3936.0</v>
      </c>
      <c r="Q46" s="1156">
        <v>2915.0</v>
      </c>
      <c r="R46" s="1156">
        <v>2531.0</v>
      </c>
      <c r="S46" s="1156">
        <v>2561.0</v>
      </c>
      <c r="T46" s="1156">
        <v>2846.0</v>
      </c>
      <c r="U46" s="1156">
        <v>2649.0</v>
      </c>
      <c r="V46" s="1156">
        <v>2672.0</v>
      </c>
      <c r="W46" s="1157"/>
      <c r="X46" s="1157"/>
      <c r="Y46" s="1157"/>
      <c r="Z46" s="1157"/>
      <c r="AA46" s="1157"/>
      <c r="AB46" s="1157"/>
      <c r="AC46" s="1158">
        <v>16174.0</v>
      </c>
      <c r="AD46" s="1159">
        <v>0.795</v>
      </c>
      <c r="AE46" s="1160">
        <v>0.422</v>
      </c>
      <c r="AF46" s="1164">
        <v>21.0</v>
      </c>
      <c r="AG46" s="1162">
        <v>0.919</v>
      </c>
      <c r="AH46" s="1161">
        <v>14.0</v>
      </c>
      <c r="AI46" s="1156">
        <v>17603.0</v>
      </c>
      <c r="AJ46" s="1156">
        <v>2665.0</v>
      </c>
      <c r="AK46" s="1156">
        <v>2526.0</v>
      </c>
      <c r="AL46" s="1156">
        <v>2545.0</v>
      </c>
      <c r="AM46" s="1156">
        <v>2505.0</v>
      </c>
      <c r="AN46" s="1156">
        <v>2497.0</v>
      </c>
      <c r="AO46" s="1156">
        <v>2457.0</v>
      </c>
      <c r="AP46" s="1156">
        <v>2408.0</v>
      </c>
      <c r="AQ46" s="1156">
        <v>2394.0</v>
      </c>
      <c r="AR46" s="1156">
        <v>2441.0</v>
      </c>
      <c r="AS46" s="1156">
        <v>2474.0</v>
      </c>
      <c r="AT46" s="1156">
        <v>2524.0</v>
      </c>
      <c r="AU46" s="1156">
        <v>2576.0</v>
      </c>
      <c r="AV46" s="1156">
        <v>30010.0</v>
      </c>
    </row>
    <row r="47">
      <c r="A47" s="1153"/>
      <c r="B47" s="1154" t="s">
        <v>48</v>
      </c>
      <c r="C47" s="1155" t="s">
        <v>23</v>
      </c>
      <c r="D47" s="1156">
        <v>46141.0</v>
      </c>
      <c r="E47" s="1156">
        <v>3336.0</v>
      </c>
      <c r="F47" s="1156">
        <v>3349.0</v>
      </c>
      <c r="G47" s="1156">
        <v>3529.0</v>
      </c>
      <c r="H47" s="1156">
        <v>3524.0</v>
      </c>
      <c r="I47" s="1156">
        <v>3620.0</v>
      </c>
      <c r="J47" s="1156">
        <v>3672.0</v>
      </c>
      <c r="K47" s="1156">
        <v>3752.0</v>
      </c>
      <c r="L47" s="1156">
        <v>3842.0</v>
      </c>
      <c r="M47" s="1156">
        <v>4069.0</v>
      </c>
      <c r="N47" s="1156">
        <v>4295.0</v>
      </c>
      <c r="O47" s="1156">
        <v>4348.0</v>
      </c>
      <c r="P47" s="1156">
        <v>4804.0</v>
      </c>
      <c r="Q47" s="1156">
        <v>3635.0</v>
      </c>
      <c r="R47" s="1156">
        <v>3310.0</v>
      </c>
      <c r="S47" s="1156">
        <v>3353.0</v>
      </c>
      <c r="T47" s="1156">
        <v>3526.0</v>
      </c>
      <c r="U47" s="1156">
        <v>3378.0</v>
      </c>
      <c r="V47" s="1156">
        <v>3369.0</v>
      </c>
      <c r="W47" s="1157"/>
      <c r="X47" s="1157"/>
      <c r="Y47" s="1157"/>
      <c r="Z47" s="1157"/>
      <c r="AA47" s="1157"/>
      <c r="AB47" s="1157"/>
      <c r="AC47" s="1158">
        <v>20571.0</v>
      </c>
      <c r="AD47" s="1159">
        <v>0.83</v>
      </c>
      <c r="AE47" s="1160">
        <v>0.446</v>
      </c>
      <c r="AF47" s="1161">
        <v>18.0</v>
      </c>
      <c r="AG47" s="1162">
        <v>0.922</v>
      </c>
      <c r="AH47" s="1161">
        <v>13.0</v>
      </c>
      <c r="AI47" s="1156">
        <v>22309.0</v>
      </c>
      <c r="AJ47" s="1156">
        <v>3288.0</v>
      </c>
      <c r="AK47" s="1156">
        <v>3146.0</v>
      </c>
      <c r="AL47" s="1156">
        <v>3208.0</v>
      </c>
      <c r="AM47" s="1156">
        <v>3209.0</v>
      </c>
      <c r="AN47" s="1156">
        <v>3175.0</v>
      </c>
      <c r="AO47" s="1156">
        <v>3140.0</v>
      </c>
      <c r="AP47" s="1156">
        <v>3141.0</v>
      </c>
      <c r="AQ47" s="1156">
        <v>3155.0</v>
      </c>
      <c r="AR47" s="1156">
        <v>3260.0</v>
      </c>
      <c r="AS47" s="1156">
        <v>3168.0</v>
      </c>
      <c r="AT47" s="1156">
        <v>3224.0</v>
      </c>
      <c r="AU47" s="1156">
        <v>3321.0</v>
      </c>
      <c r="AV47" s="1156">
        <v>38437.0</v>
      </c>
    </row>
    <row r="48">
      <c r="A48" s="1153"/>
      <c r="B48" s="1154" t="s">
        <v>49</v>
      </c>
      <c r="C48" s="1155" t="s">
        <v>23</v>
      </c>
      <c r="D48" s="1156">
        <v>112202.0</v>
      </c>
      <c r="E48" s="1156">
        <v>8491.0</v>
      </c>
      <c r="F48" s="1156">
        <v>8415.0</v>
      </c>
      <c r="G48" s="1156">
        <v>8898.0</v>
      </c>
      <c r="H48" s="1156">
        <v>8779.0</v>
      </c>
      <c r="I48" s="1156">
        <v>8981.0</v>
      </c>
      <c r="J48" s="1156">
        <v>9030.0</v>
      </c>
      <c r="K48" s="1156">
        <v>9164.0</v>
      </c>
      <c r="L48" s="1156">
        <v>9373.0</v>
      </c>
      <c r="M48" s="1156">
        <v>9321.0</v>
      </c>
      <c r="N48" s="1156">
        <v>10376.0</v>
      </c>
      <c r="O48" s="1156">
        <v>10470.0</v>
      </c>
      <c r="P48" s="1156">
        <v>10905.0</v>
      </c>
      <c r="Q48" s="1156">
        <v>9550.0</v>
      </c>
      <c r="R48" s="1156">
        <v>8343.0</v>
      </c>
      <c r="S48" s="1156">
        <v>8535.0</v>
      </c>
      <c r="T48" s="1156">
        <v>8841.0</v>
      </c>
      <c r="U48" s="1156">
        <v>8548.0</v>
      </c>
      <c r="V48" s="1156">
        <v>8553.0</v>
      </c>
      <c r="W48" s="1157"/>
      <c r="X48" s="1157"/>
      <c r="Y48" s="1157"/>
      <c r="Z48" s="1157"/>
      <c r="AA48" s="1157"/>
      <c r="AB48" s="1157"/>
      <c r="AC48" s="1158">
        <v>52370.0</v>
      </c>
      <c r="AD48" s="1159">
        <v>0.848</v>
      </c>
      <c r="AE48" s="1160">
        <v>0.467</v>
      </c>
      <c r="AF48" s="1161">
        <v>9.0</v>
      </c>
      <c r="AG48" s="1162">
        <v>0.902</v>
      </c>
      <c r="AH48" s="1164">
        <v>18.0</v>
      </c>
      <c r="AI48" s="1156">
        <v>58095.0</v>
      </c>
      <c r="AJ48" s="1156">
        <v>8374.0</v>
      </c>
      <c r="AK48" s="1156">
        <v>8263.0</v>
      </c>
      <c r="AL48" s="1156">
        <v>8644.0</v>
      </c>
      <c r="AM48" s="1156">
        <v>8264.0</v>
      </c>
      <c r="AN48" s="1156">
        <v>8209.0</v>
      </c>
      <c r="AO48" s="1156">
        <v>8263.0</v>
      </c>
      <c r="AP48" s="1156">
        <v>8078.0</v>
      </c>
      <c r="AQ48" s="1156">
        <v>8138.0</v>
      </c>
      <c r="AR48" s="1156">
        <v>7939.0</v>
      </c>
      <c r="AS48" s="1156">
        <v>8190.0</v>
      </c>
      <c r="AT48" s="1156">
        <v>8640.0</v>
      </c>
      <c r="AU48" s="1156">
        <v>8861.0</v>
      </c>
      <c r="AV48" s="1156">
        <v>99863.0</v>
      </c>
    </row>
    <row r="49">
      <c r="A49" s="1153"/>
      <c r="B49" s="1154" t="s">
        <v>484</v>
      </c>
      <c r="C49" s="1155" t="s">
        <v>23</v>
      </c>
      <c r="D49" s="1156">
        <v>78418.0</v>
      </c>
      <c r="E49" s="1156">
        <v>5864.0</v>
      </c>
      <c r="F49" s="1156">
        <v>5817.0</v>
      </c>
      <c r="G49" s="1156">
        <v>6142.0</v>
      </c>
      <c r="H49" s="1156">
        <v>6064.0</v>
      </c>
      <c r="I49" s="1156">
        <v>6238.0</v>
      </c>
      <c r="J49" s="1156">
        <v>6291.0</v>
      </c>
      <c r="K49" s="1156">
        <v>6399.0</v>
      </c>
      <c r="L49" s="1156">
        <v>6534.0</v>
      </c>
      <c r="M49" s="1156">
        <v>6531.0</v>
      </c>
      <c r="N49" s="1156">
        <v>7433.0</v>
      </c>
      <c r="O49" s="1156">
        <v>7290.0</v>
      </c>
      <c r="P49" s="1156">
        <v>7816.0</v>
      </c>
      <c r="Q49" s="1156">
        <v>6054.0</v>
      </c>
      <c r="R49" s="1156">
        <v>5338.0</v>
      </c>
      <c r="S49" s="1156">
        <v>5786.0</v>
      </c>
      <c r="T49" s="1156">
        <v>5905.0</v>
      </c>
      <c r="U49" s="1156">
        <v>5638.0</v>
      </c>
      <c r="V49" s="1156">
        <v>5639.0</v>
      </c>
      <c r="W49" s="1157"/>
      <c r="X49" s="1157"/>
      <c r="Y49" s="1157"/>
      <c r="Z49" s="1157"/>
      <c r="AA49" s="1157"/>
      <c r="AB49" s="1157"/>
      <c r="AC49" s="1158">
        <v>34361.0</v>
      </c>
      <c r="AD49" s="1159">
        <v>0.803</v>
      </c>
      <c r="AE49" s="1160">
        <v>0.438</v>
      </c>
      <c r="AF49" s="1161">
        <v>19.0</v>
      </c>
      <c r="AG49" s="1162">
        <v>0.914</v>
      </c>
      <c r="AH49" s="1161">
        <v>15.0</v>
      </c>
      <c r="AI49" s="1156">
        <v>37583.0</v>
      </c>
      <c r="AJ49" s="1156">
        <v>5609.0</v>
      </c>
      <c r="AK49" s="1156">
        <v>5259.0</v>
      </c>
      <c r="AL49" s="1156">
        <v>5354.0</v>
      </c>
      <c r="AM49" s="1156">
        <v>5347.0</v>
      </c>
      <c r="AN49" s="1156">
        <v>5344.0</v>
      </c>
      <c r="AO49" s="1156">
        <v>5355.0</v>
      </c>
      <c r="AP49" s="1156">
        <v>5316.0</v>
      </c>
      <c r="AQ49" s="1156">
        <v>5326.0</v>
      </c>
      <c r="AR49" s="1156">
        <v>5495.0</v>
      </c>
      <c r="AS49" s="1156">
        <v>5476.0</v>
      </c>
      <c r="AT49" s="1156">
        <v>5750.0</v>
      </c>
      <c r="AU49" s="1156">
        <v>5508.0</v>
      </c>
      <c r="AV49" s="1156">
        <v>65137.0</v>
      </c>
    </row>
    <row r="50">
      <c r="A50" s="1153"/>
      <c r="B50" s="1154" t="s">
        <v>629</v>
      </c>
      <c r="C50" s="1155" t="s">
        <v>23</v>
      </c>
      <c r="D50" s="1156">
        <v>91964.0</v>
      </c>
      <c r="E50" s="1156">
        <v>4118.0</v>
      </c>
      <c r="F50" s="1156">
        <v>4118.0</v>
      </c>
      <c r="G50" s="1156">
        <v>4118.0</v>
      </c>
      <c r="H50" s="1156">
        <v>4186.0</v>
      </c>
      <c r="I50" s="1156">
        <v>4186.0</v>
      </c>
      <c r="J50" s="1156">
        <v>6119.0</v>
      </c>
      <c r="K50" s="1156">
        <v>6557.0</v>
      </c>
      <c r="L50" s="1156">
        <v>7057.0</v>
      </c>
      <c r="M50" s="1156">
        <v>8557.0</v>
      </c>
      <c r="N50" s="1156">
        <v>9474.0</v>
      </c>
      <c r="O50" s="1156">
        <v>9474.0</v>
      </c>
      <c r="P50" s="1156">
        <v>24003.0</v>
      </c>
      <c r="Q50" s="1156">
        <v>3662.0</v>
      </c>
      <c r="R50" s="1156">
        <v>5595.0</v>
      </c>
      <c r="S50" s="1156">
        <v>6853.0</v>
      </c>
      <c r="T50" s="1156">
        <v>5036.0</v>
      </c>
      <c r="U50" s="1156">
        <v>5573.0</v>
      </c>
      <c r="V50" s="1156">
        <v>8925.0</v>
      </c>
      <c r="W50" s="1157"/>
      <c r="X50" s="1157"/>
      <c r="Y50" s="1157"/>
      <c r="Z50" s="1157"/>
      <c r="AA50" s="1157"/>
      <c r="AB50" s="1157"/>
      <c r="AC50" s="1158">
        <v>35644.0</v>
      </c>
      <c r="AD50" s="1162">
        <v>1.067</v>
      </c>
      <c r="AE50" s="1160">
        <v>0.388</v>
      </c>
      <c r="AF50" s="1184"/>
      <c r="AG50" s="1162">
        <v>1.532</v>
      </c>
      <c r="AH50" s="1184"/>
      <c r="AI50" s="1156">
        <v>23272.0</v>
      </c>
      <c r="AJ50" s="1156">
        <v>2521.0</v>
      </c>
      <c r="AK50" s="1156">
        <v>2954.0</v>
      </c>
      <c r="AL50" s="1156">
        <v>3380.0</v>
      </c>
      <c r="AM50" s="1156">
        <v>2714.0</v>
      </c>
      <c r="AN50" s="1156">
        <v>2944.0</v>
      </c>
      <c r="AO50" s="1156">
        <v>5536.0</v>
      </c>
      <c r="AP50" s="1156">
        <v>3222.0</v>
      </c>
      <c r="AQ50" s="1156">
        <v>5512.0</v>
      </c>
      <c r="AR50" s="1156">
        <v>3936.0</v>
      </c>
      <c r="AS50" s="1156">
        <v>3929.0</v>
      </c>
      <c r="AT50" s="1156">
        <v>4583.0</v>
      </c>
      <c r="AU50" s="1156">
        <v>27864.0</v>
      </c>
      <c r="AV50" s="1156">
        <v>69096.0</v>
      </c>
    </row>
  </sheetData>
  <mergeCells count="22">
    <mergeCell ref="X10:Z10"/>
    <mergeCell ref="AA10:AC10"/>
    <mergeCell ref="AD10:AF10"/>
    <mergeCell ref="AG10:AI10"/>
    <mergeCell ref="AJ10:AL10"/>
    <mergeCell ref="C10:E10"/>
    <mergeCell ref="F10:H10"/>
    <mergeCell ref="I10:K10"/>
    <mergeCell ref="L10:N10"/>
    <mergeCell ref="O10:Q10"/>
    <mergeCell ref="R10:T10"/>
    <mergeCell ref="U10:W10"/>
    <mergeCell ref="AG23:AH23"/>
    <mergeCell ref="AI23:AV23"/>
    <mergeCell ref="A23:A24"/>
    <mergeCell ref="B23:B24"/>
    <mergeCell ref="C23:C24"/>
    <mergeCell ref="D23:D24"/>
    <mergeCell ref="E23:P23"/>
    <mergeCell ref="Q23:AC23"/>
    <mergeCell ref="AD23:AF23"/>
    <mergeCell ref="D25:AV25"/>
  </mergeCells>
  <hyperlinks>
    <hyperlink r:id="rId1" ref="H3"/>
  </hyperlinks>
  <drawing r:id="rId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G1" s="205" t="s">
        <v>610</v>
      </c>
    </row>
    <row r="2">
      <c r="G2" s="205" t="s">
        <v>611</v>
      </c>
    </row>
    <row r="3">
      <c r="G3" s="205" t="s">
        <v>343</v>
      </c>
      <c r="H3" s="776" t="s">
        <v>582</v>
      </c>
    </row>
    <row r="10">
      <c r="A10" s="626"/>
      <c r="B10" s="627" t="s">
        <v>412</v>
      </c>
      <c r="C10" s="628" t="s">
        <v>330</v>
      </c>
      <c r="D10" s="629"/>
      <c r="E10" s="630"/>
      <c r="F10" s="628" t="s">
        <v>331</v>
      </c>
      <c r="G10" s="629"/>
      <c r="H10" s="630"/>
      <c r="I10" s="628" t="s">
        <v>332</v>
      </c>
      <c r="J10" s="629"/>
      <c r="K10" s="630"/>
      <c r="L10" s="628" t="s">
        <v>333</v>
      </c>
      <c r="M10" s="629"/>
      <c r="N10" s="630"/>
      <c r="O10" s="628" t="s">
        <v>334</v>
      </c>
      <c r="P10" s="629"/>
      <c r="Q10" s="630"/>
      <c r="R10" s="628" t="s">
        <v>335</v>
      </c>
      <c r="S10" s="629"/>
      <c r="T10" s="630"/>
      <c r="U10" s="628" t="s">
        <v>336</v>
      </c>
      <c r="V10" s="629"/>
      <c r="W10" s="630"/>
      <c r="X10" s="628" t="s">
        <v>348</v>
      </c>
      <c r="Y10" s="629"/>
      <c r="Z10" s="630"/>
      <c r="AA10" s="628" t="s">
        <v>349</v>
      </c>
      <c r="AB10" s="629"/>
      <c r="AC10" s="630"/>
      <c r="AD10" s="628" t="s">
        <v>350</v>
      </c>
      <c r="AE10" s="629"/>
      <c r="AF10" s="630"/>
      <c r="AG10" s="628" t="s">
        <v>351</v>
      </c>
      <c r="AH10" s="629"/>
      <c r="AI10" s="630"/>
      <c r="AJ10" s="628" t="s">
        <v>352</v>
      </c>
      <c r="AK10" s="629"/>
      <c r="AL10" s="630"/>
      <c r="AM10" s="635"/>
      <c r="AN10" s="635"/>
      <c r="AO10" s="635"/>
      <c r="AP10" s="635"/>
      <c r="AQ10" s="635"/>
      <c r="AR10" s="635"/>
      <c r="AS10" s="635"/>
      <c r="AT10" s="635"/>
      <c r="AU10" s="635"/>
      <c r="AV10" s="635"/>
      <c r="AW10" s="635"/>
      <c r="AX10" s="635"/>
      <c r="AY10" s="635"/>
      <c r="AZ10" s="635"/>
      <c r="BA10" s="635"/>
      <c r="BB10" s="635"/>
      <c r="BC10" s="635"/>
      <c r="BD10" s="635"/>
      <c r="BE10" s="635"/>
      <c r="BF10" s="635"/>
      <c r="BG10" s="635"/>
      <c r="BH10" s="635"/>
      <c r="BI10" s="635"/>
      <c r="BJ10" s="635"/>
      <c r="BK10" s="635"/>
      <c r="BL10" s="635"/>
      <c r="BM10" s="635"/>
      <c r="BN10" s="635"/>
      <c r="BO10" s="635"/>
      <c r="BP10" s="635"/>
      <c r="BQ10" s="635"/>
      <c r="BR10" s="635"/>
      <c r="BS10" s="635"/>
      <c r="BT10" s="635"/>
      <c r="BU10" s="635"/>
      <c r="BV10" s="635"/>
      <c r="BW10" s="635"/>
      <c r="BX10" s="635"/>
      <c r="BY10" s="635"/>
      <c r="BZ10" s="635"/>
      <c r="CA10" s="635"/>
      <c r="CB10" s="635"/>
      <c r="CC10" s="635"/>
      <c r="CD10" s="635"/>
      <c r="CE10" s="635"/>
      <c r="CF10" s="635"/>
      <c r="CG10" s="635"/>
      <c r="CH10" s="635"/>
      <c r="CI10" s="635"/>
      <c r="CJ10" s="635"/>
      <c r="CK10" s="635"/>
      <c r="CL10" s="635"/>
      <c r="CM10" s="635"/>
      <c r="CN10" s="635"/>
      <c r="CO10" s="635"/>
      <c r="CP10" s="635"/>
      <c r="CQ10" s="635"/>
      <c r="CR10" s="635"/>
      <c r="CS10" s="635"/>
      <c r="CT10" s="635"/>
      <c r="CU10" s="635"/>
      <c r="CV10" s="635"/>
      <c r="CW10" s="635"/>
      <c r="CX10" s="635"/>
      <c r="CY10" s="635"/>
      <c r="CZ10" s="635"/>
      <c r="DA10" s="635"/>
      <c r="DB10" s="635"/>
      <c r="DC10" s="635"/>
      <c r="DD10" s="635"/>
      <c r="DE10" s="635"/>
      <c r="DF10" s="635"/>
      <c r="DG10" s="635"/>
      <c r="DH10" s="635"/>
      <c r="DI10" s="635"/>
      <c r="DJ10" s="635"/>
      <c r="DK10" s="635"/>
      <c r="DL10" s="635"/>
      <c r="DM10" s="635"/>
      <c r="DN10" s="635"/>
      <c r="DO10" s="635"/>
      <c r="DP10" s="635"/>
      <c r="DQ10" s="635"/>
      <c r="DR10" s="635"/>
      <c r="DS10" s="635"/>
      <c r="DT10" s="635"/>
      <c r="DU10" s="635"/>
      <c r="DV10" s="635"/>
      <c r="DW10" s="635"/>
      <c r="DX10" s="635"/>
      <c r="DY10" s="635"/>
      <c r="DZ10" s="635"/>
      <c r="EA10" s="635"/>
      <c r="EB10" s="635"/>
      <c r="EC10" s="635"/>
      <c r="ED10" s="635"/>
      <c r="EE10" s="635"/>
      <c r="EF10" s="635"/>
      <c r="EG10" s="635"/>
      <c r="EH10" s="635"/>
      <c r="EI10" s="635"/>
      <c r="EJ10" s="635"/>
      <c r="EK10" s="635"/>
      <c r="EL10" s="635"/>
      <c r="EM10" s="635"/>
      <c r="EN10" s="635"/>
      <c r="EO10" s="635"/>
      <c r="EP10" s="635"/>
      <c r="EQ10" s="635"/>
      <c r="ER10" s="635"/>
      <c r="ES10" s="635"/>
      <c r="ET10" s="635"/>
      <c r="EU10" s="635"/>
      <c r="EV10" s="635"/>
      <c r="EW10" s="635"/>
      <c r="EX10" s="635"/>
      <c r="EY10" s="635"/>
      <c r="EZ10" s="635"/>
      <c r="FA10" s="635"/>
      <c r="FB10" s="635"/>
      <c r="FC10" s="635"/>
      <c r="FD10" s="635"/>
      <c r="FE10" s="635"/>
      <c r="FF10" s="635"/>
      <c r="FG10" s="635"/>
      <c r="FH10" s="635"/>
      <c r="FI10" s="635"/>
      <c r="FJ10" s="635"/>
      <c r="FK10" s="635"/>
      <c r="FL10" s="635"/>
      <c r="FM10" s="635"/>
      <c r="FN10" s="635"/>
      <c r="FO10" s="635"/>
      <c r="FP10" s="635"/>
      <c r="FQ10" s="635"/>
      <c r="FR10" s="635"/>
      <c r="FS10" s="635"/>
      <c r="FT10" s="635"/>
      <c r="FU10" s="635"/>
      <c r="FV10" s="635"/>
      <c r="FW10" s="635"/>
      <c r="FX10" s="635"/>
      <c r="FY10" s="635"/>
      <c r="FZ10" s="635"/>
      <c r="GA10" s="635"/>
      <c r="GB10" s="635"/>
      <c r="GC10" s="635"/>
      <c r="GD10" s="635"/>
      <c r="GE10" s="635"/>
      <c r="GF10" s="635"/>
      <c r="GG10" s="635"/>
      <c r="GH10" s="635"/>
      <c r="GI10" s="635"/>
      <c r="GJ10" s="635"/>
      <c r="GK10" s="635"/>
      <c r="GL10" s="635"/>
      <c r="GM10" s="635"/>
      <c r="GN10" s="635"/>
      <c r="GO10" s="635"/>
      <c r="GP10" s="635"/>
      <c r="GQ10" s="635"/>
      <c r="GR10" s="635"/>
      <c r="GS10" s="635"/>
      <c r="GT10" s="635"/>
      <c r="GU10" s="635"/>
      <c r="GV10" s="635"/>
      <c r="GW10" s="635"/>
      <c r="GX10" s="635"/>
      <c r="GY10" s="635"/>
      <c r="GZ10" s="635"/>
      <c r="HA10" s="635"/>
      <c r="HB10" s="635"/>
      <c r="HC10" s="635"/>
      <c r="HD10" s="635"/>
      <c r="HE10" s="635"/>
      <c r="HF10" s="635"/>
      <c r="HG10" s="635"/>
      <c r="HH10" s="635"/>
      <c r="HI10" s="635"/>
      <c r="HJ10" s="635"/>
      <c r="HK10" s="635"/>
      <c r="HL10" s="635"/>
      <c r="HM10" s="635"/>
      <c r="HN10" s="635"/>
      <c r="HO10" s="635"/>
      <c r="HP10" s="635"/>
      <c r="HQ10" s="635"/>
      <c r="HR10" s="635"/>
      <c r="HS10" s="635"/>
      <c r="HT10" s="635"/>
      <c r="HU10" s="635"/>
      <c r="HV10" s="635"/>
      <c r="HW10" s="635"/>
      <c r="HX10" s="635"/>
      <c r="HY10" s="635"/>
      <c r="HZ10" s="635"/>
      <c r="IA10" s="635"/>
      <c r="IB10" s="635"/>
      <c r="IC10" s="635"/>
      <c r="ID10" s="635"/>
      <c r="IE10" s="635"/>
      <c r="IF10" s="635"/>
      <c r="IG10" s="635"/>
      <c r="IH10" s="635"/>
      <c r="II10" s="635"/>
      <c r="IJ10" s="635"/>
      <c r="IK10" s="635"/>
      <c r="IL10" s="635"/>
      <c r="IM10" s="635"/>
      <c r="IN10" s="635"/>
      <c r="IO10" s="635"/>
      <c r="IP10" s="635"/>
      <c r="IQ10" s="635"/>
      <c r="IR10" s="635"/>
      <c r="IS10" s="635"/>
      <c r="IT10" s="635"/>
      <c r="IU10" s="635"/>
      <c r="IV10" s="635"/>
      <c r="IW10" s="635"/>
      <c r="IX10" s="635"/>
      <c r="IY10" s="635"/>
      <c r="IZ10" s="635"/>
      <c r="JA10" s="635"/>
      <c r="JB10" s="635"/>
      <c r="JC10" s="635"/>
      <c r="JD10" s="635"/>
      <c r="JE10" s="635"/>
      <c r="JF10" s="635"/>
      <c r="JG10" s="635"/>
      <c r="JH10" s="635"/>
      <c r="JI10" s="635"/>
      <c r="JJ10" s="635"/>
      <c r="JK10" s="635"/>
      <c r="JL10" s="635"/>
      <c r="JM10" s="635"/>
      <c r="JN10" s="635"/>
      <c r="JO10" s="635"/>
      <c r="JP10" s="635"/>
      <c r="JQ10" s="635"/>
      <c r="JR10" s="635"/>
      <c r="JS10" s="635"/>
      <c r="JT10" s="635"/>
      <c r="JU10" s="635"/>
      <c r="JV10" s="635"/>
      <c r="JW10" s="635"/>
      <c r="JX10" s="635"/>
      <c r="JY10" s="635"/>
      <c r="JZ10" s="635"/>
      <c r="KA10" s="635"/>
      <c r="KB10" s="635"/>
      <c r="KC10" s="635"/>
      <c r="KD10" s="635"/>
      <c r="KE10" s="635"/>
      <c r="KF10" s="635"/>
      <c r="KG10" s="635"/>
      <c r="KH10" s="635"/>
      <c r="KI10" s="635"/>
      <c r="KJ10" s="635"/>
      <c r="KK10" s="635"/>
      <c r="KL10" s="635"/>
      <c r="KM10" s="635"/>
      <c r="KN10" s="635"/>
      <c r="KO10" s="635"/>
      <c r="KP10" s="635"/>
      <c r="KQ10" s="635"/>
      <c r="KR10" s="635"/>
      <c r="KS10" s="635"/>
      <c r="KT10" s="635"/>
      <c r="KU10" s="635"/>
      <c r="KV10" s="635"/>
      <c r="KW10" s="635"/>
      <c r="KX10" s="635"/>
      <c r="KY10" s="635"/>
      <c r="KZ10" s="635"/>
      <c r="LA10" s="635"/>
      <c r="LB10" s="635"/>
      <c r="LC10" s="635"/>
      <c r="LD10" s="635"/>
      <c r="LE10" s="635"/>
      <c r="LF10" s="635"/>
      <c r="LG10" s="635"/>
      <c r="LH10" s="635"/>
      <c r="LI10" s="635"/>
      <c r="LJ10" s="635"/>
      <c r="LK10" s="635"/>
      <c r="LL10" s="635"/>
      <c r="LM10" s="635"/>
      <c r="LN10" s="635"/>
      <c r="LO10" s="635"/>
      <c r="LP10" s="635"/>
      <c r="LQ10" s="635"/>
      <c r="LR10" s="635"/>
      <c r="LS10" s="635"/>
      <c r="LT10" s="635"/>
      <c r="LU10" s="635"/>
      <c r="LV10" s="635"/>
      <c r="LW10" s="635"/>
      <c r="LX10" s="635"/>
      <c r="LY10" s="635"/>
      <c r="LZ10" s="635"/>
      <c r="MA10" s="635"/>
      <c r="MB10" s="635"/>
      <c r="MC10" s="635"/>
      <c r="MD10" s="635"/>
      <c r="ME10" s="635"/>
      <c r="MF10" s="635"/>
      <c r="MG10" s="635"/>
      <c r="MH10" s="635"/>
      <c r="MI10" s="635"/>
      <c r="MJ10" s="635"/>
      <c r="MK10" s="635"/>
      <c r="ML10" s="635"/>
      <c r="MM10" s="635"/>
      <c r="MN10" s="635"/>
      <c r="MO10" s="635"/>
      <c r="MP10" s="635"/>
      <c r="MQ10" s="635"/>
      <c r="MR10" s="635"/>
      <c r="MS10" s="635"/>
      <c r="MT10" s="635"/>
      <c r="MU10" s="635"/>
      <c r="MV10" s="635"/>
      <c r="MW10" s="635"/>
      <c r="MX10" s="635"/>
      <c r="MY10" s="635"/>
      <c r="MZ10" s="635"/>
      <c r="NA10" s="635"/>
      <c r="NB10" s="635"/>
      <c r="NC10" s="635"/>
      <c r="ND10" s="635"/>
      <c r="NE10" s="635"/>
      <c r="NF10" s="635"/>
      <c r="NG10" s="635"/>
      <c r="NH10" s="635"/>
      <c r="NI10" s="635"/>
      <c r="NJ10" s="635"/>
      <c r="NK10" s="635"/>
      <c r="NL10" s="635"/>
      <c r="NM10" s="635"/>
      <c r="NN10" s="635"/>
      <c r="NO10" s="635"/>
      <c r="NP10" s="635"/>
      <c r="NQ10" s="635"/>
      <c r="NR10" s="635"/>
      <c r="NS10" s="635"/>
      <c r="NT10" s="635"/>
      <c r="NU10" s="635"/>
      <c r="NV10" s="635"/>
      <c r="NW10" s="635"/>
      <c r="NX10" s="635"/>
      <c r="NY10" s="635"/>
      <c r="NZ10" s="635"/>
      <c r="OA10" s="635"/>
      <c r="OB10" s="635"/>
      <c r="OC10" s="635"/>
      <c r="OD10" s="635"/>
      <c r="OE10" s="635"/>
      <c r="OF10" s="635"/>
      <c r="OG10" s="635"/>
      <c r="OH10" s="635"/>
      <c r="OI10" s="635"/>
      <c r="OJ10" s="635"/>
      <c r="OK10" s="635"/>
      <c r="OL10" s="635"/>
      <c r="OM10" s="635"/>
      <c r="ON10" s="635"/>
      <c r="OO10" s="635"/>
      <c r="OP10" s="635"/>
      <c r="OQ10" s="635"/>
      <c r="OR10" s="635"/>
      <c r="OS10" s="635"/>
      <c r="OT10" s="635"/>
      <c r="OU10" s="635"/>
    </row>
    <row r="11">
      <c r="A11" s="642" t="s">
        <v>28</v>
      </c>
      <c r="B11" s="643" t="s">
        <v>586</v>
      </c>
      <c r="C11" s="644" t="s">
        <v>587</v>
      </c>
      <c r="D11" s="645" t="s">
        <v>338</v>
      </c>
      <c r="E11" s="1116" t="s">
        <v>430</v>
      </c>
      <c r="F11" s="644" t="s">
        <v>587</v>
      </c>
      <c r="G11" s="645" t="s">
        <v>338</v>
      </c>
      <c r="H11" s="1116" t="s">
        <v>430</v>
      </c>
      <c r="I11" s="644" t="s">
        <v>587</v>
      </c>
      <c r="J11" s="645" t="s">
        <v>338</v>
      </c>
      <c r="K11" s="1116" t="s">
        <v>430</v>
      </c>
      <c r="L11" s="644" t="s">
        <v>587</v>
      </c>
      <c r="M11" s="645" t="s">
        <v>338</v>
      </c>
      <c r="N11" s="1116" t="s">
        <v>430</v>
      </c>
      <c r="O11" s="644" t="s">
        <v>587</v>
      </c>
      <c r="P11" s="645" t="s">
        <v>338</v>
      </c>
      <c r="Q11" s="1116" t="s">
        <v>430</v>
      </c>
      <c r="R11" s="644" t="s">
        <v>587</v>
      </c>
      <c r="S11" s="645" t="s">
        <v>338</v>
      </c>
      <c r="T11" s="1116" t="s">
        <v>430</v>
      </c>
      <c r="U11" s="644" t="s">
        <v>587</v>
      </c>
      <c r="V11" s="645" t="s">
        <v>338</v>
      </c>
      <c r="W11" s="1116" t="s">
        <v>430</v>
      </c>
      <c r="X11" s="644" t="s">
        <v>587</v>
      </c>
      <c r="Y11" s="645" t="s">
        <v>338</v>
      </c>
      <c r="Z11" s="1116" t="s">
        <v>430</v>
      </c>
      <c r="AA11" s="644" t="s">
        <v>587</v>
      </c>
      <c r="AB11" s="645" t="s">
        <v>338</v>
      </c>
      <c r="AC11" s="1116" t="s">
        <v>430</v>
      </c>
      <c r="AD11" s="644" t="s">
        <v>587</v>
      </c>
      <c r="AE11" s="645" t="s">
        <v>338</v>
      </c>
      <c r="AF11" s="1116" t="s">
        <v>430</v>
      </c>
      <c r="AG11" s="644" t="s">
        <v>587</v>
      </c>
      <c r="AH11" s="645" t="s">
        <v>338</v>
      </c>
      <c r="AI11" s="1116" t="s">
        <v>430</v>
      </c>
      <c r="AJ11" s="644" t="s">
        <v>587</v>
      </c>
      <c r="AK11" s="645" t="s">
        <v>338</v>
      </c>
      <c r="AL11" s="1116" t="s">
        <v>430</v>
      </c>
      <c r="AM11" s="356"/>
      <c r="AN11" s="356"/>
      <c r="AO11" s="356"/>
      <c r="AP11" s="356"/>
      <c r="AQ11" s="356"/>
      <c r="AR11" s="356"/>
      <c r="AS11" s="356"/>
      <c r="AT11" s="356"/>
      <c r="AU11" s="356"/>
      <c r="AV11" s="356"/>
      <c r="AW11" s="356"/>
      <c r="AX11" s="356"/>
      <c r="AY11" s="356"/>
      <c r="AZ11" s="356"/>
      <c r="BA11" s="356"/>
      <c r="BB11" s="356"/>
      <c r="BC11" s="356"/>
      <c r="BD11" s="356"/>
      <c r="BE11" s="356"/>
      <c r="BF11" s="356"/>
      <c r="BG11" s="356"/>
      <c r="BH11" s="356"/>
      <c r="BI11" s="356"/>
      <c r="BJ11" s="356"/>
      <c r="BK11" s="356"/>
      <c r="BL11" s="356"/>
      <c r="BM11" s="356"/>
      <c r="BN11" s="356"/>
      <c r="BO11" s="356"/>
      <c r="BP11" s="356"/>
      <c r="BQ11" s="356"/>
      <c r="BR11" s="356"/>
      <c r="BS11" s="356"/>
      <c r="BT11" s="356"/>
      <c r="BU11" s="356"/>
      <c r="BV11" s="356"/>
      <c r="BW11" s="356"/>
      <c r="BX11" s="356"/>
      <c r="BY11" s="356"/>
      <c r="BZ11" s="356"/>
      <c r="CA11" s="356"/>
      <c r="CB11" s="356"/>
      <c r="CC11" s="356"/>
      <c r="CD11" s="356"/>
      <c r="CE11" s="356"/>
      <c r="CF11" s="356"/>
      <c r="CG11" s="356"/>
      <c r="CH11" s="356"/>
      <c r="CI11" s="356"/>
      <c r="CJ11" s="356"/>
      <c r="CK11" s="356"/>
      <c r="CL11" s="356"/>
      <c r="CM11" s="356"/>
      <c r="CN11" s="356"/>
      <c r="CO11" s="356"/>
      <c r="CP11" s="356"/>
      <c r="CQ11" s="356"/>
      <c r="CR11" s="356"/>
      <c r="CS11" s="356"/>
      <c r="CT11" s="356"/>
      <c r="CU11" s="356"/>
      <c r="CV11" s="356"/>
      <c r="CW11" s="356"/>
      <c r="CX11" s="356"/>
      <c r="CY11" s="356"/>
      <c r="CZ11" s="356"/>
      <c r="DA11" s="356"/>
      <c r="DB11" s="356"/>
      <c r="DC11" s="356"/>
      <c r="DD11" s="356"/>
      <c r="DE11" s="356"/>
      <c r="DF11" s="356"/>
      <c r="DG11" s="356"/>
      <c r="DH11" s="356"/>
      <c r="DI11" s="356"/>
      <c r="DJ11" s="356"/>
      <c r="DK11" s="356"/>
      <c r="DL11" s="356"/>
      <c r="DM11" s="356"/>
      <c r="DN11" s="356"/>
      <c r="DO11" s="356"/>
      <c r="DP11" s="356"/>
      <c r="DQ11" s="356"/>
      <c r="DR11" s="356"/>
      <c r="DS11" s="356"/>
      <c r="DT11" s="356"/>
      <c r="DU11" s="356"/>
      <c r="DV11" s="356"/>
      <c r="DW11" s="356"/>
      <c r="DX11" s="356"/>
      <c r="DY11" s="356"/>
      <c r="DZ11" s="356"/>
      <c r="EA11" s="356"/>
      <c r="EB11" s="356"/>
      <c r="EC11" s="356"/>
      <c r="ED11" s="356"/>
      <c r="EE11" s="356"/>
      <c r="EF11" s="356"/>
      <c r="EG11" s="356"/>
      <c r="EH11" s="356"/>
      <c r="EI11" s="356"/>
      <c r="EJ11" s="356"/>
      <c r="EK11" s="356"/>
      <c r="EL11" s="356"/>
      <c r="EM11" s="356"/>
      <c r="EN11" s="356"/>
      <c r="EO11" s="356"/>
      <c r="EP11" s="356"/>
      <c r="EQ11" s="356"/>
      <c r="ER11" s="356"/>
      <c r="ES11" s="356"/>
      <c r="ET11" s="356"/>
      <c r="EU11" s="356"/>
      <c r="EV11" s="356"/>
      <c r="EW11" s="356"/>
      <c r="EX11" s="356"/>
      <c r="EY11" s="356"/>
      <c r="EZ11" s="356"/>
      <c r="FA11" s="356"/>
      <c r="FB11" s="356"/>
      <c r="FC11" s="356"/>
      <c r="FD11" s="356"/>
      <c r="FE11" s="356"/>
      <c r="FF11" s="356"/>
      <c r="FG11" s="356"/>
      <c r="FH11" s="356"/>
      <c r="FI11" s="356"/>
      <c r="FJ11" s="356"/>
      <c r="FK11" s="356"/>
      <c r="FL11" s="356"/>
      <c r="FM11" s="356"/>
      <c r="FN11" s="356"/>
      <c r="FO11" s="356"/>
      <c r="FP11" s="356"/>
      <c r="FQ11" s="356"/>
      <c r="FR11" s="356"/>
      <c r="FS11" s="356"/>
      <c r="FT11" s="356"/>
      <c r="FU11" s="356"/>
      <c r="FV11" s="356"/>
      <c r="FW11" s="356"/>
      <c r="FX11" s="356"/>
      <c r="FY11" s="356"/>
      <c r="FZ11" s="356"/>
      <c r="GA11" s="356"/>
      <c r="GB11" s="356"/>
      <c r="GC11" s="356"/>
      <c r="GD11" s="356"/>
      <c r="GE11" s="356"/>
      <c r="GF11" s="356"/>
      <c r="GG11" s="356"/>
      <c r="GH11" s="356"/>
      <c r="GI11" s="356"/>
      <c r="GJ11" s="356"/>
      <c r="GK11" s="356"/>
      <c r="GL11" s="356"/>
      <c r="GM11" s="356"/>
      <c r="GN11" s="356"/>
      <c r="GO11" s="356"/>
      <c r="GP11" s="356"/>
      <c r="GQ11" s="356"/>
      <c r="GR11" s="356"/>
      <c r="GS11" s="356"/>
      <c r="GT11" s="356"/>
      <c r="GU11" s="356"/>
      <c r="GV11" s="356"/>
      <c r="GW11" s="356"/>
      <c r="GX11" s="356"/>
      <c r="GY11" s="356"/>
      <c r="GZ11" s="356"/>
      <c r="HA11" s="356"/>
      <c r="HB11" s="356"/>
      <c r="HC11" s="356"/>
      <c r="HD11" s="356"/>
      <c r="HE11" s="356"/>
      <c r="HF11" s="356"/>
      <c r="HG11" s="356"/>
      <c r="HH11" s="356"/>
      <c r="HI11" s="356"/>
      <c r="HJ11" s="356"/>
      <c r="HK11" s="356"/>
      <c r="HL11" s="356"/>
      <c r="HM11" s="356"/>
      <c r="HN11" s="356"/>
      <c r="HO11" s="356"/>
      <c r="HP11" s="356"/>
      <c r="HQ11" s="356"/>
      <c r="HR11" s="356"/>
      <c r="HS11" s="356"/>
      <c r="HT11" s="356"/>
      <c r="HU11" s="356"/>
      <c r="HV11" s="356"/>
      <c r="HW11" s="356"/>
      <c r="HX11" s="356"/>
      <c r="HY11" s="356"/>
      <c r="HZ11" s="356"/>
      <c r="IA11" s="356"/>
      <c r="IB11" s="356"/>
      <c r="IC11" s="356"/>
      <c r="ID11" s="356"/>
      <c r="IE11" s="356"/>
      <c r="IF11" s="356"/>
      <c r="IG11" s="356"/>
      <c r="IH11" s="356"/>
      <c r="II11" s="356"/>
      <c r="IJ11" s="356"/>
      <c r="IK11" s="356"/>
      <c r="IL11" s="356"/>
      <c r="IM11" s="356"/>
      <c r="IN11" s="356"/>
      <c r="IO11" s="356"/>
      <c r="IP11" s="356"/>
      <c r="IQ11" s="356"/>
      <c r="IR11" s="356"/>
      <c r="IS11" s="356"/>
      <c r="IT11" s="356"/>
      <c r="IU11" s="356"/>
      <c r="IV11" s="356"/>
      <c r="IW11" s="356"/>
      <c r="IX11" s="356"/>
      <c r="IY11" s="356"/>
      <c r="IZ11" s="356"/>
      <c r="JA11" s="356"/>
      <c r="JB11" s="356"/>
      <c r="JC11" s="356"/>
      <c r="JD11" s="356"/>
      <c r="JE11" s="356"/>
      <c r="JF11" s="356"/>
      <c r="JG11" s="356"/>
      <c r="JH11" s="356"/>
      <c r="JI11" s="356"/>
      <c r="JJ11" s="356"/>
      <c r="JK11" s="356"/>
      <c r="JL11" s="356"/>
      <c r="JM11" s="356"/>
      <c r="JN11" s="356"/>
      <c r="JO11" s="356"/>
      <c r="JP11" s="356"/>
      <c r="JQ11" s="356"/>
      <c r="JR11" s="356"/>
      <c r="JS11" s="356"/>
      <c r="JT11" s="356"/>
      <c r="JU11" s="356"/>
      <c r="JV11" s="356"/>
      <c r="JW11" s="356"/>
      <c r="JX11" s="356"/>
      <c r="JY11" s="356"/>
      <c r="JZ11" s="356"/>
      <c r="KA11" s="356"/>
      <c r="KB11" s="356"/>
      <c r="KC11" s="356"/>
      <c r="KD11" s="356"/>
      <c r="KE11" s="356"/>
      <c r="KF11" s="356"/>
      <c r="KG11" s="356"/>
      <c r="KH11" s="356"/>
      <c r="KI11" s="356"/>
      <c r="KJ11" s="356"/>
      <c r="KK11" s="356"/>
      <c r="KL11" s="356"/>
      <c r="KM11" s="356"/>
      <c r="KN11" s="356"/>
      <c r="KO11" s="356"/>
      <c r="KP11" s="356"/>
      <c r="KQ11" s="356"/>
      <c r="KR11" s="356"/>
      <c r="KS11" s="356"/>
      <c r="KT11" s="356"/>
      <c r="KU11" s="356"/>
      <c r="KV11" s="356"/>
      <c r="KW11" s="356"/>
      <c r="KX11" s="356"/>
      <c r="KY11" s="356"/>
      <c r="KZ11" s="356"/>
      <c r="LA11" s="356"/>
      <c r="LB11" s="356"/>
      <c r="LC11" s="356"/>
      <c r="LD11" s="356"/>
      <c r="LE11" s="356"/>
      <c r="LF11" s="356"/>
      <c r="LG11" s="356"/>
      <c r="LH11" s="356"/>
      <c r="LI11" s="356"/>
      <c r="LJ11" s="356"/>
      <c r="LK11" s="356"/>
      <c r="LL11" s="356"/>
      <c r="LM11" s="356"/>
      <c r="LN11" s="356"/>
      <c r="LO11" s="356"/>
      <c r="LP11" s="356"/>
      <c r="LQ11" s="356"/>
      <c r="LR11" s="356"/>
      <c r="LS11" s="356"/>
      <c r="LT11" s="356"/>
      <c r="LU11" s="356"/>
      <c r="LV11" s="356"/>
      <c r="LW11" s="356"/>
      <c r="LX11" s="356"/>
      <c r="LY11" s="356"/>
      <c r="LZ11" s="356"/>
      <c r="MA11" s="356"/>
      <c r="MB11" s="356"/>
      <c r="MC11" s="356"/>
      <c r="MD11" s="356"/>
      <c r="ME11" s="356"/>
      <c r="MF11" s="356"/>
      <c r="MG11" s="356"/>
      <c r="MH11" s="356"/>
      <c r="MI11" s="356"/>
      <c r="MJ11" s="356"/>
      <c r="MK11" s="356"/>
      <c r="ML11" s="356"/>
      <c r="MM11" s="356"/>
      <c r="MN11" s="356"/>
      <c r="MO11" s="356"/>
      <c r="MP11" s="356"/>
      <c r="MQ11" s="356"/>
      <c r="MR11" s="356"/>
      <c r="MS11" s="356"/>
      <c r="MT11" s="356"/>
      <c r="MU11" s="356"/>
      <c r="MV11" s="356"/>
      <c r="MW11" s="356"/>
      <c r="MX11" s="356"/>
      <c r="MY11" s="356"/>
      <c r="MZ11" s="356"/>
      <c r="NA11" s="356"/>
      <c r="NB11" s="356"/>
      <c r="NC11" s="356"/>
      <c r="ND11" s="356"/>
      <c r="NE11" s="356"/>
      <c r="NF11" s="356"/>
      <c r="NG11" s="356"/>
      <c r="NH11" s="356"/>
      <c r="NI11" s="356"/>
      <c r="NJ11" s="356"/>
      <c r="NK11" s="356"/>
      <c r="NL11" s="356"/>
      <c r="NM11" s="356"/>
      <c r="NN11" s="356"/>
      <c r="NO11" s="356"/>
      <c r="NP11" s="356"/>
      <c r="NQ11" s="356"/>
      <c r="NR11" s="356"/>
      <c r="NS11" s="356"/>
      <c r="NT11" s="356"/>
      <c r="NU11" s="356"/>
      <c r="NV11" s="356"/>
      <c r="NW11" s="356"/>
      <c r="NX11" s="356"/>
      <c r="NY11" s="356"/>
      <c r="NZ11" s="356"/>
      <c r="OA11" s="356"/>
      <c r="OB11" s="356"/>
      <c r="OC11" s="356"/>
      <c r="OD11" s="356"/>
      <c r="OE11" s="356"/>
      <c r="OF11" s="356"/>
      <c r="OG11" s="356"/>
      <c r="OH11" s="356"/>
      <c r="OI11" s="356"/>
      <c r="OJ11" s="356"/>
      <c r="OK11" s="356"/>
      <c r="OL11" s="356"/>
      <c r="OM11" s="356"/>
      <c r="ON11" s="356"/>
      <c r="OO11" s="356"/>
      <c r="OP11" s="356"/>
      <c r="OQ11" s="356"/>
      <c r="OR11" s="356"/>
      <c r="OS11" s="356"/>
      <c r="OT11" s="356"/>
      <c r="OU11" s="356"/>
    </row>
    <row r="12">
      <c r="A12" s="686">
        <v>1.0</v>
      </c>
      <c r="B12" s="156" t="s">
        <v>42</v>
      </c>
      <c r="C12" s="1118">
        <f>sum(E28:E30)</f>
        <v>8260</v>
      </c>
      <c r="D12" s="1119">
        <f>sum(Q28:Q30)</f>
        <v>8624</v>
      </c>
      <c r="E12" s="696">
        <f t="shared" ref="E12:E19" si="1">D12/C12</f>
        <v>1.044067797</v>
      </c>
      <c r="F12" s="1118">
        <f>sum(F28:F30)</f>
        <v>8060</v>
      </c>
      <c r="G12" s="1119">
        <f>sum(R28:R30)</f>
        <v>8421</v>
      </c>
      <c r="H12" s="698">
        <f t="shared" ref="H12:H19" si="2">G12/F12</f>
        <v>1.044789082</v>
      </c>
      <c r="I12" s="1120"/>
      <c r="J12" s="176"/>
      <c r="K12" s="698"/>
      <c r="L12" s="1120"/>
      <c r="M12" s="176"/>
      <c r="N12" s="698"/>
      <c r="O12" s="1120"/>
      <c r="P12" s="176"/>
      <c r="Q12" s="696"/>
      <c r="R12" s="1121"/>
      <c r="S12" s="1122"/>
      <c r="T12" s="696"/>
      <c r="U12" s="1123"/>
      <c r="V12" s="1124"/>
      <c r="W12" s="692"/>
      <c r="X12" s="687"/>
      <c r="Y12" s="688"/>
      <c r="Z12" s="692"/>
      <c r="AA12" s="687"/>
      <c r="AB12" s="688"/>
      <c r="AC12" s="692"/>
      <c r="AD12" s="687"/>
      <c r="AE12" s="688"/>
      <c r="AF12" s="692"/>
      <c r="AG12" s="687"/>
      <c r="AH12" s="688"/>
      <c r="AI12" s="692"/>
      <c r="AJ12" s="687"/>
      <c r="AK12" s="688"/>
      <c r="AL12" s="692"/>
    </row>
    <row r="13">
      <c r="A13" s="686">
        <v>2.0</v>
      </c>
      <c r="B13" s="156" t="s">
        <v>43</v>
      </c>
      <c r="C13" s="1118">
        <f>sum(E32:E33)</f>
        <v>7558</v>
      </c>
      <c r="D13" s="1119">
        <f>sum(Q32:Q33)</f>
        <v>8544</v>
      </c>
      <c r="E13" s="696">
        <f t="shared" si="1"/>
        <v>1.130457793</v>
      </c>
      <c r="F13" s="1118">
        <f>sum(F32:F33)</f>
        <v>7334</v>
      </c>
      <c r="G13" s="1119">
        <f>sum(R32:R33)</f>
        <v>8253</v>
      </c>
      <c r="H13" s="698">
        <f t="shared" si="2"/>
        <v>1.12530679</v>
      </c>
      <c r="I13" s="1120"/>
      <c r="J13" s="176"/>
      <c r="K13" s="698"/>
      <c r="L13" s="1120"/>
      <c r="M13" s="176"/>
      <c r="N13" s="698"/>
      <c r="O13" s="1120"/>
      <c r="P13" s="176"/>
      <c r="Q13" s="696"/>
      <c r="R13" s="1125"/>
      <c r="S13" s="1126"/>
      <c r="T13" s="696"/>
      <c r="U13" s="1127"/>
      <c r="V13" s="1128"/>
      <c r="W13" s="692"/>
      <c r="X13" s="687"/>
      <c r="Y13" s="688"/>
      <c r="Z13" s="692"/>
      <c r="AA13" s="687"/>
      <c r="AB13" s="688"/>
      <c r="AC13" s="692"/>
      <c r="AD13" s="687"/>
      <c r="AE13" s="688"/>
      <c r="AF13" s="692"/>
      <c r="AG13" s="687"/>
      <c r="AH13" s="688"/>
      <c r="AI13" s="692"/>
      <c r="AJ13" s="687"/>
      <c r="AK13" s="688"/>
      <c r="AL13" s="692"/>
    </row>
    <row r="14">
      <c r="A14" s="686">
        <v>3.0</v>
      </c>
      <c r="B14" s="156" t="s">
        <v>44</v>
      </c>
      <c r="C14" s="1118">
        <f>sum(E41,E44,E49)</f>
        <v>2812</v>
      </c>
      <c r="D14" s="1119">
        <f>sum(Q41,Q44,Q49)</f>
        <v>2678</v>
      </c>
      <c r="E14" s="696">
        <f t="shared" si="1"/>
        <v>0.9523470839</v>
      </c>
      <c r="F14" s="1118">
        <f>sum(F41,F44,F49)</f>
        <v>2766</v>
      </c>
      <c r="G14" s="1119">
        <f>sum(R41,R44,R49)</f>
        <v>2633</v>
      </c>
      <c r="H14" s="698">
        <f t="shared" si="2"/>
        <v>0.9519161244</v>
      </c>
      <c r="I14" s="1120"/>
      <c r="J14" s="176"/>
      <c r="K14" s="698"/>
      <c r="L14" s="1120"/>
      <c r="M14" s="176"/>
      <c r="N14" s="698"/>
      <c r="O14" s="1120"/>
      <c r="P14" s="176"/>
      <c r="Q14" s="696"/>
      <c r="R14" s="1125"/>
      <c r="S14" s="1126"/>
      <c r="T14" s="696"/>
      <c r="U14" s="1127"/>
      <c r="V14" s="1128"/>
      <c r="W14" s="692"/>
      <c r="X14" s="687"/>
      <c r="Y14" s="688"/>
      <c r="Z14" s="692"/>
      <c r="AA14" s="687"/>
      <c r="AB14" s="688"/>
      <c r="AC14" s="692"/>
      <c r="AD14" s="687"/>
      <c r="AE14" s="688"/>
      <c r="AF14" s="692"/>
      <c r="AG14" s="687"/>
      <c r="AH14" s="688"/>
      <c r="AI14" s="692"/>
      <c r="AJ14" s="687"/>
      <c r="AK14" s="688"/>
      <c r="AL14" s="692"/>
    </row>
    <row r="15">
      <c r="A15" s="686">
        <v>4.0</v>
      </c>
      <c r="B15" s="156" t="s">
        <v>45</v>
      </c>
      <c r="C15" s="1118">
        <f>sum(E34,E36,E38,E40)</f>
        <v>5352</v>
      </c>
      <c r="D15" s="1119">
        <f>sum(Q34,Q36,Q38,Q40)</f>
        <v>5889</v>
      </c>
      <c r="E15" s="696">
        <f t="shared" si="1"/>
        <v>1.100336323</v>
      </c>
      <c r="F15" s="1118">
        <f>sum(F34,F36,F38,F40)</f>
        <v>5273</v>
      </c>
      <c r="G15" s="176">
        <f>sum(R34,R36,R38,R40)</f>
        <v>5735</v>
      </c>
      <c r="H15" s="698">
        <f t="shared" si="2"/>
        <v>1.087616158</v>
      </c>
      <c r="I15" s="1120"/>
      <c r="J15" s="176"/>
      <c r="K15" s="698"/>
      <c r="L15" s="1120"/>
      <c r="M15" s="176"/>
      <c r="N15" s="698"/>
      <c r="O15" s="1120"/>
      <c r="P15" s="176"/>
      <c r="Q15" s="696"/>
      <c r="R15" s="1125"/>
      <c r="S15" s="1126"/>
      <c r="T15" s="696"/>
      <c r="U15" s="1127"/>
      <c r="V15" s="1128"/>
      <c r="W15" s="692"/>
      <c r="X15" s="687"/>
      <c r="Y15" s="688"/>
      <c r="Z15" s="692"/>
      <c r="AA15" s="687"/>
      <c r="AB15" s="688"/>
      <c r="AC15" s="692"/>
      <c r="AD15" s="687"/>
      <c r="AE15" s="688"/>
      <c r="AF15" s="692"/>
      <c r="AG15" s="687"/>
      <c r="AH15" s="688"/>
      <c r="AI15" s="692"/>
      <c r="AJ15" s="687"/>
      <c r="AK15" s="688"/>
      <c r="AL15" s="692"/>
    </row>
    <row r="16">
      <c r="A16" s="686">
        <v>5.0</v>
      </c>
      <c r="B16" s="156" t="s">
        <v>47</v>
      </c>
      <c r="C16" s="1118">
        <f>sum(E35,E30,E37,E39)</f>
        <v>8633</v>
      </c>
      <c r="D16" s="1119">
        <f>sum(Q35,Q30,Q37,Q39)</f>
        <v>9094</v>
      </c>
      <c r="E16" s="696">
        <f t="shared" si="1"/>
        <v>1.053399745</v>
      </c>
      <c r="F16" s="1118">
        <f>sum(F35,F30,F37,F39)</f>
        <v>8431</v>
      </c>
      <c r="G16" s="176">
        <f>sum(R35,R30,R37,R39)</f>
        <v>8802</v>
      </c>
      <c r="H16" s="698">
        <f t="shared" si="2"/>
        <v>1.04400427</v>
      </c>
      <c r="I16" s="1120"/>
      <c r="J16" s="176"/>
      <c r="K16" s="698"/>
      <c r="L16" s="1120"/>
      <c r="M16" s="176"/>
      <c r="N16" s="698"/>
      <c r="O16" s="1120"/>
      <c r="P16" s="176"/>
      <c r="Q16" s="696"/>
      <c r="R16" s="1125"/>
      <c r="S16" s="1126"/>
      <c r="T16" s="696"/>
      <c r="U16" s="1127"/>
      <c r="V16" s="1128"/>
      <c r="W16" s="692"/>
      <c r="X16" s="687"/>
      <c r="Y16" s="688"/>
      <c r="Z16" s="692"/>
      <c r="AA16" s="687"/>
      <c r="AB16" s="688"/>
      <c r="AC16" s="692"/>
      <c r="AD16" s="687"/>
      <c r="AE16" s="688"/>
      <c r="AF16" s="692"/>
      <c r="AG16" s="687"/>
      <c r="AH16" s="688"/>
      <c r="AI16" s="692"/>
      <c r="AJ16" s="687"/>
      <c r="AK16" s="688"/>
      <c r="AL16" s="692"/>
    </row>
    <row r="17">
      <c r="A17" s="686">
        <v>6.0</v>
      </c>
      <c r="B17" s="156" t="s">
        <v>48</v>
      </c>
      <c r="C17" s="1118">
        <f>sum(E43,E46,E47)</f>
        <v>7579</v>
      </c>
      <c r="D17" s="1119">
        <f>sum(Q43,Q46,Q47)</f>
        <v>7863</v>
      </c>
      <c r="E17" s="696">
        <f t="shared" si="1"/>
        <v>1.037471962</v>
      </c>
      <c r="F17" s="1118">
        <f>sum(F43,F46,F47)</f>
        <v>7411</v>
      </c>
      <c r="G17" s="176">
        <f>sum(R43,R46,R47)</f>
        <v>7639</v>
      </c>
      <c r="H17" s="698">
        <f t="shared" si="2"/>
        <v>1.030765079</v>
      </c>
      <c r="I17" s="1120"/>
      <c r="J17" s="176"/>
      <c r="K17" s="698"/>
      <c r="L17" s="1120"/>
      <c r="M17" s="176"/>
      <c r="N17" s="698"/>
      <c r="O17" s="1120"/>
      <c r="P17" s="176"/>
      <c r="Q17" s="696"/>
      <c r="R17" s="1125"/>
      <c r="S17" s="1126"/>
      <c r="T17" s="696"/>
      <c r="U17" s="1127"/>
      <c r="V17" s="1128"/>
      <c r="W17" s="692"/>
      <c r="X17" s="687"/>
      <c r="Y17" s="688"/>
      <c r="Z17" s="692"/>
      <c r="AA17" s="687"/>
      <c r="AB17" s="688"/>
      <c r="AC17" s="692"/>
      <c r="AD17" s="687"/>
      <c r="AE17" s="688"/>
      <c r="AF17" s="692"/>
      <c r="AG17" s="687"/>
      <c r="AH17" s="688"/>
      <c r="AI17" s="692"/>
      <c r="AJ17" s="687"/>
      <c r="AK17" s="688"/>
      <c r="AL17" s="692"/>
    </row>
    <row r="18">
      <c r="A18" s="686">
        <v>7.0</v>
      </c>
      <c r="B18" s="156" t="s">
        <v>49</v>
      </c>
      <c r="C18" s="1118">
        <f>sum(E42,E48,E45)</f>
        <v>4205</v>
      </c>
      <c r="D18" s="1119">
        <f>sum(Q42,Q48,Q45)</f>
        <v>4063</v>
      </c>
      <c r="E18" s="696">
        <f t="shared" si="1"/>
        <v>0.9662306778</v>
      </c>
      <c r="F18" s="1118">
        <f>sum(F42,F48,F45)</f>
        <v>4157</v>
      </c>
      <c r="G18" s="176">
        <f>sum(R42,R48,R45)</f>
        <v>3944</v>
      </c>
      <c r="H18" s="698">
        <f t="shared" si="2"/>
        <v>0.9487611258</v>
      </c>
      <c r="I18" s="1120"/>
      <c r="J18" s="176"/>
      <c r="K18" s="698"/>
      <c r="L18" s="1120"/>
      <c r="M18" s="176"/>
      <c r="N18" s="698"/>
      <c r="O18" s="1120"/>
      <c r="P18" s="176"/>
      <c r="Q18" s="696"/>
      <c r="R18" s="1129"/>
      <c r="S18" s="1130"/>
      <c r="T18" s="696"/>
      <c r="U18" s="1131"/>
      <c r="V18" s="1132"/>
      <c r="W18" s="692"/>
      <c r="X18" s="687"/>
      <c r="Y18" s="688"/>
      <c r="Z18" s="692"/>
      <c r="AA18" s="687"/>
      <c r="AB18" s="688"/>
      <c r="AC18" s="692"/>
      <c r="AD18" s="687"/>
      <c r="AE18" s="688"/>
      <c r="AF18" s="692"/>
      <c r="AG18" s="687"/>
      <c r="AH18" s="688"/>
      <c r="AI18" s="692"/>
      <c r="AJ18" s="687"/>
      <c r="AK18" s="688"/>
      <c r="AL18" s="692"/>
    </row>
    <row r="19">
      <c r="A19" s="688"/>
      <c r="B19" s="90" t="s">
        <v>50</v>
      </c>
      <c r="C19" s="1133">
        <f t="shared" ref="C19:D19" si="3">sum(C12:C18)</f>
        <v>44399</v>
      </c>
      <c r="D19" s="1134">
        <f t="shared" si="3"/>
        <v>46755</v>
      </c>
      <c r="E19" s="725">
        <f t="shared" si="1"/>
        <v>1.053064258</v>
      </c>
      <c r="F19" s="1133">
        <f t="shared" ref="F19:G19" si="4">sum(F12:F18)</f>
        <v>43432</v>
      </c>
      <c r="G19" s="1134">
        <f t="shared" si="4"/>
        <v>45427</v>
      </c>
      <c r="H19" s="725">
        <f t="shared" si="2"/>
        <v>1.045933874</v>
      </c>
      <c r="I19" s="1133"/>
      <c r="J19" s="1134"/>
      <c r="K19" s="725"/>
      <c r="L19" s="1133"/>
      <c r="M19" s="1134"/>
      <c r="N19" s="725"/>
      <c r="O19" s="1133"/>
      <c r="P19" s="1134"/>
      <c r="Q19" s="725"/>
      <c r="R19" s="1133"/>
      <c r="S19" s="1134"/>
      <c r="T19" s="725"/>
      <c r="U19" s="1133"/>
      <c r="V19" s="719"/>
      <c r="W19" s="721"/>
      <c r="X19" s="718"/>
      <c r="Y19" s="719"/>
      <c r="Z19" s="721"/>
      <c r="AA19" s="718"/>
      <c r="AB19" s="719"/>
      <c r="AC19" s="721"/>
      <c r="AD19" s="718"/>
      <c r="AE19" s="719"/>
      <c r="AF19" s="721"/>
      <c r="AG19" s="718"/>
      <c r="AH19" s="719"/>
      <c r="AI19" s="721"/>
      <c r="AJ19" s="718"/>
      <c r="AK19" s="719"/>
      <c r="AL19" s="721"/>
    </row>
    <row r="23">
      <c r="A23" s="1135" t="s">
        <v>174</v>
      </c>
      <c r="B23" s="1135" t="s">
        <v>612</v>
      </c>
      <c r="C23" s="1135" t="s">
        <v>329</v>
      </c>
      <c r="D23" s="1135" t="s">
        <v>613</v>
      </c>
      <c r="E23" s="1136" t="s">
        <v>614</v>
      </c>
      <c r="F23" s="1137"/>
      <c r="G23" s="1137"/>
      <c r="H23" s="1137"/>
      <c r="I23" s="1137"/>
      <c r="J23" s="1137"/>
      <c r="K23" s="1137"/>
      <c r="L23" s="1137"/>
      <c r="M23" s="1137"/>
      <c r="N23" s="1137"/>
      <c r="O23" s="1137"/>
      <c r="P23" s="1138"/>
      <c r="Q23" s="1136" t="s">
        <v>615</v>
      </c>
      <c r="R23" s="1137"/>
      <c r="S23" s="1137"/>
      <c r="T23" s="1137"/>
      <c r="U23" s="1137"/>
      <c r="V23" s="1137"/>
      <c r="W23" s="1137"/>
      <c r="X23" s="1137"/>
      <c r="Y23" s="1137"/>
      <c r="Z23" s="1137"/>
      <c r="AA23" s="1137"/>
      <c r="AB23" s="1137"/>
      <c r="AC23" s="1138"/>
      <c r="AD23" s="1136" t="s">
        <v>616</v>
      </c>
      <c r="AE23" s="1137"/>
      <c r="AF23" s="1138"/>
      <c r="AG23" s="1136" t="s">
        <v>617</v>
      </c>
      <c r="AH23" s="1138"/>
      <c r="AI23" s="1136" t="s">
        <v>618</v>
      </c>
      <c r="AJ23" s="1137"/>
      <c r="AK23" s="1137"/>
      <c r="AL23" s="1137"/>
      <c r="AM23" s="1137"/>
      <c r="AN23" s="1137"/>
      <c r="AO23" s="1137"/>
      <c r="AP23" s="1137"/>
      <c r="AQ23" s="1137"/>
      <c r="AR23" s="1137"/>
      <c r="AS23" s="1137"/>
      <c r="AT23" s="1137"/>
      <c r="AU23" s="1137"/>
      <c r="AV23" s="1138"/>
    </row>
    <row r="24">
      <c r="A24" s="1139"/>
      <c r="B24" s="1139"/>
      <c r="C24" s="1139"/>
      <c r="D24" s="1139"/>
      <c r="E24" s="1140" t="s">
        <v>434</v>
      </c>
      <c r="F24" s="1140" t="s">
        <v>435</v>
      </c>
      <c r="G24" s="1140" t="s">
        <v>436</v>
      </c>
      <c r="H24" s="1140" t="s">
        <v>437</v>
      </c>
      <c r="I24" s="1140" t="s">
        <v>438</v>
      </c>
      <c r="J24" s="1140" t="s">
        <v>439</v>
      </c>
      <c r="K24" s="1140" t="s">
        <v>440</v>
      </c>
      <c r="L24" s="1140" t="s">
        <v>441</v>
      </c>
      <c r="M24" s="1140" t="s">
        <v>442</v>
      </c>
      <c r="N24" s="1140" t="s">
        <v>443</v>
      </c>
      <c r="O24" s="1140" t="s">
        <v>444</v>
      </c>
      <c r="P24" s="1140" t="s">
        <v>445</v>
      </c>
      <c r="Q24" s="1140" t="s">
        <v>434</v>
      </c>
      <c r="R24" s="1140" t="s">
        <v>435</v>
      </c>
      <c r="S24" s="1140" t="s">
        <v>436</v>
      </c>
      <c r="T24" s="1140" t="s">
        <v>437</v>
      </c>
      <c r="U24" s="1140" t="s">
        <v>438</v>
      </c>
      <c r="V24" s="1140" t="s">
        <v>439</v>
      </c>
      <c r="W24" s="1140" t="s">
        <v>440</v>
      </c>
      <c r="X24" s="1140" t="s">
        <v>441</v>
      </c>
      <c r="Y24" s="1140" t="s">
        <v>442</v>
      </c>
      <c r="Z24" s="1140" t="s">
        <v>443</v>
      </c>
      <c r="AA24" s="1140" t="s">
        <v>444</v>
      </c>
      <c r="AB24" s="1140" t="s">
        <v>445</v>
      </c>
      <c r="AC24" s="1140" t="s">
        <v>619</v>
      </c>
      <c r="AD24" s="1140" t="s">
        <v>620</v>
      </c>
      <c r="AE24" s="1140" t="s">
        <v>621</v>
      </c>
      <c r="AF24" s="1140" t="s">
        <v>622</v>
      </c>
      <c r="AG24" s="1140" t="s">
        <v>166</v>
      </c>
      <c r="AH24" s="1140" t="s">
        <v>622</v>
      </c>
      <c r="AI24" s="1140" t="s">
        <v>623</v>
      </c>
      <c r="AJ24" s="1140" t="s">
        <v>434</v>
      </c>
      <c r="AK24" s="1140" t="s">
        <v>435</v>
      </c>
      <c r="AL24" s="1140" t="s">
        <v>436</v>
      </c>
      <c r="AM24" s="1140" t="s">
        <v>437</v>
      </c>
      <c r="AN24" s="1140" t="s">
        <v>438</v>
      </c>
      <c r="AO24" s="1140" t="s">
        <v>439</v>
      </c>
      <c r="AP24" s="1140" t="s">
        <v>440</v>
      </c>
      <c r="AQ24" s="1140" t="s">
        <v>441</v>
      </c>
      <c r="AR24" s="1140" t="s">
        <v>442</v>
      </c>
      <c r="AS24" s="1140" t="s">
        <v>443</v>
      </c>
      <c r="AT24" s="1140" t="s">
        <v>444</v>
      </c>
      <c r="AU24" s="1140" t="s">
        <v>445</v>
      </c>
      <c r="AV24" s="1140" t="s">
        <v>624</v>
      </c>
      <c r="AW24" s="1165"/>
      <c r="AX24" s="1165"/>
      <c r="AY24" s="1165"/>
      <c r="AZ24" s="1165"/>
      <c r="BA24" s="1165"/>
      <c r="BB24" s="1165"/>
      <c r="BC24" s="1165"/>
      <c r="BD24" s="1165"/>
      <c r="BE24" s="1165"/>
      <c r="BF24" s="1165"/>
      <c r="BG24" s="1165"/>
      <c r="BH24" s="1165"/>
      <c r="BI24" s="1165"/>
      <c r="BJ24" s="1165"/>
      <c r="BK24" s="1165"/>
      <c r="BL24" s="1165"/>
      <c r="BM24" s="1165"/>
      <c r="BN24" s="1165"/>
      <c r="BO24" s="1165"/>
      <c r="BP24" s="1165"/>
      <c r="BQ24" s="1165"/>
      <c r="BR24" s="1165"/>
      <c r="BS24" s="1165"/>
      <c r="BT24" s="1165"/>
      <c r="BU24" s="1165"/>
      <c r="BV24" s="1165"/>
      <c r="BW24" s="1165"/>
      <c r="BX24" s="1165"/>
      <c r="BY24" s="1165"/>
      <c r="BZ24" s="1165"/>
      <c r="CA24" s="1165"/>
      <c r="CB24" s="1165"/>
      <c r="CC24" s="1165"/>
      <c r="CD24" s="1165"/>
      <c r="CE24" s="1165"/>
      <c r="CF24" s="1165"/>
      <c r="CG24" s="1165"/>
      <c r="CH24" s="1165"/>
      <c r="CI24" s="1165"/>
      <c r="CJ24" s="1165"/>
      <c r="CK24" s="1165"/>
      <c r="CL24" s="1165"/>
      <c r="CM24" s="1165"/>
      <c r="CN24" s="1165"/>
      <c r="CO24" s="1165"/>
      <c r="CP24" s="1165"/>
      <c r="CQ24" s="1165"/>
      <c r="CR24" s="1165"/>
      <c r="CS24" s="1165"/>
      <c r="CT24" s="1165"/>
      <c r="CU24" s="1165"/>
      <c r="CV24" s="1165"/>
      <c r="CW24" s="1165"/>
      <c r="CX24" s="1165"/>
      <c r="CY24" s="1165"/>
      <c r="CZ24" s="1165"/>
      <c r="DA24" s="1165"/>
      <c r="DB24" s="1165"/>
      <c r="DC24" s="1165"/>
      <c r="DD24" s="1165"/>
      <c r="DE24" s="1165"/>
      <c r="DF24" s="1165"/>
      <c r="DG24" s="1165"/>
      <c r="DH24" s="1165"/>
      <c r="DI24" s="1165"/>
      <c r="DJ24" s="1165"/>
      <c r="DK24" s="1165"/>
      <c r="DL24" s="1165"/>
      <c r="DM24" s="1165"/>
      <c r="DN24" s="1165"/>
      <c r="DO24" s="1165"/>
      <c r="DP24" s="1165"/>
      <c r="DQ24" s="1165"/>
      <c r="DR24" s="1165"/>
      <c r="DS24" s="1165"/>
      <c r="DT24" s="1165"/>
      <c r="DU24" s="1165"/>
      <c r="DV24" s="1165"/>
      <c r="DW24" s="1165"/>
      <c r="DX24" s="1165"/>
      <c r="DY24" s="1165"/>
      <c r="DZ24" s="1165"/>
      <c r="EA24" s="1165"/>
      <c r="EB24" s="1165"/>
      <c r="EC24" s="1165"/>
      <c r="ED24" s="1165"/>
      <c r="EE24" s="1165"/>
      <c r="EF24" s="1165"/>
      <c r="EG24" s="1165"/>
      <c r="EH24" s="1165"/>
      <c r="EI24" s="1165"/>
      <c r="EJ24" s="1165"/>
      <c r="EK24" s="1165"/>
      <c r="EL24" s="1165"/>
      <c r="EM24" s="1165"/>
      <c r="EN24" s="1165"/>
      <c r="EO24" s="1165"/>
      <c r="EP24" s="1165"/>
      <c r="EQ24" s="1165"/>
      <c r="ER24" s="1165"/>
      <c r="ES24" s="1165"/>
      <c r="ET24" s="1165"/>
      <c r="EU24" s="1165"/>
      <c r="EV24" s="1165"/>
      <c r="EW24" s="1165"/>
      <c r="EX24" s="1165"/>
      <c r="EY24" s="1165"/>
      <c r="EZ24" s="1165"/>
      <c r="FA24" s="1165"/>
      <c r="FB24" s="1165"/>
      <c r="FC24" s="1165"/>
      <c r="FD24" s="1165"/>
      <c r="FE24" s="1165"/>
      <c r="FF24" s="1165"/>
      <c r="FG24" s="1165"/>
      <c r="FH24" s="1165"/>
      <c r="FI24" s="1165"/>
      <c r="FJ24" s="1165"/>
      <c r="FK24" s="1165"/>
      <c r="FL24" s="1165"/>
      <c r="FM24" s="1165"/>
      <c r="FN24" s="1165"/>
      <c r="FO24" s="1165"/>
      <c r="FP24" s="1165"/>
      <c r="FQ24" s="1165"/>
      <c r="FR24" s="1165"/>
      <c r="FS24" s="1165"/>
      <c r="FT24" s="1165"/>
      <c r="FU24" s="1165"/>
      <c r="FV24" s="1165"/>
      <c r="FW24" s="1165"/>
      <c r="FX24" s="1165"/>
      <c r="FY24" s="1165"/>
      <c r="FZ24" s="1165"/>
      <c r="GA24" s="1165"/>
      <c r="GB24" s="1165"/>
      <c r="GC24" s="1165"/>
      <c r="GD24" s="1165"/>
      <c r="GE24" s="1165"/>
      <c r="GF24" s="1165"/>
      <c r="GG24" s="1165"/>
      <c r="GH24" s="1165"/>
      <c r="GI24" s="1165"/>
      <c r="GJ24" s="1165"/>
      <c r="GK24" s="1165"/>
      <c r="GL24" s="1165"/>
      <c r="GM24" s="1165"/>
      <c r="GN24" s="1165"/>
      <c r="GO24" s="1165"/>
      <c r="GP24" s="1165"/>
      <c r="GQ24" s="1165"/>
      <c r="GR24" s="1165"/>
      <c r="GS24" s="1165"/>
      <c r="GT24" s="1165"/>
      <c r="GU24" s="1165"/>
      <c r="GV24" s="1165"/>
      <c r="GW24" s="1165"/>
      <c r="GX24" s="1165"/>
      <c r="GY24" s="1165"/>
      <c r="GZ24" s="1165"/>
      <c r="HA24" s="1165"/>
      <c r="HB24" s="1165"/>
      <c r="HC24" s="1165"/>
      <c r="HD24" s="1165"/>
      <c r="HE24" s="1165"/>
      <c r="HF24" s="1165"/>
      <c r="HG24" s="1165"/>
      <c r="HH24" s="1165"/>
      <c r="HI24" s="1165"/>
      <c r="HJ24" s="1165"/>
      <c r="HK24" s="1165"/>
      <c r="HL24" s="1165"/>
      <c r="HM24" s="1165"/>
      <c r="HN24" s="1165"/>
      <c r="HO24" s="1165"/>
      <c r="HP24" s="1165"/>
      <c r="HQ24" s="1165"/>
      <c r="HR24" s="1165"/>
      <c r="HS24" s="1165"/>
      <c r="HT24" s="1165"/>
      <c r="HU24" s="1165"/>
      <c r="HV24" s="1165"/>
      <c r="HW24" s="1165"/>
      <c r="HX24" s="1165"/>
      <c r="HY24" s="1165"/>
      <c r="HZ24" s="1165"/>
      <c r="IA24" s="1165"/>
      <c r="IB24" s="1165"/>
      <c r="IC24" s="1165"/>
      <c r="ID24" s="1165"/>
      <c r="IE24" s="1165"/>
      <c r="IF24" s="1165"/>
      <c r="IG24" s="1165"/>
      <c r="IH24" s="1165"/>
      <c r="II24" s="1165"/>
      <c r="IJ24" s="1165"/>
      <c r="IK24" s="1165"/>
      <c r="IL24" s="1165"/>
      <c r="IM24" s="1165"/>
      <c r="IN24" s="1165"/>
      <c r="IO24" s="1165"/>
      <c r="IP24" s="1165"/>
      <c r="IQ24" s="1165"/>
      <c r="IR24" s="1165"/>
      <c r="IS24" s="1165"/>
      <c r="IT24" s="1165"/>
      <c r="IU24" s="1165"/>
      <c r="IV24" s="1165"/>
      <c r="IW24" s="1165"/>
      <c r="IX24" s="1165"/>
      <c r="IY24" s="1165"/>
      <c r="IZ24" s="1165"/>
      <c r="JA24" s="1165"/>
      <c r="JB24" s="1165"/>
      <c r="JC24" s="1165"/>
      <c r="JD24" s="1165"/>
      <c r="JE24" s="1165"/>
      <c r="JF24" s="1165"/>
      <c r="JG24" s="1165"/>
      <c r="JH24" s="1165"/>
      <c r="JI24" s="1165"/>
      <c r="JJ24" s="1165"/>
      <c r="JK24" s="1165"/>
      <c r="JL24" s="1165"/>
      <c r="JM24" s="1165"/>
      <c r="JN24" s="1165"/>
      <c r="JO24" s="1165"/>
      <c r="JP24" s="1165"/>
      <c r="JQ24" s="1165"/>
      <c r="JR24" s="1165"/>
      <c r="JS24" s="1165"/>
      <c r="JT24" s="1165"/>
      <c r="JU24" s="1165"/>
      <c r="JV24" s="1165"/>
      <c r="JW24" s="1165"/>
      <c r="JX24" s="1165"/>
      <c r="JY24" s="1165"/>
      <c r="JZ24" s="1165"/>
      <c r="KA24" s="1165"/>
      <c r="KB24" s="1165"/>
      <c r="KC24" s="1165"/>
      <c r="KD24" s="1165"/>
      <c r="KE24" s="1165"/>
      <c r="KF24" s="1165"/>
      <c r="KG24" s="1165"/>
      <c r="KH24" s="1165"/>
      <c r="KI24" s="1165"/>
      <c r="KJ24" s="1165"/>
      <c r="KK24" s="1165"/>
      <c r="KL24" s="1165"/>
      <c r="KM24" s="1165"/>
      <c r="KN24" s="1165"/>
      <c r="KO24" s="1165"/>
      <c r="KP24" s="1165"/>
      <c r="KQ24" s="1165"/>
      <c r="KR24" s="1165"/>
      <c r="KS24" s="1165"/>
      <c r="KT24" s="1165"/>
      <c r="KU24" s="1165"/>
      <c r="KV24" s="1165"/>
      <c r="KW24" s="1165"/>
      <c r="KX24" s="1165"/>
      <c r="KY24" s="1165"/>
      <c r="KZ24" s="1165"/>
      <c r="LA24" s="1165"/>
      <c r="LB24" s="1165"/>
      <c r="LC24" s="1165"/>
      <c r="LD24" s="1165"/>
      <c r="LE24" s="1165"/>
      <c r="LF24" s="1165"/>
      <c r="LG24" s="1165"/>
      <c r="LH24" s="1165"/>
      <c r="LI24" s="1165"/>
      <c r="LJ24" s="1165"/>
      <c r="LK24" s="1165"/>
      <c r="LL24" s="1165"/>
      <c r="LM24" s="1165"/>
      <c r="LN24" s="1165"/>
      <c r="LO24" s="1165"/>
      <c r="LP24" s="1165"/>
      <c r="LQ24" s="1165"/>
      <c r="LR24" s="1165"/>
      <c r="LS24" s="1165"/>
      <c r="LT24" s="1165"/>
      <c r="LU24" s="1165"/>
      <c r="LV24" s="1165"/>
      <c r="LW24" s="1165"/>
      <c r="LX24" s="1165"/>
      <c r="LY24" s="1165"/>
      <c r="LZ24" s="1165"/>
      <c r="MA24" s="1165"/>
      <c r="MB24" s="1165"/>
      <c r="MC24" s="1165"/>
      <c r="MD24" s="1165"/>
      <c r="ME24" s="1165"/>
      <c r="MF24" s="1165"/>
      <c r="MG24" s="1165"/>
      <c r="MH24" s="1165"/>
      <c r="MI24" s="1165"/>
      <c r="MJ24" s="1165"/>
      <c r="MK24" s="1165"/>
      <c r="ML24" s="1165"/>
      <c r="MM24" s="1165"/>
      <c r="MN24" s="1165"/>
      <c r="MO24" s="1165"/>
      <c r="MP24" s="1165"/>
      <c r="MQ24" s="1165"/>
      <c r="MR24" s="1165"/>
      <c r="MS24" s="1165"/>
      <c r="MT24" s="1165"/>
      <c r="MU24" s="1165"/>
      <c r="MV24" s="1165"/>
      <c r="MW24" s="1165"/>
      <c r="MX24" s="1165"/>
      <c r="MY24" s="1165"/>
      <c r="MZ24" s="1165"/>
      <c r="NA24" s="1165"/>
      <c r="NB24" s="1165"/>
      <c r="NC24" s="1165"/>
      <c r="ND24" s="1165"/>
      <c r="NE24" s="1165"/>
      <c r="NF24" s="1165"/>
      <c r="NG24" s="1165"/>
      <c r="NH24" s="1165"/>
      <c r="NI24" s="1165"/>
      <c r="NJ24" s="1165"/>
      <c r="NK24" s="1165"/>
      <c r="NL24" s="1165"/>
      <c r="NM24" s="1165"/>
      <c r="NN24" s="1165"/>
      <c r="NO24" s="1165"/>
      <c r="NP24" s="1165"/>
      <c r="NQ24" s="1165"/>
      <c r="NR24" s="1165"/>
      <c r="NS24" s="1165"/>
      <c r="NT24" s="1165"/>
      <c r="NU24" s="1165"/>
      <c r="NV24" s="1165"/>
      <c r="NW24" s="1165"/>
      <c r="NX24" s="1165"/>
      <c r="NY24" s="1165"/>
      <c r="NZ24" s="1165"/>
      <c r="OA24" s="1165"/>
      <c r="OB24" s="1165"/>
      <c r="OC24" s="1165"/>
      <c r="OD24" s="1165"/>
      <c r="OE24" s="1165"/>
      <c r="OF24" s="1165"/>
      <c r="OG24" s="1165"/>
      <c r="OH24" s="1165"/>
      <c r="OI24" s="1165"/>
      <c r="OJ24" s="1165"/>
      <c r="OK24" s="1165"/>
      <c r="OL24" s="1165"/>
      <c r="OM24" s="1165"/>
      <c r="ON24" s="1165"/>
      <c r="OO24" s="1165"/>
      <c r="OP24" s="1165"/>
      <c r="OQ24" s="1165"/>
      <c r="OR24" s="1165"/>
      <c r="OS24" s="1165"/>
      <c r="OT24" s="1165"/>
      <c r="OU24" s="1165"/>
    </row>
    <row r="25">
      <c r="A25" s="1166">
        <v>46024.0</v>
      </c>
      <c r="B25" s="1167" t="s">
        <v>628</v>
      </c>
      <c r="C25" s="1168" t="s">
        <v>23</v>
      </c>
      <c r="D25" s="1169">
        <v>624934.0</v>
      </c>
      <c r="E25" s="1169">
        <v>46556.0</v>
      </c>
      <c r="F25" s="1169">
        <v>45590.0</v>
      </c>
      <c r="G25" s="1169">
        <v>50844.0</v>
      </c>
      <c r="H25" s="1169">
        <v>48942.0</v>
      </c>
      <c r="I25" s="1169">
        <v>51137.0</v>
      </c>
      <c r="J25" s="1169">
        <v>51297.0</v>
      </c>
      <c r="K25" s="1169">
        <v>52579.0</v>
      </c>
      <c r="L25" s="1169">
        <v>54572.0</v>
      </c>
      <c r="M25" s="1169">
        <v>53569.0</v>
      </c>
      <c r="N25" s="1169">
        <v>55426.0</v>
      </c>
      <c r="O25" s="1169">
        <v>55688.0</v>
      </c>
      <c r="P25" s="1169">
        <v>58732.0</v>
      </c>
      <c r="Q25" s="1169">
        <v>49034.0</v>
      </c>
      <c r="R25" s="1169">
        <v>47857.0</v>
      </c>
      <c r="S25" s="1169">
        <v>47986.0</v>
      </c>
      <c r="T25" s="1169">
        <v>48174.0</v>
      </c>
      <c r="U25" s="1169">
        <v>49809.0</v>
      </c>
      <c r="V25" s="1169">
        <v>47574.0</v>
      </c>
      <c r="W25" s="1170"/>
      <c r="X25" s="1170"/>
      <c r="Y25" s="1170"/>
      <c r="Z25" s="1170"/>
      <c r="AA25" s="1170"/>
      <c r="AB25" s="1170"/>
      <c r="AC25" s="1169">
        <v>96891.0</v>
      </c>
      <c r="AD25" s="1171">
        <v>1.052</v>
      </c>
      <c r="AE25" s="1172">
        <v>0.155</v>
      </c>
      <c r="AF25" s="1173"/>
      <c r="AG25" s="1171">
        <v>1.15</v>
      </c>
      <c r="AH25" s="1173"/>
      <c r="AI25" s="1169">
        <v>84233.0</v>
      </c>
      <c r="AJ25" s="1169">
        <v>44802.0</v>
      </c>
      <c r="AK25" s="1169">
        <v>39431.0</v>
      </c>
      <c r="AL25" s="1169">
        <v>42774.0</v>
      </c>
      <c r="AM25" s="1169">
        <v>41707.0</v>
      </c>
      <c r="AN25" s="1169">
        <v>41871.0</v>
      </c>
      <c r="AO25" s="1169">
        <v>40307.0</v>
      </c>
      <c r="AP25" s="1169">
        <v>40581.0</v>
      </c>
      <c r="AQ25" s="1169">
        <v>40137.0</v>
      </c>
      <c r="AR25" s="1169">
        <v>39026.0</v>
      </c>
      <c r="AS25" s="1169">
        <v>41279.0</v>
      </c>
      <c r="AT25" s="1169">
        <v>39637.0</v>
      </c>
      <c r="AU25" s="1169">
        <v>41987.0</v>
      </c>
      <c r="AV25" s="1169">
        <v>493537.0</v>
      </c>
      <c r="AW25" s="1174"/>
      <c r="AX25" s="1174"/>
      <c r="AY25" s="1174"/>
      <c r="AZ25" s="1174"/>
      <c r="BA25" s="1174"/>
      <c r="BB25" s="1174"/>
      <c r="BC25" s="1174"/>
      <c r="BD25" s="1174"/>
      <c r="BE25" s="1174"/>
      <c r="BF25" s="1174"/>
      <c r="BG25" s="1174"/>
      <c r="BH25" s="1174"/>
      <c r="BI25" s="1174"/>
      <c r="BJ25" s="1174"/>
      <c r="BK25" s="1174"/>
      <c r="BL25" s="1174"/>
      <c r="BM25" s="1174"/>
      <c r="BN25" s="1174"/>
      <c r="BO25" s="1174"/>
      <c r="BP25" s="1174"/>
      <c r="BQ25" s="1174"/>
      <c r="BR25" s="1174"/>
      <c r="BS25" s="1174"/>
      <c r="BT25" s="1174"/>
      <c r="BU25" s="1174"/>
      <c r="BV25" s="1174"/>
      <c r="BW25" s="1174"/>
      <c r="BX25" s="1174"/>
      <c r="BY25" s="1174"/>
      <c r="BZ25" s="1174"/>
      <c r="CA25" s="1174"/>
      <c r="CB25" s="1174"/>
      <c r="CC25" s="1174"/>
      <c r="CD25" s="1174"/>
      <c r="CE25" s="1174"/>
      <c r="CF25" s="1174"/>
      <c r="CG25" s="1174"/>
      <c r="CH25" s="1174"/>
      <c r="CI25" s="1174"/>
      <c r="CJ25" s="1174"/>
      <c r="CK25" s="1174"/>
      <c r="CL25" s="1174"/>
      <c r="CM25" s="1174"/>
      <c r="CN25" s="1174"/>
      <c r="CO25" s="1174"/>
      <c r="CP25" s="1174"/>
      <c r="CQ25" s="1174"/>
      <c r="CR25" s="1174"/>
      <c r="CS25" s="1174"/>
      <c r="CT25" s="1174"/>
      <c r="CU25" s="1174"/>
      <c r="CV25" s="1174"/>
      <c r="CW25" s="1174"/>
      <c r="CX25" s="1174"/>
      <c r="CY25" s="1174"/>
      <c r="CZ25" s="1174"/>
      <c r="DA25" s="1174"/>
      <c r="DB25" s="1174"/>
      <c r="DC25" s="1174"/>
      <c r="DD25" s="1174"/>
      <c r="DE25" s="1174"/>
      <c r="DF25" s="1174"/>
      <c r="DG25" s="1174"/>
      <c r="DH25" s="1174"/>
      <c r="DI25" s="1174"/>
      <c r="DJ25" s="1174"/>
      <c r="DK25" s="1174"/>
      <c r="DL25" s="1174"/>
      <c r="DM25" s="1174"/>
      <c r="DN25" s="1174"/>
      <c r="DO25" s="1174"/>
      <c r="DP25" s="1174"/>
      <c r="DQ25" s="1174"/>
      <c r="DR25" s="1174"/>
      <c r="DS25" s="1174"/>
      <c r="DT25" s="1174"/>
      <c r="DU25" s="1174"/>
      <c r="DV25" s="1174"/>
      <c r="DW25" s="1174"/>
      <c r="DX25" s="1174"/>
      <c r="DY25" s="1174"/>
      <c r="DZ25" s="1174"/>
      <c r="EA25" s="1174"/>
      <c r="EB25" s="1174"/>
      <c r="EC25" s="1174"/>
      <c r="ED25" s="1174"/>
      <c r="EE25" s="1174"/>
      <c r="EF25" s="1174"/>
      <c r="EG25" s="1174"/>
      <c r="EH25" s="1174"/>
      <c r="EI25" s="1174"/>
      <c r="EJ25" s="1174"/>
      <c r="EK25" s="1174"/>
      <c r="EL25" s="1174"/>
      <c r="EM25" s="1174"/>
      <c r="EN25" s="1174"/>
      <c r="EO25" s="1174"/>
      <c r="EP25" s="1174"/>
      <c r="EQ25" s="1174"/>
      <c r="ER25" s="1174"/>
      <c r="ES25" s="1174"/>
      <c r="ET25" s="1174"/>
      <c r="EU25" s="1174"/>
      <c r="EV25" s="1174"/>
      <c r="EW25" s="1174"/>
      <c r="EX25" s="1174"/>
      <c r="EY25" s="1174"/>
      <c r="EZ25" s="1174"/>
      <c r="FA25" s="1174"/>
      <c r="FB25" s="1174"/>
      <c r="FC25" s="1174"/>
      <c r="FD25" s="1174"/>
      <c r="FE25" s="1174"/>
      <c r="FF25" s="1174"/>
      <c r="FG25" s="1174"/>
      <c r="FH25" s="1174"/>
      <c r="FI25" s="1174"/>
      <c r="FJ25" s="1174"/>
      <c r="FK25" s="1174"/>
      <c r="FL25" s="1174"/>
      <c r="FM25" s="1174"/>
      <c r="FN25" s="1174"/>
      <c r="FO25" s="1174"/>
      <c r="FP25" s="1174"/>
      <c r="FQ25" s="1174"/>
      <c r="FR25" s="1174"/>
      <c r="FS25" s="1174"/>
      <c r="FT25" s="1174"/>
      <c r="FU25" s="1174"/>
      <c r="FV25" s="1174"/>
      <c r="FW25" s="1174"/>
      <c r="FX25" s="1174"/>
      <c r="FY25" s="1174"/>
      <c r="FZ25" s="1174"/>
      <c r="GA25" s="1174"/>
      <c r="GB25" s="1174"/>
      <c r="GC25" s="1174"/>
      <c r="GD25" s="1174"/>
      <c r="GE25" s="1174"/>
      <c r="GF25" s="1174"/>
      <c r="GG25" s="1174"/>
      <c r="GH25" s="1174"/>
      <c r="GI25" s="1174"/>
      <c r="GJ25" s="1174"/>
      <c r="GK25" s="1174"/>
      <c r="GL25" s="1174"/>
      <c r="GM25" s="1174"/>
      <c r="GN25" s="1174"/>
      <c r="GO25" s="1174"/>
      <c r="GP25" s="1174"/>
      <c r="GQ25" s="1174"/>
      <c r="GR25" s="1174"/>
      <c r="GS25" s="1174"/>
      <c r="GT25" s="1174"/>
      <c r="GU25" s="1174"/>
      <c r="GV25" s="1174"/>
      <c r="GW25" s="1174"/>
      <c r="GX25" s="1174"/>
      <c r="GY25" s="1174"/>
      <c r="GZ25" s="1174"/>
      <c r="HA25" s="1174"/>
      <c r="HB25" s="1174"/>
      <c r="HC25" s="1174"/>
      <c r="HD25" s="1174"/>
      <c r="HE25" s="1174"/>
      <c r="HF25" s="1174"/>
      <c r="HG25" s="1174"/>
      <c r="HH25" s="1174"/>
      <c r="HI25" s="1174"/>
      <c r="HJ25" s="1174"/>
      <c r="HK25" s="1174"/>
      <c r="HL25" s="1174"/>
      <c r="HM25" s="1174"/>
      <c r="HN25" s="1174"/>
      <c r="HO25" s="1174"/>
      <c r="HP25" s="1174"/>
      <c r="HQ25" s="1174"/>
      <c r="HR25" s="1174"/>
      <c r="HS25" s="1174"/>
      <c r="HT25" s="1174"/>
      <c r="HU25" s="1174"/>
      <c r="HV25" s="1174"/>
      <c r="HW25" s="1174"/>
      <c r="HX25" s="1174"/>
      <c r="HY25" s="1174"/>
      <c r="HZ25" s="1174"/>
      <c r="IA25" s="1174"/>
      <c r="IB25" s="1174"/>
      <c r="IC25" s="1174"/>
      <c r="ID25" s="1174"/>
      <c r="IE25" s="1174"/>
      <c r="IF25" s="1174"/>
      <c r="IG25" s="1174"/>
      <c r="IH25" s="1174"/>
      <c r="II25" s="1174"/>
      <c r="IJ25" s="1174"/>
      <c r="IK25" s="1174"/>
      <c r="IL25" s="1174"/>
      <c r="IM25" s="1174"/>
      <c r="IN25" s="1174"/>
      <c r="IO25" s="1174"/>
      <c r="IP25" s="1174"/>
      <c r="IQ25" s="1174"/>
      <c r="IR25" s="1174"/>
      <c r="IS25" s="1174"/>
      <c r="IT25" s="1174"/>
      <c r="IU25" s="1174"/>
      <c r="IV25" s="1174"/>
      <c r="IW25" s="1174"/>
      <c r="IX25" s="1174"/>
      <c r="IY25" s="1174"/>
      <c r="IZ25" s="1174"/>
      <c r="JA25" s="1174"/>
      <c r="JB25" s="1174"/>
      <c r="JC25" s="1174"/>
      <c r="JD25" s="1174"/>
      <c r="JE25" s="1174"/>
      <c r="JF25" s="1174"/>
      <c r="JG25" s="1174"/>
      <c r="JH25" s="1174"/>
      <c r="JI25" s="1174"/>
      <c r="JJ25" s="1174"/>
      <c r="JK25" s="1174"/>
      <c r="JL25" s="1174"/>
      <c r="JM25" s="1174"/>
      <c r="JN25" s="1174"/>
      <c r="JO25" s="1174"/>
      <c r="JP25" s="1174"/>
      <c r="JQ25" s="1174"/>
      <c r="JR25" s="1174"/>
      <c r="JS25" s="1174"/>
      <c r="JT25" s="1174"/>
      <c r="JU25" s="1174"/>
      <c r="JV25" s="1174"/>
      <c r="JW25" s="1174"/>
      <c r="JX25" s="1174"/>
      <c r="JY25" s="1174"/>
      <c r="JZ25" s="1174"/>
      <c r="KA25" s="1174"/>
      <c r="KB25" s="1174"/>
      <c r="KC25" s="1174"/>
      <c r="KD25" s="1174"/>
      <c r="KE25" s="1174"/>
      <c r="KF25" s="1174"/>
      <c r="KG25" s="1174"/>
      <c r="KH25" s="1174"/>
      <c r="KI25" s="1174"/>
      <c r="KJ25" s="1174"/>
      <c r="KK25" s="1174"/>
      <c r="KL25" s="1174"/>
      <c r="KM25" s="1174"/>
      <c r="KN25" s="1174"/>
      <c r="KO25" s="1174"/>
      <c r="KP25" s="1174"/>
      <c r="KQ25" s="1174"/>
      <c r="KR25" s="1174"/>
      <c r="KS25" s="1174"/>
      <c r="KT25" s="1174"/>
      <c r="KU25" s="1174"/>
      <c r="KV25" s="1174"/>
      <c r="KW25" s="1174"/>
      <c r="KX25" s="1174"/>
      <c r="KY25" s="1174"/>
      <c r="KZ25" s="1174"/>
      <c r="LA25" s="1174"/>
      <c r="LB25" s="1174"/>
      <c r="LC25" s="1174"/>
      <c r="LD25" s="1174"/>
      <c r="LE25" s="1174"/>
      <c r="LF25" s="1174"/>
      <c r="LG25" s="1174"/>
      <c r="LH25" s="1174"/>
      <c r="LI25" s="1174"/>
      <c r="LJ25" s="1174"/>
      <c r="LK25" s="1174"/>
      <c r="LL25" s="1174"/>
      <c r="LM25" s="1174"/>
      <c r="LN25" s="1174"/>
      <c r="LO25" s="1174"/>
      <c r="LP25" s="1174"/>
      <c r="LQ25" s="1174"/>
      <c r="LR25" s="1174"/>
      <c r="LS25" s="1174"/>
      <c r="LT25" s="1174"/>
      <c r="LU25" s="1174"/>
      <c r="LV25" s="1174"/>
      <c r="LW25" s="1174"/>
      <c r="LX25" s="1174"/>
      <c r="LY25" s="1174"/>
      <c r="LZ25" s="1174"/>
      <c r="MA25" s="1174"/>
      <c r="MB25" s="1174"/>
      <c r="MC25" s="1174"/>
      <c r="MD25" s="1174"/>
      <c r="ME25" s="1174"/>
      <c r="MF25" s="1174"/>
      <c r="MG25" s="1174"/>
      <c r="MH25" s="1174"/>
      <c r="MI25" s="1174"/>
      <c r="MJ25" s="1174"/>
      <c r="MK25" s="1174"/>
      <c r="ML25" s="1174"/>
      <c r="MM25" s="1174"/>
      <c r="MN25" s="1174"/>
      <c r="MO25" s="1174"/>
      <c r="MP25" s="1174"/>
      <c r="MQ25" s="1174"/>
      <c r="MR25" s="1174"/>
      <c r="MS25" s="1174"/>
      <c r="MT25" s="1174"/>
      <c r="MU25" s="1174"/>
      <c r="MV25" s="1174"/>
      <c r="MW25" s="1174"/>
      <c r="MX25" s="1174"/>
      <c r="MY25" s="1174"/>
      <c r="MZ25" s="1174"/>
      <c r="NA25" s="1174"/>
      <c r="NB25" s="1174"/>
      <c r="NC25" s="1174"/>
      <c r="ND25" s="1174"/>
      <c r="NE25" s="1174"/>
      <c r="NF25" s="1174"/>
      <c r="NG25" s="1174"/>
      <c r="NH25" s="1174"/>
      <c r="NI25" s="1174"/>
      <c r="NJ25" s="1174"/>
      <c r="NK25" s="1174"/>
      <c r="NL25" s="1174"/>
      <c r="NM25" s="1174"/>
      <c r="NN25" s="1174"/>
      <c r="NO25" s="1174"/>
      <c r="NP25" s="1174"/>
      <c r="NQ25" s="1174"/>
      <c r="NR25" s="1174"/>
      <c r="NS25" s="1174"/>
      <c r="NT25" s="1174"/>
      <c r="NU25" s="1174"/>
      <c r="NV25" s="1174"/>
      <c r="NW25" s="1174"/>
      <c r="NX25" s="1174"/>
      <c r="NY25" s="1174"/>
      <c r="NZ25" s="1174"/>
      <c r="OA25" s="1174"/>
      <c r="OB25" s="1174"/>
      <c r="OC25" s="1174"/>
      <c r="OD25" s="1174"/>
      <c r="OE25" s="1174"/>
      <c r="OF25" s="1174"/>
      <c r="OG25" s="1174"/>
      <c r="OH25" s="1174"/>
      <c r="OI25" s="1174"/>
      <c r="OJ25" s="1174"/>
      <c r="OK25" s="1174"/>
      <c r="OL25" s="1174"/>
      <c r="OM25" s="1174"/>
      <c r="ON25" s="1174"/>
      <c r="OO25" s="1174"/>
      <c r="OP25" s="1174"/>
      <c r="OQ25" s="1174"/>
      <c r="OR25" s="1174"/>
      <c r="OS25" s="1174"/>
      <c r="OT25" s="1174"/>
      <c r="OU25" s="1174"/>
    </row>
    <row r="26">
      <c r="A26" s="1175"/>
      <c r="B26" s="1176" t="s">
        <v>42</v>
      </c>
      <c r="C26" s="1177" t="s">
        <v>23</v>
      </c>
      <c r="D26" s="1178">
        <v>48032.0</v>
      </c>
      <c r="E26" s="1178">
        <v>3658.0</v>
      </c>
      <c r="F26" s="1178">
        <v>3562.0</v>
      </c>
      <c r="G26" s="1178">
        <v>3968.0</v>
      </c>
      <c r="H26" s="1178">
        <v>3796.0</v>
      </c>
      <c r="I26" s="1178">
        <v>3955.0</v>
      </c>
      <c r="J26" s="1178">
        <v>3949.0</v>
      </c>
      <c r="K26" s="1178">
        <v>4034.0</v>
      </c>
      <c r="L26" s="1178">
        <v>4176.0</v>
      </c>
      <c r="M26" s="1178">
        <v>4077.0</v>
      </c>
      <c r="N26" s="1178">
        <v>4208.0</v>
      </c>
      <c r="O26" s="1178">
        <v>4211.0</v>
      </c>
      <c r="P26" s="1178">
        <v>4439.0</v>
      </c>
      <c r="Q26" s="1178">
        <v>3797.0</v>
      </c>
      <c r="R26" s="1178">
        <v>3644.0</v>
      </c>
      <c r="S26" s="1178">
        <v>3790.0</v>
      </c>
      <c r="T26" s="1178">
        <v>3794.0</v>
      </c>
      <c r="U26" s="1178">
        <v>3880.0</v>
      </c>
      <c r="V26" s="1178">
        <v>3802.0</v>
      </c>
      <c r="W26" s="1179"/>
      <c r="X26" s="1179"/>
      <c r="Y26" s="1179"/>
      <c r="Z26" s="1179"/>
      <c r="AA26" s="1179"/>
      <c r="AB26" s="1179"/>
      <c r="AC26" s="1180">
        <v>7441.0</v>
      </c>
      <c r="AD26" s="1181">
        <v>1.031</v>
      </c>
      <c r="AE26" s="1182">
        <v>0.155</v>
      </c>
      <c r="AF26" s="1183">
        <v>11.0</v>
      </c>
      <c r="AG26" s="1181">
        <v>1.124</v>
      </c>
      <c r="AH26" s="1183">
        <v>13.0</v>
      </c>
      <c r="AI26" s="1178">
        <v>6620.0</v>
      </c>
      <c r="AJ26" s="1178">
        <v>3477.0</v>
      </c>
      <c r="AK26" s="1178">
        <v>3142.0</v>
      </c>
      <c r="AL26" s="1178">
        <v>3456.0</v>
      </c>
      <c r="AM26" s="1178">
        <v>3382.0</v>
      </c>
      <c r="AN26" s="1178">
        <v>3431.0</v>
      </c>
      <c r="AO26" s="1178">
        <v>3305.0</v>
      </c>
      <c r="AP26" s="1178">
        <v>3342.0</v>
      </c>
      <c r="AQ26" s="1178">
        <v>3338.0</v>
      </c>
      <c r="AR26" s="1178">
        <v>3244.0</v>
      </c>
      <c r="AS26" s="1178">
        <v>3444.0</v>
      </c>
      <c r="AT26" s="1178">
        <v>3249.0</v>
      </c>
      <c r="AU26" s="1178">
        <v>3322.0</v>
      </c>
      <c r="AV26" s="1178">
        <v>40135.0</v>
      </c>
      <c r="AW26" s="1174"/>
      <c r="AX26" s="1174"/>
      <c r="AY26" s="1174"/>
      <c r="AZ26" s="1174"/>
      <c r="BA26" s="1174"/>
      <c r="BB26" s="1174"/>
      <c r="BC26" s="1174"/>
      <c r="BD26" s="1174"/>
      <c r="BE26" s="1174"/>
      <c r="BF26" s="1174"/>
      <c r="BG26" s="1174"/>
      <c r="BH26" s="1174"/>
      <c r="BI26" s="1174"/>
      <c r="BJ26" s="1174"/>
      <c r="BK26" s="1174"/>
      <c r="BL26" s="1174"/>
      <c r="BM26" s="1174"/>
      <c r="BN26" s="1174"/>
      <c r="BO26" s="1174"/>
      <c r="BP26" s="1174"/>
      <c r="BQ26" s="1174"/>
      <c r="BR26" s="1174"/>
      <c r="BS26" s="1174"/>
      <c r="BT26" s="1174"/>
      <c r="BU26" s="1174"/>
      <c r="BV26" s="1174"/>
      <c r="BW26" s="1174"/>
      <c r="BX26" s="1174"/>
      <c r="BY26" s="1174"/>
      <c r="BZ26" s="1174"/>
      <c r="CA26" s="1174"/>
      <c r="CB26" s="1174"/>
      <c r="CC26" s="1174"/>
      <c r="CD26" s="1174"/>
      <c r="CE26" s="1174"/>
      <c r="CF26" s="1174"/>
      <c r="CG26" s="1174"/>
      <c r="CH26" s="1174"/>
      <c r="CI26" s="1174"/>
      <c r="CJ26" s="1174"/>
      <c r="CK26" s="1174"/>
      <c r="CL26" s="1174"/>
      <c r="CM26" s="1174"/>
      <c r="CN26" s="1174"/>
      <c r="CO26" s="1174"/>
      <c r="CP26" s="1174"/>
      <c r="CQ26" s="1174"/>
      <c r="CR26" s="1174"/>
      <c r="CS26" s="1174"/>
      <c r="CT26" s="1174"/>
      <c r="CU26" s="1174"/>
      <c r="CV26" s="1174"/>
      <c r="CW26" s="1174"/>
      <c r="CX26" s="1174"/>
      <c r="CY26" s="1174"/>
      <c r="CZ26" s="1174"/>
      <c r="DA26" s="1174"/>
      <c r="DB26" s="1174"/>
      <c r="DC26" s="1174"/>
      <c r="DD26" s="1174"/>
      <c r="DE26" s="1174"/>
      <c r="DF26" s="1174"/>
      <c r="DG26" s="1174"/>
      <c r="DH26" s="1174"/>
      <c r="DI26" s="1174"/>
      <c r="DJ26" s="1174"/>
      <c r="DK26" s="1174"/>
      <c r="DL26" s="1174"/>
      <c r="DM26" s="1174"/>
      <c r="DN26" s="1174"/>
      <c r="DO26" s="1174"/>
      <c r="DP26" s="1174"/>
      <c r="DQ26" s="1174"/>
      <c r="DR26" s="1174"/>
      <c r="DS26" s="1174"/>
      <c r="DT26" s="1174"/>
      <c r="DU26" s="1174"/>
      <c r="DV26" s="1174"/>
      <c r="DW26" s="1174"/>
      <c r="DX26" s="1174"/>
      <c r="DY26" s="1174"/>
      <c r="DZ26" s="1174"/>
      <c r="EA26" s="1174"/>
      <c r="EB26" s="1174"/>
      <c r="EC26" s="1174"/>
      <c r="ED26" s="1174"/>
      <c r="EE26" s="1174"/>
      <c r="EF26" s="1174"/>
      <c r="EG26" s="1174"/>
      <c r="EH26" s="1174"/>
      <c r="EI26" s="1174"/>
      <c r="EJ26" s="1174"/>
      <c r="EK26" s="1174"/>
      <c r="EL26" s="1174"/>
      <c r="EM26" s="1174"/>
      <c r="EN26" s="1174"/>
      <c r="EO26" s="1174"/>
      <c r="EP26" s="1174"/>
      <c r="EQ26" s="1174"/>
      <c r="ER26" s="1174"/>
      <c r="ES26" s="1174"/>
      <c r="ET26" s="1174"/>
      <c r="EU26" s="1174"/>
      <c r="EV26" s="1174"/>
      <c r="EW26" s="1174"/>
      <c r="EX26" s="1174"/>
      <c r="EY26" s="1174"/>
      <c r="EZ26" s="1174"/>
      <c r="FA26" s="1174"/>
      <c r="FB26" s="1174"/>
      <c r="FC26" s="1174"/>
      <c r="FD26" s="1174"/>
      <c r="FE26" s="1174"/>
      <c r="FF26" s="1174"/>
      <c r="FG26" s="1174"/>
      <c r="FH26" s="1174"/>
      <c r="FI26" s="1174"/>
      <c r="FJ26" s="1174"/>
      <c r="FK26" s="1174"/>
      <c r="FL26" s="1174"/>
      <c r="FM26" s="1174"/>
      <c r="FN26" s="1174"/>
      <c r="FO26" s="1174"/>
      <c r="FP26" s="1174"/>
      <c r="FQ26" s="1174"/>
      <c r="FR26" s="1174"/>
      <c r="FS26" s="1174"/>
      <c r="FT26" s="1174"/>
      <c r="FU26" s="1174"/>
      <c r="FV26" s="1174"/>
      <c r="FW26" s="1174"/>
      <c r="FX26" s="1174"/>
      <c r="FY26" s="1174"/>
      <c r="FZ26" s="1174"/>
      <c r="GA26" s="1174"/>
      <c r="GB26" s="1174"/>
      <c r="GC26" s="1174"/>
      <c r="GD26" s="1174"/>
      <c r="GE26" s="1174"/>
      <c r="GF26" s="1174"/>
      <c r="GG26" s="1174"/>
      <c r="GH26" s="1174"/>
      <c r="GI26" s="1174"/>
      <c r="GJ26" s="1174"/>
      <c r="GK26" s="1174"/>
      <c r="GL26" s="1174"/>
      <c r="GM26" s="1174"/>
      <c r="GN26" s="1174"/>
      <c r="GO26" s="1174"/>
      <c r="GP26" s="1174"/>
      <c r="GQ26" s="1174"/>
      <c r="GR26" s="1174"/>
      <c r="GS26" s="1174"/>
      <c r="GT26" s="1174"/>
      <c r="GU26" s="1174"/>
      <c r="GV26" s="1174"/>
      <c r="GW26" s="1174"/>
      <c r="GX26" s="1174"/>
      <c r="GY26" s="1174"/>
      <c r="GZ26" s="1174"/>
      <c r="HA26" s="1174"/>
      <c r="HB26" s="1174"/>
      <c r="HC26" s="1174"/>
      <c r="HD26" s="1174"/>
      <c r="HE26" s="1174"/>
      <c r="HF26" s="1174"/>
      <c r="HG26" s="1174"/>
      <c r="HH26" s="1174"/>
      <c r="HI26" s="1174"/>
      <c r="HJ26" s="1174"/>
      <c r="HK26" s="1174"/>
      <c r="HL26" s="1174"/>
      <c r="HM26" s="1174"/>
      <c r="HN26" s="1174"/>
      <c r="HO26" s="1174"/>
      <c r="HP26" s="1174"/>
      <c r="HQ26" s="1174"/>
      <c r="HR26" s="1174"/>
      <c r="HS26" s="1174"/>
      <c r="HT26" s="1174"/>
      <c r="HU26" s="1174"/>
      <c r="HV26" s="1174"/>
      <c r="HW26" s="1174"/>
      <c r="HX26" s="1174"/>
      <c r="HY26" s="1174"/>
      <c r="HZ26" s="1174"/>
      <c r="IA26" s="1174"/>
      <c r="IB26" s="1174"/>
      <c r="IC26" s="1174"/>
      <c r="ID26" s="1174"/>
      <c r="IE26" s="1174"/>
      <c r="IF26" s="1174"/>
      <c r="IG26" s="1174"/>
      <c r="IH26" s="1174"/>
      <c r="II26" s="1174"/>
      <c r="IJ26" s="1174"/>
      <c r="IK26" s="1174"/>
      <c r="IL26" s="1174"/>
      <c r="IM26" s="1174"/>
      <c r="IN26" s="1174"/>
      <c r="IO26" s="1174"/>
      <c r="IP26" s="1174"/>
      <c r="IQ26" s="1174"/>
      <c r="IR26" s="1174"/>
      <c r="IS26" s="1174"/>
      <c r="IT26" s="1174"/>
      <c r="IU26" s="1174"/>
      <c r="IV26" s="1174"/>
      <c r="IW26" s="1174"/>
      <c r="IX26" s="1174"/>
      <c r="IY26" s="1174"/>
      <c r="IZ26" s="1174"/>
      <c r="JA26" s="1174"/>
      <c r="JB26" s="1174"/>
      <c r="JC26" s="1174"/>
      <c r="JD26" s="1174"/>
      <c r="JE26" s="1174"/>
      <c r="JF26" s="1174"/>
      <c r="JG26" s="1174"/>
      <c r="JH26" s="1174"/>
      <c r="JI26" s="1174"/>
      <c r="JJ26" s="1174"/>
      <c r="JK26" s="1174"/>
      <c r="JL26" s="1174"/>
      <c r="JM26" s="1174"/>
      <c r="JN26" s="1174"/>
      <c r="JO26" s="1174"/>
      <c r="JP26" s="1174"/>
      <c r="JQ26" s="1174"/>
      <c r="JR26" s="1174"/>
      <c r="JS26" s="1174"/>
      <c r="JT26" s="1174"/>
      <c r="JU26" s="1174"/>
      <c r="JV26" s="1174"/>
      <c r="JW26" s="1174"/>
      <c r="JX26" s="1174"/>
      <c r="JY26" s="1174"/>
      <c r="JZ26" s="1174"/>
      <c r="KA26" s="1174"/>
      <c r="KB26" s="1174"/>
      <c r="KC26" s="1174"/>
      <c r="KD26" s="1174"/>
      <c r="KE26" s="1174"/>
      <c r="KF26" s="1174"/>
      <c r="KG26" s="1174"/>
      <c r="KH26" s="1174"/>
      <c r="KI26" s="1174"/>
      <c r="KJ26" s="1174"/>
      <c r="KK26" s="1174"/>
      <c r="KL26" s="1174"/>
      <c r="KM26" s="1174"/>
      <c r="KN26" s="1174"/>
      <c r="KO26" s="1174"/>
      <c r="KP26" s="1174"/>
      <c r="KQ26" s="1174"/>
      <c r="KR26" s="1174"/>
      <c r="KS26" s="1174"/>
      <c r="KT26" s="1174"/>
      <c r="KU26" s="1174"/>
      <c r="KV26" s="1174"/>
      <c r="KW26" s="1174"/>
      <c r="KX26" s="1174"/>
      <c r="KY26" s="1174"/>
      <c r="KZ26" s="1174"/>
      <c r="LA26" s="1174"/>
      <c r="LB26" s="1174"/>
      <c r="LC26" s="1174"/>
      <c r="LD26" s="1174"/>
      <c r="LE26" s="1174"/>
      <c r="LF26" s="1174"/>
      <c r="LG26" s="1174"/>
      <c r="LH26" s="1174"/>
      <c r="LI26" s="1174"/>
      <c r="LJ26" s="1174"/>
      <c r="LK26" s="1174"/>
      <c r="LL26" s="1174"/>
      <c r="LM26" s="1174"/>
      <c r="LN26" s="1174"/>
      <c r="LO26" s="1174"/>
      <c r="LP26" s="1174"/>
      <c r="LQ26" s="1174"/>
      <c r="LR26" s="1174"/>
      <c r="LS26" s="1174"/>
      <c r="LT26" s="1174"/>
      <c r="LU26" s="1174"/>
      <c r="LV26" s="1174"/>
      <c r="LW26" s="1174"/>
      <c r="LX26" s="1174"/>
      <c r="LY26" s="1174"/>
      <c r="LZ26" s="1174"/>
      <c r="MA26" s="1174"/>
      <c r="MB26" s="1174"/>
      <c r="MC26" s="1174"/>
      <c r="MD26" s="1174"/>
      <c r="ME26" s="1174"/>
      <c r="MF26" s="1174"/>
      <c r="MG26" s="1174"/>
      <c r="MH26" s="1174"/>
      <c r="MI26" s="1174"/>
      <c r="MJ26" s="1174"/>
      <c r="MK26" s="1174"/>
      <c r="ML26" s="1174"/>
      <c r="MM26" s="1174"/>
      <c r="MN26" s="1174"/>
      <c r="MO26" s="1174"/>
      <c r="MP26" s="1174"/>
      <c r="MQ26" s="1174"/>
      <c r="MR26" s="1174"/>
      <c r="MS26" s="1174"/>
      <c r="MT26" s="1174"/>
      <c r="MU26" s="1174"/>
      <c r="MV26" s="1174"/>
      <c r="MW26" s="1174"/>
      <c r="MX26" s="1174"/>
      <c r="MY26" s="1174"/>
      <c r="MZ26" s="1174"/>
      <c r="NA26" s="1174"/>
      <c r="NB26" s="1174"/>
      <c r="NC26" s="1174"/>
      <c r="ND26" s="1174"/>
      <c r="NE26" s="1174"/>
      <c r="NF26" s="1174"/>
      <c r="NG26" s="1174"/>
      <c r="NH26" s="1174"/>
      <c r="NI26" s="1174"/>
      <c r="NJ26" s="1174"/>
      <c r="NK26" s="1174"/>
      <c r="NL26" s="1174"/>
      <c r="NM26" s="1174"/>
      <c r="NN26" s="1174"/>
      <c r="NO26" s="1174"/>
      <c r="NP26" s="1174"/>
      <c r="NQ26" s="1174"/>
      <c r="NR26" s="1174"/>
      <c r="NS26" s="1174"/>
      <c r="NT26" s="1174"/>
      <c r="NU26" s="1174"/>
      <c r="NV26" s="1174"/>
      <c r="NW26" s="1174"/>
      <c r="NX26" s="1174"/>
      <c r="NY26" s="1174"/>
      <c r="NZ26" s="1174"/>
      <c r="OA26" s="1174"/>
      <c r="OB26" s="1174"/>
      <c r="OC26" s="1174"/>
      <c r="OD26" s="1174"/>
      <c r="OE26" s="1174"/>
      <c r="OF26" s="1174"/>
      <c r="OG26" s="1174"/>
      <c r="OH26" s="1174"/>
      <c r="OI26" s="1174"/>
      <c r="OJ26" s="1174"/>
      <c r="OK26" s="1174"/>
      <c r="OL26" s="1174"/>
      <c r="OM26" s="1174"/>
      <c r="ON26" s="1174"/>
      <c r="OO26" s="1174"/>
      <c r="OP26" s="1174"/>
      <c r="OQ26" s="1174"/>
      <c r="OR26" s="1174"/>
      <c r="OS26" s="1174"/>
      <c r="OT26" s="1174"/>
      <c r="OU26" s="1174"/>
    </row>
    <row r="27">
      <c r="A27" s="1175"/>
      <c r="B27" s="1176" t="s">
        <v>474</v>
      </c>
      <c r="C27" s="1177" t="s">
        <v>23</v>
      </c>
      <c r="D27" s="1178">
        <v>26325.0</v>
      </c>
      <c r="E27" s="1178">
        <v>1913.0</v>
      </c>
      <c r="F27" s="1178">
        <v>1882.0</v>
      </c>
      <c r="G27" s="1178">
        <v>2110.0</v>
      </c>
      <c r="H27" s="1178">
        <v>2040.0</v>
      </c>
      <c r="I27" s="1178">
        <v>2141.0</v>
      </c>
      <c r="J27" s="1178">
        <v>2157.0</v>
      </c>
      <c r="K27" s="1178">
        <v>2219.0</v>
      </c>
      <c r="L27" s="1178">
        <v>2312.0</v>
      </c>
      <c r="M27" s="1178">
        <v>2279.0</v>
      </c>
      <c r="N27" s="1178">
        <v>2365.0</v>
      </c>
      <c r="O27" s="1178">
        <v>2385.0</v>
      </c>
      <c r="P27" s="1178">
        <v>2522.0</v>
      </c>
      <c r="Q27" s="1178">
        <v>2060.0</v>
      </c>
      <c r="R27" s="1178">
        <v>2106.0</v>
      </c>
      <c r="S27" s="1178">
        <v>1989.0</v>
      </c>
      <c r="T27" s="1178">
        <v>2008.0</v>
      </c>
      <c r="U27" s="1178">
        <v>2080.0</v>
      </c>
      <c r="V27" s="1178">
        <v>2034.0</v>
      </c>
      <c r="W27" s="1179"/>
      <c r="X27" s="1179"/>
      <c r="Y27" s="1179"/>
      <c r="Z27" s="1179"/>
      <c r="AA27" s="1179"/>
      <c r="AB27" s="1179"/>
      <c r="AC27" s="1180">
        <v>4166.0</v>
      </c>
      <c r="AD27" s="1181">
        <v>1.098</v>
      </c>
      <c r="AE27" s="1182">
        <v>0.158</v>
      </c>
      <c r="AF27" s="1183">
        <v>9.0</v>
      </c>
      <c r="AG27" s="1181">
        <v>1.368</v>
      </c>
      <c r="AH27" s="1183">
        <v>4.0</v>
      </c>
      <c r="AI27" s="1178">
        <v>3046.0</v>
      </c>
      <c r="AJ27" s="1178">
        <v>1613.0</v>
      </c>
      <c r="AK27" s="1178">
        <v>1433.0</v>
      </c>
      <c r="AL27" s="1178">
        <v>1563.0</v>
      </c>
      <c r="AM27" s="1178">
        <v>1547.0</v>
      </c>
      <c r="AN27" s="1178">
        <v>1542.0</v>
      </c>
      <c r="AO27" s="1178">
        <v>1501.0</v>
      </c>
      <c r="AP27" s="1178">
        <v>1521.0</v>
      </c>
      <c r="AQ27" s="1178">
        <v>1509.0</v>
      </c>
      <c r="AR27" s="1178">
        <v>1507.0</v>
      </c>
      <c r="AS27" s="1178">
        <v>1567.0</v>
      </c>
      <c r="AT27" s="1178">
        <v>1530.0</v>
      </c>
      <c r="AU27" s="1178">
        <v>1685.0</v>
      </c>
      <c r="AV27" s="1178">
        <v>18517.0</v>
      </c>
      <c r="AW27" s="1174"/>
      <c r="AX27" s="1174"/>
      <c r="AY27" s="1174"/>
      <c r="AZ27" s="1174"/>
      <c r="BA27" s="1174"/>
      <c r="BB27" s="1174"/>
      <c r="BC27" s="1174"/>
      <c r="BD27" s="1174"/>
      <c r="BE27" s="1174"/>
      <c r="BF27" s="1174"/>
      <c r="BG27" s="1174"/>
      <c r="BH27" s="1174"/>
      <c r="BI27" s="1174"/>
      <c r="BJ27" s="1174"/>
      <c r="BK27" s="1174"/>
      <c r="BL27" s="1174"/>
      <c r="BM27" s="1174"/>
      <c r="BN27" s="1174"/>
      <c r="BO27" s="1174"/>
      <c r="BP27" s="1174"/>
      <c r="BQ27" s="1174"/>
      <c r="BR27" s="1174"/>
      <c r="BS27" s="1174"/>
      <c r="BT27" s="1174"/>
      <c r="BU27" s="1174"/>
      <c r="BV27" s="1174"/>
      <c r="BW27" s="1174"/>
      <c r="BX27" s="1174"/>
      <c r="BY27" s="1174"/>
      <c r="BZ27" s="1174"/>
      <c r="CA27" s="1174"/>
      <c r="CB27" s="1174"/>
      <c r="CC27" s="1174"/>
      <c r="CD27" s="1174"/>
      <c r="CE27" s="1174"/>
      <c r="CF27" s="1174"/>
      <c r="CG27" s="1174"/>
      <c r="CH27" s="1174"/>
      <c r="CI27" s="1174"/>
      <c r="CJ27" s="1174"/>
      <c r="CK27" s="1174"/>
      <c r="CL27" s="1174"/>
      <c r="CM27" s="1174"/>
      <c r="CN27" s="1174"/>
      <c r="CO27" s="1174"/>
      <c r="CP27" s="1174"/>
      <c r="CQ27" s="1174"/>
      <c r="CR27" s="1174"/>
      <c r="CS27" s="1174"/>
      <c r="CT27" s="1174"/>
      <c r="CU27" s="1174"/>
      <c r="CV27" s="1174"/>
      <c r="CW27" s="1174"/>
      <c r="CX27" s="1174"/>
      <c r="CY27" s="1174"/>
      <c r="CZ27" s="1174"/>
      <c r="DA27" s="1174"/>
      <c r="DB27" s="1174"/>
      <c r="DC27" s="1174"/>
      <c r="DD27" s="1174"/>
      <c r="DE27" s="1174"/>
      <c r="DF27" s="1174"/>
      <c r="DG27" s="1174"/>
      <c r="DH27" s="1174"/>
      <c r="DI27" s="1174"/>
      <c r="DJ27" s="1174"/>
      <c r="DK27" s="1174"/>
      <c r="DL27" s="1174"/>
      <c r="DM27" s="1174"/>
      <c r="DN27" s="1174"/>
      <c r="DO27" s="1174"/>
      <c r="DP27" s="1174"/>
      <c r="DQ27" s="1174"/>
      <c r="DR27" s="1174"/>
      <c r="DS27" s="1174"/>
      <c r="DT27" s="1174"/>
      <c r="DU27" s="1174"/>
      <c r="DV27" s="1174"/>
      <c r="DW27" s="1174"/>
      <c r="DX27" s="1174"/>
      <c r="DY27" s="1174"/>
      <c r="DZ27" s="1174"/>
      <c r="EA27" s="1174"/>
      <c r="EB27" s="1174"/>
      <c r="EC27" s="1174"/>
      <c r="ED27" s="1174"/>
      <c r="EE27" s="1174"/>
      <c r="EF27" s="1174"/>
      <c r="EG27" s="1174"/>
      <c r="EH27" s="1174"/>
      <c r="EI27" s="1174"/>
      <c r="EJ27" s="1174"/>
      <c r="EK27" s="1174"/>
      <c r="EL27" s="1174"/>
      <c r="EM27" s="1174"/>
      <c r="EN27" s="1174"/>
      <c r="EO27" s="1174"/>
      <c r="EP27" s="1174"/>
      <c r="EQ27" s="1174"/>
      <c r="ER27" s="1174"/>
      <c r="ES27" s="1174"/>
      <c r="ET27" s="1174"/>
      <c r="EU27" s="1174"/>
      <c r="EV27" s="1174"/>
      <c r="EW27" s="1174"/>
      <c r="EX27" s="1174"/>
      <c r="EY27" s="1174"/>
      <c r="EZ27" s="1174"/>
      <c r="FA27" s="1174"/>
      <c r="FB27" s="1174"/>
      <c r="FC27" s="1174"/>
      <c r="FD27" s="1174"/>
      <c r="FE27" s="1174"/>
      <c r="FF27" s="1174"/>
      <c r="FG27" s="1174"/>
      <c r="FH27" s="1174"/>
      <c r="FI27" s="1174"/>
      <c r="FJ27" s="1174"/>
      <c r="FK27" s="1174"/>
      <c r="FL27" s="1174"/>
      <c r="FM27" s="1174"/>
      <c r="FN27" s="1174"/>
      <c r="FO27" s="1174"/>
      <c r="FP27" s="1174"/>
      <c r="FQ27" s="1174"/>
      <c r="FR27" s="1174"/>
      <c r="FS27" s="1174"/>
      <c r="FT27" s="1174"/>
      <c r="FU27" s="1174"/>
      <c r="FV27" s="1174"/>
      <c r="FW27" s="1174"/>
      <c r="FX27" s="1174"/>
      <c r="FY27" s="1174"/>
      <c r="FZ27" s="1174"/>
      <c r="GA27" s="1174"/>
      <c r="GB27" s="1174"/>
      <c r="GC27" s="1174"/>
      <c r="GD27" s="1174"/>
      <c r="GE27" s="1174"/>
      <c r="GF27" s="1174"/>
      <c r="GG27" s="1174"/>
      <c r="GH27" s="1174"/>
      <c r="GI27" s="1174"/>
      <c r="GJ27" s="1174"/>
      <c r="GK27" s="1174"/>
      <c r="GL27" s="1174"/>
      <c r="GM27" s="1174"/>
      <c r="GN27" s="1174"/>
      <c r="GO27" s="1174"/>
      <c r="GP27" s="1174"/>
      <c r="GQ27" s="1174"/>
      <c r="GR27" s="1174"/>
      <c r="GS27" s="1174"/>
      <c r="GT27" s="1174"/>
      <c r="GU27" s="1174"/>
      <c r="GV27" s="1174"/>
      <c r="GW27" s="1174"/>
      <c r="GX27" s="1174"/>
      <c r="GY27" s="1174"/>
      <c r="GZ27" s="1174"/>
      <c r="HA27" s="1174"/>
      <c r="HB27" s="1174"/>
      <c r="HC27" s="1174"/>
      <c r="HD27" s="1174"/>
      <c r="HE27" s="1174"/>
      <c r="HF27" s="1174"/>
      <c r="HG27" s="1174"/>
      <c r="HH27" s="1174"/>
      <c r="HI27" s="1174"/>
      <c r="HJ27" s="1174"/>
      <c r="HK27" s="1174"/>
      <c r="HL27" s="1174"/>
      <c r="HM27" s="1174"/>
      <c r="HN27" s="1174"/>
      <c r="HO27" s="1174"/>
      <c r="HP27" s="1174"/>
      <c r="HQ27" s="1174"/>
      <c r="HR27" s="1174"/>
      <c r="HS27" s="1174"/>
      <c r="HT27" s="1174"/>
      <c r="HU27" s="1174"/>
      <c r="HV27" s="1174"/>
      <c r="HW27" s="1174"/>
      <c r="HX27" s="1174"/>
      <c r="HY27" s="1174"/>
      <c r="HZ27" s="1174"/>
      <c r="IA27" s="1174"/>
      <c r="IB27" s="1174"/>
      <c r="IC27" s="1174"/>
      <c r="ID27" s="1174"/>
      <c r="IE27" s="1174"/>
      <c r="IF27" s="1174"/>
      <c r="IG27" s="1174"/>
      <c r="IH27" s="1174"/>
      <c r="II27" s="1174"/>
      <c r="IJ27" s="1174"/>
      <c r="IK27" s="1174"/>
      <c r="IL27" s="1174"/>
      <c r="IM27" s="1174"/>
      <c r="IN27" s="1174"/>
      <c r="IO27" s="1174"/>
      <c r="IP27" s="1174"/>
      <c r="IQ27" s="1174"/>
      <c r="IR27" s="1174"/>
      <c r="IS27" s="1174"/>
      <c r="IT27" s="1174"/>
      <c r="IU27" s="1174"/>
      <c r="IV27" s="1174"/>
      <c r="IW27" s="1174"/>
      <c r="IX27" s="1174"/>
      <c r="IY27" s="1174"/>
      <c r="IZ27" s="1174"/>
      <c r="JA27" s="1174"/>
      <c r="JB27" s="1174"/>
      <c r="JC27" s="1174"/>
      <c r="JD27" s="1174"/>
      <c r="JE27" s="1174"/>
      <c r="JF27" s="1174"/>
      <c r="JG27" s="1174"/>
      <c r="JH27" s="1174"/>
      <c r="JI27" s="1174"/>
      <c r="JJ27" s="1174"/>
      <c r="JK27" s="1174"/>
      <c r="JL27" s="1174"/>
      <c r="JM27" s="1174"/>
      <c r="JN27" s="1174"/>
      <c r="JO27" s="1174"/>
      <c r="JP27" s="1174"/>
      <c r="JQ27" s="1174"/>
      <c r="JR27" s="1174"/>
      <c r="JS27" s="1174"/>
      <c r="JT27" s="1174"/>
      <c r="JU27" s="1174"/>
      <c r="JV27" s="1174"/>
      <c r="JW27" s="1174"/>
      <c r="JX27" s="1174"/>
      <c r="JY27" s="1174"/>
      <c r="JZ27" s="1174"/>
      <c r="KA27" s="1174"/>
      <c r="KB27" s="1174"/>
      <c r="KC27" s="1174"/>
      <c r="KD27" s="1174"/>
      <c r="KE27" s="1174"/>
      <c r="KF27" s="1174"/>
      <c r="KG27" s="1174"/>
      <c r="KH27" s="1174"/>
      <c r="KI27" s="1174"/>
      <c r="KJ27" s="1174"/>
      <c r="KK27" s="1174"/>
      <c r="KL27" s="1174"/>
      <c r="KM27" s="1174"/>
      <c r="KN27" s="1174"/>
      <c r="KO27" s="1174"/>
      <c r="KP27" s="1174"/>
      <c r="KQ27" s="1174"/>
      <c r="KR27" s="1174"/>
      <c r="KS27" s="1174"/>
      <c r="KT27" s="1174"/>
      <c r="KU27" s="1174"/>
      <c r="KV27" s="1174"/>
      <c r="KW27" s="1174"/>
      <c r="KX27" s="1174"/>
      <c r="KY27" s="1174"/>
      <c r="KZ27" s="1174"/>
      <c r="LA27" s="1174"/>
      <c r="LB27" s="1174"/>
      <c r="LC27" s="1174"/>
      <c r="LD27" s="1174"/>
      <c r="LE27" s="1174"/>
      <c r="LF27" s="1174"/>
      <c r="LG27" s="1174"/>
      <c r="LH27" s="1174"/>
      <c r="LI27" s="1174"/>
      <c r="LJ27" s="1174"/>
      <c r="LK27" s="1174"/>
      <c r="LL27" s="1174"/>
      <c r="LM27" s="1174"/>
      <c r="LN27" s="1174"/>
      <c r="LO27" s="1174"/>
      <c r="LP27" s="1174"/>
      <c r="LQ27" s="1174"/>
      <c r="LR27" s="1174"/>
      <c r="LS27" s="1174"/>
      <c r="LT27" s="1174"/>
      <c r="LU27" s="1174"/>
      <c r="LV27" s="1174"/>
      <c r="LW27" s="1174"/>
      <c r="LX27" s="1174"/>
      <c r="LY27" s="1174"/>
      <c r="LZ27" s="1174"/>
      <c r="MA27" s="1174"/>
      <c r="MB27" s="1174"/>
      <c r="MC27" s="1174"/>
      <c r="MD27" s="1174"/>
      <c r="ME27" s="1174"/>
      <c r="MF27" s="1174"/>
      <c r="MG27" s="1174"/>
      <c r="MH27" s="1174"/>
      <c r="MI27" s="1174"/>
      <c r="MJ27" s="1174"/>
      <c r="MK27" s="1174"/>
      <c r="ML27" s="1174"/>
      <c r="MM27" s="1174"/>
      <c r="MN27" s="1174"/>
      <c r="MO27" s="1174"/>
      <c r="MP27" s="1174"/>
      <c r="MQ27" s="1174"/>
      <c r="MR27" s="1174"/>
      <c r="MS27" s="1174"/>
      <c r="MT27" s="1174"/>
      <c r="MU27" s="1174"/>
      <c r="MV27" s="1174"/>
      <c r="MW27" s="1174"/>
      <c r="MX27" s="1174"/>
      <c r="MY27" s="1174"/>
      <c r="MZ27" s="1174"/>
      <c r="NA27" s="1174"/>
      <c r="NB27" s="1174"/>
      <c r="NC27" s="1174"/>
      <c r="ND27" s="1174"/>
      <c r="NE27" s="1174"/>
      <c r="NF27" s="1174"/>
      <c r="NG27" s="1174"/>
      <c r="NH27" s="1174"/>
      <c r="NI27" s="1174"/>
      <c r="NJ27" s="1174"/>
      <c r="NK27" s="1174"/>
      <c r="NL27" s="1174"/>
      <c r="NM27" s="1174"/>
      <c r="NN27" s="1174"/>
      <c r="NO27" s="1174"/>
      <c r="NP27" s="1174"/>
      <c r="NQ27" s="1174"/>
      <c r="NR27" s="1174"/>
      <c r="NS27" s="1174"/>
      <c r="NT27" s="1174"/>
      <c r="NU27" s="1174"/>
      <c r="NV27" s="1174"/>
      <c r="NW27" s="1174"/>
      <c r="NX27" s="1174"/>
      <c r="NY27" s="1174"/>
      <c r="NZ27" s="1174"/>
      <c r="OA27" s="1174"/>
      <c r="OB27" s="1174"/>
      <c r="OC27" s="1174"/>
      <c r="OD27" s="1174"/>
      <c r="OE27" s="1174"/>
      <c r="OF27" s="1174"/>
      <c r="OG27" s="1174"/>
      <c r="OH27" s="1174"/>
      <c r="OI27" s="1174"/>
      <c r="OJ27" s="1174"/>
      <c r="OK27" s="1174"/>
      <c r="OL27" s="1174"/>
      <c r="OM27" s="1174"/>
      <c r="ON27" s="1174"/>
      <c r="OO27" s="1174"/>
      <c r="OP27" s="1174"/>
      <c r="OQ27" s="1174"/>
      <c r="OR27" s="1174"/>
      <c r="OS27" s="1174"/>
      <c r="OT27" s="1174"/>
      <c r="OU27" s="1174"/>
    </row>
    <row r="28">
      <c r="A28" s="1175"/>
      <c r="B28" s="1176" t="s">
        <v>479</v>
      </c>
      <c r="C28" s="1177" t="s">
        <v>23</v>
      </c>
      <c r="D28" s="1178">
        <v>28465.0</v>
      </c>
      <c r="E28" s="1178">
        <v>2080.0</v>
      </c>
      <c r="F28" s="1178">
        <v>2044.0</v>
      </c>
      <c r="G28" s="1178">
        <v>2290.0</v>
      </c>
      <c r="H28" s="1178">
        <v>2211.0</v>
      </c>
      <c r="I28" s="1178">
        <v>2318.0</v>
      </c>
      <c r="J28" s="1178">
        <v>2333.0</v>
      </c>
      <c r="K28" s="1178">
        <v>2399.0</v>
      </c>
      <c r="L28" s="1178">
        <v>2497.0</v>
      </c>
      <c r="M28" s="1178">
        <v>2459.0</v>
      </c>
      <c r="N28" s="1178">
        <v>2550.0</v>
      </c>
      <c r="O28" s="1178">
        <v>2570.0</v>
      </c>
      <c r="P28" s="1178">
        <v>2715.0</v>
      </c>
      <c r="Q28" s="1178">
        <v>2388.0</v>
      </c>
      <c r="R28" s="1178">
        <v>2459.0</v>
      </c>
      <c r="S28" s="1178">
        <v>2237.0</v>
      </c>
      <c r="T28" s="1178">
        <v>2277.0</v>
      </c>
      <c r="U28" s="1178">
        <v>2352.0</v>
      </c>
      <c r="V28" s="1178">
        <v>2320.0</v>
      </c>
      <c r="W28" s="1179"/>
      <c r="X28" s="1179"/>
      <c r="Y28" s="1179"/>
      <c r="Z28" s="1179"/>
      <c r="AA28" s="1179"/>
      <c r="AB28" s="1179"/>
      <c r="AC28" s="1180">
        <v>4848.0</v>
      </c>
      <c r="AD28" s="1181">
        <v>1.176</v>
      </c>
      <c r="AE28" s="1182">
        <v>0.17</v>
      </c>
      <c r="AF28" s="1185">
        <v>3.0</v>
      </c>
      <c r="AG28" s="1181">
        <v>1.546</v>
      </c>
      <c r="AH28" s="1185">
        <v>2.0</v>
      </c>
      <c r="AI28" s="1178">
        <v>3135.0</v>
      </c>
      <c r="AJ28" s="1178">
        <v>1653.0</v>
      </c>
      <c r="AK28" s="1178">
        <v>1482.0</v>
      </c>
      <c r="AL28" s="1178">
        <v>1624.0</v>
      </c>
      <c r="AM28" s="1178">
        <v>1594.0</v>
      </c>
      <c r="AN28" s="1178">
        <v>1643.0</v>
      </c>
      <c r="AO28" s="1178">
        <v>1575.0</v>
      </c>
      <c r="AP28" s="1178">
        <v>1572.0</v>
      </c>
      <c r="AQ28" s="1178">
        <v>1591.0</v>
      </c>
      <c r="AR28" s="1178">
        <v>1561.0</v>
      </c>
      <c r="AS28" s="1178">
        <v>1726.0</v>
      </c>
      <c r="AT28" s="1178">
        <v>1661.0</v>
      </c>
      <c r="AU28" s="1178">
        <v>1921.0</v>
      </c>
      <c r="AV28" s="1178">
        <v>19602.0</v>
      </c>
      <c r="AW28" s="1174"/>
      <c r="AX28" s="1174"/>
      <c r="AY28" s="1174"/>
      <c r="AZ28" s="1174"/>
      <c r="BA28" s="1174"/>
      <c r="BB28" s="1174"/>
      <c r="BC28" s="1174"/>
      <c r="BD28" s="1174"/>
      <c r="BE28" s="1174"/>
      <c r="BF28" s="1174"/>
      <c r="BG28" s="1174"/>
      <c r="BH28" s="1174"/>
      <c r="BI28" s="1174"/>
      <c r="BJ28" s="1174"/>
      <c r="BK28" s="1174"/>
      <c r="BL28" s="1174"/>
      <c r="BM28" s="1174"/>
      <c r="BN28" s="1174"/>
      <c r="BO28" s="1174"/>
      <c r="BP28" s="1174"/>
      <c r="BQ28" s="1174"/>
      <c r="BR28" s="1174"/>
      <c r="BS28" s="1174"/>
      <c r="BT28" s="1174"/>
      <c r="BU28" s="1174"/>
      <c r="BV28" s="1174"/>
      <c r="BW28" s="1174"/>
      <c r="BX28" s="1174"/>
      <c r="BY28" s="1174"/>
      <c r="BZ28" s="1174"/>
      <c r="CA28" s="1174"/>
      <c r="CB28" s="1174"/>
      <c r="CC28" s="1174"/>
      <c r="CD28" s="1174"/>
      <c r="CE28" s="1174"/>
      <c r="CF28" s="1174"/>
      <c r="CG28" s="1174"/>
      <c r="CH28" s="1174"/>
      <c r="CI28" s="1174"/>
      <c r="CJ28" s="1174"/>
      <c r="CK28" s="1174"/>
      <c r="CL28" s="1174"/>
      <c r="CM28" s="1174"/>
      <c r="CN28" s="1174"/>
      <c r="CO28" s="1174"/>
      <c r="CP28" s="1174"/>
      <c r="CQ28" s="1174"/>
      <c r="CR28" s="1174"/>
      <c r="CS28" s="1174"/>
      <c r="CT28" s="1174"/>
      <c r="CU28" s="1174"/>
      <c r="CV28" s="1174"/>
      <c r="CW28" s="1174"/>
      <c r="CX28" s="1174"/>
      <c r="CY28" s="1174"/>
      <c r="CZ28" s="1174"/>
      <c r="DA28" s="1174"/>
      <c r="DB28" s="1174"/>
      <c r="DC28" s="1174"/>
      <c r="DD28" s="1174"/>
      <c r="DE28" s="1174"/>
      <c r="DF28" s="1174"/>
      <c r="DG28" s="1174"/>
      <c r="DH28" s="1174"/>
      <c r="DI28" s="1174"/>
      <c r="DJ28" s="1174"/>
      <c r="DK28" s="1174"/>
      <c r="DL28" s="1174"/>
      <c r="DM28" s="1174"/>
      <c r="DN28" s="1174"/>
      <c r="DO28" s="1174"/>
      <c r="DP28" s="1174"/>
      <c r="DQ28" s="1174"/>
      <c r="DR28" s="1174"/>
      <c r="DS28" s="1174"/>
      <c r="DT28" s="1174"/>
      <c r="DU28" s="1174"/>
      <c r="DV28" s="1174"/>
      <c r="DW28" s="1174"/>
      <c r="DX28" s="1174"/>
      <c r="DY28" s="1174"/>
      <c r="DZ28" s="1174"/>
      <c r="EA28" s="1174"/>
      <c r="EB28" s="1174"/>
      <c r="EC28" s="1174"/>
      <c r="ED28" s="1174"/>
      <c r="EE28" s="1174"/>
      <c r="EF28" s="1174"/>
      <c r="EG28" s="1174"/>
      <c r="EH28" s="1174"/>
      <c r="EI28" s="1174"/>
      <c r="EJ28" s="1174"/>
      <c r="EK28" s="1174"/>
      <c r="EL28" s="1174"/>
      <c r="EM28" s="1174"/>
      <c r="EN28" s="1174"/>
      <c r="EO28" s="1174"/>
      <c r="EP28" s="1174"/>
      <c r="EQ28" s="1174"/>
      <c r="ER28" s="1174"/>
      <c r="ES28" s="1174"/>
      <c r="ET28" s="1174"/>
      <c r="EU28" s="1174"/>
      <c r="EV28" s="1174"/>
      <c r="EW28" s="1174"/>
      <c r="EX28" s="1174"/>
      <c r="EY28" s="1174"/>
      <c r="EZ28" s="1174"/>
      <c r="FA28" s="1174"/>
      <c r="FB28" s="1174"/>
      <c r="FC28" s="1174"/>
      <c r="FD28" s="1174"/>
      <c r="FE28" s="1174"/>
      <c r="FF28" s="1174"/>
      <c r="FG28" s="1174"/>
      <c r="FH28" s="1174"/>
      <c r="FI28" s="1174"/>
      <c r="FJ28" s="1174"/>
      <c r="FK28" s="1174"/>
      <c r="FL28" s="1174"/>
      <c r="FM28" s="1174"/>
      <c r="FN28" s="1174"/>
      <c r="FO28" s="1174"/>
      <c r="FP28" s="1174"/>
      <c r="FQ28" s="1174"/>
      <c r="FR28" s="1174"/>
      <c r="FS28" s="1174"/>
      <c r="FT28" s="1174"/>
      <c r="FU28" s="1174"/>
      <c r="FV28" s="1174"/>
      <c r="FW28" s="1174"/>
      <c r="FX28" s="1174"/>
      <c r="FY28" s="1174"/>
      <c r="FZ28" s="1174"/>
      <c r="GA28" s="1174"/>
      <c r="GB28" s="1174"/>
      <c r="GC28" s="1174"/>
      <c r="GD28" s="1174"/>
      <c r="GE28" s="1174"/>
      <c r="GF28" s="1174"/>
      <c r="GG28" s="1174"/>
      <c r="GH28" s="1174"/>
      <c r="GI28" s="1174"/>
      <c r="GJ28" s="1174"/>
      <c r="GK28" s="1174"/>
      <c r="GL28" s="1174"/>
      <c r="GM28" s="1174"/>
      <c r="GN28" s="1174"/>
      <c r="GO28" s="1174"/>
      <c r="GP28" s="1174"/>
      <c r="GQ28" s="1174"/>
      <c r="GR28" s="1174"/>
      <c r="GS28" s="1174"/>
      <c r="GT28" s="1174"/>
      <c r="GU28" s="1174"/>
      <c r="GV28" s="1174"/>
      <c r="GW28" s="1174"/>
      <c r="GX28" s="1174"/>
      <c r="GY28" s="1174"/>
      <c r="GZ28" s="1174"/>
      <c r="HA28" s="1174"/>
      <c r="HB28" s="1174"/>
      <c r="HC28" s="1174"/>
      <c r="HD28" s="1174"/>
      <c r="HE28" s="1174"/>
      <c r="HF28" s="1174"/>
      <c r="HG28" s="1174"/>
      <c r="HH28" s="1174"/>
      <c r="HI28" s="1174"/>
      <c r="HJ28" s="1174"/>
      <c r="HK28" s="1174"/>
      <c r="HL28" s="1174"/>
      <c r="HM28" s="1174"/>
      <c r="HN28" s="1174"/>
      <c r="HO28" s="1174"/>
      <c r="HP28" s="1174"/>
      <c r="HQ28" s="1174"/>
      <c r="HR28" s="1174"/>
      <c r="HS28" s="1174"/>
      <c r="HT28" s="1174"/>
      <c r="HU28" s="1174"/>
      <c r="HV28" s="1174"/>
      <c r="HW28" s="1174"/>
      <c r="HX28" s="1174"/>
      <c r="HY28" s="1174"/>
      <c r="HZ28" s="1174"/>
      <c r="IA28" s="1174"/>
      <c r="IB28" s="1174"/>
      <c r="IC28" s="1174"/>
      <c r="ID28" s="1174"/>
      <c r="IE28" s="1174"/>
      <c r="IF28" s="1174"/>
      <c r="IG28" s="1174"/>
      <c r="IH28" s="1174"/>
      <c r="II28" s="1174"/>
      <c r="IJ28" s="1174"/>
      <c r="IK28" s="1174"/>
      <c r="IL28" s="1174"/>
      <c r="IM28" s="1174"/>
      <c r="IN28" s="1174"/>
      <c r="IO28" s="1174"/>
      <c r="IP28" s="1174"/>
      <c r="IQ28" s="1174"/>
      <c r="IR28" s="1174"/>
      <c r="IS28" s="1174"/>
      <c r="IT28" s="1174"/>
      <c r="IU28" s="1174"/>
      <c r="IV28" s="1174"/>
      <c r="IW28" s="1174"/>
      <c r="IX28" s="1174"/>
      <c r="IY28" s="1174"/>
      <c r="IZ28" s="1174"/>
      <c r="JA28" s="1174"/>
      <c r="JB28" s="1174"/>
      <c r="JC28" s="1174"/>
      <c r="JD28" s="1174"/>
      <c r="JE28" s="1174"/>
      <c r="JF28" s="1174"/>
      <c r="JG28" s="1174"/>
      <c r="JH28" s="1174"/>
      <c r="JI28" s="1174"/>
      <c r="JJ28" s="1174"/>
      <c r="JK28" s="1174"/>
      <c r="JL28" s="1174"/>
      <c r="JM28" s="1174"/>
      <c r="JN28" s="1174"/>
      <c r="JO28" s="1174"/>
      <c r="JP28" s="1174"/>
      <c r="JQ28" s="1174"/>
      <c r="JR28" s="1174"/>
      <c r="JS28" s="1174"/>
      <c r="JT28" s="1174"/>
      <c r="JU28" s="1174"/>
      <c r="JV28" s="1174"/>
      <c r="JW28" s="1174"/>
      <c r="JX28" s="1174"/>
      <c r="JY28" s="1174"/>
      <c r="JZ28" s="1174"/>
      <c r="KA28" s="1174"/>
      <c r="KB28" s="1174"/>
      <c r="KC28" s="1174"/>
      <c r="KD28" s="1174"/>
      <c r="KE28" s="1174"/>
      <c r="KF28" s="1174"/>
      <c r="KG28" s="1174"/>
      <c r="KH28" s="1174"/>
      <c r="KI28" s="1174"/>
      <c r="KJ28" s="1174"/>
      <c r="KK28" s="1174"/>
      <c r="KL28" s="1174"/>
      <c r="KM28" s="1174"/>
      <c r="KN28" s="1174"/>
      <c r="KO28" s="1174"/>
      <c r="KP28" s="1174"/>
      <c r="KQ28" s="1174"/>
      <c r="KR28" s="1174"/>
      <c r="KS28" s="1174"/>
      <c r="KT28" s="1174"/>
      <c r="KU28" s="1174"/>
      <c r="KV28" s="1174"/>
      <c r="KW28" s="1174"/>
      <c r="KX28" s="1174"/>
      <c r="KY28" s="1174"/>
      <c r="KZ28" s="1174"/>
      <c r="LA28" s="1174"/>
      <c r="LB28" s="1174"/>
      <c r="LC28" s="1174"/>
      <c r="LD28" s="1174"/>
      <c r="LE28" s="1174"/>
      <c r="LF28" s="1174"/>
      <c r="LG28" s="1174"/>
      <c r="LH28" s="1174"/>
      <c r="LI28" s="1174"/>
      <c r="LJ28" s="1174"/>
      <c r="LK28" s="1174"/>
      <c r="LL28" s="1174"/>
      <c r="LM28" s="1174"/>
      <c r="LN28" s="1174"/>
      <c r="LO28" s="1174"/>
      <c r="LP28" s="1174"/>
      <c r="LQ28" s="1174"/>
      <c r="LR28" s="1174"/>
      <c r="LS28" s="1174"/>
      <c r="LT28" s="1174"/>
      <c r="LU28" s="1174"/>
      <c r="LV28" s="1174"/>
      <c r="LW28" s="1174"/>
      <c r="LX28" s="1174"/>
      <c r="LY28" s="1174"/>
      <c r="LZ28" s="1174"/>
      <c r="MA28" s="1174"/>
      <c r="MB28" s="1174"/>
      <c r="MC28" s="1174"/>
      <c r="MD28" s="1174"/>
      <c r="ME28" s="1174"/>
      <c r="MF28" s="1174"/>
      <c r="MG28" s="1174"/>
      <c r="MH28" s="1174"/>
      <c r="MI28" s="1174"/>
      <c r="MJ28" s="1174"/>
      <c r="MK28" s="1174"/>
      <c r="ML28" s="1174"/>
      <c r="MM28" s="1174"/>
      <c r="MN28" s="1174"/>
      <c r="MO28" s="1174"/>
      <c r="MP28" s="1174"/>
      <c r="MQ28" s="1174"/>
      <c r="MR28" s="1174"/>
      <c r="MS28" s="1174"/>
      <c r="MT28" s="1174"/>
      <c r="MU28" s="1174"/>
      <c r="MV28" s="1174"/>
      <c r="MW28" s="1174"/>
      <c r="MX28" s="1174"/>
      <c r="MY28" s="1174"/>
      <c r="MZ28" s="1174"/>
      <c r="NA28" s="1174"/>
      <c r="NB28" s="1174"/>
      <c r="NC28" s="1174"/>
      <c r="ND28" s="1174"/>
      <c r="NE28" s="1174"/>
      <c r="NF28" s="1174"/>
      <c r="NG28" s="1174"/>
      <c r="NH28" s="1174"/>
      <c r="NI28" s="1174"/>
      <c r="NJ28" s="1174"/>
      <c r="NK28" s="1174"/>
      <c r="NL28" s="1174"/>
      <c r="NM28" s="1174"/>
      <c r="NN28" s="1174"/>
      <c r="NO28" s="1174"/>
      <c r="NP28" s="1174"/>
      <c r="NQ28" s="1174"/>
      <c r="NR28" s="1174"/>
      <c r="NS28" s="1174"/>
      <c r="NT28" s="1174"/>
      <c r="NU28" s="1174"/>
      <c r="NV28" s="1174"/>
      <c r="NW28" s="1174"/>
      <c r="NX28" s="1174"/>
      <c r="NY28" s="1174"/>
      <c r="NZ28" s="1174"/>
      <c r="OA28" s="1174"/>
      <c r="OB28" s="1174"/>
      <c r="OC28" s="1174"/>
      <c r="OD28" s="1174"/>
      <c r="OE28" s="1174"/>
      <c r="OF28" s="1174"/>
      <c r="OG28" s="1174"/>
      <c r="OH28" s="1174"/>
      <c r="OI28" s="1174"/>
      <c r="OJ28" s="1174"/>
      <c r="OK28" s="1174"/>
      <c r="OL28" s="1174"/>
      <c r="OM28" s="1174"/>
      <c r="ON28" s="1174"/>
      <c r="OO28" s="1174"/>
      <c r="OP28" s="1174"/>
      <c r="OQ28" s="1174"/>
      <c r="OR28" s="1174"/>
      <c r="OS28" s="1174"/>
      <c r="OT28" s="1174"/>
      <c r="OU28" s="1174"/>
    </row>
    <row r="29">
      <c r="A29" s="1175"/>
      <c r="B29" s="1176" t="s">
        <v>491</v>
      </c>
      <c r="C29" s="1177" t="s">
        <v>23</v>
      </c>
      <c r="D29" s="1178">
        <v>21443.0</v>
      </c>
      <c r="E29" s="1178">
        <v>1559.0</v>
      </c>
      <c r="F29" s="1178">
        <v>1533.0</v>
      </c>
      <c r="G29" s="1178">
        <v>1719.0</v>
      </c>
      <c r="H29" s="1178">
        <v>1662.0</v>
      </c>
      <c r="I29" s="1178">
        <v>1744.0</v>
      </c>
      <c r="J29" s="1178">
        <v>1757.0</v>
      </c>
      <c r="K29" s="1178">
        <v>1808.0</v>
      </c>
      <c r="L29" s="1178">
        <v>1883.0</v>
      </c>
      <c r="M29" s="1178">
        <v>1856.0</v>
      </c>
      <c r="N29" s="1178">
        <v>1927.0</v>
      </c>
      <c r="O29" s="1178">
        <v>1943.0</v>
      </c>
      <c r="P29" s="1178">
        <v>2054.0</v>
      </c>
      <c r="Q29" s="1178">
        <v>1450.0</v>
      </c>
      <c r="R29" s="1178">
        <v>1448.0</v>
      </c>
      <c r="S29" s="1178">
        <v>1447.0</v>
      </c>
      <c r="T29" s="1178">
        <v>1452.0</v>
      </c>
      <c r="U29" s="1178">
        <v>1520.0</v>
      </c>
      <c r="V29" s="1178">
        <v>1501.0</v>
      </c>
      <c r="W29" s="1179"/>
      <c r="X29" s="1179"/>
      <c r="Y29" s="1179"/>
      <c r="Z29" s="1179"/>
      <c r="AA29" s="1179"/>
      <c r="AB29" s="1179"/>
      <c r="AC29" s="1180">
        <v>2898.0</v>
      </c>
      <c r="AD29" s="1186">
        <v>0.938</v>
      </c>
      <c r="AE29" s="1182">
        <v>0.135</v>
      </c>
      <c r="AF29" s="1183">
        <v>18.0</v>
      </c>
      <c r="AG29" s="1181">
        <v>1.093</v>
      </c>
      <c r="AH29" s="1183">
        <v>16.0</v>
      </c>
      <c r="AI29" s="1178">
        <v>2651.0</v>
      </c>
      <c r="AJ29" s="1178">
        <v>1405.0</v>
      </c>
      <c r="AK29" s="1178">
        <v>1245.0</v>
      </c>
      <c r="AL29" s="1178">
        <v>1347.0</v>
      </c>
      <c r="AM29" s="1178">
        <v>1315.0</v>
      </c>
      <c r="AN29" s="1178">
        <v>1324.0</v>
      </c>
      <c r="AO29" s="1178">
        <v>1244.0</v>
      </c>
      <c r="AP29" s="1178">
        <v>1229.0</v>
      </c>
      <c r="AQ29" s="1178">
        <v>1228.0</v>
      </c>
      <c r="AR29" s="1178">
        <v>1217.0</v>
      </c>
      <c r="AS29" s="1178">
        <v>1305.0</v>
      </c>
      <c r="AT29" s="1178">
        <v>1238.0</v>
      </c>
      <c r="AU29" s="1178">
        <v>1310.0</v>
      </c>
      <c r="AV29" s="1178">
        <v>15407.0</v>
      </c>
      <c r="AW29" s="1174"/>
      <c r="AX29" s="1174"/>
      <c r="AY29" s="1174"/>
      <c r="AZ29" s="1174"/>
      <c r="BA29" s="1174"/>
      <c r="BB29" s="1174"/>
      <c r="BC29" s="1174"/>
      <c r="BD29" s="1174"/>
      <c r="BE29" s="1174"/>
      <c r="BF29" s="1174"/>
      <c r="BG29" s="1174"/>
      <c r="BH29" s="1174"/>
      <c r="BI29" s="1174"/>
      <c r="BJ29" s="1174"/>
      <c r="BK29" s="1174"/>
      <c r="BL29" s="1174"/>
      <c r="BM29" s="1174"/>
      <c r="BN29" s="1174"/>
      <c r="BO29" s="1174"/>
      <c r="BP29" s="1174"/>
      <c r="BQ29" s="1174"/>
      <c r="BR29" s="1174"/>
      <c r="BS29" s="1174"/>
      <c r="BT29" s="1174"/>
      <c r="BU29" s="1174"/>
      <c r="BV29" s="1174"/>
      <c r="BW29" s="1174"/>
      <c r="BX29" s="1174"/>
      <c r="BY29" s="1174"/>
      <c r="BZ29" s="1174"/>
      <c r="CA29" s="1174"/>
      <c r="CB29" s="1174"/>
      <c r="CC29" s="1174"/>
      <c r="CD29" s="1174"/>
      <c r="CE29" s="1174"/>
      <c r="CF29" s="1174"/>
      <c r="CG29" s="1174"/>
      <c r="CH29" s="1174"/>
      <c r="CI29" s="1174"/>
      <c r="CJ29" s="1174"/>
      <c r="CK29" s="1174"/>
      <c r="CL29" s="1174"/>
      <c r="CM29" s="1174"/>
      <c r="CN29" s="1174"/>
      <c r="CO29" s="1174"/>
      <c r="CP29" s="1174"/>
      <c r="CQ29" s="1174"/>
      <c r="CR29" s="1174"/>
      <c r="CS29" s="1174"/>
      <c r="CT29" s="1174"/>
      <c r="CU29" s="1174"/>
      <c r="CV29" s="1174"/>
      <c r="CW29" s="1174"/>
      <c r="CX29" s="1174"/>
      <c r="CY29" s="1174"/>
      <c r="CZ29" s="1174"/>
      <c r="DA29" s="1174"/>
      <c r="DB29" s="1174"/>
      <c r="DC29" s="1174"/>
      <c r="DD29" s="1174"/>
      <c r="DE29" s="1174"/>
      <c r="DF29" s="1174"/>
      <c r="DG29" s="1174"/>
      <c r="DH29" s="1174"/>
      <c r="DI29" s="1174"/>
      <c r="DJ29" s="1174"/>
      <c r="DK29" s="1174"/>
      <c r="DL29" s="1174"/>
      <c r="DM29" s="1174"/>
      <c r="DN29" s="1174"/>
      <c r="DO29" s="1174"/>
      <c r="DP29" s="1174"/>
      <c r="DQ29" s="1174"/>
      <c r="DR29" s="1174"/>
      <c r="DS29" s="1174"/>
      <c r="DT29" s="1174"/>
      <c r="DU29" s="1174"/>
      <c r="DV29" s="1174"/>
      <c r="DW29" s="1174"/>
      <c r="DX29" s="1174"/>
      <c r="DY29" s="1174"/>
      <c r="DZ29" s="1174"/>
      <c r="EA29" s="1174"/>
      <c r="EB29" s="1174"/>
      <c r="EC29" s="1174"/>
      <c r="ED29" s="1174"/>
      <c r="EE29" s="1174"/>
      <c r="EF29" s="1174"/>
      <c r="EG29" s="1174"/>
      <c r="EH29" s="1174"/>
      <c r="EI29" s="1174"/>
      <c r="EJ29" s="1174"/>
      <c r="EK29" s="1174"/>
      <c r="EL29" s="1174"/>
      <c r="EM29" s="1174"/>
      <c r="EN29" s="1174"/>
      <c r="EO29" s="1174"/>
      <c r="EP29" s="1174"/>
      <c r="EQ29" s="1174"/>
      <c r="ER29" s="1174"/>
      <c r="ES29" s="1174"/>
      <c r="ET29" s="1174"/>
      <c r="EU29" s="1174"/>
      <c r="EV29" s="1174"/>
      <c r="EW29" s="1174"/>
      <c r="EX29" s="1174"/>
      <c r="EY29" s="1174"/>
      <c r="EZ29" s="1174"/>
      <c r="FA29" s="1174"/>
      <c r="FB29" s="1174"/>
      <c r="FC29" s="1174"/>
      <c r="FD29" s="1174"/>
      <c r="FE29" s="1174"/>
      <c r="FF29" s="1174"/>
      <c r="FG29" s="1174"/>
      <c r="FH29" s="1174"/>
      <c r="FI29" s="1174"/>
      <c r="FJ29" s="1174"/>
      <c r="FK29" s="1174"/>
      <c r="FL29" s="1174"/>
      <c r="FM29" s="1174"/>
      <c r="FN29" s="1174"/>
      <c r="FO29" s="1174"/>
      <c r="FP29" s="1174"/>
      <c r="FQ29" s="1174"/>
      <c r="FR29" s="1174"/>
      <c r="FS29" s="1174"/>
      <c r="FT29" s="1174"/>
      <c r="FU29" s="1174"/>
      <c r="FV29" s="1174"/>
      <c r="FW29" s="1174"/>
      <c r="FX29" s="1174"/>
      <c r="FY29" s="1174"/>
      <c r="FZ29" s="1174"/>
      <c r="GA29" s="1174"/>
      <c r="GB29" s="1174"/>
      <c r="GC29" s="1174"/>
      <c r="GD29" s="1174"/>
      <c r="GE29" s="1174"/>
      <c r="GF29" s="1174"/>
      <c r="GG29" s="1174"/>
      <c r="GH29" s="1174"/>
      <c r="GI29" s="1174"/>
      <c r="GJ29" s="1174"/>
      <c r="GK29" s="1174"/>
      <c r="GL29" s="1174"/>
      <c r="GM29" s="1174"/>
      <c r="GN29" s="1174"/>
      <c r="GO29" s="1174"/>
      <c r="GP29" s="1174"/>
      <c r="GQ29" s="1174"/>
      <c r="GR29" s="1174"/>
      <c r="GS29" s="1174"/>
      <c r="GT29" s="1174"/>
      <c r="GU29" s="1174"/>
      <c r="GV29" s="1174"/>
      <c r="GW29" s="1174"/>
      <c r="GX29" s="1174"/>
      <c r="GY29" s="1174"/>
      <c r="GZ29" s="1174"/>
      <c r="HA29" s="1174"/>
      <c r="HB29" s="1174"/>
      <c r="HC29" s="1174"/>
      <c r="HD29" s="1174"/>
      <c r="HE29" s="1174"/>
      <c r="HF29" s="1174"/>
      <c r="HG29" s="1174"/>
      <c r="HH29" s="1174"/>
      <c r="HI29" s="1174"/>
      <c r="HJ29" s="1174"/>
      <c r="HK29" s="1174"/>
      <c r="HL29" s="1174"/>
      <c r="HM29" s="1174"/>
      <c r="HN29" s="1174"/>
      <c r="HO29" s="1174"/>
      <c r="HP29" s="1174"/>
      <c r="HQ29" s="1174"/>
      <c r="HR29" s="1174"/>
      <c r="HS29" s="1174"/>
      <c r="HT29" s="1174"/>
      <c r="HU29" s="1174"/>
      <c r="HV29" s="1174"/>
      <c r="HW29" s="1174"/>
      <c r="HX29" s="1174"/>
      <c r="HY29" s="1174"/>
      <c r="HZ29" s="1174"/>
      <c r="IA29" s="1174"/>
      <c r="IB29" s="1174"/>
      <c r="IC29" s="1174"/>
      <c r="ID29" s="1174"/>
      <c r="IE29" s="1174"/>
      <c r="IF29" s="1174"/>
      <c r="IG29" s="1174"/>
      <c r="IH29" s="1174"/>
      <c r="II29" s="1174"/>
      <c r="IJ29" s="1174"/>
      <c r="IK29" s="1174"/>
      <c r="IL29" s="1174"/>
      <c r="IM29" s="1174"/>
      <c r="IN29" s="1174"/>
      <c r="IO29" s="1174"/>
      <c r="IP29" s="1174"/>
      <c r="IQ29" s="1174"/>
      <c r="IR29" s="1174"/>
      <c r="IS29" s="1174"/>
      <c r="IT29" s="1174"/>
      <c r="IU29" s="1174"/>
      <c r="IV29" s="1174"/>
      <c r="IW29" s="1174"/>
      <c r="IX29" s="1174"/>
      <c r="IY29" s="1174"/>
      <c r="IZ29" s="1174"/>
      <c r="JA29" s="1174"/>
      <c r="JB29" s="1174"/>
      <c r="JC29" s="1174"/>
      <c r="JD29" s="1174"/>
      <c r="JE29" s="1174"/>
      <c r="JF29" s="1174"/>
      <c r="JG29" s="1174"/>
      <c r="JH29" s="1174"/>
      <c r="JI29" s="1174"/>
      <c r="JJ29" s="1174"/>
      <c r="JK29" s="1174"/>
      <c r="JL29" s="1174"/>
      <c r="JM29" s="1174"/>
      <c r="JN29" s="1174"/>
      <c r="JO29" s="1174"/>
      <c r="JP29" s="1174"/>
      <c r="JQ29" s="1174"/>
      <c r="JR29" s="1174"/>
      <c r="JS29" s="1174"/>
      <c r="JT29" s="1174"/>
      <c r="JU29" s="1174"/>
      <c r="JV29" s="1174"/>
      <c r="JW29" s="1174"/>
      <c r="JX29" s="1174"/>
      <c r="JY29" s="1174"/>
      <c r="JZ29" s="1174"/>
      <c r="KA29" s="1174"/>
      <c r="KB29" s="1174"/>
      <c r="KC29" s="1174"/>
      <c r="KD29" s="1174"/>
      <c r="KE29" s="1174"/>
      <c r="KF29" s="1174"/>
      <c r="KG29" s="1174"/>
      <c r="KH29" s="1174"/>
      <c r="KI29" s="1174"/>
      <c r="KJ29" s="1174"/>
      <c r="KK29" s="1174"/>
      <c r="KL29" s="1174"/>
      <c r="KM29" s="1174"/>
      <c r="KN29" s="1174"/>
      <c r="KO29" s="1174"/>
      <c r="KP29" s="1174"/>
      <c r="KQ29" s="1174"/>
      <c r="KR29" s="1174"/>
      <c r="KS29" s="1174"/>
      <c r="KT29" s="1174"/>
      <c r="KU29" s="1174"/>
      <c r="KV29" s="1174"/>
      <c r="KW29" s="1174"/>
      <c r="KX29" s="1174"/>
      <c r="KY29" s="1174"/>
      <c r="KZ29" s="1174"/>
      <c r="LA29" s="1174"/>
      <c r="LB29" s="1174"/>
      <c r="LC29" s="1174"/>
      <c r="LD29" s="1174"/>
      <c r="LE29" s="1174"/>
      <c r="LF29" s="1174"/>
      <c r="LG29" s="1174"/>
      <c r="LH29" s="1174"/>
      <c r="LI29" s="1174"/>
      <c r="LJ29" s="1174"/>
      <c r="LK29" s="1174"/>
      <c r="LL29" s="1174"/>
      <c r="LM29" s="1174"/>
      <c r="LN29" s="1174"/>
      <c r="LO29" s="1174"/>
      <c r="LP29" s="1174"/>
      <c r="LQ29" s="1174"/>
      <c r="LR29" s="1174"/>
      <c r="LS29" s="1174"/>
      <c r="LT29" s="1174"/>
      <c r="LU29" s="1174"/>
      <c r="LV29" s="1174"/>
      <c r="LW29" s="1174"/>
      <c r="LX29" s="1174"/>
      <c r="LY29" s="1174"/>
      <c r="LZ29" s="1174"/>
      <c r="MA29" s="1174"/>
      <c r="MB29" s="1174"/>
      <c r="MC29" s="1174"/>
      <c r="MD29" s="1174"/>
      <c r="ME29" s="1174"/>
      <c r="MF29" s="1174"/>
      <c r="MG29" s="1174"/>
      <c r="MH29" s="1174"/>
      <c r="MI29" s="1174"/>
      <c r="MJ29" s="1174"/>
      <c r="MK29" s="1174"/>
      <c r="ML29" s="1174"/>
      <c r="MM29" s="1174"/>
      <c r="MN29" s="1174"/>
      <c r="MO29" s="1174"/>
      <c r="MP29" s="1174"/>
      <c r="MQ29" s="1174"/>
      <c r="MR29" s="1174"/>
      <c r="MS29" s="1174"/>
      <c r="MT29" s="1174"/>
      <c r="MU29" s="1174"/>
      <c r="MV29" s="1174"/>
      <c r="MW29" s="1174"/>
      <c r="MX29" s="1174"/>
      <c r="MY29" s="1174"/>
      <c r="MZ29" s="1174"/>
      <c r="NA29" s="1174"/>
      <c r="NB29" s="1174"/>
      <c r="NC29" s="1174"/>
      <c r="ND29" s="1174"/>
      <c r="NE29" s="1174"/>
      <c r="NF29" s="1174"/>
      <c r="NG29" s="1174"/>
      <c r="NH29" s="1174"/>
      <c r="NI29" s="1174"/>
      <c r="NJ29" s="1174"/>
      <c r="NK29" s="1174"/>
      <c r="NL29" s="1174"/>
      <c r="NM29" s="1174"/>
      <c r="NN29" s="1174"/>
      <c r="NO29" s="1174"/>
      <c r="NP29" s="1174"/>
      <c r="NQ29" s="1174"/>
      <c r="NR29" s="1174"/>
      <c r="NS29" s="1174"/>
      <c r="NT29" s="1174"/>
      <c r="NU29" s="1174"/>
      <c r="NV29" s="1174"/>
      <c r="NW29" s="1174"/>
      <c r="NX29" s="1174"/>
      <c r="NY29" s="1174"/>
      <c r="NZ29" s="1174"/>
      <c r="OA29" s="1174"/>
      <c r="OB29" s="1174"/>
      <c r="OC29" s="1174"/>
      <c r="OD29" s="1174"/>
      <c r="OE29" s="1174"/>
      <c r="OF29" s="1174"/>
      <c r="OG29" s="1174"/>
      <c r="OH29" s="1174"/>
      <c r="OI29" s="1174"/>
      <c r="OJ29" s="1174"/>
      <c r="OK29" s="1174"/>
      <c r="OL29" s="1174"/>
      <c r="OM29" s="1174"/>
      <c r="ON29" s="1174"/>
      <c r="OO29" s="1174"/>
      <c r="OP29" s="1174"/>
      <c r="OQ29" s="1174"/>
      <c r="OR29" s="1174"/>
      <c r="OS29" s="1174"/>
      <c r="OT29" s="1174"/>
      <c r="OU29" s="1174"/>
    </row>
    <row r="30">
      <c r="A30" s="1175"/>
      <c r="B30" s="1176" t="s">
        <v>43</v>
      </c>
      <c r="C30" s="1177" t="s">
        <v>23</v>
      </c>
      <c r="D30" s="1178">
        <v>59673.0</v>
      </c>
      <c r="E30" s="1178">
        <v>4621.0</v>
      </c>
      <c r="F30" s="1178">
        <v>4483.0</v>
      </c>
      <c r="G30" s="1178">
        <v>4983.0</v>
      </c>
      <c r="H30" s="1178">
        <v>4749.0</v>
      </c>
      <c r="I30" s="1178">
        <v>4935.0</v>
      </c>
      <c r="J30" s="1178">
        <v>4912.0</v>
      </c>
      <c r="K30" s="1178">
        <v>5005.0</v>
      </c>
      <c r="L30" s="1178">
        <v>5170.0</v>
      </c>
      <c r="M30" s="1178">
        <v>5028.0</v>
      </c>
      <c r="N30" s="1178">
        <v>5180.0</v>
      </c>
      <c r="O30" s="1178">
        <v>5167.0</v>
      </c>
      <c r="P30" s="1178">
        <v>5441.0</v>
      </c>
      <c r="Q30" s="1178">
        <v>4786.0</v>
      </c>
      <c r="R30" s="1178">
        <v>4514.0</v>
      </c>
      <c r="S30" s="1178">
        <v>4728.0</v>
      </c>
      <c r="T30" s="1178">
        <v>4755.0</v>
      </c>
      <c r="U30" s="1178">
        <v>4870.0</v>
      </c>
      <c r="V30" s="1178">
        <v>4708.0</v>
      </c>
      <c r="W30" s="1179"/>
      <c r="X30" s="1179"/>
      <c r="Y30" s="1179"/>
      <c r="Z30" s="1179"/>
      <c r="AA30" s="1179"/>
      <c r="AB30" s="1179"/>
      <c r="AC30" s="1180">
        <v>9300.0</v>
      </c>
      <c r="AD30" s="1181">
        <v>1.022</v>
      </c>
      <c r="AE30" s="1182">
        <v>0.156</v>
      </c>
      <c r="AF30" s="1183">
        <v>10.0</v>
      </c>
      <c r="AG30" s="1181">
        <v>1.196</v>
      </c>
      <c r="AH30" s="1183">
        <v>10.0</v>
      </c>
      <c r="AI30" s="1178">
        <v>7773.0</v>
      </c>
      <c r="AJ30" s="1178">
        <v>4061.0</v>
      </c>
      <c r="AK30" s="1178">
        <v>3712.0</v>
      </c>
      <c r="AL30" s="1178">
        <v>4203.0</v>
      </c>
      <c r="AM30" s="1178">
        <v>4028.0</v>
      </c>
      <c r="AN30" s="1178">
        <v>4099.0</v>
      </c>
      <c r="AO30" s="1178">
        <v>4000.0</v>
      </c>
      <c r="AP30" s="1178">
        <v>4004.0</v>
      </c>
      <c r="AQ30" s="1178">
        <v>3949.0</v>
      </c>
      <c r="AR30" s="1178">
        <v>3861.0</v>
      </c>
      <c r="AS30" s="1178">
        <v>4129.0</v>
      </c>
      <c r="AT30" s="1178">
        <v>3895.0</v>
      </c>
      <c r="AU30" s="1178">
        <v>3993.0</v>
      </c>
      <c r="AV30" s="1178">
        <v>47935.0</v>
      </c>
      <c r="AW30" s="1174"/>
      <c r="AX30" s="1174"/>
      <c r="AY30" s="1174"/>
      <c r="AZ30" s="1174"/>
      <c r="BA30" s="1174"/>
      <c r="BB30" s="1174"/>
      <c r="BC30" s="1174"/>
      <c r="BD30" s="1174"/>
      <c r="BE30" s="1174"/>
      <c r="BF30" s="1174"/>
      <c r="BG30" s="1174"/>
      <c r="BH30" s="1174"/>
      <c r="BI30" s="1174"/>
      <c r="BJ30" s="1174"/>
      <c r="BK30" s="1174"/>
      <c r="BL30" s="1174"/>
      <c r="BM30" s="1174"/>
      <c r="BN30" s="1174"/>
      <c r="BO30" s="1174"/>
      <c r="BP30" s="1174"/>
      <c r="BQ30" s="1174"/>
      <c r="BR30" s="1174"/>
      <c r="BS30" s="1174"/>
      <c r="BT30" s="1174"/>
      <c r="BU30" s="1174"/>
      <c r="BV30" s="1174"/>
      <c r="BW30" s="1174"/>
      <c r="BX30" s="1174"/>
      <c r="BY30" s="1174"/>
      <c r="BZ30" s="1174"/>
      <c r="CA30" s="1174"/>
      <c r="CB30" s="1174"/>
      <c r="CC30" s="1174"/>
      <c r="CD30" s="1174"/>
      <c r="CE30" s="1174"/>
      <c r="CF30" s="1174"/>
      <c r="CG30" s="1174"/>
      <c r="CH30" s="1174"/>
      <c r="CI30" s="1174"/>
      <c r="CJ30" s="1174"/>
      <c r="CK30" s="1174"/>
      <c r="CL30" s="1174"/>
      <c r="CM30" s="1174"/>
      <c r="CN30" s="1174"/>
      <c r="CO30" s="1174"/>
      <c r="CP30" s="1174"/>
      <c r="CQ30" s="1174"/>
      <c r="CR30" s="1174"/>
      <c r="CS30" s="1174"/>
      <c r="CT30" s="1174"/>
      <c r="CU30" s="1174"/>
      <c r="CV30" s="1174"/>
      <c r="CW30" s="1174"/>
      <c r="CX30" s="1174"/>
      <c r="CY30" s="1174"/>
      <c r="CZ30" s="1174"/>
      <c r="DA30" s="1174"/>
      <c r="DB30" s="1174"/>
      <c r="DC30" s="1174"/>
      <c r="DD30" s="1174"/>
      <c r="DE30" s="1174"/>
      <c r="DF30" s="1174"/>
      <c r="DG30" s="1174"/>
      <c r="DH30" s="1174"/>
      <c r="DI30" s="1174"/>
      <c r="DJ30" s="1174"/>
      <c r="DK30" s="1174"/>
      <c r="DL30" s="1174"/>
      <c r="DM30" s="1174"/>
      <c r="DN30" s="1174"/>
      <c r="DO30" s="1174"/>
      <c r="DP30" s="1174"/>
      <c r="DQ30" s="1174"/>
      <c r="DR30" s="1174"/>
      <c r="DS30" s="1174"/>
      <c r="DT30" s="1174"/>
      <c r="DU30" s="1174"/>
      <c r="DV30" s="1174"/>
      <c r="DW30" s="1174"/>
      <c r="DX30" s="1174"/>
      <c r="DY30" s="1174"/>
      <c r="DZ30" s="1174"/>
      <c r="EA30" s="1174"/>
      <c r="EB30" s="1174"/>
      <c r="EC30" s="1174"/>
      <c r="ED30" s="1174"/>
      <c r="EE30" s="1174"/>
      <c r="EF30" s="1174"/>
      <c r="EG30" s="1174"/>
      <c r="EH30" s="1174"/>
      <c r="EI30" s="1174"/>
      <c r="EJ30" s="1174"/>
      <c r="EK30" s="1174"/>
      <c r="EL30" s="1174"/>
      <c r="EM30" s="1174"/>
      <c r="EN30" s="1174"/>
      <c r="EO30" s="1174"/>
      <c r="EP30" s="1174"/>
      <c r="EQ30" s="1174"/>
      <c r="ER30" s="1174"/>
      <c r="ES30" s="1174"/>
      <c r="ET30" s="1174"/>
      <c r="EU30" s="1174"/>
      <c r="EV30" s="1174"/>
      <c r="EW30" s="1174"/>
      <c r="EX30" s="1174"/>
      <c r="EY30" s="1174"/>
      <c r="EZ30" s="1174"/>
      <c r="FA30" s="1174"/>
      <c r="FB30" s="1174"/>
      <c r="FC30" s="1174"/>
      <c r="FD30" s="1174"/>
      <c r="FE30" s="1174"/>
      <c r="FF30" s="1174"/>
      <c r="FG30" s="1174"/>
      <c r="FH30" s="1174"/>
      <c r="FI30" s="1174"/>
      <c r="FJ30" s="1174"/>
      <c r="FK30" s="1174"/>
      <c r="FL30" s="1174"/>
      <c r="FM30" s="1174"/>
      <c r="FN30" s="1174"/>
      <c r="FO30" s="1174"/>
      <c r="FP30" s="1174"/>
      <c r="FQ30" s="1174"/>
      <c r="FR30" s="1174"/>
      <c r="FS30" s="1174"/>
      <c r="FT30" s="1174"/>
      <c r="FU30" s="1174"/>
      <c r="FV30" s="1174"/>
      <c r="FW30" s="1174"/>
      <c r="FX30" s="1174"/>
      <c r="FY30" s="1174"/>
      <c r="FZ30" s="1174"/>
      <c r="GA30" s="1174"/>
      <c r="GB30" s="1174"/>
      <c r="GC30" s="1174"/>
      <c r="GD30" s="1174"/>
      <c r="GE30" s="1174"/>
      <c r="GF30" s="1174"/>
      <c r="GG30" s="1174"/>
      <c r="GH30" s="1174"/>
      <c r="GI30" s="1174"/>
      <c r="GJ30" s="1174"/>
      <c r="GK30" s="1174"/>
      <c r="GL30" s="1174"/>
      <c r="GM30" s="1174"/>
      <c r="GN30" s="1174"/>
      <c r="GO30" s="1174"/>
      <c r="GP30" s="1174"/>
      <c r="GQ30" s="1174"/>
      <c r="GR30" s="1174"/>
      <c r="GS30" s="1174"/>
      <c r="GT30" s="1174"/>
      <c r="GU30" s="1174"/>
      <c r="GV30" s="1174"/>
      <c r="GW30" s="1174"/>
      <c r="GX30" s="1174"/>
      <c r="GY30" s="1174"/>
      <c r="GZ30" s="1174"/>
      <c r="HA30" s="1174"/>
      <c r="HB30" s="1174"/>
      <c r="HC30" s="1174"/>
      <c r="HD30" s="1174"/>
      <c r="HE30" s="1174"/>
      <c r="HF30" s="1174"/>
      <c r="HG30" s="1174"/>
      <c r="HH30" s="1174"/>
      <c r="HI30" s="1174"/>
      <c r="HJ30" s="1174"/>
      <c r="HK30" s="1174"/>
      <c r="HL30" s="1174"/>
      <c r="HM30" s="1174"/>
      <c r="HN30" s="1174"/>
      <c r="HO30" s="1174"/>
      <c r="HP30" s="1174"/>
      <c r="HQ30" s="1174"/>
      <c r="HR30" s="1174"/>
      <c r="HS30" s="1174"/>
      <c r="HT30" s="1174"/>
      <c r="HU30" s="1174"/>
      <c r="HV30" s="1174"/>
      <c r="HW30" s="1174"/>
      <c r="HX30" s="1174"/>
      <c r="HY30" s="1174"/>
      <c r="HZ30" s="1174"/>
      <c r="IA30" s="1174"/>
      <c r="IB30" s="1174"/>
      <c r="IC30" s="1174"/>
      <c r="ID30" s="1174"/>
      <c r="IE30" s="1174"/>
      <c r="IF30" s="1174"/>
      <c r="IG30" s="1174"/>
      <c r="IH30" s="1174"/>
      <c r="II30" s="1174"/>
      <c r="IJ30" s="1174"/>
      <c r="IK30" s="1174"/>
      <c r="IL30" s="1174"/>
      <c r="IM30" s="1174"/>
      <c r="IN30" s="1174"/>
      <c r="IO30" s="1174"/>
      <c r="IP30" s="1174"/>
      <c r="IQ30" s="1174"/>
      <c r="IR30" s="1174"/>
      <c r="IS30" s="1174"/>
      <c r="IT30" s="1174"/>
      <c r="IU30" s="1174"/>
      <c r="IV30" s="1174"/>
      <c r="IW30" s="1174"/>
      <c r="IX30" s="1174"/>
      <c r="IY30" s="1174"/>
      <c r="IZ30" s="1174"/>
      <c r="JA30" s="1174"/>
      <c r="JB30" s="1174"/>
      <c r="JC30" s="1174"/>
      <c r="JD30" s="1174"/>
      <c r="JE30" s="1174"/>
      <c r="JF30" s="1174"/>
      <c r="JG30" s="1174"/>
      <c r="JH30" s="1174"/>
      <c r="JI30" s="1174"/>
      <c r="JJ30" s="1174"/>
      <c r="JK30" s="1174"/>
      <c r="JL30" s="1174"/>
      <c r="JM30" s="1174"/>
      <c r="JN30" s="1174"/>
      <c r="JO30" s="1174"/>
      <c r="JP30" s="1174"/>
      <c r="JQ30" s="1174"/>
      <c r="JR30" s="1174"/>
      <c r="JS30" s="1174"/>
      <c r="JT30" s="1174"/>
      <c r="JU30" s="1174"/>
      <c r="JV30" s="1174"/>
      <c r="JW30" s="1174"/>
      <c r="JX30" s="1174"/>
      <c r="JY30" s="1174"/>
      <c r="JZ30" s="1174"/>
      <c r="KA30" s="1174"/>
      <c r="KB30" s="1174"/>
      <c r="KC30" s="1174"/>
      <c r="KD30" s="1174"/>
      <c r="KE30" s="1174"/>
      <c r="KF30" s="1174"/>
      <c r="KG30" s="1174"/>
      <c r="KH30" s="1174"/>
      <c r="KI30" s="1174"/>
      <c r="KJ30" s="1174"/>
      <c r="KK30" s="1174"/>
      <c r="KL30" s="1174"/>
      <c r="KM30" s="1174"/>
      <c r="KN30" s="1174"/>
      <c r="KO30" s="1174"/>
      <c r="KP30" s="1174"/>
      <c r="KQ30" s="1174"/>
      <c r="KR30" s="1174"/>
      <c r="KS30" s="1174"/>
      <c r="KT30" s="1174"/>
      <c r="KU30" s="1174"/>
      <c r="KV30" s="1174"/>
      <c r="KW30" s="1174"/>
      <c r="KX30" s="1174"/>
      <c r="KY30" s="1174"/>
      <c r="KZ30" s="1174"/>
      <c r="LA30" s="1174"/>
      <c r="LB30" s="1174"/>
      <c r="LC30" s="1174"/>
      <c r="LD30" s="1174"/>
      <c r="LE30" s="1174"/>
      <c r="LF30" s="1174"/>
      <c r="LG30" s="1174"/>
      <c r="LH30" s="1174"/>
      <c r="LI30" s="1174"/>
      <c r="LJ30" s="1174"/>
      <c r="LK30" s="1174"/>
      <c r="LL30" s="1174"/>
      <c r="LM30" s="1174"/>
      <c r="LN30" s="1174"/>
      <c r="LO30" s="1174"/>
      <c r="LP30" s="1174"/>
      <c r="LQ30" s="1174"/>
      <c r="LR30" s="1174"/>
      <c r="LS30" s="1174"/>
      <c r="LT30" s="1174"/>
      <c r="LU30" s="1174"/>
      <c r="LV30" s="1174"/>
      <c r="LW30" s="1174"/>
      <c r="LX30" s="1174"/>
      <c r="LY30" s="1174"/>
      <c r="LZ30" s="1174"/>
      <c r="MA30" s="1174"/>
      <c r="MB30" s="1174"/>
      <c r="MC30" s="1174"/>
      <c r="MD30" s="1174"/>
      <c r="ME30" s="1174"/>
      <c r="MF30" s="1174"/>
      <c r="MG30" s="1174"/>
      <c r="MH30" s="1174"/>
      <c r="MI30" s="1174"/>
      <c r="MJ30" s="1174"/>
      <c r="MK30" s="1174"/>
      <c r="ML30" s="1174"/>
      <c r="MM30" s="1174"/>
      <c r="MN30" s="1174"/>
      <c r="MO30" s="1174"/>
      <c r="MP30" s="1174"/>
      <c r="MQ30" s="1174"/>
      <c r="MR30" s="1174"/>
      <c r="MS30" s="1174"/>
      <c r="MT30" s="1174"/>
      <c r="MU30" s="1174"/>
      <c r="MV30" s="1174"/>
      <c r="MW30" s="1174"/>
      <c r="MX30" s="1174"/>
      <c r="MY30" s="1174"/>
      <c r="MZ30" s="1174"/>
      <c r="NA30" s="1174"/>
      <c r="NB30" s="1174"/>
      <c r="NC30" s="1174"/>
      <c r="ND30" s="1174"/>
      <c r="NE30" s="1174"/>
      <c r="NF30" s="1174"/>
      <c r="NG30" s="1174"/>
      <c r="NH30" s="1174"/>
      <c r="NI30" s="1174"/>
      <c r="NJ30" s="1174"/>
      <c r="NK30" s="1174"/>
      <c r="NL30" s="1174"/>
      <c r="NM30" s="1174"/>
      <c r="NN30" s="1174"/>
      <c r="NO30" s="1174"/>
      <c r="NP30" s="1174"/>
      <c r="NQ30" s="1174"/>
      <c r="NR30" s="1174"/>
      <c r="NS30" s="1174"/>
      <c r="NT30" s="1174"/>
      <c r="NU30" s="1174"/>
      <c r="NV30" s="1174"/>
      <c r="NW30" s="1174"/>
      <c r="NX30" s="1174"/>
      <c r="NY30" s="1174"/>
      <c r="NZ30" s="1174"/>
      <c r="OA30" s="1174"/>
      <c r="OB30" s="1174"/>
      <c r="OC30" s="1174"/>
      <c r="OD30" s="1174"/>
      <c r="OE30" s="1174"/>
      <c r="OF30" s="1174"/>
      <c r="OG30" s="1174"/>
      <c r="OH30" s="1174"/>
      <c r="OI30" s="1174"/>
      <c r="OJ30" s="1174"/>
      <c r="OK30" s="1174"/>
      <c r="OL30" s="1174"/>
      <c r="OM30" s="1174"/>
      <c r="ON30" s="1174"/>
      <c r="OO30" s="1174"/>
      <c r="OP30" s="1174"/>
      <c r="OQ30" s="1174"/>
      <c r="OR30" s="1174"/>
      <c r="OS30" s="1174"/>
      <c r="OT30" s="1174"/>
      <c r="OU30" s="1174"/>
    </row>
    <row r="31">
      <c r="A31" s="1175"/>
      <c r="B31" s="1176" t="s">
        <v>480</v>
      </c>
      <c r="C31" s="1177" t="s">
        <v>23</v>
      </c>
      <c r="D31" s="1178">
        <v>17186.0</v>
      </c>
      <c r="E31" s="1178">
        <v>1208.0</v>
      </c>
      <c r="F31" s="1178">
        <v>1197.0</v>
      </c>
      <c r="G31" s="1178">
        <v>1349.0</v>
      </c>
      <c r="H31" s="1178">
        <v>1314.0</v>
      </c>
      <c r="I31" s="1178">
        <v>1386.0</v>
      </c>
      <c r="J31" s="1178">
        <v>1404.0</v>
      </c>
      <c r="K31" s="1178">
        <v>1453.0</v>
      </c>
      <c r="L31" s="1178">
        <v>1519.0</v>
      </c>
      <c r="M31" s="1178">
        <v>1508.0</v>
      </c>
      <c r="N31" s="1178">
        <v>1571.0</v>
      </c>
      <c r="O31" s="1178">
        <v>1592.0</v>
      </c>
      <c r="P31" s="1178">
        <v>1686.0</v>
      </c>
      <c r="Q31" s="1178">
        <v>1208.0</v>
      </c>
      <c r="R31" s="1178">
        <v>1193.0</v>
      </c>
      <c r="S31" s="1178">
        <v>1258.0</v>
      </c>
      <c r="T31" s="1178">
        <v>1264.0</v>
      </c>
      <c r="U31" s="1178">
        <v>1297.0</v>
      </c>
      <c r="V31" s="1178">
        <v>1265.0</v>
      </c>
      <c r="W31" s="1179"/>
      <c r="X31" s="1179"/>
      <c r="Y31" s="1179"/>
      <c r="Z31" s="1179"/>
      <c r="AA31" s="1179"/>
      <c r="AB31" s="1179"/>
      <c r="AC31" s="1180">
        <v>2402.0</v>
      </c>
      <c r="AD31" s="1186">
        <v>0.999</v>
      </c>
      <c r="AE31" s="1182">
        <v>0.14</v>
      </c>
      <c r="AF31" s="1183">
        <v>17.0</v>
      </c>
      <c r="AG31" s="1181">
        <v>1.379</v>
      </c>
      <c r="AH31" s="1185">
        <v>3.0</v>
      </c>
      <c r="AI31" s="1178">
        <v>1742.0</v>
      </c>
      <c r="AJ31" s="1187">
        <v>924.0</v>
      </c>
      <c r="AK31" s="1187">
        <v>818.0</v>
      </c>
      <c r="AL31" s="1187">
        <v>927.0</v>
      </c>
      <c r="AM31" s="1187">
        <v>896.0</v>
      </c>
      <c r="AN31" s="1187">
        <v>877.0</v>
      </c>
      <c r="AO31" s="1187">
        <v>842.0</v>
      </c>
      <c r="AP31" s="1187">
        <v>830.0</v>
      </c>
      <c r="AQ31" s="1187">
        <v>828.0</v>
      </c>
      <c r="AR31" s="1187">
        <v>811.0</v>
      </c>
      <c r="AS31" s="1187">
        <v>994.0</v>
      </c>
      <c r="AT31" s="1187">
        <v>952.0</v>
      </c>
      <c r="AU31" s="1178">
        <v>1028.0</v>
      </c>
      <c r="AV31" s="1178">
        <v>10726.0</v>
      </c>
      <c r="AW31" s="1174"/>
      <c r="AX31" s="1174"/>
      <c r="AY31" s="1174"/>
      <c r="AZ31" s="1174"/>
      <c r="BA31" s="1174"/>
      <c r="BB31" s="1174"/>
      <c r="BC31" s="1174"/>
      <c r="BD31" s="1174"/>
      <c r="BE31" s="1174"/>
      <c r="BF31" s="1174"/>
      <c r="BG31" s="1174"/>
      <c r="BH31" s="1174"/>
      <c r="BI31" s="1174"/>
      <c r="BJ31" s="1174"/>
      <c r="BK31" s="1174"/>
      <c r="BL31" s="1174"/>
      <c r="BM31" s="1174"/>
      <c r="BN31" s="1174"/>
      <c r="BO31" s="1174"/>
      <c r="BP31" s="1174"/>
      <c r="BQ31" s="1174"/>
      <c r="BR31" s="1174"/>
      <c r="BS31" s="1174"/>
      <c r="BT31" s="1174"/>
      <c r="BU31" s="1174"/>
      <c r="BV31" s="1174"/>
      <c r="BW31" s="1174"/>
      <c r="BX31" s="1174"/>
      <c r="BY31" s="1174"/>
      <c r="BZ31" s="1174"/>
      <c r="CA31" s="1174"/>
      <c r="CB31" s="1174"/>
      <c r="CC31" s="1174"/>
      <c r="CD31" s="1174"/>
      <c r="CE31" s="1174"/>
      <c r="CF31" s="1174"/>
      <c r="CG31" s="1174"/>
      <c r="CH31" s="1174"/>
      <c r="CI31" s="1174"/>
      <c r="CJ31" s="1174"/>
      <c r="CK31" s="1174"/>
      <c r="CL31" s="1174"/>
      <c r="CM31" s="1174"/>
      <c r="CN31" s="1174"/>
      <c r="CO31" s="1174"/>
      <c r="CP31" s="1174"/>
      <c r="CQ31" s="1174"/>
      <c r="CR31" s="1174"/>
      <c r="CS31" s="1174"/>
      <c r="CT31" s="1174"/>
      <c r="CU31" s="1174"/>
      <c r="CV31" s="1174"/>
      <c r="CW31" s="1174"/>
      <c r="CX31" s="1174"/>
      <c r="CY31" s="1174"/>
      <c r="CZ31" s="1174"/>
      <c r="DA31" s="1174"/>
      <c r="DB31" s="1174"/>
      <c r="DC31" s="1174"/>
      <c r="DD31" s="1174"/>
      <c r="DE31" s="1174"/>
      <c r="DF31" s="1174"/>
      <c r="DG31" s="1174"/>
      <c r="DH31" s="1174"/>
      <c r="DI31" s="1174"/>
      <c r="DJ31" s="1174"/>
      <c r="DK31" s="1174"/>
      <c r="DL31" s="1174"/>
      <c r="DM31" s="1174"/>
      <c r="DN31" s="1174"/>
      <c r="DO31" s="1174"/>
      <c r="DP31" s="1174"/>
      <c r="DQ31" s="1174"/>
      <c r="DR31" s="1174"/>
      <c r="DS31" s="1174"/>
      <c r="DT31" s="1174"/>
      <c r="DU31" s="1174"/>
      <c r="DV31" s="1174"/>
      <c r="DW31" s="1174"/>
      <c r="DX31" s="1174"/>
      <c r="DY31" s="1174"/>
      <c r="DZ31" s="1174"/>
      <c r="EA31" s="1174"/>
      <c r="EB31" s="1174"/>
      <c r="EC31" s="1174"/>
      <c r="ED31" s="1174"/>
      <c r="EE31" s="1174"/>
      <c r="EF31" s="1174"/>
      <c r="EG31" s="1174"/>
      <c r="EH31" s="1174"/>
      <c r="EI31" s="1174"/>
      <c r="EJ31" s="1174"/>
      <c r="EK31" s="1174"/>
      <c r="EL31" s="1174"/>
      <c r="EM31" s="1174"/>
      <c r="EN31" s="1174"/>
      <c r="EO31" s="1174"/>
      <c r="EP31" s="1174"/>
      <c r="EQ31" s="1174"/>
      <c r="ER31" s="1174"/>
      <c r="ES31" s="1174"/>
      <c r="ET31" s="1174"/>
      <c r="EU31" s="1174"/>
      <c r="EV31" s="1174"/>
      <c r="EW31" s="1174"/>
      <c r="EX31" s="1174"/>
      <c r="EY31" s="1174"/>
      <c r="EZ31" s="1174"/>
      <c r="FA31" s="1174"/>
      <c r="FB31" s="1174"/>
      <c r="FC31" s="1174"/>
      <c r="FD31" s="1174"/>
      <c r="FE31" s="1174"/>
      <c r="FF31" s="1174"/>
      <c r="FG31" s="1174"/>
      <c r="FH31" s="1174"/>
      <c r="FI31" s="1174"/>
      <c r="FJ31" s="1174"/>
      <c r="FK31" s="1174"/>
      <c r="FL31" s="1174"/>
      <c r="FM31" s="1174"/>
      <c r="FN31" s="1174"/>
      <c r="FO31" s="1174"/>
      <c r="FP31" s="1174"/>
      <c r="FQ31" s="1174"/>
      <c r="FR31" s="1174"/>
      <c r="FS31" s="1174"/>
      <c r="FT31" s="1174"/>
      <c r="FU31" s="1174"/>
      <c r="FV31" s="1174"/>
      <c r="FW31" s="1174"/>
      <c r="FX31" s="1174"/>
      <c r="FY31" s="1174"/>
      <c r="FZ31" s="1174"/>
      <c r="GA31" s="1174"/>
      <c r="GB31" s="1174"/>
      <c r="GC31" s="1174"/>
      <c r="GD31" s="1174"/>
      <c r="GE31" s="1174"/>
      <c r="GF31" s="1174"/>
      <c r="GG31" s="1174"/>
      <c r="GH31" s="1174"/>
      <c r="GI31" s="1174"/>
      <c r="GJ31" s="1174"/>
      <c r="GK31" s="1174"/>
      <c r="GL31" s="1174"/>
      <c r="GM31" s="1174"/>
      <c r="GN31" s="1174"/>
      <c r="GO31" s="1174"/>
      <c r="GP31" s="1174"/>
      <c r="GQ31" s="1174"/>
      <c r="GR31" s="1174"/>
      <c r="GS31" s="1174"/>
      <c r="GT31" s="1174"/>
      <c r="GU31" s="1174"/>
      <c r="GV31" s="1174"/>
      <c r="GW31" s="1174"/>
      <c r="GX31" s="1174"/>
      <c r="GY31" s="1174"/>
      <c r="GZ31" s="1174"/>
      <c r="HA31" s="1174"/>
      <c r="HB31" s="1174"/>
      <c r="HC31" s="1174"/>
      <c r="HD31" s="1174"/>
      <c r="HE31" s="1174"/>
      <c r="HF31" s="1174"/>
      <c r="HG31" s="1174"/>
      <c r="HH31" s="1174"/>
      <c r="HI31" s="1174"/>
      <c r="HJ31" s="1174"/>
      <c r="HK31" s="1174"/>
      <c r="HL31" s="1174"/>
      <c r="HM31" s="1174"/>
      <c r="HN31" s="1174"/>
      <c r="HO31" s="1174"/>
      <c r="HP31" s="1174"/>
      <c r="HQ31" s="1174"/>
      <c r="HR31" s="1174"/>
      <c r="HS31" s="1174"/>
      <c r="HT31" s="1174"/>
      <c r="HU31" s="1174"/>
      <c r="HV31" s="1174"/>
      <c r="HW31" s="1174"/>
      <c r="HX31" s="1174"/>
      <c r="HY31" s="1174"/>
      <c r="HZ31" s="1174"/>
      <c r="IA31" s="1174"/>
      <c r="IB31" s="1174"/>
      <c r="IC31" s="1174"/>
      <c r="ID31" s="1174"/>
      <c r="IE31" s="1174"/>
      <c r="IF31" s="1174"/>
      <c r="IG31" s="1174"/>
      <c r="IH31" s="1174"/>
      <c r="II31" s="1174"/>
      <c r="IJ31" s="1174"/>
      <c r="IK31" s="1174"/>
      <c r="IL31" s="1174"/>
      <c r="IM31" s="1174"/>
      <c r="IN31" s="1174"/>
      <c r="IO31" s="1174"/>
      <c r="IP31" s="1174"/>
      <c r="IQ31" s="1174"/>
      <c r="IR31" s="1174"/>
      <c r="IS31" s="1174"/>
      <c r="IT31" s="1174"/>
      <c r="IU31" s="1174"/>
      <c r="IV31" s="1174"/>
      <c r="IW31" s="1174"/>
      <c r="IX31" s="1174"/>
      <c r="IY31" s="1174"/>
      <c r="IZ31" s="1174"/>
      <c r="JA31" s="1174"/>
      <c r="JB31" s="1174"/>
      <c r="JC31" s="1174"/>
      <c r="JD31" s="1174"/>
      <c r="JE31" s="1174"/>
      <c r="JF31" s="1174"/>
      <c r="JG31" s="1174"/>
      <c r="JH31" s="1174"/>
      <c r="JI31" s="1174"/>
      <c r="JJ31" s="1174"/>
      <c r="JK31" s="1174"/>
      <c r="JL31" s="1174"/>
      <c r="JM31" s="1174"/>
      <c r="JN31" s="1174"/>
      <c r="JO31" s="1174"/>
      <c r="JP31" s="1174"/>
      <c r="JQ31" s="1174"/>
      <c r="JR31" s="1174"/>
      <c r="JS31" s="1174"/>
      <c r="JT31" s="1174"/>
      <c r="JU31" s="1174"/>
      <c r="JV31" s="1174"/>
      <c r="JW31" s="1174"/>
      <c r="JX31" s="1174"/>
      <c r="JY31" s="1174"/>
      <c r="JZ31" s="1174"/>
      <c r="KA31" s="1174"/>
      <c r="KB31" s="1174"/>
      <c r="KC31" s="1174"/>
      <c r="KD31" s="1174"/>
      <c r="KE31" s="1174"/>
      <c r="KF31" s="1174"/>
      <c r="KG31" s="1174"/>
      <c r="KH31" s="1174"/>
      <c r="KI31" s="1174"/>
      <c r="KJ31" s="1174"/>
      <c r="KK31" s="1174"/>
      <c r="KL31" s="1174"/>
      <c r="KM31" s="1174"/>
      <c r="KN31" s="1174"/>
      <c r="KO31" s="1174"/>
      <c r="KP31" s="1174"/>
      <c r="KQ31" s="1174"/>
      <c r="KR31" s="1174"/>
      <c r="KS31" s="1174"/>
      <c r="KT31" s="1174"/>
      <c r="KU31" s="1174"/>
      <c r="KV31" s="1174"/>
      <c r="KW31" s="1174"/>
      <c r="KX31" s="1174"/>
      <c r="KY31" s="1174"/>
      <c r="KZ31" s="1174"/>
      <c r="LA31" s="1174"/>
      <c r="LB31" s="1174"/>
      <c r="LC31" s="1174"/>
      <c r="LD31" s="1174"/>
      <c r="LE31" s="1174"/>
      <c r="LF31" s="1174"/>
      <c r="LG31" s="1174"/>
      <c r="LH31" s="1174"/>
      <c r="LI31" s="1174"/>
      <c r="LJ31" s="1174"/>
      <c r="LK31" s="1174"/>
      <c r="LL31" s="1174"/>
      <c r="LM31" s="1174"/>
      <c r="LN31" s="1174"/>
      <c r="LO31" s="1174"/>
      <c r="LP31" s="1174"/>
      <c r="LQ31" s="1174"/>
      <c r="LR31" s="1174"/>
      <c r="LS31" s="1174"/>
      <c r="LT31" s="1174"/>
      <c r="LU31" s="1174"/>
      <c r="LV31" s="1174"/>
      <c r="LW31" s="1174"/>
      <c r="LX31" s="1174"/>
      <c r="LY31" s="1174"/>
      <c r="LZ31" s="1174"/>
      <c r="MA31" s="1174"/>
      <c r="MB31" s="1174"/>
      <c r="MC31" s="1174"/>
      <c r="MD31" s="1174"/>
      <c r="ME31" s="1174"/>
      <c r="MF31" s="1174"/>
      <c r="MG31" s="1174"/>
      <c r="MH31" s="1174"/>
      <c r="MI31" s="1174"/>
      <c r="MJ31" s="1174"/>
      <c r="MK31" s="1174"/>
      <c r="ML31" s="1174"/>
      <c r="MM31" s="1174"/>
      <c r="MN31" s="1174"/>
      <c r="MO31" s="1174"/>
      <c r="MP31" s="1174"/>
      <c r="MQ31" s="1174"/>
      <c r="MR31" s="1174"/>
      <c r="MS31" s="1174"/>
      <c r="MT31" s="1174"/>
      <c r="MU31" s="1174"/>
      <c r="MV31" s="1174"/>
      <c r="MW31" s="1174"/>
      <c r="MX31" s="1174"/>
      <c r="MY31" s="1174"/>
      <c r="MZ31" s="1174"/>
      <c r="NA31" s="1174"/>
      <c r="NB31" s="1174"/>
      <c r="NC31" s="1174"/>
      <c r="ND31" s="1174"/>
      <c r="NE31" s="1174"/>
      <c r="NF31" s="1174"/>
      <c r="NG31" s="1174"/>
      <c r="NH31" s="1174"/>
      <c r="NI31" s="1174"/>
      <c r="NJ31" s="1174"/>
      <c r="NK31" s="1174"/>
      <c r="NL31" s="1174"/>
      <c r="NM31" s="1174"/>
      <c r="NN31" s="1174"/>
      <c r="NO31" s="1174"/>
      <c r="NP31" s="1174"/>
      <c r="NQ31" s="1174"/>
      <c r="NR31" s="1174"/>
      <c r="NS31" s="1174"/>
      <c r="NT31" s="1174"/>
      <c r="NU31" s="1174"/>
      <c r="NV31" s="1174"/>
      <c r="NW31" s="1174"/>
      <c r="NX31" s="1174"/>
      <c r="NY31" s="1174"/>
      <c r="NZ31" s="1174"/>
      <c r="OA31" s="1174"/>
      <c r="OB31" s="1174"/>
      <c r="OC31" s="1174"/>
      <c r="OD31" s="1174"/>
      <c r="OE31" s="1174"/>
      <c r="OF31" s="1174"/>
      <c r="OG31" s="1174"/>
      <c r="OH31" s="1174"/>
      <c r="OI31" s="1174"/>
      <c r="OJ31" s="1174"/>
      <c r="OK31" s="1174"/>
      <c r="OL31" s="1174"/>
      <c r="OM31" s="1174"/>
      <c r="ON31" s="1174"/>
      <c r="OO31" s="1174"/>
      <c r="OP31" s="1174"/>
      <c r="OQ31" s="1174"/>
      <c r="OR31" s="1174"/>
      <c r="OS31" s="1174"/>
      <c r="OT31" s="1174"/>
      <c r="OU31" s="1174"/>
    </row>
    <row r="32">
      <c r="A32" s="1175"/>
      <c r="B32" s="1176" t="s">
        <v>45</v>
      </c>
      <c r="C32" s="1177" t="s">
        <v>23</v>
      </c>
      <c r="D32" s="1178">
        <v>30297.0</v>
      </c>
      <c r="E32" s="1178">
        <v>2294.0</v>
      </c>
      <c r="F32" s="1178">
        <v>2236.0</v>
      </c>
      <c r="G32" s="1178">
        <v>2493.0</v>
      </c>
      <c r="H32" s="1178">
        <v>2388.0</v>
      </c>
      <c r="I32" s="1178">
        <v>2490.0</v>
      </c>
      <c r="J32" s="1178">
        <v>2490.0</v>
      </c>
      <c r="K32" s="1178">
        <v>2546.0</v>
      </c>
      <c r="L32" s="1178">
        <v>2638.0</v>
      </c>
      <c r="M32" s="1178">
        <v>2578.0</v>
      </c>
      <c r="N32" s="1178">
        <v>2663.0</v>
      </c>
      <c r="O32" s="1178">
        <v>2668.0</v>
      </c>
      <c r="P32" s="1178">
        <v>2813.0</v>
      </c>
      <c r="Q32" s="1178">
        <v>2735.0</v>
      </c>
      <c r="R32" s="1178">
        <v>2580.0</v>
      </c>
      <c r="S32" s="1178">
        <v>2553.0</v>
      </c>
      <c r="T32" s="1178">
        <v>2607.0</v>
      </c>
      <c r="U32" s="1178">
        <v>2619.0</v>
      </c>
      <c r="V32" s="1178">
        <v>2504.0</v>
      </c>
      <c r="W32" s="1179"/>
      <c r="X32" s="1179"/>
      <c r="Y32" s="1179"/>
      <c r="Z32" s="1179"/>
      <c r="AA32" s="1179"/>
      <c r="AB32" s="1179"/>
      <c r="AC32" s="1180">
        <v>5315.0</v>
      </c>
      <c r="AD32" s="1181">
        <v>1.173</v>
      </c>
      <c r="AE32" s="1182">
        <v>0.175</v>
      </c>
      <c r="AF32" s="1185">
        <v>1.0</v>
      </c>
      <c r="AG32" s="1181">
        <v>1.256</v>
      </c>
      <c r="AH32" s="1183">
        <v>7.0</v>
      </c>
      <c r="AI32" s="1178">
        <v>4230.0</v>
      </c>
      <c r="AJ32" s="1178">
        <v>2308.0</v>
      </c>
      <c r="AK32" s="1178">
        <v>1922.0</v>
      </c>
      <c r="AL32" s="1178">
        <v>2197.0</v>
      </c>
      <c r="AM32" s="1178">
        <v>2176.0</v>
      </c>
      <c r="AN32" s="1178">
        <v>2140.0</v>
      </c>
      <c r="AO32" s="1178">
        <v>2001.0</v>
      </c>
      <c r="AP32" s="1178">
        <v>2162.0</v>
      </c>
      <c r="AQ32" s="1178">
        <v>2135.0</v>
      </c>
      <c r="AR32" s="1178">
        <v>2036.0</v>
      </c>
      <c r="AS32" s="1178">
        <v>2115.0</v>
      </c>
      <c r="AT32" s="1178">
        <v>1961.0</v>
      </c>
      <c r="AU32" s="1178">
        <v>2318.0</v>
      </c>
      <c r="AV32" s="1178">
        <v>25471.0</v>
      </c>
      <c r="AW32" s="1174"/>
      <c r="AX32" s="1174"/>
      <c r="AY32" s="1174"/>
      <c r="AZ32" s="1174"/>
      <c r="BA32" s="1174"/>
      <c r="BB32" s="1174"/>
      <c r="BC32" s="1174"/>
      <c r="BD32" s="1174"/>
      <c r="BE32" s="1174"/>
      <c r="BF32" s="1174"/>
      <c r="BG32" s="1174"/>
      <c r="BH32" s="1174"/>
      <c r="BI32" s="1174"/>
      <c r="BJ32" s="1174"/>
      <c r="BK32" s="1174"/>
      <c r="BL32" s="1174"/>
      <c r="BM32" s="1174"/>
      <c r="BN32" s="1174"/>
      <c r="BO32" s="1174"/>
      <c r="BP32" s="1174"/>
      <c r="BQ32" s="1174"/>
      <c r="BR32" s="1174"/>
      <c r="BS32" s="1174"/>
      <c r="BT32" s="1174"/>
      <c r="BU32" s="1174"/>
      <c r="BV32" s="1174"/>
      <c r="BW32" s="1174"/>
      <c r="BX32" s="1174"/>
      <c r="BY32" s="1174"/>
      <c r="BZ32" s="1174"/>
      <c r="CA32" s="1174"/>
      <c r="CB32" s="1174"/>
      <c r="CC32" s="1174"/>
      <c r="CD32" s="1174"/>
      <c r="CE32" s="1174"/>
      <c r="CF32" s="1174"/>
      <c r="CG32" s="1174"/>
      <c r="CH32" s="1174"/>
      <c r="CI32" s="1174"/>
      <c r="CJ32" s="1174"/>
      <c r="CK32" s="1174"/>
      <c r="CL32" s="1174"/>
      <c r="CM32" s="1174"/>
      <c r="CN32" s="1174"/>
      <c r="CO32" s="1174"/>
      <c r="CP32" s="1174"/>
      <c r="CQ32" s="1174"/>
      <c r="CR32" s="1174"/>
      <c r="CS32" s="1174"/>
      <c r="CT32" s="1174"/>
      <c r="CU32" s="1174"/>
      <c r="CV32" s="1174"/>
      <c r="CW32" s="1174"/>
      <c r="CX32" s="1174"/>
      <c r="CY32" s="1174"/>
      <c r="CZ32" s="1174"/>
      <c r="DA32" s="1174"/>
      <c r="DB32" s="1174"/>
      <c r="DC32" s="1174"/>
      <c r="DD32" s="1174"/>
      <c r="DE32" s="1174"/>
      <c r="DF32" s="1174"/>
      <c r="DG32" s="1174"/>
      <c r="DH32" s="1174"/>
      <c r="DI32" s="1174"/>
      <c r="DJ32" s="1174"/>
      <c r="DK32" s="1174"/>
      <c r="DL32" s="1174"/>
      <c r="DM32" s="1174"/>
      <c r="DN32" s="1174"/>
      <c r="DO32" s="1174"/>
      <c r="DP32" s="1174"/>
      <c r="DQ32" s="1174"/>
      <c r="DR32" s="1174"/>
      <c r="DS32" s="1174"/>
      <c r="DT32" s="1174"/>
      <c r="DU32" s="1174"/>
      <c r="DV32" s="1174"/>
      <c r="DW32" s="1174"/>
      <c r="DX32" s="1174"/>
      <c r="DY32" s="1174"/>
      <c r="DZ32" s="1174"/>
      <c r="EA32" s="1174"/>
      <c r="EB32" s="1174"/>
      <c r="EC32" s="1174"/>
      <c r="ED32" s="1174"/>
      <c r="EE32" s="1174"/>
      <c r="EF32" s="1174"/>
      <c r="EG32" s="1174"/>
      <c r="EH32" s="1174"/>
      <c r="EI32" s="1174"/>
      <c r="EJ32" s="1174"/>
      <c r="EK32" s="1174"/>
      <c r="EL32" s="1174"/>
      <c r="EM32" s="1174"/>
      <c r="EN32" s="1174"/>
      <c r="EO32" s="1174"/>
      <c r="EP32" s="1174"/>
      <c r="EQ32" s="1174"/>
      <c r="ER32" s="1174"/>
      <c r="ES32" s="1174"/>
      <c r="ET32" s="1174"/>
      <c r="EU32" s="1174"/>
      <c r="EV32" s="1174"/>
      <c r="EW32" s="1174"/>
      <c r="EX32" s="1174"/>
      <c r="EY32" s="1174"/>
      <c r="EZ32" s="1174"/>
      <c r="FA32" s="1174"/>
      <c r="FB32" s="1174"/>
      <c r="FC32" s="1174"/>
      <c r="FD32" s="1174"/>
      <c r="FE32" s="1174"/>
      <c r="FF32" s="1174"/>
      <c r="FG32" s="1174"/>
      <c r="FH32" s="1174"/>
      <c r="FI32" s="1174"/>
      <c r="FJ32" s="1174"/>
      <c r="FK32" s="1174"/>
      <c r="FL32" s="1174"/>
      <c r="FM32" s="1174"/>
      <c r="FN32" s="1174"/>
      <c r="FO32" s="1174"/>
      <c r="FP32" s="1174"/>
      <c r="FQ32" s="1174"/>
      <c r="FR32" s="1174"/>
      <c r="FS32" s="1174"/>
      <c r="FT32" s="1174"/>
      <c r="FU32" s="1174"/>
      <c r="FV32" s="1174"/>
      <c r="FW32" s="1174"/>
      <c r="FX32" s="1174"/>
      <c r="FY32" s="1174"/>
      <c r="FZ32" s="1174"/>
      <c r="GA32" s="1174"/>
      <c r="GB32" s="1174"/>
      <c r="GC32" s="1174"/>
      <c r="GD32" s="1174"/>
      <c r="GE32" s="1174"/>
      <c r="GF32" s="1174"/>
      <c r="GG32" s="1174"/>
      <c r="GH32" s="1174"/>
      <c r="GI32" s="1174"/>
      <c r="GJ32" s="1174"/>
      <c r="GK32" s="1174"/>
      <c r="GL32" s="1174"/>
      <c r="GM32" s="1174"/>
      <c r="GN32" s="1174"/>
      <c r="GO32" s="1174"/>
      <c r="GP32" s="1174"/>
      <c r="GQ32" s="1174"/>
      <c r="GR32" s="1174"/>
      <c r="GS32" s="1174"/>
      <c r="GT32" s="1174"/>
      <c r="GU32" s="1174"/>
      <c r="GV32" s="1174"/>
      <c r="GW32" s="1174"/>
      <c r="GX32" s="1174"/>
      <c r="GY32" s="1174"/>
      <c r="GZ32" s="1174"/>
      <c r="HA32" s="1174"/>
      <c r="HB32" s="1174"/>
      <c r="HC32" s="1174"/>
      <c r="HD32" s="1174"/>
      <c r="HE32" s="1174"/>
      <c r="HF32" s="1174"/>
      <c r="HG32" s="1174"/>
      <c r="HH32" s="1174"/>
      <c r="HI32" s="1174"/>
      <c r="HJ32" s="1174"/>
      <c r="HK32" s="1174"/>
      <c r="HL32" s="1174"/>
      <c r="HM32" s="1174"/>
      <c r="HN32" s="1174"/>
      <c r="HO32" s="1174"/>
      <c r="HP32" s="1174"/>
      <c r="HQ32" s="1174"/>
      <c r="HR32" s="1174"/>
      <c r="HS32" s="1174"/>
      <c r="HT32" s="1174"/>
      <c r="HU32" s="1174"/>
      <c r="HV32" s="1174"/>
      <c r="HW32" s="1174"/>
      <c r="HX32" s="1174"/>
      <c r="HY32" s="1174"/>
      <c r="HZ32" s="1174"/>
      <c r="IA32" s="1174"/>
      <c r="IB32" s="1174"/>
      <c r="IC32" s="1174"/>
      <c r="ID32" s="1174"/>
      <c r="IE32" s="1174"/>
      <c r="IF32" s="1174"/>
      <c r="IG32" s="1174"/>
      <c r="IH32" s="1174"/>
      <c r="II32" s="1174"/>
      <c r="IJ32" s="1174"/>
      <c r="IK32" s="1174"/>
      <c r="IL32" s="1174"/>
      <c r="IM32" s="1174"/>
      <c r="IN32" s="1174"/>
      <c r="IO32" s="1174"/>
      <c r="IP32" s="1174"/>
      <c r="IQ32" s="1174"/>
      <c r="IR32" s="1174"/>
      <c r="IS32" s="1174"/>
      <c r="IT32" s="1174"/>
      <c r="IU32" s="1174"/>
      <c r="IV32" s="1174"/>
      <c r="IW32" s="1174"/>
      <c r="IX32" s="1174"/>
      <c r="IY32" s="1174"/>
      <c r="IZ32" s="1174"/>
      <c r="JA32" s="1174"/>
      <c r="JB32" s="1174"/>
      <c r="JC32" s="1174"/>
      <c r="JD32" s="1174"/>
      <c r="JE32" s="1174"/>
      <c r="JF32" s="1174"/>
      <c r="JG32" s="1174"/>
      <c r="JH32" s="1174"/>
      <c r="JI32" s="1174"/>
      <c r="JJ32" s="1174"/>
      <c r="JK32" s="1174"/>
      <c r="JL32" s="1174"/>
      <c r="JM32" s="1174"/>
      <c r="JN32" s="1174"/>
      <c r="JO32" s="1174"/>
      <c r="JP32" s="1174"/>
      <c r="JQ32" s="1174"/>
      <c r="JR32" s="1174"/>
      <c r="JS32" s="1174"/>
      <c r="JT32" s="1174"/>
      <c r="JU32" s="1174"/>
      <c r="JV32" s="1174"/>
      <c r="JW32" s="1174"/>
      <c r="JX32" s="1174"/>
      <c r="JY32" s="1174"/>
      <c r="JZ32" s="1174"/>
      <c r="KA32" s="1174"/>
      <c r="KB32" s="1174"/>
      <c r="KC32" s="1174"/>
      <c r="KD32" s="1174"/>
      <c r="KE32" s="1174"/>
      <c r="KF32" s="1174"/>
      <c r="KG32" s="1174"/>
      <c r="KH32" s="1174"/>
      <c r="KI32" s="1174"/>
      <c r="KJ32" s="1174"/>
      <c r="KK32" s="1174"/>
      <c r="KL32" s="1174"/>
      <c r="KM32" s="1174"/>
      <c r="KN32" s="1174"/>
      <c r="KO32" s="1174"/>
      <c r="KP32" s="1174"/>
      <c r="KQ32" s="1174"/>
      <c r="KR32" s="1174"/>
      <c r="KS32" s="1174"/>
      <c r="KT32" s="1174"/>
      <c r="KU32" s="1174"/>
      <c r="KV32" s="1174"/>
      <c r="KW32" s="1174"/>
      <c r="KX32" s="1174"/>
      <c r="KY32" s="1174"/>
      <c r="KZ32" s="1174"/>
      <c r="LA32" s="1174"/>
      <c r="LB32" s="1174"/>
      <c r="LC32" s="1174"/>
      <c r="LD32" s="1174"/>
      <c r="LE32" s="1174"/>
      <c r="LF32" s="1174"/>
      <c r="LG32" s="1174"/>
      <c r="LH32" s="1174"/>
      <c r="LI32" s="1174"/>
      <c r="LJ32" s="1174"/>
      <c r="LK32" s="1174"/>
      <c r="LL32" s="1174"/>
      <c r="LM32" s="1174"/>
      <c r="LN32" s="1174"/>
      <c r="LO32" s="1174"/>
      <c r="LP32" s="1174"/>
      <c r="LQ32" s="1174"/>
      <c r="LR32" s="1174"/>
      <c r="LS32" s="1174"/>
      <c r="LT32" s="1174"/>
      <c r="LU32" s="1174"/>
      <c r="LV32" s="1174"/>
      <c r="LW32" s="1174"/>
      <c r="LX32" s="1174"/>
      <c r="LY32" s="1174"/>
      <c r="LZ32" s="1174"/>
      <c r="MA32" s="1174"/>
      <c r="MB32" s="1174"/>
      <c r="MC32" s="1174"/>
      <c r="MD32" s="1174"/>
      <c r="ME32" s="1174"/>
      <c r="MF32" s="1174"/>
      <c r="MG32" s="1174"/>
      <c r="MH32" s="1174"/>
      <c r="MI32" s="1174"/>
      <c r="MJ32" s="1174"/>
      <c r="MK32" s="1174"/>
      <c r="ML32" s="1174"/>
      <c r="MM32" s="1174"/>
      <c r="MN32" s="1174"/>
      <c r="MO32" s="1174"/>
      <c r="MP32" s="1174"/>
      <c r="MQ32" s="1174"/>
      <c r="MR32" s="1174"/>
      <c r="MS32" s="1174"/>
      <c r="MT32" s="1174"/>
      <c r="MU32" s="1174"/>
      <c r="MV32" s="1174"/>
      <c r="MW32" s="1174"/>
      <c r="MX32" s="1174"/>
      <c r="MY32" s="1174"/>
      <c r="MZ32" s="1174"/>
      <c r="NA32" s="1174"/>
      <c r="NB32" s="1174"/>
      <c r="NC32" s="1174"/>
      <c r="ND32" s="1174"/>
      <c r="NE32" s="1174"/>
      <c r="NF32" s="1174"/>
      <c r="NG32" s="1174"/>
      <c r="NH32" s="1174"/>
      <c r="NI32" s="1174"/>
      <c r="NJ32" s="1174"/>
      <c r="NK32" s="1174"/>
      <c r="NL32" s="1174"/>
      <c r="NM32" s="1174"/>
      <c r="NN32" s="1174"/>
      <c r="NO32" s="1174"/>
      <c r="NP32" s="1174"/>
      <c r="NQ32" s="1174"/>
      <c r="NR32" s="1174"/>
      <c r="NS32" s="1174"/>
      <c r="NT32" s="1174"/>
      <c r="NU32" s="1174"/>
      <c r="NV32" s="1174"/>
      <c r="NW32" s="1174"/>
      <c r="NX32" s="1174"/>
      <c r="NY32" s="1174"/>
      <c r="NZ32" s="1174"/>
      <c r="OA32" s="1174"/>
      <c r="OB32" s="1174"/>
      <c r="OC32" s="1174"/>
      <c r="OD32" s="1174"/>
      <c r="OE32" s="1174"/>
      <c r="OF32" s="1174"/>
      <c r="OG32" s="1174"/>
      <c r="OH32" s="1174"/>
      <c r="OI32" s="1174"/>
      <c r="OJ32" s="1174"/>
      <c r="OK32" s="1174"/>
      <c r="OL32" s="1174"/>
      <c r="OM32" s="1174"/>
      <c r="ON32" s="1174"/>
      <c r="OO32" s="1174"/>
      <c r="OP32" s="1174"/>
      <c r="OQ32" s="1174"/>
      <c r="OR32" s="1174"/>
      <c r="OS32" s="1174"/>
      <c r="OT32" s="1174"/>
      <c r="OU32" s="1174"/>
    </row>
    <row r="33">
      <c r="A33" s="1175"/>
      <c r="B33" s="1176" t="s">
        <v>490</v>
      </c>
      <c r="C33" s="1177" t="s">
        <v>23</v>
      </c>
      <c r="D33" s="1178">
        <v>67469.0</v>
      </c>
      <c r="E33" s="1178">
        <v>5264.0</v>
      </c>
      <c r="F33" s="1178">
        <v>5098.0</v>
      </c>
      <c r="G33" s="1178">
        <v>5662.0</v>
      </c>
      <c r="H33" s="1178">
        <v>5386.0</v>
      </c>
      <c r="I33" s="1178">
        <v>5591.0</v>
      </c>
      <c r="J33" s="1178">
        <v>5557.0</v>
      </c>
      <c r="K33" s="1178">
        <v>5655.0</v>
      </c>
      <c r="L33" s="1178">
        <v>5836.0</v>
      </c>
      <c r="M33" s="1178">
        <v>5666.0</v>
      </c>
      <c r="N33" s="1178">
        <v>5831.0</v>
      </c>
      <c r="O33" s="1178">
        <v>5809.0</v>
      </c>
      <c r="P33" s="1178">
        <v>6114.0</v>
      </c>
      <c r="Q33" s="1178">
        <v>5809.0</v>
      </c>
      <c r="R33" s="1178">
        <v>5673.0</v>
      </c>
      <c r="S33" s="1178">
        <v>5673.0</v>
      </c>
      <c r="T33" s="1178">
        <v>5717.0</v>
      </c>
      <c r="U33" s="1178">
        <v>5824.0</v>
      </c>
      <c r="V33" s="1178">
        <v>5712.0</v>
      </c>
      <c r="W33" s="1179"/>
      <c r="X33" s="1179"/>
      <c r="Y33" s="1179"/>
      <c r="Z33" s="1179"/>
      <c r="AA33" s="1179"/>
      <c r="AB33" s="1179"/>
      <c r="AC33" s="1180">
        <v>11482.0</v>
      </c>
      <c r="AD33" s="1181">
        <v>1.108</v>
      </c>
      <c r="AE33" s="1182">
        <v>0.17</v>
      </c>
      <c r="AF33" s="1183">
        <v>4.0</v>
      </c>
      <c r="AG33" s="1181">
        <v>1.154</v>
      </c>
      <c r="AH33" s="1183">
        <v>11.0</v>
      </c>
      <c r="AI33" s="1178">
        <v>9952.0</v>
      </c>
      <c r="AJ33" s="1178">
        <v>5277.0</v>
      </c>
      <c r="AK33" s="1178">
        <v>4674.0</v>
      </c>
      <c r="AL33" s="1178">
        <v>5052.0</v>
      </c>
      <c r="AM33" s="1178">
        <v>4994.0</v>
      </c>
      <c r="AN33" s="1178">
        <v>5031.0</v>
      </c>
      <c r="AO33" s="1178">
        <v>4891.0</v>
      </c>
      <c r="AP33" s="1178">
        <v>4933.0</v>
      </c>
      <c r="AQ33" s="1178">
        <v>4852.0</v>
      </c>
      <c r="AR33" s="1178">
        <v>4766.0</v>
      </c>
      <c r="AS33" s="1178">
        <v>5052.0</v>
      </c>
      <c r="AT33" s="1178">
        <v>4829.0</v>
      </c>
      <c r="AU33" s="1178">
        <v>5072.0</v>
      </c>
      <c r="AV33" s="1178">
        <v>59423.0</v>
      </c>
      <c r="AW33" s="1174"/>
      <c r="AX33" s="1174"/>
      <c r="AY33" s="1174"/>
      <c r="AZ33" s="1174"/>
      <c r="BA33" s="1174"/>
      <c r="BB33" s="1174"/>
      <c r="BC33" s="1174"/>
      <c r="BD33" s="1174"/>
      <c r="BE33" s="1174"/>
      <c r="BF33" s="1174"/>
      <c r="BG33" s="1174"/>
      <c r="BH33" s="1174"/>
      <c r="BI33" s="1174"/>
      <c r="BJ33" s="1174"/>
      <c r="BK33" s="1174"/>
      <c r="BL33" s="1174"/>
      <c r="BM33" s="1174"/>
      <c r="BN33" s="1174"/>
      <c r="BO33" s="1174"/>
      <c r="BP33" s="1174"/>
      <c r="BQ33" s="1174"/>
      <c r="BR33" s="1174"/>
      <c r="BS33" s="1174"/>
      <c r="BT33" s="1174"/>
      <c r="BU33" s="1174"/>
      <c r="BV33" s="1174"/>
      <c r="BW33" s="1174"/>
      <c r="BX33" s="1174"/>
      <c r="BY33" s="1174"/>
      <c r="BZ33" s="1174"/>
      <c r="CA33" s="1174"/>
      <c r="CB33" s="1174"/>
      <c r="CC33" s="1174"/>
      <c r="CD33" s="1174"/>
      <c r="CE33" s="1174"/>
      <c r="CF33" s="1174"/>
      <c r="CG33" s="1174"/>
      <c r="CH33" s="1174"/>
      <c r="CI33" s="1174"/>
      <c r="CJ33" s="1174"/>
      <c r="CK33" s="1174"/>
      <c r="CL33" s="1174"/>
      <c r="CM33" s="1174"/>
      <c r="CN33" s="1174"/>
      <c r="CO33" s="1174"/>
      <c r="CP33" s="1174"/>
      <c r="CQ33" s="1174"/>
      <c r="CR33" s="1174"/>
      <c r="CS33" s="1174"/>
      <c r="CT33" s="1174"/>
      <c r="CU33" s="1174"/>
      <c r="CV33" s="1174"/>
      <c r="CW33" s="1174"/>
      <c r="CX33" s="1174"/>
      <c r="CY33" s="1174"/>
      <c r="CZ33" s="1174"/>
      <c r="DA33" s="1174"/>
      <c r="DB33" s="1174"/>
      <c r="DC33" s="1174"/>
      <c r="DD33" s="1174"/>
      <c r="DE33" s="1174"/>
      <c r="DF33" s="1174"/>
      <c r="DG33" s="1174"/>
      <c r="DH33" s="1174"/>
      <c r="DI33" s="1174"/>
      <c r="DJ33" s="1174"/>
      <c r="DK33" s="1174"/>
      <c r="DL33" s="1174"/>
      <c r="DM33" s="1174"/>
      <c r="DN33" s="1174"/>
      <c r="DO33" s="1174"/>
      <c r="DP33" s="1174"/>
      <c r="DQ33" s="1174"/>
      <c r="DR33" s="1174"/>
      <c r="DS33" s="1174"/>
      <c r="DT33" s="1174"/>
      <c r="DU33" s="1174"/>
      <c r="DV33" s="1174"/>
      <c r="DW33" s="1174"/>
      <c r="DX33" s="1174"/>
      <c r="DY33" s="1174"/>
      <c r="DZ33" s="1174"/>
      <c r="EA33" s="1174"/>
      <c r="EB33" s="1174"/>
      <c r="EC33" s="1174"/>
      <c r="ED33" s="1174"/>
      <c r="EE33" s="1174"/>
      <c r="EF33" s="1174"/>
      <c r="EG33" s="1174"/>
      <c r="EH33" s="1174"/>
      <c r="EI33" s="1174"/>
      <c r="EJ33" s="1174"/>
      <c r="EK33" s="1174"/>
      <c r="EL33" s="1174"/>
      <c r="EM33" s="1174"/>
      <c r="EN33" s="1174"/>
      <c r="EO33" s="1174"/>
      <c r="EP33" s="1174"/>
      <c r="EQ33" s="1174"/>
      <c r="ER33" s="1174"/>
      <c r="ES33" s="1174"/>
      <c r="ET33" s="1174"/>
      <c r="EU33" s="1174"/>
      <c r="EV33" s="1174"/>
      <c r="EW33" s="1174"/>
      <c r="EX33" s="1174"/>
      <c r="EY33" s="1174"/>
      <c r="EZ33" s="1174"/>
      <c r="FA33" s="1174"/>
      <c r="FB33" s="1174"/>
      <c r="FC33" s="1174"/>
      <c r="FD33" s="1174"/>
      <c r="FE33" s="1174"/>
      <c r="FF33" s="1174"/>
      <c r="FG33" s="1174"/>
      <c r="FH33" s="1174"/>
      <c r="FI33" s="1174"/>
      <c r="FJ33" s="1174"/>
      <c r="FK33" s="1174"/>
      <c r="FL33" s="1174"/>
      <c r="FM33" s="1174"/>
      <c r="FN33" s="1174"/>
      <c r="FO33" s="1174"/>
      <c r="FP33" s="1174"/>
      <c r="FQ33" s="1174"/>
      <c r="FR33" s="1174"/>
      <c r="FS33" s="1174"/>
      <c r="FT33" s="1174"/>
      <c r="FU33" s="1174"/>
      <c r="FV33" s="1174"/>
      <c r="FW33" s="1174"/>
      <c r="FX33" s="1174"/>
      <c r="FY33" s="1174"/>
      <c r="FZ33" s="1174"/>
      <c r="GA33" s="1174"/>
      <c r="GB33" s="1174"/>
      <c r="GC33" s="1174"/>
      <c r="GD33" s="1174"/>
      <c r="GE33" s="1174"/>
      <c r="GF33" s="1174"/>
      <c r="GG33" s="1174"/>
      <c r="GH33" s="1174"/>
      <c r="GI33" s="1174"/>
      <c r="GJ33" s="1174"/>
      <c r="GK33" s="1174"/>
      <c r="GL33" s="1174"/>
      <c r="GM33" s="1174"/>
      <c r="GN33" s="1174"/>
      <c r="GO33" s="1174"/>
      <c r="GP33" s="1174"/>
      <c r="GQ33" s="1174"/>
      <c r="GR33" s="1174"/>
      <c r="GS33" s="1174"/>
      <c r="GT33" s="1174"/>
      <c r="GU33" s="1174"/>
      <c r="GV33" s="1174"/>
      <c r="GW33" s="1174"/>
      <c r="GX33" s="1174"/>
      <c r="GY33" s="1174"/>
      <c r="GZ33" s="1174"/>
      <c r="HA33" s="1174"/>
      <c r="HB33" s="1174"/>
      <c r="HC33" s="1174"/>
      <c r="HD33" s="1174"/>
      <c r="HE33" s="1174"/>
      <c r="HF33" s="1174"/>
      <c r="HG33" s="1174"/>
      <c r="HH33" s="1174"/>
      <c r="HI33" s="1174"/>
      <c r="HJ33" s="1174"/>
      <c r="HK33" s="1174"/>
      <c r="HL33" s="1174"/>
      <c r="HM33" s="1174"/>
      <c r="HN33" s="1174"/>
      <c r="HO33" s="1174"/>
      <c r="HP33" s="1174"/>
      <c r="HQ33" s="1174"/>
      <c r="HR33" s="1174"/>
      <c r="HS33" s="1174"/>
      <c r="HT33" s="1174"/>
      <c r="HU33" s="1174"/>
      <c r="HV33" s="1174"/>
      <c r="HW33" s="1174"/>
      <c r="HX33" s="1174"/>
      <c r="HY33" s="1174"/>
      <c r="HZ33" s="1174"/>
      <c r="IA33" s="1174"/>
      <c r="IB33" s="1174"/>
      <c r="IC33" s="1174"/>
      <c r="ID33" s="1174"/>
      <c r="IE33" s="1174"/>
      <c r="IF33" s="1174"/>
      <c r="IG33" s="1174"/>
      <c r="IH33" s="1174"/>
      <c r="II33" s="1174"/>
      <c r="IJ33" s="1174"/>
      <c r="IK33" s="1174"/>
      <c r="IL33" s="1174"/>
      <c r="IM33" s="1174"/>
      <c r="IN33" s="1174"/>
      <c r="IO33" s="1174"/>
      <c r="IP33" s="1174"/>
      <c r="IQ33" s="1174"/>
      <c r="IR33" s="1174"/>
      <c r="IS33" s="1174"/>
      <c r="IT33" s="1174"/>
      <c r="IU33" s="1174"/>
      <c r="IV33" s="1174"/>
      <c r="IW33" s="1174"/>
      <c r="IX33" s="1174"/>
      <c r="IY33" s="1174"/>
      <c r="IZ33" s="1174"/>
      <c r="JA33" s="1174"/>
      <c r="JB33" s="1174"/>
      <c r="JC33" s="1174"/>
      <c r="JD33" s="1174"/>
      <c r="JE33" s="1174"/>
      <c r="JF33" s="1174"/>
      <c r="JG33" s="1174"/>
      <c r="JH33" s="1174"/>
      <c r="JI33" s="1174"/>
      <c r="JJ33" s="1174"/>
      <c r="JK33" s="1174"/>
      <c r="JL33" s="1174"/>
      <c r="JM33" s="1174"/>
      <c r="JN33" s="1174"/>
      <c r="JO33" s="1174"/>
      <c r="JP33" s="1174"/>
      <c r="JQ33" s="1174"/>
      <c r="JR33" s="1174"/>
      <c r="JS33" s="1174"/>
      <c r="JT33" s="1174"/>
      <c r="JU33" s="1174"/>
      <c r="JV33" s="1174"/>
      <c r="JW33" s="1174"/>
      <c r="JX33" s="1174"/>
      <c r="JY33" s="1174"/>
      <c r="JZ33" s="1174"/>
      <c r="KA33" s="1174"/>
      <c r="KB33" s="1174"/>
      <c r="KC33" s="1174"/>
      <c r="KD33" s="1174"/>
      <c r="KE33" s="1174"/>
      <c r="KF33" s="1174"/>
      <c r="KG33" s="1174"/>
      <c r="KH33" s="1174"/>
      <c r="KI33" s="1174"/>
      <c r="KJ33" s="1174"/>
      <c r="KK33" s="1174"/>
      <c r="KL33" s="1174"/>
      <c r="KM33" s="1174"/>
      <c r="KN33" s="1174"/>
      <c r="KO33" s="1174"/>
      <c r="KP33" s="1174"/>
      <c r="KQ33" s="1174"/>
      <c r="KR33" s="1174"/>
      <c r="KS33" s="1174"/>
      <c r="KT33" s="1174"/>
      <c r="KU33" s="1174"/>
      <c r="KV33" s="1174"/>
      <c r="KW33" s="1174"/>
      <c r="KX33" s="1174"/>
      <c r="KY33" s="1174"/>
      <c r="KZ33" s="1174"/>
      <c r="LA33" s="1174"/>
      <c r="LB33" s="1174"/>
      <c r="LC33" s="1174"/>
      <c r="LD33" s="1174"/>
      <c r="LE33" s="1174"/>
      <c r="LF33" s="1174"/>
      <c r="LG33" s="1174"/>
      <c r="LH33" s="1174"/>
      <c r="LI33" s="1174"/>
      <c r="LJ33" s="1174"/>
      <c r="LK33" s="1174"/>
      <c r="LL33" s="1174"/>
      <c r="LM33" s="1174"/>
      <c r="LN33" s="1174"/>
      <c r="LO33" s="1174"/>
      <c r="LP33" s="1174"/>
      <c r="LQ33" s="1174"/>
      <c r="LR33" s="1174"/>
      <c r="LS33" s="1174"/>
      <c r="LT33" s="1174"/>
      <c r="LU33" s="1174"/>
      <c r="LV33" s="1174"/>
      <c r="LW33" s="1174"/>
      <c r="LX33" s="1174"/>
      <c r="LY33" s="1174"/>
      <c r="LZ33" s="1174"/>
      <c r="MA33" s="1174"/>
      <c r="MB33" s="1174"/>
      <c r="MC33" s="1174"/>
      <c r="MD33" s="1174"/>
      <c r="ME33" s="1174"/>
      <c r="MF33" s="1174"/>
      <c r="MG33" s="1174"/>
      <c r="MH33" s="1174"/>
      <c r="MI33" s="1174"/>
      <c r="MJ33" s="1174"/>
      <c r="MK33" s="1174"/>
      <c r="ML33" s="1174"/>
      <c r="MM33" s="1174"/>
      <c r="MN33" s="1174"/>
      <c r="MO33" s="1174"/>
      <c r="MP33" s="1174"/>
      <c r="MQ33" s="1174"/>
      <c r="MR33" s="1174"/>
      <c r="MS33" s="1174"/>
      <c r="MT33" s="1174"/>
      <c r="MU33" s="1174"/>
      <c r="MV33" s="1174"/>
      <c r="MW33" s="1174"/>
      <c r="MX33" s="1174"/>
      <c r="MY33" s="1174"/>
      <c r="MZ33" s="1174"/>
      <c r="NA33" s="1174"/>
      <c r="NB33" s="1174"/>
      <c r="NC33" s="1174"/>
      <c r="ND33" s="1174"/>
      <c r="NE33" s="1174"/>
      <c r="NF33" s="1174"/>
      <c r="NG33" s="1174"/>
      <c r="NH33" s="1174"/>
      <c r="NI33" s="1174"/>
      <c r="NJ33" s="1174"/>
      <c r="NK33" s="1174"/>
      <c r="NL33" s="1174"/>
      <c r="NM33" s="1174"/>
      <c r="NN33" s="1174"/>
      <c r="NO33" s="1174"/>
      <c r="NP33" s="1174"/>
      <c r="NQ33" s="1174"/>
      <c r="NR33" s="1174"/>
      <c r="NS33" s="1174"/>
      <c r="NT33" s="1174"/>
      <c r="NU33" s="1174"/>
      <c r="NV33" s="1174"/>
      <c r="NW33" s="1174"/>
      <c r="NX33" s="1174"/>
      <c r="NY33" s="1174"/>
      <c r="NZ33" s="1174"/>
      <c r="OA33" s="1174"/>
      <c r="OB33" s="1174"/>
      <c r="OC33" s="1174"/>
      <c r="OD33" s="1174"/>
      <c r="OE33" s="1174"/>
      <c r="OF33" s="1174"/>
      <c r="OG33" s="1174"/>
      <c r="OH33" s="1174"/>
      <c r="OI33" s="1174"/>
      <c r="OJ33" s="1174"/>
      <c r="OK33" s="1174"/>
      <c r="OL33" s="1174"/>
      <c r="OM33" s="1174"/>
      <c r="ON33" s="1174"/>
      <c r="OO33" s="1174"/>
      <c r="OP33" s="1174"/>
      <c r="OQ33" s="1174"/>
      <c r="OR33" s="1174"/>
      <c r="OS33" s="1174"/>
      <c r="OT33" s="1174"/>
      <c r="OU33" s="1174"/>
    </row>
    <row r="34">
      <c r="A34" s="1175"/>
      <c r="B34" s="1176" t="s">
        <v>486</v>
      </c>
      <c r="C34" s="1177" t="s">
        <v>23</v>
      </c>
      <c r="D34" s="1178">
        <v>13660.0</v>
      </c>
      <c r="E34" s="1187">
        <v>941.0</v>
      </c>
      <c r="F34" s="1187">
        <v>937.0</v>
      </c>
      <c r="G34" s="1178">
        <v>1059.0</v>
      </c>
      <c r="H34" s="1178">
        <v>1036.0</v>
      </c>
      <c r="I34" s="1178">
        <v>1096.0</v>
      </c>
      <c r="J34" s="1178">
        <v>1115.0</v>
      </c>
      <c r="K34" s="1178">
        <v>1156.0</v>
      </c>
      <c r="L34" s="1178">
        <v>1212.0</v>
      </c>
      <c r="M34" s="1178">
        <v>1208.0</v>
      </c>
      <c r="N34" s="1178">
        <v>1261.0</v>
      </c>
      <c r="O34" s="1178">
        <v>1282.0</v>
      </c>
      <c r="P34" s="1178">
        <v>1359.0</v>
      </c>
      <c r="Q34" s="1178">
        <v>1183.0</v>
      </c>
      <c r="R34" s="1178">
        <v>1203.0</v>
      </c>
      <c r="S34" s="1178">
        <v>1067.0</v>
      </c>
      <c r="T34" s="1178">
        <v>1088.0</v>
      </c>
      <c r="U34" s="1178">
        <v>1107.0</v>
      </c>
      <c r="V34" s="1178">
        <v>1064.0</v>
      </c>
      <c r="W34" s="1179"/>
      <c r="X34" s="1179"/>
      <c r="Y34" s="1179"/>
      <c r="Z34" s="1179"/>
      <c r="AA34" s="1179"/>
      <c r="AB34" s="1179"/>
      <c r="AC34" s="1180">
        <v>2386.0</v>
      </c>
      <c r="AD34" s="1181">
        <v>1.271</v>
      </c>
      <c r="AE34" s="1182">
        <v>0.175</v>
      </c>
      <c r="AF34" s="1185">
        <v>2.0</v>
      </c>
      <c r="AG34" s="1181">
        <v>1.787</v>
      </c>
      <c r="AH34" s="1185">
        <v>1.0</v>
      </c>
      <c r="AI34" s="1178">
        <v>1335.0</v>
      </c>
      <c r="AJ34" s="1187">
        <v>724.0</v>
      </c>
      <c r="AK34" s="1187">
        <v>612.0</v>
      </c>
      <c r="AL34" s="1187">
        <v>680.0</v>
      </c>
      <c r="AM34" s="1187">
        <v>661.0</v>
      </c>
      <c r="AN34" s="1187">
        <v>678.0</v>
      </c>
      <c r="AO34" s="1187">
        <v>635.0</v>
      </c>
      <c r="AP34" s="1187">
        <v>662.0</v>
      </c>
      <c r="AQ34" s="1187">
        <v>654.0</v>
      </c>
      <c r="AR34" s="1187">
        <v>650.0</v>
      </c>
      <c r="AS34" s="1187">
        <v>709.0</v>
      </c>
      <c r="AT34" s="1187">
        <v>642.0</v>
      </c>
      <c r="AU34" s="1187">
        <v>813.0</v>
      </c>
      <c r="AV34" s="1178">
        <v>8119.0</v>
      </c>
      <c r="AW34" s="1174"/>
      <c r="AX34" s="1174"/>
      <c r="AY34" s="1174"/>
      <c r="AZ34" s="1174"/>
      <c r="BA34" s="1174"/>
      <c r="BB34" s="1174"/>
      <c r="BC34" s="1174"/>
      <c r="BD34" s="1174"/>
      <c r="BE34" s="1174"/>
      <c r="BF34" s="1174"/>
      <c r="BG34" s="1174"/>
      <c r="BH34" s="1174"/>
      <c r="BI34" s="1174"/>
      <c r="BJ34" s="1174"/>
      <c r="BK34" s="1174"/>
      <c r="BL34" s="1174"/>
      <c r="BM34" s="1174"/>
      <c r="BN34" s="1174"/>
      <c r="BO34" s="1174"/>
      <c r="BP34" s="1174"/>
      <c r="BQ34" s="1174"/>
      <c r="BR34" s="1174"/>
      <c r="BS34" s="1174"/>
      <c r="BT34" s="1174"/>
      <c r="BU34" s="1174"/>
      <c r="BV34" s="1174"/>
      <c r="BW34" s="1174"/>
      <c r="BX34" s="1174"/>
      <c r="BY34" s="1174"/>
      <c r="BZ34" s="1174"/>
      <c r="CA34" s="1174"/>
      <c r="CB34" s="1174"/>
      <c r="CC34" s="1174"/>
      <c r="CD34" s="1174"/>
      <c r="CE34" s="1174"/>
      <c r="CF34" s="1174"/>
      <c r="CG34" s="1174"/>
      <c r="CH34" s="1174"/>
      <c r="CI34" s="1174"/>
      <c r="CJ34" s="1174"/>
      <c r="CK34" s="1174"/>
      <c r="CL34" s="1174"/>
      <c r="CM34" s="1174"/>
      <c r="CN34" s="1174"/>
      <c r="CO34" s="1174"/>
      <c r="CP34" s="1174"/>
      <c r="CQ34" s="1174"/>
      <c r="CR34" s="1174"/>
      <c r="CS34" s="1174"/>
      <c r="CT34" s="1174"/>
      <c r="CU34" s="1174"/>
      <c r="CV34" s="1174"/>
      <c r="CW34" s="1174"/>
      <c r="CX34" s="1174"/>
      <c r="CY34" s="1174"/>
      <c r="CZ34" s="1174"/>
      <c r="DA34" s="1174"/>
      <c r="DB34" s="1174"/>
      <c r="DC34" s="1174"/>
      <c r="DD34" s="1174"/>
      <c r="DE34" s="1174"/>
      <c r="DF34" s="1174"/>
      <c r="DG34" s="1174"/>
      <c r="DH34" s="1174"/>
      <c r="DI34" s="1174"/>
      <c r="DJ34" s="1174"/>
      <c r="DK34" s="1174"/>
      <c r="DL34" s="1174"/>
      <c r="DM34" s="1174"/>
      <c r="DN34" s="1174"/>
      <c r="DO34" s="1174"/>
      <c r="DP34" s="1174"/>
      <c r="DQ34" s="1174"/>
      <c r="DR34" s="1174"/>
      <c r="DS34" s="1174"/>
      <c r="DT34" s="1174"/>
      <c r="DU34" s="1174"/>
      <c r="DV34" s="1174"/>
      <c r="DW34" s="1174"/>
      <c r="DX34" s="1174"/>
      <c r="DY34" s="1174"/>
      <c r="DZ34" s="1174"/>
      <c r="EA34" s="1174"/>
      <c r="EB34" s="1174"/>
      <c r="EC34" s="1174"/>
      <c r="ED34" s="1174"/>
      <c r="EE34" s="1174"/>
      <c r="EF34" s="1174"/>
      <c r="EG34" s="1174"/>
      <c r="EH34" s="1174"/>
      <c r="EI34" s="1174"/>
      <c r="EJ34" s="1174"/>
      <c r="EK34" s="1174"/>
      <c r="EL34" s="1174"/>
      <c r="EM34" s="1174"/>
      <c r="EN34" s="1174"/>
      <c r="EO34" s="1174"/>
      <c r="EP34" s="1174"/>
      <c r="EQ34" s="1174"/>
      <c r="ER34" s="1174"/>
      <c r="ES34" s="1174"/>
      <c r="ET34" s="1174"/>
      <c r="EU34" s="1174"/>
      <c r="EV34" s="1174"/>
      <c r="EW34" s="1174"/>
      <c r="EX34" s="1174"/>
      <c r="EY34" s="1174"/>
      <c r="EZ34" s="1174"/>
      <c r="FA34" s="1174"/>
      <c r="FB34" s="1174"/>
      <c r="FC34" s="1174"/>
      <c r="FD34" s="1174"/>
      <c r="FE34" s="1174"/>
      <c r="FF34" s="1174"/>
      <c r="FG34" s="1174"/>
      <c r="FH34" s="1174"/>
      <c r="FI34" s="1174"/>
      <c r="FJ34" s="1174"/>
      <c r="FK34" s="1174"/>
      <c r="FL34" s="1174"/>
      <c r="FM34" s="1174"/>
      <c r="FN34" s="1174"/>
      <c r="FO34" s="1174"/>
      <c r="FP34" s="1174"/>
      <c r="FQ34" s="1174"/>
      <c r="FR34" s="1174"/>
      <c r="FS34" s="1174"/>
      <c r="FT34" s="1174"/>
      <c r="FU34" s="1174"/>
      <c r="FV34" s="1174"/>
      <c r="FW34" s="1174"/>
      <c r="FX34" s="1174"/>
      <c r="FY34" s="1174"/>
      <c r="FZ34" s="1174"/>
      <c r="GA34" s="1174"/>
      <c r="GB34" s="1174"/>
      <c r="GC34" s="1174"/>
      <c r="GD34" s="1174"/>
      <c r="GE34" s="1174"/>
      <c r="GF34" s="1174"/>
      <c r="GG34" s="1174"/>
      <c r="GH34" s="1174"/>
      <c r="GI34" s="1174"/>
      <c r="GJ34" s="1174"/>
      <c r="GK34" s="1174"/>
      <c r="GL34" s="1174"/>
      <c r="GM34" s="1174"/>
      <c r="GN34" s="1174"/>
      <c r="GO34" s="1174"/>
      <c r="GP34" s="1174"/>
      <c r="GQ34" s="1174"/>
      <c r="GR34" s="1174"/>
      <c r="GS34" s="1174"/>
      <c r="GT34" s="1174"/>
      <c r="GU34" s="1174"/>
      <c r="GV34" s="1174"/>
      <c r="GW34" s="1174"/>
      <c r="GX34" s="1174"/>
      <c r="GY34" s="1174"/>
      <c r="GZ34" s="1174"/>
      <c r="HA34" s="1174"/>
      <c r="HB34" s="1174"/>
      <c r="HC34" s="1174"/>
      <c r="HD34" s="1174"/>
      <c r="HE34" s="1174"/>
      <c r="HF34" s="1174"/>
      <c r="HG34" s="1174"/>
      <c r="HH34" s="1174"/>
      <c r="HI34" s="1174"/>
      <c r="HJ34" s="1174"/>
      <c r="HK34" s="1174"/>
      <c r="HL34" s="1174"/>
      <c r="HM34" s="1174"/>
      <c r="HN34" s="1174"/>
      <c r="HO34" s="1174"/>
      <c r="HP34" s="1174"/>
      <c r="HQ34" s="1174"/>
      <c r="HR34" s="1174"/>
      <c r="HS34" s="1174"/>
      <c r="HT34" s="1174"/>
      <c r="HU34" s="1174"/>
      <c r="HV34" s="1174"/>
      <c r="HW34" s="1174"/>
      <c r="HX34" s="1174"/>
      <c r="HY34" s="1174"/>
      <c r="HZ34" s="1174"/>
      <c r="IA34" s="1174"/>
      <c r="IB34" s="1174"/>
      <c r="IC34" s="1174"/>
      <c r="ID34" s="1174"/>
      <c r="IE34" s="1174"/>
      <c r="IF34" s="1174"/>
      <c r="IG34" s="1174"/>
      <c r="IH34" s="1174"/>
      <c r="II34" s="1174"/>
      <c r="IJ34" s="1174"/>
      <c r="IK34" s="1174"/>
      <c r="IL34" s="1174"/>
      <c r="IM34" s="1174"/>
      <c r="IN34" s="1174"/>
      <c r="IO34" s="1174"/>
      <c r="IP34" s="1174"/>
      <c r="IQ34" s="1174"/>
      <c r="IR34" s="1174"/>
      <c r="IS34" s="1174"/>
      <c r="IT34" s="1174"/>
      <c r="IU34" s="1174"/>
      <c r="IV34" s="1174"/>
      <c r="IW34" s="1174"/>
      <c r="IX34" s="1174"/>
      <c r="IY34" s="1174"/>
      <c r="IZ34" s="1174"/>
      <c r="JA34" s="1174"/>
      <c r="JB34" s="1174"/>
      <c r="JC34" s="1174"/>
      <c r="JD34" s="1174"/>
      <c r="JE34" s="1174"/>
      <c r="JF34" s="1174"/>
      <c r="JG34" s="1174"/>
      <c r="JH34" s="1174"/>
      <c r="JI34" s="1174"/>
      <c r="JJ34" s="1174"/>
      <c r="JK34" s="1174"/>
      <c r="JL34" s="1174"/>
      <c r="JM34" s="1174"/>
      <c r="JN34" s="1174"/>
      <c r="JO34" s="1174"/>
      <c r="JP34" s="1174"/>
      <c r="JQ34" s="1174"/>
      <c r="JR34" s="1174"/>
      <c r="JS34" s="1174"/>
      <c r="JT34" s="1174"/>
      <c r="JU34" s="1174"/>
      <c r="JV34" s="1174"/>
      <c r="JW34" s="1174"/>
      <c r="JX34" s="1174"/>
      <c r="JY34" s="1174"/>
      <c r="JZ34" s="1174"/>
      <c r="KA34" s="1174"/>
      <c r="KB34" s="1174"/>
      <c r="KC34" s="1174"/>
      <c r="KD34" s="1174"/>
      <c r="KE34" s="1174"/>
      <c r="KF34" s="1174"/>
      <c r="KG34" s="1174"/>
      <c r="KH34" s="1174"/>
      <c r="KI34" s="1174"/>
      <c r="KJ34" s="1174"/>
      <c r="KK34" s="1174"/>
      <c r="KL34" s="1174"/>
      <c r="KM34" s="1174"/>
      <c r="KN34" s="1174"/>
      <c r="KO34" s="1174"/>
      <c r="KP34" s="1174"/>
      <c r="KQ34" s="1174"/>
      <c r="KR34" s="1174"/>
      <c r="KS34" s="1174"/>
      <c r="KT34" s="1174"/>
      <c r="KU34" s="1174"/>
      <c r="KV34" s="1174"/>
      <c r="KW34" s="1174"/>
      <c r="KX34" s="1174"/>
      <c r="KY34" s="1174"/>
      <c r="KZ34" s="1174"/>
      <c r="LA34" s="1174"/>
      <c r="LB34" s="1174"/>
      <c r="LC34" s="1174"/>
      <c r="LD34" s="1174"/>
      <c r="LE34" s="1174"/>
      <c r="LF34" s="1174"/>
      <c r="LG34" s="1174"/>
      <c r="LH34" s="1174"/>
      <c r="LI34" s="1174"/>
      <c r="LJ34" s="1174"/>
      <c r="LK34" s="1174"/>
      <c r="LL34" s="1174"/>
      <c r="LM34" s="1174"/>
      <c r="LN34" s="1174"/>
      <c r="LO34" s="1174"/>
      <c r="LP34" s="1174"/>
      <c r="LQ34" s="1174"/>
      <c r="LR34" s="1174"/>
      <c r="LS34" s="1174"/>
      <c r="LT34" s="1174"/>
      <c r="LU34" s="1174"/>
      <c r="LV34" s="1174"/>
      <c r="LW34" s="1174"/>
      <c r="LX34" s="1174"/>
      <c r="LY34" s="1174"/>
      <c r="LZ34" s="1174"/>
      <c r="MA34" s="1174"/>
      <c r="MB34" s="1174"/>
      <c r="MC34" s="1174"/>
      <c r="MD34" s="1174"/>
      <c r="ME34" s="1174"/>
      <c r="MF34" s="1174"/>
      <c r="MG34" s="1174"/>
      <c r="MH34" s="1174"/>
      <c r="MI34" s="1174"/>
      <c r="MJ34" s="1174"/>
      <c r="MK34" s="1174"/>
      <c r="ML34" s="1174"/>
      <c r="MM34" s="1174"/>
      <c r="MN34" s="1174"/>
      <c r="MO34" s="1174"/>
      <c r="MP34" s="1174"/>
      <c r="MQ34" s="1174"/>
      <c r="MR34" s="1174"/>
      <c r="MS34" s="1174"/>
      <c r="MT34" s="1174"/>
      <c r="MU34" s="1174"/>
      <c r="MV34" s="1174"/>
      <c r="MW34" s="1174"/>
      <c r="MX34" s="1174"/>
      <c r="MY34" s="1174"/>
      <c r="MZ34" s="1174"/>
      <c r="NA34" s="1174"/>
      <c r="NB34" s="1174"/>
      <c r="NC34" s="1174"/>
      <c r="ND34" s="1174"/>
      <c r="NE34" s="1174"/>
      <c r="NF34" s="1174"/>
      <c r="NG34" s="1174"/>
      <c r="NH34" s="1174"/>
      <c r="NI34" s="1174"/>
      <c r="NJ34" s="1174"/>
      <c r="NK34" s="1174"/>
      <c r="NL34" s="1174"/>
      <c r="NM34" s="1174"/>
      <c r="NN34" s="1174"/>
      <c r="NO34" s="1174"/>
      <c r="NP34" s="1174"/>
      <c r="NQ34" s="1174"/>
      <c r="NR34" s="1174"/>
      <c r="NS34" s="1174"/>
      <c r="NT34" s="1174"/>
      <c r="NU34" s="1174"/>
      <c r="NV34" s="1174"/>
      <c r="NW34" s="1174"/>
      <c r="NX34" s="1174"/>
      <c r="NY34" s="1174"/>
      <c r="NZ34" s="1174"/>
      <c r="OA34" s="1174"/>
      <c r="OB34" s="1174"/>
      <c r="OC34" s="1174"/>
      <c r="OD34" s="1174"/>
      <c r="OE34" s="1174"/>
      <c r="OF34" s="1174"/>
      <c r="OG34" s="1174"/>
      <c r="OH34" s="1174"/>
      <c r="OI34" s="1174"/>
      <c r="OJ34" s="1174"/>
      <c r="OK34" s="1174"/>
      <c r="OL34" s="1174"/>
      <c r="OM34" s="1174"/>
      <c r="ON34" s="1174"/>
      <c r="OO34" s="1174"/>
      <c r="OP34" s="1174"/>
      <c r="OQ34" s="1174"/>
      <c r="OR34" s="1174"/>
      <c r="OS34" s="1174"/>
      <c r="OT34" s="1174"/>
      <c r="OU34" s="1174"/>
    </row>
    <row r="35">
      <c r="A35" s="1175"/>
      <c r="B35" s="1176" t="s">
        <v>493</v>
      </c>
      <c r="C35" s="1177" t="s">
        <v>23</v>
      </c>
      <c r="D35" s="1178">
        <v>14692.0</v>
      </c>
      <c r="E35" s="1178">
        <v>1039.0</v>
      </c>
      <c r="F35" s="1178">
        <v>1028.0</v>
      </c>
      <c r="G35" s="1178">
        <v>1157.0</v>
      </c>
      <c r="H35" s="1178">
        <v>1126.0</v>
      </c>
      <c r="I35" s="1178">
        <v>1186.0</v>
      </c>
      <c r="J35" s="1178">
        <v>1201.0</v>
      </c>
      <c r="K35" s="1178">
        <v>1241.0</v>
      </c>
      <c r="L35" s="1178">
        <v>1297.0</v>
      </c>
      <c r="M35" s="1178">
        <v>1286.0</v>
      </c>
      <c r="N35" s="1178">
        <v>1339.0</v>
      </c>
      <c r="O35" s="1178">
        <v>1356.0</v>
      </c>
      <c r="P35" s="1178">
        <v>1435.0</v>
      </c>
      <c r="Q35" s="1178">
        <v>1207.0</v>
      </c>
      <c r="R35" s="1178">
        <v>1276.0</v>
      </c>
      <c r="S35" s="1178">
        <v>1208.0</v>
      </c>
      <c r="T35" s="1178">
        <v>1201.0</v>
      </c>
      <c r="U35" s="1178">
        <v>1301.0</v>
      </c>
      <c r="V35" s="1178">
        <v>1244.0</v>
      </c>
      <c r="W35" s="1179"/>
      <c r="X35" s="1179"/>
      <c r="Y35" s="1179"/>
      <c r="Z35" s="1179"/>
      <c r="AA35" s="1179"/>
      <c r="AB35" s="1179"/>
      <c r="AC35" s="1180">
        <v>2483.0</v>
      </c>
      <c r="AD35" s="1181">
        <v>1.202</v>
      </c>
      <c r="AE35" s="1182">
        <v>0.169</v>
      </c>
      <c r="AF35" s="1183">
        <v>5.0</v>
      </c>
      <c r="AG35" s="1181">
        <v>1.328</v>
      </c>
      <c r="AH35" s="1183">
        <v>5.0</v>
      </c>
      <c r="AI35" s="1178">
        <v>1870.0</v>
      </c>
      <c r="AJ35" s="1187">
        <v>994.0</v>
      </c>
      <c r="AK35" s="1187">
        <v>876.0</v>
      </c>
      <c r="AL35" s="1187">
        <v>936.0</v>
      </c>
      <c r="AM35" s="1187">
        <v>928.0</v>
      </c>
      <c r="AN35" s="1187">
        <v>948.0</v>
      </c>
      <c r="AO35" s="1187">
        <v>901.0</v>
      </c>
      <c r="AP35" s="1187">
        <v>909.0</v>
      </c>
      <c r="AQ35" s="1187">
        <v>912.0</v>
      </c>
      <c r="AR35" s="1187">
        <v>894.0</v>
      </c>
      <c r="AS35" s="1187">
        <v>966.0</v>
      </c>
      <c r="AT35" s="1187">
        <v>926.0</v>
      </c>
      <c r="AU35" s="1187">
        <v>969.0</v>
      </c>
      <c r="AV35" s="1178">
        <v>11160.0</v>
      </c>
      <c r="AW35" s="1174"/>
      <c r="AX35" s="1174"/>
      <c r="AY35" s="1174"/>
      <c r="AZ35" s="1174"/>
      <c r="BA35" s="1174"/>
      <c r="BB35" s="1174"/>
      <c r="BC35" s="1174"/>
      <c r="BD35" s="1174"/>
      <c r="BE35" s="1174"/>
      <c r="BF35" s="1174"/>
      <c r="BG35" s="1174"/>
      <c r="BH35" s="1174"/>
      <c r="BI35" s="1174"/>
      <c r="BJ35" s="1174"/>
      <c r="BK35" s="1174"/>
      <c r="BL35" s="1174"/>
      <c r="BM35" s="1174"/>
      <c r="BN35" s="1174"/>
      <c r="BO35" s="1174"/>
      <c r="BP35" s="1174"/>
      <c r="BQ35" s="1174"/>
      <c r="BR35" s="1174"/>
      <c r="BS35" s="1174"/>
      <c r="BT35" s="1174"/>
      <c r="BU35" s="1174"/>
      <c r="BV35" s="1174"/>
      <c r="BW35" s="1174"/>
      <c r="BX35" s="1174"/>
      <c r="BY35" s="1174"/>
      <c r="BZ35" s="1174"/>
      <c r="CA35" s="1174"/>
      <c r="CB35" s="1174"/>
      <c r="CC35" s="1174"/>
      <c r="CD35" s="1174"/>
      <c r="CE35" s="1174"/>
      <c r="CF35" s="1174"/>
      <c r="CG35" s="1174"/>
      <c r="CH35" s="1174"/>
      <c r="CI35" s="1174"/>
      <c r="CJ35" s="1174"/>
      <c r="CK35" s="1174"/>
      <c r="CL35" s="1174"/>
      <c r="CM35" s="1174"/>
      <c r="CN35" s="1174"/>
      <c r="CO35" s="1174"/>
      <c r="CP35" s="1174"/>
      <c r="CQ35" s="1174"/>
      <c r="CR35" s="1174"/>
      <c r="CS35" s="1174"/>
      <c r="CT35" s="1174"/>
      <c r="CU35" s="1174"/>
      <c r="CV35" s="1174"/>
      <c r="CW35" s="1174"/>
      <c r="CX35" s="1174"/>
      <c r="CY35" s="1174"/>
      <c r="CZ35" s="1174"/>
      <c r="DA35" s="1174"/>
      <c r="DB35" s="1174"/>
      <c r="DC35" s="1174"/>
      <c r="DD35" s="1174"/>
      <c r="DE35" s="1174"/>
      <c r="DF35" s="1174"/>
      <c r="DG35" s="1174"/>
      <c r="DH35" s="1174"/>
      <c r="DI35" s="1174"/>
      <c r="DJ35" s="1174"/>
      <c r="DK35" s="1174"/>
      <c r="DL35" s="1174"/>
      <c r="DM35" s="1174"/>
      <c r="DN35" s="1174"/>
      <c r="DO35" s="1174"/>
      <c r="DP35" s="1174"/>
      <c r="DQ35" s="1174"/>
      <c r="DR35" s="1174"/>
      <c r="DS35" s="1174"/>
      <c r="DT35" s="1174"/>
      <c r="DU35" s="1174"/>
      <c r="DV35" s="1174"/>
      <c r="DW35" s="1174"/>
      <c r="DX35" s="1174"/>
      <c r="DY35" s="1174"/>
      <c r="DZ35" s="1174"/>
      <c r="EA35" s="1174"/>
      <c r="EB35" s="1174"/>
      <c r="EC35" s="1174"/>
      <c r="ED35" s="1174"/>
      <c r="EE35" s="1174"/>
      <c r="EF35" s="1174"/>
      <c r="EG35" s="1174"/>
      <c r="EH35" s="1174"/>
      <c r="EI35" s="1174"/>
      <c r="EJ35" s="1174"/>
      <c r="EK35" s="1174"/>
      <c r="EL35" s="1174"/>
      <c r="EM35" s="1174"/>
      <c r="EN35" s="1174"/>
      <c r="EO35" s="1174"/>
      <c r="EP35" s="1174"/>
      <c r="EQ35" s="1174"/>
      <c r="ER35" s="1174"/>
      <c r="ES35" s="1174"/>
      <c r="ET35" s="1174"/>
      <c r="EU35" s="1174"/>
      <c r="EV35" s="1174"/>
      <c r="EW35" s="1174"/>
      <c r="EX35" s="1174"/>
      <c r="EY35" s="1174"/>
      <c r="EZ35" s="1174"/>
      <c r="FA35" s="1174"/>
      <c r="FB35" s="1174"/>
      <c r="FC35" s="1174"/>
      <c r="FD35" s="1174"/>
      <c r="FE35" s="1174"/>
      <c r="FF35" s="1174"/>
      <c r="FG35" s="1174"/>
      <c r="FH35" s="1174"/>
      <c r="FI35" s="1174"/>
      <c r="FJ35" s="1174"/>
      <c r="FK35" s="1174"/>
      <c r="FL35" s="1174"/>
      <c r="FM35" s="1174"/>
      <c r="FN35" s="1174"/>
      <c r="FO35" s="1174"/>
      <c r="FP35" s="1174"/>
      <c r="FQ35" s="1174"/>
      <c r="FR35" s="1174"/>
      <c r="FS35" s="1174"/>
      <c r="FT35" s="1174"/>
      <c r="FU35" s="1174"/>
      <c r="FV35" s="1174"/>
      <c r="FW35" s="1174"/>
      <c r="FX35" s="1174"/>
      <c r="FY35" s="1174"/>
      <c r="FZ35" s="1174"/>
      <c r="GA35" s="1174"/>
      <c r="GB35" s="1174"/>
      <c r="GC35" s="1174"/>
      <c r="GD35" s="1174"/>
      <c r="GE35" s="1174"/>
      <c r="GF35" s="1174"/>
      <c r="GG35" s="1174"/>
      <c r="GH35" s="1174"/>
      <c r="GI35" s="1174"/>
      <c r="GJ35" s="1174"/>
      <c r="GK35" s="1174"/>
      <c r="GL35" s="1174"/>
      <c r="GM35" s="1174"/>
      <c r="GN35" s="1174"/>
      <c r="GO35" s="1174"/>
      <c r="GP35" s="1174"/>
      <c r="GQ35" s="1174"/>
      <c r="GR35" s="1174"/>
      <c r="GS35" s="1174"/>
      <c r="GT35" s="1174"/>
      <c r="GU35" s="1174"/>
      <c r="GV35" s="1174"/>
      <c r="GW35" s="1174"/>
      <c r="GX35" s="1174"/>
      <c r="GY35" s="1174"/>
      <c r="GZ35" s="1174"/>
      <c r="HA35" s="1174"/>
      <c r="HB35" s="1174"/>
      <c r="HC35" s="1174"/>
      <c r="HD35" s="1174"/>
      <c r="HE35" s="1174"/>
      <c r="HF35" s="1174"/>
      <c r="HG35" s="1174"/>
      <c r="HH35" s="1174"/>
      <c r="HI35" s="1174"/>
      <c r="HJ35" s="1174"/>
      <c r="HK35" s="1174"/>
      <c r="HL35" s="1174"/>
      <c r="HM35" s="1174"/>
      <c r="HN35" s="1174"/>
      <c r="HO35" s="1174"/>
      <c r="HP35" s="1174"/>
      <c r="HQ35" s="1174"/>
      <c r="HR35" s="1174"/>
      <c r="HS35" s="1174"/>
      <c r="HT35" s="1174"/>
      <c r="HU35" s="1174"/>
      <c r="HV35" s="1174"/>
      <c r="HW35" s="1174"/>
      <c r="HX35" s="1174"/>
      <c r="HY35" s="1174"/>
      <c r="HZ35" s="1174"/>
      <c r="IA35" s="1174"/>
      <c r="IB35" s="1174"/>
      <c r="IC35" s="1174"/>
      <c r="ID35" s="1174"/>
      <c r="IE35" s="1174"/>
      <c r="IF35" s="1174"/>
      <c r="IG35" s="1174"/>
      <c r="IH35" s="1174"/>
      <c r="II35" s="1174"/>
      <c r="IJ35" s="1174"/>
      <c r="IK35" s="1174"/>
      <c r="IL35" s="1174"/>
      <c r="IM35" s="1174"/>
      <c r="IN35" s="1174"/>
      <c r="IO35" s="1174"/>
      <c r="IP35" s="1174"/>
      <c r="IQ35" s="1174"/>
      <c r="IR35" s="1174"/>
      <c r="IS35" s="1174"/>
      <c r="IT35" s="1174"/>
      <c r="IU35" s="1174"/>
      <c r="IV35" s="1174"/>
      <c r="IW35" s="1174"/>
      <c r="IX35" s="1174"/>
      <c r="IY35" s="1174"/>
      <c r="IZ35" s="1174"/>
      <c r="JA35" s="1174"/>
      <c r="JB35" s="1174"/>
      <c r="JC35" s="1174"/>
      <c r="JD35" s="1174"/>
      <c r="JE35" s="1174"/>
      <c r="JF35" s="1174"/>
      <c r="JG35" s="1174"/>
      <c r="JH35" s="1174"/>
      <c r="JI35" s="1174"/>
      <c r="JJ35" s="1174"/>
      <c r="JK35" s="1174"/>
      <c r="JL35" s="1174"/>
      <c r="JM35" s="1174"/>
      <c r="JN35" s="1174"/>
      <c r="JO35" s="1174"/>
      <c r="JP35" s="1174"/>
      <c r="JQ35" s="1174"/>
      <c r="JR35" s="1174"/>
      <c r="JS35" s="1174"/>
      <c r="JT35" s="1174"/>
      <c r="JU35" s="1174"/>
      <c r="JV35" s="1174"/>
      <c r="JW35" s="1174"/>
      <c r="JX35" s="1174"/>
      <c r="JY35" s="1174"/>
      <c r="JZ35" s="1174"/>
      <c r="KA35" s="1174"/>
      <c r="KB35" s="1174"/>
      <c r="KC35" s="1174"/>
      <c r="KD35" s="1174"/>
      <c r="KE35" s="1174"/>
      <c r="KF35" s="1174"/>
      <c r="KG35" s="1174"/>
      <c r="KH35" s="1174"/>
      <c r="KI35" s="1174"/>
      <c r="KJ35" s="1174"/>
      <c r="KK35" s="1174"/>
      <c r="KL35" s="1174"/>
      <c r="KM35" s="1174"/>
      <c r="KN35" s="1174"/>
      <c r="KO35" s="1174"/>
      <c r="KP35" s="1174"/>
      <c r="KQ35" s="1174"/>
      <c r="KR35" s="1174"/>
      <c r="KS35" s="1174"/>
      <c r="KT35" s="1174"/>
      <c r="KU35" s="1174"/>
      <c r="KV35" s="1174"/>
      <c r="KW35" s="1174"/>
      <c r="KX35" s="1174"/>
      <c r="KY35" s="1174"/>
      <c r="KZ35" s="1174"/>
      <c r="LA35" s="1174"/>
      <c r="LB35" s="1174"/>
      <c r="LC35" s="1174"/>
      <c r="LD35" s="1174"/>
      <c r="LE35" s="1174"/>
      <c r="LF35" s="1174"/>
      <c r="LG35" s="1174"/>
      <c r="LH35" s="1174"/>
      <c r="LI35" s="1174"/>
      <c r="LJ35" s="1174"/>
      <c r="LK35" s="1174"/>
      <c r="LL35" s="1174"/>
      <c r="LM35" s="1174"/>
      <c r="LN35" s="1174"/>
      <c r="LO35" s="1174"/>
      <c r="LP35" s="1174"/>
      <c r="LQ35" s="1174"/>
      <c r="LR35" s="1174"/>
      <c r="LS35" s="1174"/>
      <c r="LT35" s="1174"/>
      <c r="LU35" s="1174"/>
      <c r="LV35" s="1174"/>
      <c r="LW35" s="1174"/>
      <c r="LX35" s="1174"/>
      <c r="LY35" s="1174"/>
      <c r="LZ35" s="1174"/>
      <c r="MA35" s="1174"/>
      <c r="MB35" s="1174"/>
      <c r="MC35" s="1174"/>
      <c r="MD35" s="1174"/>
      <c r="ME35" s="1174"/>
      <c r="MF35" s="1174"/>
      <c r="MG35" s="1174"/>
      <c r="MH35" s="1174"/>
      <c r="MI35" s="1174"/>
      <c r="MJ35" s="1174"/>
      <c r="MK35" s="1174"/>
      <c r="ML35" s="1174"/>
      <c r="MM35" s="1174"/>
      <c r="MN35" s="1174"/>
      <c r="MO35" s="1174"/>
      <c r="MP35" s="1174"/>
      <c r="MQ35" s="1174"/>
      <c r="MR35" s="1174"/>
      <c r="MS35" s="1174"/>
      <c r="MT35" s="1174"/>
      <c r="MU35" s="1174"/>
      <c r="MV35" s="1174"/>
      <c r="MW35" s="1174"/>
      <c r="MX35" s="1174"/>
      <c r="MY35" s="1174"/>
      <c r="MZ35" s="1174"/>
      <c r="NA35" s="1174"/>
      <c r="NB35" s="1174"/>
      <c r="NC35" s="1174"/>
      <c r="ND35" s="1174"/>
      <c r="NE35" s="1174"/>
      <c r="NF35" s="1174"/>
      <c r="NG35" s="1174"/>
      <c r="NH35" s="1174"/>
      <c r="NI35" s="1174"/>
      <c r="NJ35" s="1174"/>
      <c r="NK35" s="1174"/>
      <c r="NL35" s="1174"/>
      <c r="NM35" s="1174"/>
      <c r="NN35" s="1174"/>
      <c r="NO35" s="1174"/>
      <c r="NP35" s="1174"/>
      <c r="NQ35" s="1174"/>
      <c r="NR35" s="1174"/>
      <c r="NS35" s="1174"/>
      <c r="NT35" s="1174"/>
      <c r="NU35" s="1174"/>
      <c r="NV35" s="1174"/>
      <c r="NW35" s="1174"/>
      <c r="NX35" s="1174"/>
      <c r="NY35" s="1174"/>
      <c r="NZ35" s="1174"/>
      <c r="OA35" s="1174"/>
      <c r="OB35" s="1174"/>
      <c r="OC35" s="1174"/>
      <c r="OD35" s="1174"/>
      <c r="OE35" s="1174"/>
      <c r="OF35" s="1174"/>
      <c r="OG35" s="1174"/>
      <c r="OH35" s="1174"/>
      <c r="OI35" s="1174"/>
      <c r="OJ35" s="1174"/>
      <c r="OK35" s="1174"/>
      <c r="OL35" s="1174"/>
      <c r="OM35" s="1174"/>
      <c r="ON35" s="1174"/>
      <c r="OO35" s="1174"/>
      <c r="OP35" s="1174"/>
      <c r="OQ35" s="1174"/>
      <c r="OR35" s="1174"/>
      <c r="OS35" s="1174"/>
      <c r="OT35" s="1174"/>
      <c r="OU35" s="1174"/>
    </row>
    <row r="36">
      <c r="A36" s="1175"/>
      <c r="B36" s="1176" t="s">
        <v>487</v>
      </c>
      <c r="C36" s="1177" t="s">
        <v>23</v>
      </c>
      <c r="D36" s="1178">
        <v>19927.0</v>
      </c>
      <c r="E36" s="1178">
        <v>1466.0</v>
      </c>
      <c r="F36" s="1178">
        <v>1438.0</v>
      </c>
      <c r="G36" s="1178">
        <v>1610.0</v>
      </c>
      <c r="H36" s="1178">
        <v>1552.0</v>
      </c>
      <c r="I36" s="1178">
        <v>1626.0</v>
      </c>
      <c r="J36" s="1178">
        <v>1634.0</v>
      </c>
      <c r="K36" s="1178">
        <v>1678.0</v>
      </c>
      <c r="L36" s="1178">
        <v>1745.0</v>
      </c>
      <c r="M36" s="1178">
        <v>1716.0</v>
      </c>
      <c r="N36" s="1178">
        <v>1779.0</v>
      </c>
      <c r="O36" s="1178">
        <v>1791.0</v>
      </c>
      <c r="P36" s="1178">
        <v>1891.0</v>
      </c>
      <c r="Q36" s="1178">
        <v>1657.0</v>
      </c>
      <c r="R36" s="1178">
        <v>1608.0</v>
      </c>
      <c r="S36" s="1178">
        <v>1598.0</v>
      </c>
      <c r="T36" s="1178">
        <v>1680.0</v>
      </c>
      <c r="U36" s="1178">
        <v>1692.0</v>
      </c>
      <c r="V36" s="1178">
        <v>1609.0</v>
      </c>
      <c r="W36" s="1179"/>
      <c r="X36" s="1179"/>
      <c r="Y36" s="1179"/>
      <c r="Z36" s="1179"/>
      <c r="AA36" s="1179"/>
      <c r="AB36" s="1179"/>
      <c r="AC36" s="1180">
        <v>3265.0</v>
      </c>
      <c r="AD36" s="1181">
        <v>1.124</v>
      </c>
      <c r="AE36" s="1182">
        <v>0.164</v>
      </c>
      <c r="AF36" s="1183">
        <v>8.0</v>
      </c>
      <c r="AG36" s="1181">
        <v>1.236</v>
      </c>
      <c r="AH36" s="1183">
        <v>9.0</v>
      </c>
      <c r="AI36" s="1178">
        <v>2642.0</v>
      </c>
      <c r="AJ36" s="1178">
        <v>1398.0</v>
      </c>
      <c r="AK36" s="1178">
        <v>1244.0</v>
      </c>
      <c r="AL36" s="1178">
        <v>1379.0</v>
      </c>
      <c r="AM36" s="1178">
        <v>1376.0</v>
      </c>
      <c r="AN36" s="1178">
        <v>1373.0</v>
      </c>
      <c r="AO36" s="1178">
        <v>1302.0</v>
      </c>
      <c r="AP36" s="1178">
        <v>1314.0</v>
      </c>
      <c r="AQ36" s="1178">
        <v>1366.0</v>
      </c>
      <c r="AR36" s="1178">
        <v>1296.0</v>
      </c>
      <c r="AS36" s="1178">
        <v>1338.0</v>
      </c>
      <c r="AT36" s="1178">
        <v>1265.0</v>
      </c>
      <c r="AU36" s="1178">
        <v>1397.0</v>
      </c>
      <c r="AV36" s="1178">
        <v>16049.0</v>
      </c>
      <c r="AW36" s="1174"/>
      <c r="AX36" s="1174"/>
      <c r="AY36" s="1174"/>
      <c r="AZ36" s="1174"/>
      <c r="BA36" s="1174"/>
      <c r="BB36" s="1174"/>
      <c r="BC36" s="1174"/>
      <c r="BD36" s="1174"/>
      <c r="BE36" s="1174"/>
      <c r="BF36" s="1174"/>
      <c r="BG36" s="1174"/>
      <c r="BH36" s="1174"/>
      <c r="BI36" s="1174"/>
      <c r="BJ36" s="1174"/>
      <c r="BK36" s="1174"/>
      <c r="BL36" s="1174"/>
      <c r="BM36" s="1174"/>
      <c r="BN36" s="1174"/>
      <c r="BO36" s="1174"/>
      <c r="BP36" s="1174"/>
      <c r="BQ36" s="1174"/>
      <c r="BR36" s="1174"/>
      <c r="BS36" s="1174"/>
      <c r="BT36" s="1174"/>
      <c r="BU36" s="1174"/>
      <c r="BV36" s="1174"/>
      <c r="BW36" s="1174"/>
      <c r="BX36" s="1174"/>
      <c r="BY36" s="1174"/>
      <c r="BZ36" s="1174"/>
      <c r="CA36" s="1174"/>
      <c r="CB36" s="1174"/>
      <c r="CC36" s="1174"/>
      <c r="CD36" s="1174"/>
      <c r="CE36" s="1174"/>
      <c r="CF36" s="1174"/>
      <c r="CG36" s="1174"/>
      <c r="CH36" s="1174"/>
      <c r="CI36" s="1174"/>
      <c r="CJ36" s="1174"/>
      <c r="CK36" s="1174"/>
      <c r="CL36" s="1174"/>
      <c r="CM36" s="1174"/>
      <c r="CN36" s="1174"/>
      <c r="CO36" s="1174"/>
      <c r="CP36" s="1174"/>
      <c r="CQ36" s="1174"/>
      <c r="CR36" s="1174"/>
      <c r="CS36" s="1174"/>
      <c r="CT36" s="1174"/>
      <c r="CU36" s="1174"/>
      <c r="CV36" s="1174"/>
      <c r="CW36" s="1174"/>
      <c r="CX36" s="1174"/>
      <c r="CY36" s="1174"/>
      <c r="CZ36" s="1174"/>
      <c r="DA36" s="1174"/>
      <c r="DB36" s="1174"/>
      <c r="DC36" s="1174"/>
      <c r="DD36" s="1174"/>
      <c r="DE36" s="1174"/>
      <c r="DF36" s="1174"/>
      <c r="DG36" s="1174"/>
      <c r="DH36" s="1174"/>
      <c r="DI36" s="1174"/>
      <c r="DJ36" s="1174"/>
      <c r="DK36" s="1174"/>
      <c r="DL36" s="1174"/>
      <c r="DM36" s="1174"/>
      <c r="DN36" s="1174"/>
      <c r="DO36" s="1174"/>
      <c r="DP36" s="1174"/>
      <c r="DQ36" s="1174"/>
      <c r="DR36" s="1174"/>
      <c r="DS36" s="1174"/>
      <c r="DT36" s="1174"/>
      <c r="DU36" s="1174"/>
      <c r="DV36" s="1174"/>
      <c r="DW36" s="1174"/>
      <c r="DX36" s="1174"/>
      <c r="DY36" s="1174"/>
      <c r="DZ36" s="1174"/>
      <c r="EA36" s="1174"/>
      <c r="EB36" s="1174"/>
      <c r="EC36" s="1174"/>
      <c r="ED36" s="1174"/>
      <c r="EE36" s="1174"/>
      <c r="EF36" s="1174"/>
      <c r="EG36" s="1174"/>
      <c r="EH36" s="1174"/>
      <c r="EI36" s="1174"/>
      <c r="EJ36" s="1174"/>
      <c r="EK36" s="1174"/>
      <c r="EL36" s="1174"/>
      <c r="EM36" s="1174"/>
      <c r="EN36" s="1174"/>
      <c r="EO36" s="1174"/>
      <c r="EP36" s="1174"/>
      <c r="EQ36" s="1174"/>
      <c r="ER36" s="1174"/>
      <c r="ES36" s="1174"/>
      <c r="ET36" s="1174"/>
      <c r="EU36" s="1174"/>
      <c r="EV36" s="1174"/>
      <c r="EW36" s="1174"/>
      <c r="EX36" s="1174"/>
      <c r="EY36" s="1174"/>
      <c r="EZ36" s="1174"/>
      <c r="FA36" s="1174"/>
      <c r="FB36" s="1174"/>
      <c r="FC36" s="1174"/>
      <c r="FD36" s="1174"/>
      <c r="FE36" s="1174"/>
      <c r="FF36" s="1174"/>
      <c r="FG36" s="1174"/>
      <c r="FH36" s="1174"/>
      <c r="FI36" s="1174"/>
      <c r="FJ36" s="1174"/>
      <c r="FK36" s="1174"/>
      <c r="FL36" s="1174"/>
      <c r="FM36" s="1174"/>
      <c r="FN36" s="1174"/>
      <c r="FO36" s="1174"/>
      <c r="FP36" s="1174"/>
      <c r="FQ36" s="1174"/>
      <c r="FR36" s="1174"/>
      <c r="FS36" s="1174"/>
      <c r="FT36" s="1174"/>
      <c r="FU36" s="1174"/>
      <c r="FV36" s="1174"/>
      <c r="FW36" s="1174"/>
      <c r="FX36" s="1174"/>
      <c r="FY36" s="1174"/>
      <c r="FZ36" s="1174"/>
      <c r="GA36" s="1174"/>
      <c r="GB36" s="1174"/>
      <c r="GC36" s="1174"/>
      <c r="GD36" s="1174"/>
      <c r="GE36" s="1174"/>
      <c r="GF36" s="1174"/>
      <c r="GG36" s="1174"/>
      <c r="GH36" s="1174"/>
      <c r="GI36" s="1174"/>
      <c r="GJ36" s="1174"/>
      <c r="GK36" s="1174"/>
      <c r="GL36" s="1174"/>
      <c r="GM36" s="1174"/>
      <c r="GN36" s="1174"/>
      <c r="GO36" s="1174"/>
      <c r="GP36" s="1174"/>
      <c r="GQ36" s="1174"/>
      <c r="GR36" s="1174"/>
      <c r="GS36" s="1174"/>
      <c r="GT36" s="1174"/>
      <c r="GU36" s="1174"/>
      <c r="GV36" s="1174"/>
      <c r="GW36" s="1174"/>
      <c r="GX36" s="1174"/>
      <c r="GY36" s="1174"/>
      <c r="GZ36" s="1174"/>
      <c r="HA36" s="1174"/>
      <c r="HB36" s="1174"/>
      <c r="HC36" s="1174"/>
      <c r="HD36" s="1174"/>
      <c r="HE36" s="1174"/>
      <c r="HF36" s="1174"/>
      <c r="HG36" s="1174"/>
      <c r="HH36" s="1174"/>
      <c r="HI36" s="1174"/>
      <c r="HJ36" s="1174"/>
      <c r="HK36" s="1174"/>
      <c r="HL36" s="1174"/>
      <c r="HM36" s="1174"/>
      <c r="HN36" s="1174"/>
      <c r="HO36" s="1174"/>
      <c r="HP36" s="1174"/>
      <c r="HQ36" s="1174"/>
      <c r="HR36" s="1174"/>
      <c r="HS36" s="1174"/>
      <c r="HT36" s="1174"/>
      <c r="HU36" s="1174"/>
      <c r="HV36" s="1174"/>
      <c r="HW36" s="1174"/>
      <c r="HX36" s="1174"/>
      <c r="HY36" s="1174"/>
      <c r="HZ36" s="1174"/>
      <c r="IA36" s="1174"/>
      <c r="IB36" s="1174"/>
      <c r="IC36" s="1174"/>
      <c r="ID36" s="1174"/>
      <c r="IE36" s="1174"/>
      <c r="IF36" s="1174"/>
      <c r="IG36" s="1174"/>
      <c r="IH36" s="1174"/>
      <c r="II36" s="1174"/>
      <c r="IJ36" s="1174"/>
      <c r="IK36" s="1174"/>
      <c r="IL36" s="1174"/>
      <c r="IM36" s="1174"/>
      <c r="IN36" s="1174"/>
      <c r="IO36" s="1174"/>
      <c r="IP36" s="1174"/>
      <c r="IQ36" s="1174"/>
      <c r="IR36" s="1174"/>
      <c r="IS36" s="1174"/>
      <c r="IT36" s="1174"/>
      <c r="IU36" s="1174"/>
      <c r="IV36" s="1174"/>
      <c r="IW36" s="1174"/>
      <c r="IX36" s="1174"/>
      <c r="IY36" s="1174"/>
      <c r="IZ36" s="1174"/>
      <c r="JA36" s="1174"/>
      <c r="JB36" s="1174"/>
      <c r="JC36" s="1174"/>
      <c r="JD36" s="1174"/>
      <c r="JE36" s="1174"/>
      <c r="JF36" s="1174"/>
      <c r="JG36" s="1174"/>
      <c r="JH36" s="1174"/>
      <c r="JI36" s="1174"/>
      <c r="JJ36" s="1174"/>
      <c r="JK36" s="1174"/>
      <c r="JL36" s="1174"/>
      <c r="JM36" s="1174"/>
      <c r="JN36" s="1174"/>
      <c r="JO36" s="1174"/>
      <c r="JP36" s="1174"/>
      <c r="JQ36" s="1174"/>
      <c r="JR36" s="1174"/>
      <c r="JS36" s="1174"/>
      <c r="JT36" s="1174"/>
      <c r="JU36" s="1174"/>
      <c r="JV36" s="1174"/>
      <c r="JW36" s="1174"/>
      <c r="JX36" s="1174"/>
      <c r="JY36" s="1174"/>
      <c r="JZ36" s="1174"/>
      <c r="KA36" s="1174"/>
      <c r="KB36" s="1174"/>
      <c r="KC36" s="1174"/>
      <c r="KD36" s="1174"/>
      <c r="KE36" s="1174"/>
      <c r="KF36" s="1174"/>
      <c r="KG36" s="1174"/>
      <c r="KH36" s="1174"/>
      <c r="KI36" s="1174"/>
      <c r="KJ36" s="1174"/>
      <c r="KK36" s="1174"/>
      <c r="KL36" s="1174"/>
      <c r="KM36" s="1174"/>
      <c r="KN36" s="1174"/>
      <c r="KO36" s="1174"/>
      <c r="KP36" s="1174"/>
      <c r="KQ36" s="1174"/>
      <c r="KR36" s="1174"/>
      <c r="KS36" s="1174"/>
      <c r="KT36" s="1174"/>
      <c r="KU36" s="1174"/>
      <c r="KV36" s="1174"/>
      <c r="KW36" s="1174"/>
      <c r="KX36" s="1174"/>
      <c r="KY36" s="1174"/>
      <c r="KZ36" s="1174"/>
      <c r="LA36" s="1174"/>
      <c r="LB36" s="1174"/>
      <c r="LC36" s="1174"/>
      <c r="LD36" s="1174"/>
      <c r="LE36" s="1174"/>
      <c r="LF36" s="1174"/>
      <c r="LG36" s="1174"/>
      <c r="LH36" s="1174"/>
      <c r="LI36" s="1174"/>
      <c r="LJ36" s="1174"/>
      <c r="LK36" s="1174"/>
      <c r="LL36" s="1174"/>
      <c r="LM36" s="1174"/>
      <c r="LN36" s="1174"/>
      <c r="LO36" s="1174"/>
      <c r="LP36" s="1174"/>
      <c r="LQ36" s="1174"/>
      <c r="LR36" s="1174"/>
      <c r="LS36" s="1174"/>
      <c r="LT36" s="1174"/>
      <c r="LU36" s="1174"/>
      <c r="LV36" s="1174"/>
      <c r="LW36" s="1174"/>
      <c r="LX36" s="1174"/>
      <c r="LY36" s="1174"/>
      <c r="LZ36" s="1174"/>
      <c r="MA36" s="1174"/>
      <c r="MB36" s="1174"/>
      <c r="MC36" s="1174"/>
      <c r="MD36" s="1174"/>
      <c r="ME36" s="1174"/>
      <c r="MF36" s="1174"/>
      <c r="MG36" s="1174"/>
      <c r="MH36" s="1174"/>
      <c r="MI36" s="1174"/>
      <c r="MJ36" s="1174"/>
      <c r="MK36" s="1174"/>
      <c r="ML36" s="1174"/>
      <c r="MM36" s="1174"/>
      <c r="MN36" s="1174"/>
      <c r="MO36" s="1174"/>
      <c r="MP36" s="1174"/>
      <c r="MQ36" s="1174"/>
      <c r="MR36" s="1174"/>
      <c r="MS36" s="1174"/>
      <c r="MT36" s="1174"/>
      <c r="MU36" s="1174"/>
      <c r="MV36" s="1174"/>
      <c r="MW36" s="1174"/>
      <c r="MX36" s="1174"/>
      <c r="MY36" s="1174"/>
      <c r="MZ36" s="1174"/>
      <c r="NA36" s="1174"/>
      <c r="NB36" s="1174"/>
      <c r="NC36" s="1174"/>
      <c r="ND36" s="1174"/>
      <c r="NE36" s="1174"/>
      <c r="NF36" s="1174"/>
      <c r="NG36" s="1174"/>
      <c r="NH36" s="1174"/>
      <c r="NI36" s="1174"/>
      <c r="NJ36" s="1174"/>
      <c r="NK36" s="1174"/>
      <c r="NL36" s="1174"/>
      <c r="NM36" s="1174"/>
      <c r="NN36" s="1174"/>
      <c r="NO36" s="1174"/>
      <c r="NP36" s="1174"/>
      <c r="NQ36" s="1174"/>
      <c r="NR36" s="1174"/>
      <c r="NS36" s="1174"/>
      <c r="NT36" s="1174"/>
      <c r="NU36" s="1174"/>
      <c r="NV36" s="1174"/>
      <c r="NW36" s="1174"/>
      <c r="NX36" s="1174"/>
      <c r="NY36" s="1174"/>
      <c r="NZ36" s="1174"/>
      <c r="OA36" s="1174"/>
      <c r="OB36" s="1174"/>
      <c r="OC36" s="1174"/>
      <c r="OD36" s="1174"/>
      <c r="OE36" s="1174"/>
      <c r="OF36" s="1174"/>
      <c r="OG36" s="1174"/>
      <c r="OH36" s="1174"/>
      <c r="OI36" s="1174"/>
      <c r="OJ36" s="1174"/>
      <c r="OK36" s="1174"/>
      <c r="OL36" s="1174"/>
      <c r="OM36" s="1174"/>
      <c r="ON36" s="1174"/>
      <c r="OO36" s="1174"/>
      <c r="OP36" s="1174"/>
      <c r="OQ36" s="1174"/>
      <c r="OR36" s="1174"/>
      <c r="OS36" s="1174"/>
      <c r="OT36" s="1174"/>
      <c r="OU36" s="1174"/>
    </row>
    <row r="37">
      <c r="A37" s="1175"/>
      <c r="B37" s="1176" t="s">
        <v>494</v>
      </c>
      <c r="C37" s="1177" t="s">
        <v>23</v>
      </c>
      <c r="D37" s="1178">
        <v>24306.0</v>
      </c>
      <c r="E37" s="1178">
        <v>1795.0</v>
      </c>
      <c r="F37" s="1178">
        <v>1759.0</v>
      </c>
      <c r="G37" s="1178">
        <v>1968.0</v>
      </c>
      <c r="H37" s="1178">
        <v>1896.0</v>
      </c>
      <c r="I37" s="1178">
        <v>1985.0</v>
      </c>
      <c r="J37" s="1178">
        <v>1994.0</v>
      </c>
      <c r="K37" s="1178">
        <v>2046.0</v>
      </c>
      <c r="L37" s="1178">
        <v>2127.0</v>
      </c>
      <c r="M37" s="1178">
        <v>2090.0</v>
      </c>
      <c r="N37" s="1178">
        <v>2166.0</v>
      </c>
      <c r="O37" s="1178">
        <v>2178.0</v>
      </c>
      <c r="P37" s="1178">
        <v>2301.0</v>
      </c>
      <c r="Q37" s="1178">
        <v>2015.0</v>
      </c>
      <c r="R37" s="1178">
        <v>2020.0</v>
      </c>
      <c r="S37" s="1178">
        <v>2037.0</v>
      </c>
      <c r="T37" s="1178">
        <v>2074.0</v>
      </c>
      <c r="U37" s="1178">
        <v>2134.0</v>
      </c>
      <c r="V37" s="1178">
        <v>2030.0</v>
      </c>
      <c r="W37" s="1179"/>
      <c r="X37" s="1179"/>
      <c r="Y37" s="1179"/>
      <c r="Z37" s="1179"/>
      <c r="AA37" s="1179"/>
      <c r="AB37" s="1179"/>
      <c r="AC37" s="1180">
        <v>4035.0</v>
      </c>
      <c r="AD37" s="1181">
        <v>1.135</v>
      </c>
      <c r="AE37" s="1182">
        <v>0.166</v>
      </c>
      <c r="AF37" s="1183">
        <v>6.0</v>
      </c>
      <c r="AG37" s="1181">
        <v>1.257</v>
      </c>
      <c r="AH37" s="1183">
        <v>6.0</v>
      </c>
      <c r="AI37" s="1178">
        <v>3209.0</v>
      </c>
      <c r="AJ37" s="1178">
        <v>1696.0</v>
      </c>
      <c r="AK37" s="1178">
        <v>1513.0</v>
      </c>
      <c r="AL37" s="1178">
        <v>1687.0</v>
      </c>
      <c r="AM37" s="1178">
        <v>1659.0</v>
      </c>
      <c r="AN37" s="1178">
        <v>1703.0</v>
      </c>
      <c r="AO37" s="1178">
        <v>1599.0</v>
      </c>
      <c r="AP37" s="1178">
        <v>1595.0</v>
      </c>
      <c r="AQ37" s="1178">
        <v>1626.0</v>
      </c>
      <c r="AR37" s="1178">
        <v>1523.0</v>
      </c>
      <c r="AS37" s="1178">
        <v>1599.0</v>
      </c>
      <c r="AT37" s="1178">
        <v>1601.0</v>
      </c>
      <c r="AU37" s="1178">
        <v>1709.0</v>
      </c>
      <c r="AV37" s="1178">
        <v>19509.0</v>
      </c>
      <c r="AW37" s="1174"/>
      <c r="AX37" s="1174"/>
      <c r="AY37" s="1174"/>
      <c r="AZ37" s="1174"/>
      <c r="BA37" s="1174"/>
      <c r="BB37" s="1174"/>
      <c r="BC37" s="1174"/>
      <c r="BD37" s="1174"/>
      <c r="BE37" s="1174"/>
      <c r="BF37" s="1174"/>
      <c r="BG37" s="1174"/>
      <c r="BH37" s="1174"/>
      <c r="BI37" s="1174"/>
      <c r="BJ37" s="1174"/>
      <c r="BK37" s="1174"/>
      <c r="BL37" s="1174"/>
      <c r="BM37" s="1174"/>
      <c r="BN37" s="1174"/>
      <c r="BO37" s="1174"/>
      <c r="BP37" s="1174"/>
      <c r="BQ37" s="1174"/>
      <c r="BR37" s="1174"/>
      <c r="BS37" s="1174"/>
      <c r="BT37" s="1174"/>
      <c r="BU37" s="1174"/>
      <c r="BV37" s="1174"/>
      <c r="BW37" s="1174"/>
      <c r="BX37" s="1174"/>
      <c r="BY37" s="1174"/>
      <c r="BZ37" s="1174"/>
      <c r="CA37" s="1174"/>
      <c r="CB37" s="1174"/>
      <c r="CC37" s="1174"/>
      <c r="CD37" s="1174"/>
      <c r="CE37" s="1174"/>
      <c r="CF37" s="1174"/>
      <c r="CG37" s="1174"/>
      <c r="CH37" s="1174"/>
      <c r="CI37" s="1174"/>
      <c r="CJ37" s="1174"/>
      <c r="CK37" s="1174"/>
      <c r="CL37" s="1174"/>
      <c r="CM37" s="1174"/>
      <c r="CN37" s="1174"/>
      <c r="CO37" s="1174"/>
      <c r="CP37" s="1174"/>
      <c r="CQ37" s="1174"/>
      <c r="CR37" s="1174"/>
      <c r="CS37" s="1174"/>
      <c r="CT37" s="1174"/>
      <c r="CU37" s="1174"/>
      <c r="CV37" s="1174"/>
      <c r="CW37" s="1174"/>
      <c r="CX37" s="1174"/>
      <c r="CY37" s="1174"/>
      <c r="CZ37" s="1174"/>
      <c r="DA37" s="1174"/>
      <c r="DB37" s="1174"/>
      <c r="DC37" s="1174"/>
      <c r="DD37" s="1174"/>
      <c r="DE37" s="1174"/>
      <c r="DF37" s="1174"/>
      <c r="DG37" s="1174"/>
      <c r="DH37" s="1174"/>
      <c r="DI37" s="1174"/>
      <c r="DJ37" s="1174"/>
      <c r="DK37" s="1174"/>
      <c r="DL37" s="1174"/>
      <c r="DM37" s="1174"/>
      <c r="DN37" s="1174"/>
      <c r="DO37" s="1174"/>
      <c r="DP37" s="1174"/>
      <c r="DQ37" s="1174"/>
      <c r="DR37" s="1174"/>
      <c r="DS37" s="1174"/>
      <c r="DT37" s="1174"/>
      <c r="DU37" s="1174"/>
      <c r="DV37" s="1174"/>
      <c r="DW37" s="1174"/>
      <c r="DX37" s="1174"/>
      <c r="DY37" s="1174"/>
      <c r="DZ37" s="1174"/>
      <c r="EA37" s="1174"/>
      <c r="EB37" s="1174"/>
      <c r="EC37" s="1174"/>
      <c r="ED37" s="1174"/>
      <c r="EE37" s="1174"/>
      <c r="EF37" s="1174"/>
      <c r="EG37" s="1174"/>
      <c r="EH37" s="1174"/>
      <c r="EI37" s="1174"/>
      <c r="EJ37" s="1174"/>
      <c r="EK37" s="1174"/>
      <c r="EL37" s="1174"/>
      <c r="EM37" s="1174"/>
      <c r="EN37" s="1174"/>
      <c r="EO37" s="1174"/>
      <c r="EP37" s="1174"/>
      <c r="EQ37" s="1174"/>
      <c r="ER37" s="1174"/>
      <c r="ES37" s="1174"/>
      <c r="ET37" s="1174"/>
      <c r="EU37" s="1174"/>
      <c r="EV37" s="1174"/>
      <c r="EW37" s="1174"/>
      <c r="EX37" s="1174"/>
      <c r="EY37" s="1174"/>
      <c r="EZ37" s="1174"/>
      <c r="FA37" s="1174"/>
      <c r="FB37" s="1174"/>
      <c r="FC37" s="1174"/>
      <c r="FD37" s="1174"/>
      <c r="FE37" s="1174"/>
      <c r="FF37" s="1174"/>
      <c r="FG37" s="1174"/>
      <c r="FH37" s="1174"/>
      <c r="FI37" s="1174"/>
      <c r="FJ37" s="1174"/>
      <c r="FK37" s="1174"/>
      <c r="FL37" s="1174"/>
      <c r="FM37" s="1174"/>
      <c r="FN37" s="1174"/>
      <c r="FO37" s="1174"/>
      <c r="FP37" s="1174"/>
      <c r="FQ37" s="1174"/>
      <c r="FR37" s="1174"/>
      <c r="FS37" s="1174"/>
      <c r="FT37" s="1174"/>
      <c r="FU37" s="1174"/>
      <c r="FV37" s="1174"/>
      <c r="FW37" s="1174"/>
      <c r="FX37" s="1174"/>
      <c r="FY37" s="1174"/>
      <c r="FZ37" s="1174"/>
      <c r="GA37" s="1174"/>
      <c r="GB37" s="1174"/>
      <c r="GC37" s="1174"/>
      <c r="GD37" s="1174"/>
      <c r="GE37" s="1174"/>
      <c r="GF37" s="1174"/>
      <c r="GG37" s="1174"/>
      <c r="GH37" s="1174"/>
      <c r="GI37" s="1174"/>
      <c r="GJ37" s="1174"/>
      <c r="GK37" s="1174"/>
      <c r="GL37" s="1174"/>
      <c r="GM37" s="1174"/>
      <c r="GN37" s="1174"/>
      <c r="GO37" s="1174"/>
      <c r="GP37" s="1174"/>
      <c r="GQ37" s="1174"/>
      <c r="GR37" s="1174"/>
      <c r="GS37" s="1174"/>
      <c r="GT37" s="1174"/>
      <c r="GU37" s="1174"/>
      <c r="GV37" s="1174"/>
      <c r="GW37" s="1174"/>
      <c r="GX37" s="1174"/>
      <c r="GY37" s="1174"/>
      <c r="GZ37" s="1174"/>
      <c r="HA37" s="1174"/>
      <c r="HB37" s="1174"/>
      <c r="HC37" s="1174"/>
      <c r="HD37" s="1174"/>
      <c r="HE37" s="1174"/>
      <c r="HF37" s="1174"/>
      <c r="HG37" s="1174"/>
      <c r="HH37" s="1174"/>
      <c r="HI37" s="1174"/>
      <c r="HJ37" s="1174"/>
      <c r="HK37" s="1174"/>
      <c r="HL37" s="1174"/>
      <c r="HM37" s="1174"/>
      <c r="HN37" s="1174"/>
      <c r="HO37" s="1174"/>
      <c r="HP37" s="1174"/>
      <c r="HQ37" s="1174"/>
      <c r="HR37" s="1174"/>
      <c r="HS37" s="1174"/>
      <c r="HT37" s="1174"/>
      <c r="HU37" s="1174"/>
      <c r="HV37" s="1174"/>
      <c r="HW37" s="1174"/>
      <c r="HX37" s="1174"/>
      <c r="HY37" s="1174"/>
      <c r="HZ37" s="1174"/>
      <c r="IA37" s="1174"/>
      <c r="IB37" s="1174"/>
      <c r="IC37" s="1174"/>
      <c r="ID37" s="1174"/>
      <c r="IE37" s="1174"/>
      <c r="IF37" s="1174"/>
      <c r="IG37" s="1174"/>
      <c r="IH37" s="1174"/>
      <c r="II37" s="1174"/>
      <c r="IJ37" s="1174"/>
      <c r="IK37" s="1174"/>
      <c r="IL37" s="1174"/>
      <c r="IM37" s="1174"/>
      <c r="IN37" s="1174"/>
      <c r="IO37" s="1174"/>
      <c r="IP37" s="1174"/>
      <c r="IQ37" s="1174"/>
      <c r="IR37" s="1174"/>
      <c r="IS37" s="1174"/>
      <c r="IT37" s="1174"/>
      <c r="IU37" s="1174"/>
      <c r="IV37" s="1174"/>
      <c r="IW37" s="1174"/>
      <c r="IX37" s="1174"/>
      <c r="IY37" s="1174"/>
      <c r="IZ37" s="1174"/>
      <c r="JA37" s="1174"/>
      <c r="JB37" s="1174"/>
      <c r="JC37" s="1174"/>
      <c r="JD37" s="1174"/>
      <c r="JE37" s="1174"/>
      <c r="JF37" s="1174"/>
      <c r="JG37" s="1174"/>
      <c r="JH37" s="1174"/>
      <c r="JI37" s="1174"/>
      <c r="JJ37" s="1174"/>
      <c r="JK37" s="1174"/>
      <c r="JL37" s="1174"/>
      <c r="JM37" s="1174"/>
      <c r="JN37" s="1174"/>
      <c r="JO37" s="1174"/>
      <c r="JP37" s="1174"/>
      <c r="JQ37" s="1174"/>
      <c r="JR37" s="1174"/>
      <c r="JS37" s="1174"/>
      <c r="JT37" s="1174"/>
      <c r="JU37" s="1174"/>
      <c r="JV37" s="1174"/>
      <c r="JW37" s="1174"/>
      <c r="JX37" s="1174"/>
      <c r="JY37" s="1174"/>
      <c r="JZ37" s="1174"/>
      <c r="KA37" s="1174"/>
      <c r="KB37" s="1174"/>
      <c r="KC37" s="1174"/>
      <c r="KD37" s="1174"/>
      <c r="KE37" s="1174"/>
      <c r="KF37" s="1174"/>
      <c r="KG37" s="1174"/>
      <c r="KH37" s="1174"/>
      <c r="KI37" s="1174"/>
      <c r="KJ37" s="1174"/>
      <c r="KK37" s="1174"/>
      <c r="KL37" s="1174"/>
      <c r="KM37" s="1174"/>
      <c r="KN37" s="1174"/>
      <c r="KO37" s="1174"/>
      <c r="KP37" s="1174"/>
      <c r="KQ37" s="1174"/>
      <c r="KR37" s="1174"/>
      <c r="KS37" s="1174"/>
      <c r="KT37" s="1174"/>
      <c r="KU37" s="1174"/>
      <c r="KV37" s="1174"/>
      <c r="KW37" s="1174"/>
      <c r="KX37" s="1174"/>
      <c r="KY37" s="1174"/>
      <c r="KZ37" s="1174"/>
      <c r="LA37" s="1174"/>
      <c r="LB37" s="1174"/>
      <c r="LC37" s="1174"/>
      <c r="LD37" s="1174"/>
      <c r="LE37" s="1174"/>
      <c r="LF37" s="1174"/>
      <c r="LG37" s="1174"/>
      <c r="LH37" s="1174"/>
      <c r="LI37" s="1174"/>
      <c r="LJ37" s="1174"/>
      <c r="LK37" s="1174"/>
      <c r="LL37" s="1174"/>
      <c r="LM37" s="1174"/>
      <c r="LN37" s="1174"/>
      <c r="LO37" s="1174"/>
      <c r="LP37" s="1174"/>
      <c r="LQ37" s="1174"/>
      <c r="LR37" s="1174"/>
      <c r="LS37" s="1174"/>
      <c r="LT37" s="1174"/>
      <c r="LU37" s="1174"/>
      <c r="LV37" s="1174"/>
      <c r="LW37" s="1174"/>
      <c r="LX37" s="1174"/>
      <c r="LY37" s="1174"/>
      <c r="LZ37" s="1174"/>
      <c r="MA37" s="1174"/>
      <c r="MB37" s="1174"/>
      <c r="MC37" s="1174"/>
      <c r="MD37" s="1174"/>
      <c r="ME37" s="1174"/>
      <c r="MF37" s="1174"/>
      <c r="MG37" s="1174"/>
      <c r="MH37" s="1174"/>
      <c r="MI37" s="1174"/>
      <c r="MJ37" s="1174"/>
      <c r="MK37" s="1174"/>
      <c r="ML37" s="1174"/>
      <c r="MM37" s="1174"/>
      <c r="MN37" s="1174"/>
      <c r="MO37" s="1174"/>
      <c r="MP37" s="1174"/>
      <c r="MQ37" s="1174"/>
      <c r="MR37" s="1174"/>
      <c r="MS37" s="1174"/>
      <c r="MT37" s="1174"/>
      <c r="MU37" s="1174"/>
      <c r="MV37" s="1174"/>
      <c r="MW37" s="1174"/>
      <c r="MX37" s="1174"/>
      <c r="MY37" s="1174"/>
      <c r="MZ37" s="1174"/>
      <c r="NA37" s="1174"/>
      <c r="NB37" s="1174"/>
      <c r="NC37" s="1174"/>
      <c r="ND37" s="1174"/>
      <c r="NE37" s="1174"/>
      <c r="NF37" s="1174"/>
      <c r="NG37" s="1174"/>
      <c r="NH37" s="1174"/>
      <c r="NI37" s="1174"/>
      <c r="NJ37" s="1174"/>
      <c r="NK37" s="1174"/>
      <c r="NL37" s="1174"/>
      <c r="NM37" s="1174"/>
      <c r="NN37" s="1174"/>
      <c r="NO37" s="1174"/>
      <c r="NP37" s="1174"/>
      <c r="NQ37" s="1174"/>
      <c r="NR37" s="1174"/>
      <c r="NS37" s="1174"/>
      <c r="NT37" s="1174"/>
      <c r="NU37" s="1174"/>
      <c r="NV37" s="1174"/>
      <c r="NW37" s="1174"/>
      <c r="NX37" s="1174"/>
      <c r="NY37" s="1174"/>
      <c r="NZ37" s="1174"/>
      <c r="OA37" s="1174"/>
      <c r="OB37" s="1174"/>
      <c r="OC37" s="1174"/>
      <c r="OD37" s="1174"/>
      <c r="OE37" s="1174"/>
      <c r="OF37" s="1174"/>
      <c r="OG37" s="1174"/>
      <c r="OH37" s="1174"/>
      <c r="OI37" s="1174"/>
      <c r="OJ37" s="1174"/>
      <c r="OK37" s="1174"/>
      <c r="OL37" s="1174"/>
      <c r="OM37" s="1174"/>
      <c r="ON37" s="1174"/>
      <c r="OO37" s="1174"/>
      <c r="OP37" s="1174"/>
      <c r="OQ37" s="1174"/>
      <c r="OR37" s="1174"/>
      <c r="OS37" s="1174"/>
      <c r="OT37" s="1174"/>
      <c r="OU37" s="1174"/>
    </row>
    <row r="38">
      <c r="A38" s="1175"/>
      <c r="B38" s="1176" t="s">
        <v>489</v>
      </c>
      <c r="C38" s="1177" t="s">
        <v>23</v>
      </c>
      <c r="D38" s="1178">
        <v>19400.0</v>
      </c>
      <c r="E38" s="1178">
        <v>1403.0</v>
      </c>
      <c r="F38" s="1178">
        <v>1381.0</v>
      </c>
      <c r="G38" s="1178">
        <v>1550.0</v>
      </c>
      <c r="H38" s="1178">
        <v>1500.0</v>
      </c>
      <c r="I38" s="1178">
        <v>1576.0</v>
      </c>
      <c r="J38" s="1178">
        <v>1589.0</v>
      </c>
      <c r="K38" s="1178">
        <v>1636.0</v>
      </c>
      <c r="L38" s="1178">
        <v>1705.0</v>
      </c>
      <c r="M38" s="1178">
        <v>1683.0</v>
      </c>
      <c r="N38" s="1178">
        <v>1748.0</v>
      </c>
      <c r="O38" s="1178">
        <v>1764.0</v>
      </c>
      <c r="P38" s="1178">
        <v>1865.0</v>
      </c>
      <c r="Q38" s="1178">
        <v>1503.0</v>
      </c>
      <c r="R38" s="1178">
        <v>1448.0</v>
      </c>
      <c r="S38" s="1178">
        <v>1464.0</v>
      </c>
      <c r="T38" s="1178">
        <v>1513.0</v>
      </c>
      <c r="U38" s="1178">
        <v>1502.0</v>
      </c>
      <c r="V38" s="1178">
        <v>1418.0</v>
      </c>
      <c r="W38" s="1179"/>
      <c r="X38" s="1179"/>
      <c r="Y38" s="1179"/>
      <c r="Z38" s="1179"/>
      <c r="AA38" s="1179"/>
      <c r="AB38" s="1179"/>
      <c r="AC38" s="1180">
        <v>2951.0</v>
      </c>
      <c r="AD38" s="1181">
        <v>1.06</v>
      </c>
      <c r="AE38" s="1182">
        <v>0.152</v>
      </c>
      <c r="AF38" s="1183">
        <v>13.0</v>
      </c>
      <c r="AG38" s="1181">
        <v>1.25</v>
      </c>
      <c r="AH38" s="1183">
        <v>8.0</v>
      </c>
      <c r="AI38" s="1178">
        <v>2362.0</v>
      </c>
      <c r="AJ38" s="1178">
        <v>1255.0</v>
      </c>
      <c r="AK38" s="1178">
        <v>1106.0</v>
      </c>
      <c r="AL38" s="1178">
        <v>1296.0</v>
      </c>
      <c r="AM38" s="1178">
        <v>1214.0</v>
      </c>
      <c r="AN38" s="1178">
        <v>1174.0</v>
      </c>
      <c r="AO38" s="1178">
        <v>1105.0</v>
      </c>
      <c r="AP38" s="1178">
        <v>1229.0</v>
      </c>
      <c r="AQ38" s="1178">
        <v>1145.0</v>
      </c>
      <c r="AR38" s="1178">
        <v>1108.0</v>
      </c>
      <c r="AS38" s="1178">
        <v>1182.0</v>
      </c>
      <c r="AT38" s="1178">
        <v>1117.0</v>
      </c>
      <c r="AU38" s="1178">
        <v>1218.0</v>
      </c>
      <c r="AV38" s="1178">
        <v>14150.0</v>
      </c>
      <c r="AW38" s="1174"/>
      <c r="AX38" s="1174"/>
      <c r="AY38" s="1174"/>
      <c r="AZ38" s="1174"/>
      <c r="BA38" s="1174"/>
      <c r="BB38" s="1174"/>
      <c r="BC38" s="1174"/>
      <c r="BD38" s="1174"/>
      <c r="BE38" s="1174"/>
      <c r="BF38" s="1174"/>
      <c r="BG38" s="1174"/>
      <c r="BH38" s="1174"/>
      <c r="BI38" s="1174"/>
      <c r="BJ38" s="1174"/>
      <c r="BK38" s="1174"/>
      <c r="BL38" s="1174"/>
      <c r="BM38" s="1174"/>
      <c r="BN38" s="1174"/>
      <c r="BO38" s="1174"/>
      <c r="BP38" s="1174"/>
      <c r="BQ38" s="1174"/>
      <c r="BR38" s="1174"/>
      <c r="BS38" s="1174"/>
      <c r="BT38" s="1174"/>
      <c r="BU38" s="1174"/>
      <c r="BV38" s="1174"/>
      <c r="BW38" s="1174"/>
      <c r="BX38" s="1174"/>
      <c r="BY38" s="1174"/>
      <c r="BZ38" s="1174"/>
      <c r="CA38" s="1174"/>
      <c r="CB38" s="1174"/>
      <c r="CC38" s="1174"/>
      <c r="CD38" s="1174"/>
      <c r="CE38" s="1174"/>
      <c r="CF38" s="1174"/>
      <c r="CG38" s="1174"/>
      <c r="CH38" s="1174"/>
      <c r="CI38" s="1174"/>
      <c r="CJ38" s="1174"/>
      <c r="CK38" s="1174"/>
      <c r="CL38" s="1174"/>
      <c r="CM38" s="1174"/>
      <c r="CN38" s="1174"/>
      <c r="CO38" s="1174"/>
      <c r="CP38" s="1174"/>
      <c r="CQ38" s="1174"/>
      <c r="CR38" s="1174"/>
      <c r="CS38" s="1174"/>
      <c r="CT38" s="1174"/>
      <c r="CU38" s="1174"/>
      <c r="CV38" s="1174"/>
      <c r="CW38" s="1174"/>
      <c r="CX38" s="1174"/>
      <c r="CY38" s="1174"/>
      <c r="CZ38" s="1174"/>
      <c r="DA38" s="1174"/>
      <c r="DB38" s="1174"/>
      <c r="DC38" s="1174"/>
      <c r="DD38" s="1174"/>
      <c r="DE38" s="1174"/>
      <c r="DF38" s="1174"/>
      <c r="DG38" s="1174"/>
      <c r="DH38" s="1174"/>
      <c r="DI38" s="1174"/>
      <c r="DJ38" s="1174"/>
      <c r="DK38" s="1174"/>
      <c r="DL38" s="1174"/>
      <c r="DM38" s="1174"/>
      <c r="DN38" s="1174"/>
      <c r="DO38" s="1174"/>
      <c r="DP38" s="1174"/>
      <c r="DQ38" s="1174"/>
      <c r="DR38" s="1174"/>
      <c r="DS38" s="1174"/>
      <c r="DT38" s="1174"/>
      <c r="DU38" s="1174"/>
      <c r="DV38" s="1174"/>
      <c r="DW38" s="1174"/>
      <c r="DX38" s="1174"/>
      <c r="DY38" s="1174"/>
      <c r="DZ38" s="1174"/>
      <c r="EA38" s="1174"/>
      <c r="EB38" s="1174"/>
      <c r="EC38" s="1174"/>
      <c r="ED38" s="1174"/>
      <c r="EE38" s="1174"/>
      <c r="EF38" s="1174"/>
      <c r="EG38" s="1174"/>
      <c r="EH38" s="1174"/>
      <c r="EI38" s="1174"/>
      <c r="EJ38" s="1174"/>
      <c r="EK38" s="1174"/>
      <c r="EL38" s="1174"/>
      <c r="EM38" s="1174"/>
      <c r="EN38" s="1174"/>
      <c r="EO38" s="1174"/>
      <c r="EP38" s="1174"/>
      <c r="EQ38" s="1174"/>
      <c r="ER38" s="1174"/>
      <c r="ES38" s="1174"/>
      <c r="ET38" s="1174"/>
      <c r="EU38" s="1174"/>
      <c r="EV38" s="1174"/>
      <c r="EW38" s="1174"/>
      <c r="EX38" s="1174"/>
      <c r="EY38" s="1174"/>
      <c r="EZ38" s="1174"/>
      <c r="FA38" s="1174"/>
      <c r="FB38" s="1174"/>
      <c r="FC38" s="1174"/>
      <c r="FD38" s="1174"/>
      <c r="FE38" s="1174"/>
      <c r="FF38" s="1174"/>
      <c r="FG38" s="1174"/>
      <c r="FH38" s="1174"/>
      <c r="FI38" s="1174"/>
      <c r="FJ38" s="1174"/>
      <c r="FK38" s="1174"/>
      <c r="FL38" s="1174"/>
      <c r="FM38" s="1174"/>
      <c r="FN38" s="1174"/>
      <c r="FO38" s="1174"/>
      <c r="FP38" s="1174"/>
      <c r="FQ38" s="1174"/>
      <c r="FR38" s="1174"/>
      <c r="FS38" s="1174"/>
      <c r="FT38" s="1174"/>
      <c r="FU38" s="1174"/>
      <c r="FV38" s="1174"/>
      <c r="FW38" s="1174"/>
      <c r="FX38" s="1174"/>
      <c r="FY38" s="1174"/>
      <c r="FZ38" s="1174"/>
      <c r="GA38" s="1174"/>
      <c r="GB38" s="1174"/>
      <c r="GC38" s="1174"/>
      <c r="GD38" s="1174"/>
      <c r="GE38" s="1174"/>
      <c r="GF38" s="1174"/>
      <c r="GG38" s="1174"/>
      <c r="GH38" s="1174"/>
      <c r="GI38" s="1174"/>
      <c r="GJ38" s="1174"/>
      <c r="GK38" s="1174"/>
      <c r="GL38" s="1174"/>
      <c r="GM38" s="1174"/>
      <c r="GN38" s="1174"/>
      <c r="GO38" s="1174"/>
      <c r="GP38" s="1174"/>
      <c r="GQ38" s="1174"/>
      <c r="GR38" s="1174"/>
      <c r="GS38" s="1174"/>
      <c r="GT38" s="1174"/>
      <c r="GU38" s="1174"/>
      <c r="GV38" s="1174"/>
      <c r="GW38" s="1174"/>
      <c r="GX38" s="1174"/>
      <c r="GY38" s="1174"/>
      <c r="GZ38" s="1174"/>
      <c r="HA38" s="1174"/>
      <c r="HB38" s="1174"/>
      <c r="HC38" s="1174"/>
      <c r="HD38" s="1174"/>
      <c r="HE38" s="1174"/>
      <c r="HF38" s="1174"/>
      <c r="HG38" s="1174"/>
      <c r="HH38" s="1174"/>
      <c r="HI38" s="1174"/>
      <c r="HJ38" s="1174"/>
      <c r="HK38" s="1174"/>
      <c r="HL38" s="1174"/>
      <c r="HM38" s="1174"/>
      <c r="HN38" s="1174"/>
      <c r="HO38" s="1174"/>
      <c r="HP38" s="1174"/>
      <c r="HQ38" s="1174"/>
      <c r="HR38" s="1174"/>
      <c r="HS38" s="1174"/>
      <c r="HT38" s="1174"/>
      <c r="HU38" s="1174"/>
      <c r="HV38" s="1174"/>
      <c r="HW38" s="1174"/>
      <c r="HX38" s="1174"/>
      <c r="HY38" s="1174"/>
      <c r="HZ38" s="1174"/>
      <c r="IA38" s="1174"/>
      <c r="IB38" s="1174"/>
      <c r="IC38" s="1174"/>
      <c r="ID38" s="1174"/>
      <c r="IE38" s="1174"/>
      <c r="IF38" s="1174"/>
      <c r="IG38" s="1174"/>
      <c r="IH38" s="1174"/>
      <c r="II38" s="1174"/>
      <c r="IJ38" s="1174"/>
      <c r="IK38" s="1174"/>
      <c r="IL38" s="1174"/>
      <c r="IM38" s="1174"/>
      <c r="IN38" s="1174"/>
      <c r="IO38" s="1174"/>
      <c r="IP38" s="1174"/>
      <c r="IQ38" s="1174"/>
      <c r="IR38" s="1174"/>
      <c r="IS38" s="1174"/>
      <c r="IT38" s="1174"/>
      <c r="IU38" s="1174"/>
      <c r="IV38" s="1174"/>
      <c r="IW38" s="1174"/>
      <c r="IX38" s="1174"/>
      <c r="IY38" s="1174"/>
      <c r="IZ38" s="1174"/>
      <c r="JA38" s="1174"/>
      <c r="JB38" s="1174"/>
      <c r="JC38" s="1174"/>
      <c r="JD38" s="1174"/>
      <c r="JE38" s="1174"/>
      <c r="JF38" s="1174"/>
      <c r="JG38" s="1174"/>
      <c r="JH38" s="1174"/>
      <c r="JI38" s="1174"/>
      <c r="JJ38" s="1174"/>
      <c r="JK38" s="1174"/>
      <c r="JL38" s="1174"/>
      <c r="JM38" s="1174"/>
      <c r="JN38" s="1174"/>
      <c r="JO38" s="1174"/>
      <c r="JP38" s="1174"/>
      <c r="JQ38" s="1174"/>
      <c r="JR38" s="1174"/>
      <c r="JS38" s="1174"/>
      <c r="JT38" s="1174"/>
      <c r="JU38" s="1174"/>
      <c r="JV38" s="1174"/>
      <c r="JW38" s="1174"/>
      <c r="JX38" s="1174"/>
      <c r="JY38" s="1174"/>
      <c r="JZ38" s="1174"/>
      <c r="KA38" s="1174"/>
      <c r="KB38" s="1174"/>
      <c r="KC38" s="1174"/>
      <c r="KD38" s="1174"/>
      <c r="KE38" s="1174"/>
      <c r="KF38" s="1174"/>
      <c r="KG38" s="1174"/>
      <c r="KH38" s="1174"/>
      <c r="KI38" s="1174"/>
      <c r="KJ38" s="1174"/>
      <c r="KK38" s="1174"/>
      <c r="KL38" s="1174"/>
      <c r="KM38" s="1174"/>
      <c r="KN38" s="1174"/>
      <c r="KO38" s="1174"/>
      <c r="KP38" s="1174"/>
      <c r="KQ38" s="1174"/>
      <c r="KR38" s="1174"/>
      <c r="KS38" s="1174"/>
      <c r="KT38" s="1174"/>
      <c r="KU38" s="1174"/>
      <c r="KV38" s="1174"/>
      <c r="KW38" s="1174"/>
      <c r="KX38" s="1174"/>
      <c r="KY38" s="1174"/>
      <c r="KZ38" s="1174"/>
      <c r="LA38" s="1174"/>
      <c r="LB38" s="1174"/>
      <c r="LC38" s="1174"/>
      <c r="LD38" s="1174"/>
      <c r="LE38" s="1174"/>
      <c r="LF38" s="1174"/>
      <c r="LG38" s="1174"/>
      <c r="LH38" s="1174"/>
      <c r="LI38" s="1174"/>
      <c r="LJ38" s="1174"/>
      <c r="LK38" s="1174"/>
      <c r="LL38" s="1174"/>
      <c r="LM38" s="1174"/>
      <c r="LN38" s="1174"/>
      <c r="LO38" s="1174"/>
      <c r="LP38" s="1174"/>
      <c r="LQ38" s="1174"/>
      <c r="LR38" s="1174"/>
      <c r="LS38" s="1174"/>
      <c r="LT38" s="1174"/>
      <c r="LU38" s="1174"/>
      <c r="LV38" s="1174"/>
      <c r="LW38" s="1174"/>
      <c r="LX38" s="1174"/>
      <c r="LY38" s="1174"/>
      <c r="LZ38" s="1174"/>
      <c r="MA38" s="1174"/>
      <c r="MB38" s="1174"/>
      <c r="MC38" s="1174"/>
      <c r="MD38" s="1174"/>
      <c r="ME38" s="1174"/>
      <c r="MF38" s="1174"/>
      <c r="MG38" s="1174"/>
      <c r="MH38" s="1174"/>
      <c r="MI38" s="1174"/>
      <c r="MJ38" s="1174"/>
      <c r="MK38" s="1174"/>
      <c r="ML38" s="1174"/>
      <c r="MM38" s="1174"/>
      <c r="MN38" s="1174"/>
      <c r="MO38" s="1174"/>
      <c r="MP38" s="1174"/>
      <c r="MQ38" s="1174"/>
      <c r="MR38" s="1174"/>
      <c r="MS38" s="1174"/>
      <c r="MT38" s="1174"/>
      <c r="MU38" s="1174"/>
      <c r="MV38" s="1174"/>
      <c r="MW38" s="1174"/>
      <c r="MX38" s="1174"/>
      <c r="MY38" s="1174"/>
      <c r="MZ38" s="1174"/>
      <c r="NA38" s="1174"/>
      <c r="NB38" s="1174"/>
      <c r="NC38" s="1174"/>
      <c r="ND38" s="1174"/>
      <c r="NE38" s="1174"/>
      <c r="NF38" s="1174"/>
      <c r="NG38" s="1174"/>
      <c r="NH38" s="1174"/>
      <c r="NI38" s="1174"/>
      <c r="NJ38" s="1174"/>
      <c r="NK38" s="1174"/>
      <c r="NL38" s="1174"/>
      <c r="NM38" s="1174"/>
      <c r="NN38" s="1174"/>
      <c r="NO38" s="1174"/>
      <c r="NP38" s="1174"/>
      <c r="NQ38" s="1174"/>
      <c r="NR38" s="1174"/>
      <c r="NS38" s="1174"/>
      <c r="NT38" s="1174"/>
      <c r="NU38" s="1174"/>
      <c r="NV38" s="1174"/>
      <c r="NW38" s="1174"/>
      <c r="NX38" s="1174"/>
      <c r="NY38" s="1174"/>
      <c r="NZ38" s="1174"/>
      <c r="OA38" s="1174"/>
      <c r="OB38" s="1174"/>
      <c r="OC38" s="1174"/>
      <c r="OD38" s="1174"/>
      <c r="OE38" s="1174"/>
      <c r="OF38" s="1174"/>
      <c r="OG38" s="1174"/>
      <c r="OH38" s="1174"/>
      <c r="OI38" s="1174"/>
      <c r="OJ38" s="1174"/>
      <c r="OK38" s="1174"/>
      <c r="OL38" s="1174"/>
      <c r="OM38" s="1174"/>
      <c r="ON38" s="1174"/>
      <c r="OO38" s="1174"/>
      <c r="OP38" s="1174"/>
      <c r="OQ38" s="1174"/>
      <c r="OR38" s="1174"/>
      <c r="OS38" s="1174"/>
      <c r="OT38" s="1174"/>
      <c r="OU38" s="1174"/>
    </row>
    <row r="39">
      <c r="A39" s="1175"/>
      <c r="B39" s="1176" t="s">
        <v>482</v>
      </c>
      <c r="C39" s="1177" t="s">
        <v>23</v>
      </c>
      <c r="D39" s="1178">
        <v>16366.0</v>
      </c>
      <c r="E39" s="1178">
        <v>1178.0</v>
      </c>
      <c r="F39" s="1178">
        <v>1161.0</v>
      </c>
      <c r="G39" s="1178">
        <v>1304.0</v>
      </c>
      <c r="H39" s="1178">
        <v>1263.0</v>
      </c>
      <c r="I39" s="1178">
        <v>1328.0</v>
      </c>
      <c r="J39" s="1178">
        <v>1340.0</v>
      </c>
      <c r="K39" s="1178">
        <v>1381.0</v>
      </c>
      <c r="L39" s="1178">
        <v>1440.0</v>
      </c>
      <c r="M39" s="1178">
        <v>1422.0</v>
      </c>
      <c r="N39" s="1178">
        <v>1478.0</v>
      </c>
      <c r="O39" s="1178">
        <v>1493.0</v>
      </c>
      <c r="P39" s="1178">
        <v>1579.0</v>
      </c>
      <c r="Q39" s="1178">
        <v>1086.0</v>
      </c>
      <c r="R39" s="1187">
        <v>992.0</v>
      </c>
      <c r="S39" s="1178">
        <v>1017.0</v>
      </c>
      <c r="T39" s="1178">
        <v>1002.0</v>
      </c>
      <c r="U39" s="1178">
        <v>1038.0</v>
      </c>
      <c r="V39" s="1178">
        <v>1029.0</v>
      </c>
      <c r="W39" s="1179"/>
      <c r="X39" s="1179"/>
      <c r="Y39" s="1179"/>
      <c r="Z39" s="1179"/>
      <c r="AA39" s="1179"/>
      <c r="AB39" s="1179"/>
      <c r="AC39" s="1180">
        <v>2078.0</v>
      </c>
      <c r="AD39" s="1313">
        <v>0.889</v>
      </c>
      <c r="AE39" s="1182">
        <v>0.127</v>
      </c>
      <c r="AF39" s="1314">
        <v>22.0</v>
      </c>
      <c r="AG39" s="1313">
        <v>0.596</v>
      </c>
      <c r="AH39" s="1314">
        <v>22.0</v>
      </c>
      <c r="AI39" s="1178">
        <v>3489.0</v>
      </c>
      <c r="AJ39" s="1178">
        <v>2063.0</v>
      </c>
      <c r="AK39" s="1178">
        <v>1426.0</v>
      </c>
      <c r="AL39" s="1178">
        <v>1447.0</v>
      </c>
      <c r="AM39" s="1178">
        <v>1338.0</v>
      </c>
      <c r="AN39" s="1178">
        <v>1222.0</v>
      </c>
      <c r="AO39" s="1178">
        <v>1129.0</v>
      </c>
      <c r="AP39" s="1178">
        <v>1081.0</v>
      </c>
      <c r="AQ39" s="1178">
        <v>1043.0</v>
      </c>
      <c r="AR39" s="1187">
        <v>983.0</v>
      </c>
      <c r="AS39" s="1187">
        <v>991.0</v>
      </c>
      <c r="AT39" s="1187">
        <v>964.0</v>
      </c>
      <c r="AU39" s="1187">
        <v>976.0</v>
      </c>
      <c r="AV39" s="1178">
        <v>14665.0</v>
      </c>
      <c r="AW39" s="1174"/>
      <c r="AX39" s="1174"/>
      <c r="AY39" s="1174"/>
      <c r="AZ39" s="1174"/>
      <c r="BA39" s="1174"/>
      <c r="BB39" s="1174"/>
      <c r="BC39" s="1174"/>
      <c r="BD39" s="1174"/>
      <c r="BE39" s="1174"/>
      <c r="BF39" s="1174"/>
      <c r="BG39" s="1174"/>
      <c r="BH39" s="1174"/>
      <c r="BI39" s="1174"/>
      <c r="BJ39" s="1174"/>
      <c r="BK39" s="1174"/>
      <c r="BL39" s="1174"/>
      <c r="BM39" s="1174"/>
      <c r="BN39" s="1174"/>
      <c r="BO39" s="1174"/>
      <c r="BP39" s="1174"/>
      <c r="BQ39" s="1174"/>
      <c r="BR39" s="1174"/>
      <c r="BS39" s="1174"/>
      <c r="BT39" s="1174"/>
      <c r="BU39" s="1174"/>
      <c r="BV39" s="1174"/>
      <c r="BW39" s="1174"/>
      <c r="BX39" s="1174"/>
      <c r="BY39" s="1174"/>
      <c r="BZ39" s="1174"/>
      <c r="CA39" s="1174"/>
      <c r="CB39" s="1174"/>
      <c r="CC39" s="1174"/>
      <c r="CD39" s="1174"/>
      <c r="CE39" s="1174"/>
      <c r="CF39" s="1174"/>
      <c r="CG39" s="1174"/>
      <c r="CH39" s="1174"/>
      <c r="CI39" s="1174"/>
      <c r="CJ39" s="1174"/>
      <c r="CK39" s="1174"/>
      <c r="CL39" s="1174"/>
      <c r="CM39" s="1174"/>
      <c r="CN39" s="1174"/>
      <c r="CO39" s="1174"/>
      <c r="CP39" s="1174"/>
      <c r="CQ39" s="1174"/>
      <c r="CR39" s="1174"/>
      <c r="CS39" s="1174"/>
      <c r="CT39" s="1174"/>
      <c r="CU39" s="1174"/>
      <c r="CV39" s="1174"/>
      <c r="CW39" s="1174"/>
      <c r="CX39" s="1174"/>
      <c r="CY39" s="1174"/>
      <c r="CZ39" s="1174"/>
      <c r="DA39" s="1174"/>
      <c r="DB39" s="1174"/>
      <c r="DC39" s="1174"/>
      <c r="DD39" s="1174"/>
      <c r="DE39" s="1174"/>
      <c r="DF39" s="1174"/>
      <c r="DG39" s="1174"/>
      <c r="DH39" s="1174"/>
      <c r="DI39" s="1174"/>
      <c r="DJ39" s="1174"/>
      <c r="DK39" s="1174"/>
      <c r="DL39" s="1174"/>
      <c r="DM39" s="1174"/>
      <c r="DN39" s="1174"/>
      <c r="DO39" s="1174"/>
      <c r="DP39" s="1174"/>
      <c r="DQ39" s="1174"/>
      <c r="DR39" s="1174"/>
      <c r="DS39" s="1174"/>
      <c r="DT39" s="1174"/>
      <c r="DU39" s="1174"/>
      <c r="DV39" s="1174"/>
      <c r="DW39" s="1174"/>
      <c r="DX39" s="1174"/>
      <c r="DY39" s="1174"/>
      <c r="DZ39" s="1174"/>
      <c r="EA39" s="1174"/>
      <c r="EB39" s="1174"/>
      <c r="EC39" s="1174"/>
      <c r="ED39" s="1174"/>
      <c r="EE39" s="1174"/>
      <c r="EF39" s="1174"/>
      <c r="EG39" s="1174"/>
      <c r="EH39" s="1174"/>
      <c r="EI39" s="1174"/>
      <c r="EJ39" s="1174"/>
      <c r="EK39" s="1174"/>
      <c r="EL39" s="1174"/>
      <c r="EM39" s="1174"/>
      <c r="EN39" s="1174"/>
      <c r="EO39" s="1174"/>
      <c r="EP39" s="1174"/>
      <c r="EQ39" s="1174"/>
      <c r="ER39" s="1174"/>
      <c r="ES39" s="1174"/>
      <c r="ET39" s="1174"/>
      <c r="EU39" s="1174"/>
      <c r="EV39" s="1174"/>
      <c r="EW39" s="1174"/>
      <c r="EX39" s="1174"/>
      <c r="EY39" s="1174"/>
      <c r="EZ39" s="1174"/>
      <c r="FA39" s="1174"/>
      <c r="FB39" s="1174"/>
      <c r="FC39" s="1174"/>
      <c r="FD39" s="1174"/>
      <c r="FE39" s="1174"/>
      <c r="FF39" s="1174"/>
      <c r="FG39" s="1174"/>
      <c r="FH39" s="1174"/>
      <c r="FI39" s="1174"/>
      <c r="FJ39" s="1174"/>
      <c r="FK39" s="1174"/>
      <c r="FL39" s="1174"/>
      <c r="FM39" s="1174"/>
      <c r="FN39" s="1174"/>
      <c r="FO39" s="1174"/>
      <c r="FP39" s="1174"/>
      <c r="FQ39" s="1174"/>
      <c r="FR39" s="1174"/>
      <c r="FS39" s="1174"/>
      <c r="FT39" s="1174"/>
      <c r="FU39" s="1174"/>
      <c r="FV39" s="1174"/>
      <c r="FW39" s="1174"/>
      <c r="FX39" s="1174"/>
      <c r="FY39" s="1174"/>
      <c r="FZ39" s="1174"/>
      <c r="GA39" s="1174"/>
      <c r="GB39" s="1174"/>
      <c r="GC39" s="1174"/>
      <c r="GD39" s="1174"/>
      <c r="GE39" s="1174"/>
      <c r="GF39" s="1174"/>
      <c r="GG39" s="1174"/>
      <c r="GH39" s="1174"/>
      <c r="GI39" s="1174"/>
      <c r="GJ39" s="1174"/>
      <c r="GK39" s="1174"/>
      <c r="GL39" s="1174"/>
      <c r="GM39" s="1174"/>
      <c r="GN39" s="1174"/>
      <c r="GO39" s="1174"/>
      <c r="GP39" s="1174"/>
      <c r="GQ39" s="1174"/>
      <c r="GR39" s="1174"/>
      <c r="GS39" s="1174"/>
      <c r="GT39" s="1174"/>
      <c r="GU39" s="1174"/>
      <c r="GV39" s="1174"/>
      <c r="GW39" s="1174"/>
      <c r="GX39" s="1174"/>
      <c r="GY39" s="1174"/>
      <c r="GZ39" s="1174"/>
      <c r="HA39" s="1174"/>
      <c r="HB39" s="1174"/>
      <c r="HC39" s="1174"/>
      <c r="HD39" s="1174"/>
      <c r="HE39" s="1174"/>
      <c r="HF39" s="1174"/>
      <c r="HG39" s="1174"/>
      <c r="HH39" s="1174"/>
      <c r="HI39" s="1174"/>
      <c r="HJ39" s="1174"/>
      <c r="HK39" s="1174"/>
      <c r="HL39" s="1174"/>
      <c r="HM39" s="1174"/>
      <c r="HN39" s="1174"/>
      <c r="HO39" s="1174"/>
      <c r="HP39" s="1174"/>
      <c r="HQ39" s="1174"/>
      <c r="HR39" s="1174"/>
      <c r="HS39" s="1174"/>
      <c r="HT39" s="1174"/>
      <c r="HU39" s="1174"/>
      <c r="HV39" s="1174"/>
      <c r="HW39" s="1174"/>
      <c r="HX39" s="1174"/>
      <c r="HY39" s="1174"/>
      <c r="HZ39" s="1174"/>
      <c r="IA39" s="1174"/>
      <c r="IB39" s="1174"/>
      <c r="IC39" s="1174"/>
      <c r="ID39" s="1174"/>
      <c r="IE39" s="1174"/>
      <c r="IF39" s="1174"/>
      <c r="IG39" s="1174"/>
      <c r="IH39" s="1174"/>
      <c r="II39" s="1174"/>
      <c r="IJ39" s="1174"/>
      <c r="IK39" s="1174"/>
      <c r="IL39" s="1174"/>
      <c r="IM39" s="1174"/>
      <c r="IN39" s="1174"/>
      <c r="IO39" s="1174"/>
      <c r="IP39" s="1174"/>
      <c r="IQ39" s="1174"/>
      <c r="IR39" s="1174"/>
      <c r="IS39" s="1174"/>
      <c r="IT39" s="1174"/>
      <c r="IU39" s="1174"/>
      <c r="IV39" s="1174"/>
      <c r="IW39" s="1174"/>
      <c r="IX39" s="1174"/>
      <c r="IY39" s="1174"/>
      <c r="IZ39" s="1174"/>
      <c r="JA39" s="1174"/>
      <c r="JB39" s="1174"/>
      <c r="JC39" s="1174"/>
      <c r="JD39" s="1174"/>
      <c r="JE39" s="1174"/>
      <c r="JF39" s="1174"/>
      <c r="JG39" s="1174"/>
      <c r="JH39" s="1174"/>
      <c r="JI39" s="1174"/>
      <c r="JJ39" s="1174"/>
      <c r="JK39" s="1174"/>
      <c r="JL39" s="1174"/>
      <c r="JM39" s="1174"/>
      <c r="JN39" s="1174"/>
      <c r="JO39" s="1174"/>
      <c r="JP39" s="1174"/>
      <c r="JQ39" s="1174"/>
      <c r="JR39" s="1174"/>
      <c r="JS39" s="1174"/>
      <c r="JT39" s="1174"/>
      <c r="JU39" s="1174"/>
      <c r="JV39" s="1174"/>
      <c r="JW39" s="1174"/>
      <c r="JX39" s="1174"/>
      <c r="JY39" s="1174"/>
      <c r="JZ39" s="1174"/>
      <c r="KA39" s="1174"/>
      <c r="KB39" s="1174"/>
      <c r="KC39" s="1174"/>
      <c r="KD39" s="1174"/>
      <c r="KE39" s="1174"/>
      <c r="KF39" s="1174"/>
      <c r="KG39" s="1174"/>
      <c r="KH39" s="1174"/>
      <c r="KI39" s="1174"/>
      <c r="KJ39" s="1174"/>
      <c r="KK39" s="1174"/>
      <c r="KL39" s="1174"/>
      <c r="KM39" s="1174"/>
      <c r="KN39" s="1174"/>
      <c r="KO39" s="1174"/>
      <c r="KP39" s="1174"/>
      <c r="KQ39" s="1174"/>
      <c r="KR39" s="1174"/>
      <c r="KS39" s="1174"/>
      <c r="KT39" s="1174"/>
      <c r="KU39" s="1174"/>
      <c r="KV39" s="1174"/>
      <c r="KW39" s="1174"/>
      <c r="KX39" s="1174"/>
      <c r="KY39" s="1174"/>
      <c r="KZ39" s="1174"/>
      <c r="LA39" s="1174"/>
      <c r="LB39" s="1174"/>
      <c r="LC39" s="1174"/>
      <c r="LD39" s="1174"/>
      <c r="LE39" s="1174"/>
      <c r="LF39" s="1174"/>
      <c r="LG39" s="1174"/>
      <c r="LH39" s="1174"/>
      <c r="LI39" s="1174"/>
      <c r="LJ39" s="1174"/>
      <c r="LK39" s="1174"/>
      <c r="LL39" s="1174"/>
      <c r="LM39" s="1174"/>
      <c r="LN39" s="1174"/>
      <c r="LO39" s="1174"/>
      <c r="LP39" s="1174"/>
      <c r="LQ39" s="1174"/>
      <c r="LR39" s="1174"/>
      <c r="LS39" s="1174"/>
      <c r="LT39" s="1174"/>
      <c r="LU39" s="1174"/>
      <c r="LV39" s="1174"/>
      <c r="LW39" s="1174"/>
      <c r="LX39" s="1174"/>
      <c r="LY39" s="1174"/>
      <c r="LZ39" s="1174"/>
      <c r="MA39" s="1174"/>
      <c r="MB39" s="1174"/>
      <c r="MC39" s="1174"/>
      <c r="MD39" s="1174"/>
      <c r="ME39" s="1174"/>
      <c r="MF39" s="1174"/>
      <c r="MG39" s="1174"/>
      <c r="MH39" s="1174"/>
      <c r="MI39" s="1174"/>
      <c r="MJ39" s="1174"/>
      <c r="MK39" s="1174"/>
      <c r="ML39" s="1174"/>
      <c r="MM39" s="1174"/>
      <c r="MN39" s="1174"/>
      <c r="MO39" s="1174"/>
      <c r="MP39" s="1174"/>
      <c r="MQ39" s="1174"/>
      <c r="MR39" s="1174"/>
      <c r="MS39" s="1174"/>
      <c r="MT39" s="1174"/>
      <c r="MU39" s="1174"/>
      <c r="MV39" s="1174"/>
      <c r="MW39" s="1174"/>
      <c r="MX39" s="1174"/>
      <c r="MY39" s="1174"/>
      <c r="MZ39" s="1174"/>
      <c r="NA39" s="1174"/>
      <c r="NB39" s="1174"/>
      <c r="NC39" s="1174"/>
      <c r="ND39" s="1174"/>
      <c r="NE39" s="1174"/>
      <c r="NF39" s="1174"/>
      <c r="NG39" s="1174"/>
      <c r="NH39" s="1174"/>
      <c r="NI39" s="1174"/>
      <c r="NJ39" s="1174"/>
      <c r="NK39" s="1174"/>
      <c r="NL39" s="1174"/>
      <c r="NM39" s="1174"/>
      <c r="NN39" s="1174"/>
      <c r="NO39" s="1174"/>
      <c r="NP39" s="1174"/>
      <c r="NQ39" s="1174"/>
      <c r="NR39" s="1174"/>
      <c r="NS39" s="1174"/>
      <c r="NT39" s="1174"/>
      <c r="NU39" s="1174"/>
      <c r="NV39" s="1174"/>
      <c r="NW39" s="1174"/>
      <c r="NX39" s="1174"/>
      <c r="NY39" s="1174"/>
      <c r="NZ39" s="1174"/>
      <c r="OA39" s="1174"/>
      <c r="OB39" s="1174"/>
      <c r="OC39" s="1174"/>
      <c r="OD39" s="1174"/>
      <c r="OE39" s="1174"/>
      <c r="OF39" s="1174"/>
      <c r="OG39" s="1174"/>
      <c r="OH39" s="1174"/>
      <c r="OI39" s="1174"/>
      <c r="OJ39" s="1174"/>
      <c r="OK39" s="1174"/>
      <c r="OL39" s="1174"/>
      <c r="OM39" s="1174"/>
      <c r="ON39" s="1174"/>
      <c r="OO39" s="1174"/>
      <c r="OP39" s="1174"/>
      <c r="OQ39" s="1174"/>
      <c r="OR39" s="1174"/>
      <c r="OS39" s="1174"/>
      <c r="OT39" s="1174"/>
      <c r="OU39" s="1174"/>
    </row>
    <row r="40">
      <c r="A40" s="1175"/>
      <c r="B40" s="1176" t="s">
        <v>498</v>
      </c>
      <c r="C40" s="1177" t="s">
        <v>23</v>
      </c>
      <c r="D40" s="1178">
        <v>21181.0</v>
      </c>
      <c r="E40" s="1178">
        <v>1542.0</v>
      </c>
      <c r="F40" s="1178">
        <v>1517.0</v>
      </c>
      <c r="G40" s="1178">
        <v>1700.0</v>
      </c>
      <c r="H40" s="1178">
        <v>1643.0</v>
      </c>
      <c r="I40" s="1178">
        <v>1723.0</v>
      </c>
      <c r="J40" s="1178">
        <v>1735.0</v>
      </c>
      <c r="K40" s="1178">
        <v>1785.0</v>
      </c>
      <c r="L40" s="1178">
        <v>1859.0</v>
      </c>
      <c r="M40" s="1178">
        <v>1832.0</v>
      </c>
      <c r="N40" s="1178">
        <v>1901.0</v>
      </c>
      <c r="O40" s="1178">
        <v>1917.0</v>
      </c>
      <c r="P40" s="1178">
        <v>2026.0</v>
      </c>
      <c r="Q40" s="1178">
        <v>1546.0</v>
      </c>
      <c r="R40" s="1178">
        <v>1476.0</v>
      </c>
      <c r="S40" s="1178">
        <v>1524.0</v>
      </c>
      <c r="T40" s="1178">
        <v>1521.0</v>
      </c>
      <c r="U40" s="1178">
        <v>1605.0</v>
      </c>
      <c r="V40" s="1178">
        <v>1541.0</v>
      </c>
      <c r="W40" s="1179"/>
      <c r="X40" s="1179"/>
      <c r="Y40" s="1179"/>
      <c r="Z40" s="1179"/>
      <c r="AA40" s="1179"/>
      <c r="AB40" s="1179"/>
      <c r="AC40" s="1180">
        <v>3021.0</v>
      </c>
      <c r="AD40" s="1186">
        <v>0.988</v>
      </c>
      <c r="AE40" s="1182">
        <v>0.143</v>
      </c>
      <c r="AF40" s="1183">
        <v>15.0</v>
      </c>
      <c r="AG40" s="1181">
        <v>1.044</v>
      </c>
      <c r="AH40" s="1183">
        <v>18.0</v>
      </c>
      <c r="AI40" s="1178">
        <v>2893.0</v>
      </c>
      <c r="AJ40" s="1178">
        <v>1534.0</v>
      </c>
      <c r="AK40" s="1178">
        <v>1359.0</v>
      </c>
      <c r="AL40" s="1178">
        <v>1449.0</v>
      </c>
      <c r="AM40" s="1178">
        <v>1396.0</v>
      </c>
      <c r="AN40" s="1178">
        <v>1412.0</v>
      </c>
      <c r="AO40" s="1178">
        <v>1382.0</v>
      </c>
      <c r="AP40" s="1178">
        <v>1348.0</v>
      </c>
      <c r="AQ40" s="1178">
        <v>1317.0</v>
      </c>
      <c r="AR40" s="1178">
        <v>1293.0</v>
      </c>
      <c r="AS40" s="1178">
        <v>1345.0</v>
      </c>
      <c r="AT40" s="1178">
        <v>1382.0</v>
      </c>
      <c r="AU40" s="1178">
        <v>1428.0</v>
      </c>
      <c r="AV40" s="1178">
        <v>16644.0</v>
      </c>
      <c r="AW40" s="1174"/>
      <c r="AX40" s="1174"/>
      <c r="AY40" s="1174"/>
      <c r="AZ40" s="1174"/>
      <c r="BA40" s="1174"/>
      <c r="BB40" s="1174"/>
      <c r="BC40" s="1174"/>
      <c r="BD40" s="1174"/>
      <c r="BE40" s="1174"/>
      <c r="BF40" s="1174"/>
      <c r="BG40" s="1174"/>
      <c r="BH40" s="1174"/>
      <c r="BI40" s="1174"/>
      <c r="BJ40" s="1174"/>
      <c r="BK40" s="1174"/>
      <c r="BL40" s="1174"/>
      <c r="BM40" s="1174"/>
      <c r="BN40" s="1174"/>
      <c r="BO40" s="1174"/>
      <c r="BP40" s="1174"/>
      <c r="BQ40" s="1174"/>
      <c r="BR40" s="1174"/>
      <c r="BS40" s="1174"/>
      <c r="BT40" s="1174"/>
      <c r="BU40" s="1174"/>
      <c r="BV40" s="1174"/>
      <c r="BW40" s="1174"/>
      <c r="BX40" s="1174"/>
      <c r="BY40" s="1174"/>
      <c r="BZ40" s="1174"/>
      <c r="CA40" s="1174"/>
      <c r="CB40" s="1174"/>
      <c r="CC40" s="1174"/>
      <c r="CD40" s="1174"/>
      <c r="CE40" s="1174"/>
      <c r="CF40" s="1174"/>
      <c r="CG40" s="1174"/>
      <c r="CH40" s="1174"/>
      <c r="CI40" s="1174"/>
      <c r="CJ40" s="1174"/>
      <c r="CK40" s="1174"/>
      <c r="CL40" s="1174"/>
      <c r="CM40" s="1174"/>
      <c r="CN40" s="1174"/>
      <c r="CO40" s="1174"/>
      <c r="CP40" s="1174"/>
      <c r="CQ40" s="1174"/>
      <c r="CR40" s="1174"/>
      <c r="CS40" s="1174"/>
      <c r="CT40" s="1174"/>
      <c r="CU40" s="1174"/>
      <c r="CV40" s="1174"/>
      <c r="CW40" s="1174"/>
      <c r="CX40" s="1174"/>
      <c r="CY40" s="1174"/>
      <c r="CZ40" s="1174"/>
      <c r="DA40" s="1174"/>
      <c r="DB40" s="1174"/>
      <c r="DC40" s="1174"/>
      <c r="DD40" s="1174"/>
      <c r="DE40" s="1174"/>
      <c r="DF40" s="1174"/>
      <c r="DG40" s="1174"/>
      <c r="DH40" s="1174"/>
      <c r="DI40" s="1174"/>
      <c r="DJ40" s="1174"/>
      <c r="DK40" s="1174"/>
      <c r="DL40" s="1174"/>
      <c r="DM40" s="1174"/>
      <c r="DN40" s="1174"/>
      <c r="DO40" s="1174"/>
      <c r="DP40" s="1174"/>
      <c r="DQ40" s="1174"/>
      <c r="DR40" s="1174"/>
      <c r="DS40" s="1174"/>
      <c r="DT40" s="1174"/>
      <c r="DU40" s="1174"/>
      <c r="DV40" s="1174"/>
      <c r="DW40" s="1174"/>
      <c r="DX40" s="1174"/>
      <c r="DY40" s="1174"/>
      <c r="DZ40" s="1174"/>
      <c r="EA40" s="1174"/>
      <c r="EB40" s="1174"/>
      <c r="EC40" s="1174"/>
      <c r="ED40" s="1174"/>
      <c r="EE40" s="1174"/>
      <c r="EF40" s="1174"/>
      <c r="EG40" s="1174"/>
      <c r="EH40" s="1174"/>
      <c r="EI40" s="1174"/>
      <c r="EJ40" s="1174"/>
      <c r="EK40" s="1174"/>
      <c r="EL40" s="1174"/>
      <c r="EM40" s="1174"/>
      <c r="EN40" s="1174"/>
      <c r="EO40" s="1174"/>
      <c r="EP40" s="1174"/>
      <c r="EQ40" s="1174"/>
      <c r="ER40" s="1174"/>
      <c r="ES40" s="1174"/>
      <c r="ET40" s="1174"/>
      <c r="EU40" s="1174"/>
      <c r="EV40" s="1174"/>
      <c r="EW40" s="1174"/>
      <c r="EX40" s="1174"/>
      <c r="EY40" s="1174"/>
      <c r="EZ40" s="1174"/>
      <c r="FA40" s="1174"/>
      <c r="FB40" s="1174"/>
      <c r="FC40" s="1174"/>
      <c r="FD40" s="1174"/>
      <c r="FE40" s="1174"/>
      <c r="FF40" s="1174"/>
      <c r="FG40" s="1174"/>
      <c r="FH40" s="1174"/>
      <c r="FI40" s="1174"/>
      <c r="FJ40" s="1174"/>
      <c r="FK40" s="1174"/>
      <c r="FL40" s="1174"/>
      <c r="FM40" s="1174"/>
      <c r="FN40" s="1174"/>
      <c r="FO40" s="1174"/>
      <c r="FP40" s="1174"/>
      <c r="FQ40" s="1174"/>
      <c r="FR40" s="1174"/>
      <c r="FS40" s="1174"/>
      <c r="FT40" s="1174"/>
      <c r="FU40" s="1174"/>
      <c r="FV40" s="1174"/>
      <c r="FW40" s="1174"/>
      <c r="FX40" s="1174"/>
      <c r="FY40" s="1174"/>
      <c r="FZ40" s="1174"/>
      <c r="GA40" s="1174"/>
      <c r="GB40" s="1174"/>
      <c r="GC40" s="1174"/>
      <c r="GD40" s="1174"/>
      <c r="GE40" s="1174"/>
      <c r="GF40" s="1174"/>
      <c r="GG40" s="1174"/>
      <c r="GH40" s="1174"/>
      <c r="GI40" s="1174"/>
      <c r="GJ40" s="1174"/>
      <c r="GK40" s="1174"/>
      <c r="GL40" s="1174"/>
      <c r="GM40" s="1174"/>
      <c r="GN40" s="1174"/>
      <c r="GO40" s="1174"/>
      <c r="GP40" s="1174"/>
      <c r="GQ40" s="1174"/>
      <c r="GR40" s="1174"/>
      <c r="GS40" s="1174"/>
      <c r="GT40" s="1174"/>
      <c r="GU40" s="1174"/>
      <c r="GV40" s="1174"/>
      <c r="GW40" s="1174"/>
      <c r="GX40" s="1174"/>
      <c r="GY40" s="1174"/>
      <c r="GZ40" s="1174"/>
      <c r="HA40" s="1174"/>
      <c r="HB40" s="1174"/>
      <c r="HC40" s="1174"/>
      <c r="HD40" s="1174"/>
      <c r="HE40" s="1174"/>
      <c r="HF40" s="1174"/>
      <c r="HG40" s="1174"/>
      <c r="HH40" s="1174"/>
      <c r="HI40" s="1174"/>
      <c r="HJ40" s="1174"/>
      <c r="HK40" s="1174"/>
      <c r="HL40" s="1174"/>
      <c r="HM40" s="1174"/>
      <c r="HN40" s="1174"/>
      <c r="HO40" s="1174"/>
      <c r="HP40" s="1174"/>
      <c r="HQ40" s="1174"/>
      <c r="HR40" s="1174"/>
      <c r="HS40" s="1174"/>
      <c r="HT40" s="1174"/>
      <c r="HU40" s="1174"/>
      <c r="HV40" s="1174"/>
      <c r="HW40" s="1174"/>
      <c r="HX40" s="1174"/>
      <c r="HY40" s="1174"/>
      <c r="HZ40" s="1174"/>
      <c r="IA40" s="1174"/>
      <c r="IB40" s="1174"/>
      <c r="IC40" s="1174"/>
      <c r="ID40" s="1174"/>
      <c r="IE40" s="1174"/>
      <c r="IF40" s="1174"/>
      <c r="IG40" s="1174"/>
      <c r="IH40" s="1174"/>
      <c r="II40" s="1174"/>
      <c r="IJ40" s="1174"/>
      <c r="IK40" s="1174"/>
      <c r="IL40" s="1174"/>
      <c r="IM40" s="1174"/>
      <c r="IN40" s="1174"/>
      <c r="IO40" s="1174"/>
      <c r="IP40" s="1174"/>
      <c r="IQ40" s="1174"/>
      <c r="IR40" s="1174"/>
      <c r="IS40" s="1174"/>
      <c r="IT40" s="1174"/>
      <c r="IU40" s="1174"/>
      <c r="IV40" s="1174"/>
      <c r="IW40" s="1174"/>
      <c r="IX40" s="1174"/>
      <c r="IY40" s="1174"/>
      <c r="IZ40" s="1174"/>
      <c r="JA40" s="1174"/>
      <c r="JB40" s="1174"/>
      <c r="JC40" s="1174"/>
      <c r="JD40" s="1174"/>
      <c r="JE40" s="1174"/>
      <c r="JF40" s="1174"/>
      <c r="JG40" s="1174"/>
      <c r="JH40" s="1174"/>
      <c r="JI40" s="1174"/>
      <c r="JJ40" s="1174"/>
      <c r="JK40" s="1174"/>
      <c r="JL40" s="1174"/>
      <c r="JM40" s="1174"/>
      <c r="JN40" s="1174"/>
      <c r="JO40" s="1174"/>
      <c r="JP40" s="1174"/>
      <c r="JQ40" s="1174"/>
      <c r="JR40" s="1174"/>
      <c r="JS40" s="1174"/>
      <c r="JT40" s="1174"/>
      <c r="JU40" s="1174"/>
      <c r="JV40" s="1174"/>
      <c r="JW40" s="1174"/>
      <c r="JX40" s="1174"/>
      <c r="JY40" s="1174"/>
      <c r="JZ40" s="1174"/>
      <c r="KA40" s="1174"/>
      <c r="KB40" s="1174"/>
      <c r="KC40" s="1174"/>
      <c r="KD40" s="1174"/>
      <c r="KE40" s="1174"/>
      <c r="KF40" s="1174"/>
      <c r="KG40" s="1174"/>
      <c r="KH40" s="1174"/>
      <c r="KI40" s="1174"/>
      <c r="KJ40" s="1174"/>
      <c r="KK40" s="1174"/>
      <c r="KL40" s="1174"/>
      <c r="KM40" s="1174"/>
      <c r="KN40" s="1174"/>
      <c r="KO40" s="1174"/>
      <c r="KP40" s="1174"/>
      <c r="KQ40" s="1174"/>
      <c r="KR40" s="1174"/>
      <c r="KS40" s="1174"/>
      <c r="KT40" s="1174"/>
      <c r="KU40" s="1174"/>
      <c r="KV40" s="1174"/>
      <c r="KW40" s="1174"/>
      <c r="KX40" s="1174"/>
      <c r="KY40" s="1174"/>
      <c r="KZ40" s="1174"/>
      <c r="LA40" s="1174"/>
      <c r="LB40" s="1174"/>
      <c r="LC40" s="1174"/>
      <c r="LD40" s="1174"/>
      <c r="LE40" s="1174"/>
      <c r="LF40" s="1174"/>
      <c r="LG40" s="1174"/>
      <c r="LH40" s="1174"/>
      <c r="LI40" s="1174"/>
      <c r="LJ40" s="1174"/>
      <c r="LK40" s="1174"/>
      <c r="LL40" s="1174"/>
      <c r="LM40" s="1174"/>
      <c r="LN40" s="1174"/>
      <c r="LO40" s="1174"/>
      <c r="LP40" s="1174"/>
      <c r="LQ40" s="1174"/>
      <c r="LR40" s="1174"/>
      <c r="LS40" s="1174"/>
      <c r="LT40" s="1174"/>
      <c r="LU40" s="1174"/>
      <c r="LV40" s="1174"/>
      <c r="LW40" s="1174"/>
      <c r="LX40" s="1174"/>
      <c r="LY40" s="1174"/>
      <c r="LZ40" s="1174"/>
      <c r="MA40" s="1174"/>
      <c r="MB40" s="1174"/>
      <c r="MC40" s="1174"/>
      <c r="MD40" s="1174"/>
      <c r="ME40" s="1174"/>
      <c r="MF40" s="1174"/>
      <c r="MG40" s="1174"/>
      <c r="MH40" s="1174"/>
      <c r="MI40" s="1174"/>
      <c r="MJ40" s="1174"/>
      <c r="MK40" s="1174"/>
      <c r="ML40" s="1174"/>
      <c r="MM40" s="1174"/>
      <c r="MN40" s="1174"/>
      <c r="MO40" s="1174"/>
      <c r="MP40" s="1174"/>
      <c r="MQ40" s="1174"/>
      <c r="MR40" s="1174"/>
      <c r="MS40" s="1174"/>
      <c r="MT40" s="1174"/>
      <c r="MU40" s="1174"/>
      <c r="MV40" s="1174"/>
      <c r="MW40" s="1174"/>
      <c r="MX40" s="1174"/>
      <c r="MY40" s="1174"/>
      <c r="MZ40" s="1174"/>
      <c r="NA40" s="1174"/>
      <c r="NB40" s="1174"/>
      <c r="NC40" s="1174"/>
      <c r="ND40" s="1174"/>
      <c r="NE40" s="1174"/>
      <c r="NF40" s="1174"/>
      <c r="NG40" s="1174"/>
      <c r="NH40" s="1174"/>
      <c r="NI40" s="1174"/>
      <c r="NJ40" s="1174"/>
      <c r="NK40" s="1174"/>
      <c r="NL40" s="1174"/>
      <c r="NM40" s="1174"/>
      <c r="NN40" s="1174"/>
      <c r="NO40" s="1174"/>
      <c r="NP40" s="1174"/>
      <c r="NQ40" s="1174"/>
      <c r="NR40" s="1174"/>
      <c r="NS40" s="1174"/>
      <c r="NT40" s="1174"/>
      <c r="NU40" s="1174"/>
      <c r="NV40" s="1174"/>
      <c r="NW40" s="1174"/>
      <c r="NX40" s="1174"/>
      <c r="NY40" s="1174"/>
      <c r="NZ40" s="1174"/>
      <c r="OA40" s="1174"/>
      <c r="OB40" s="1174"/>
      <c r="OC40" s="1174"/>
      <c r="OD40" s="1174"/>
      <c r="OE40" s="1174"/>
      <c r="OF40" s="1174"/>
      <c r="OG40" s="1174"/>
      <c r="OH40" s="1174"/>
      <c r="OI40" s="1174"/>
      <c r="OJ40" s="1174"/>
      <c r="OK40" s="1174"/>
      <c r="OL40" s="1174"/>
      <c r="OM40" s="1174"/>
      <c r="ON40" s="1174"/>
      <c r="OO40" s="1174"/>
      <c r="OP40" s="1174"/>
      <c r="OQ40" s="1174"/>
      <c r="OR40" s="1174"/>
      <c r="OS40" s="1174"/>
      <c r="OT40" s="1174"/>
      <c r="OU40" s="1174"/>
    </row>
    <row r="41">
      <c r="A41" s="1175"/>
      <c r="B41" s="1176" t="s">
        <v>495</v>
      </c>
      <c r="C41" s="1177" t="s">
        <v>23</v>
      </c>
      <c r="D41" s="1178">
        <v>21601.0</v>
      </c>
      <c r="E41" s="1178">
        <v>1578.0</v>
      </c>
      <c r="F41" s="1178">
        <v>1551.0</v>
      </c>
      <c r="G41" s="1178">
        <v>1738.0</v>
      </c>
      <c r="H41" s="1178">
        <v>1678.0</v>
      </c>
      <c r="I41" s="1178">
        <v>1759.0</v>
      </c>
      <c r="J41" s="1178">
        <v>1770.0</v>
      </c>
      <c r="K41" s="1178">
        <v>1820.0</v>
      </c>
      <c r="L41" s="1178">
        <v>1895.0</v>
      </c>
      <c r="M41" s="1178">
        <v>1866.0</v>
      </c>
      <c r="N41" s="1178">
        <v>1935.0</v>
      </c>
      <c r="O41" s="1178">
        <v>1950.0</v>
      </c>
      <c r="P41" s="1178">
        <v>2061.0</v>
      </c>
      <c r="Q41" s="1178">
        <v>1570.0</v>
      </c>
      <c r="R41" s="1178">
        <v>1557.0</v>
      </c>
      <c r="S41" s="1178">
        <v>1548.0</v>
      </c>
      <c r="T41" s="1178">
        <v>1535.0</v>
      </c>
      <c r="U41" s="1178">
        <v>1602.0</v>
      </c>
      <c r="V41" s="1178">
        <v>1573.0</v>
      </c>
      <c r="W41" s="1179"/>
      <c r="X41" s="1179"/>
      <c r="Y41" s="1179"/>
      <c r="Z41" s="1179"/>
      <c r="AA41" s="1179"/>
      <c r="AB41" s="1179"/>
      <c r="AC41" s="1180">
        <v>3127.0</v>
      </c>
      <c r="AD41" s="1186">
        <v>0.999</v>
      </c>
      <c r="AE41" s="1182">
        <v>0.145</v>
      </c>
      <c r="AF41" s="1183">
        <v>14.0</v>
      </c>
      <c r="AG41" s="1181">
        <v>1.139</v>
      </c>
      <c r="AH41" s="1183">
        <v>12.0</v>
      </c>
      <c r="AI41" s="1178">
        <v>2745.0</v>
      </c>
      <c r="AJ41" s="1178">
        <v>1454.0</v>
      </c>
      <c r="AK41" s="1178">
        <v>1291.0</v>
      </c>
      <c r="AL41" s="1178">
        <v>1364.0</v>
      </c>
      <c r="AM41" s="1178">
        <v>1320.0</v>
      </c>
      <c r="AN41" s="1178">
        <v>1357.0</v>
      </c>
      <c r="AO41" s="1178">
        <v>1324.0</v>
      </c>
      <c r="AP41" s="1178">
        <v>1312.0</v>
      </c>
      <c r="AQ41" s="1178">
        <v>1286.0</v>
      </c>
      <c r="AR41" s="1178">
        <v>1228.0</v>
      </c>
      <c r="AS41" s="1178">
        <v>1302.0</v>
      </c>
      <c r="AT41" s="1178">
        <v>1340.0</v>
      </c>
      <c r="AU41" s="1178">
        <v>1381.0</v>
      </c>
      <c r="AV41" s="1178">
        <v>15958.0</v>
      </c>
      <c r="AW41" s="1174"/>
      <c r="AX41" s="1174"/>
      <c r="AY41" s="1174"/>
      <c r="AZ41" s="1174"/>
      <c r="BA41" s="1174"/>
      <c r="BB41" s="1174"/>
      <c r="BC41" s="1174"/>
      <c r="BD41" s="1174"/>
      <c r="BE41" s="1174"/>
      <c r="BF41" s="1174"/>
      <c r="BG41" s="1174"/>
      <c r="BH41" s="1174"/>
      <c r="BI41" s="1174"/>
      <c r="BJ41" s="1174"/>
      <c r="BK41" s="1174"/>
      <c r="BL41" s="1174"/>
      <c r="BM41" s="1174"/>
      <c r="BN41" s="1174"/>
      <c r="BO41" s="1174"/>
      <c r="BP41" s="1174"/>
      <c r="BQ41" s="1174"/>
      <c r="BR41" s="1174"/>
      <c r="BS41" s="1174"/>
      <c r="BT41" s="1174"/>
      <c r="BU41" s="1174"/>
      <c r="BV41" s="1174"/>
      <c r="BW41" s="1174"/>
      <c r="BX41" s="1174"/>
      <c r="BY41" s="1174"/>
      <c r="BZ41" s="1174"/>
      <c r="CA41" s="1174"/>
      <c r="CB41" s="1174"/>
      <c r="CC41" s="1174"/>
      <c r="CD41" s="1174"/>
      <c r="CE41" s="1174"/>
      <c r="CF41" s="1174"/>
      <c r="CG41" s="1174"/>
      <c r="CH41" s="1174"/>
      <c r="CI41" s="1174"/>
      <c r="CJ41" s="1174"/>
      <c r="CK41" s="1174"/>
      <c r="CL41" s="1174"/>
      <c r="CM41" s="1174"/>
      <c r="CN41" s="1174"/>
      <c r="CO41" s="1174"/>
      <c r="CP41" s="1174"/>
      <c r="CQ41" s="1174"/>
      <c r="CR41" s="1174"/>
      <c r="CS41" s="1174"/>
      <c r="CT41" s="1174"/>
      <c r="CU41" s="1174"/>
      <c r="CV41" s="1174"/>
      <c r="CW41" s="1174"/>
      <c r="CX41" s="1174"/>
      <c r="CY41" s="1174"/>
      <c r="CZ41" s="1174"/>
      <c r="DA41" s="1174"/>
      <c r="DB41" s="1174"/>
      <c r="DC41" s="1174"/>
      <c r="DD41" s="1174"/>
      <c r="DE41" s="1174"/>
      <c r="DF41" s="1174"/>
      <c r="DG41" s="1174"/>
      <c r="DH41" s="1174"/>
      <c r="DI41" s="1174"/>
      <c r="DJ41" s="1174"/>
      <c r="DK41" s="1174"/>
      <c r="DL41" s="1174"/>
      <c r="DM41" s="1174"/>
      <c r="DN41" s="1174"/>
      <c r="DO41" s="1174"/>
      <c r="DP41" s="1174"/>
      <c r="DQ41" s="1174"/>
      <c r="DR41" s="1174"/>
      <c r="DS41" s="1174"/>
      <c r="DT41" s="1174"/>
      <c r="DU41" s="1174"/>
      <c r="DV41" s="1174"/>
      <c r="DW41" s="1174"/>
      <c r="DX41" s="1174"/>
      <c r="DY41" s="1174"/>
      <c r="DZ41" s="1174"/>
      <c r="EA41" s="1174"/>
      <c r="EB41" s="1174"/>
      <c r="EC41" s="1174"/>
      <c r="ED41" s="1174"/>
      <c r="EE41" s="1174"/>
      <c r="EF41" s="1174"/>
      <c r="EG41" s="1174"/>
      <c r="EH41" s="1174"/>
      <c r="EI41" s="1174"/>
      <c r="EJ41" s="1174"/>
      <c r="EK41" s="1174"/>
      <c r="EL41" s="1174"/>
      <c r="EM41" s="1174"/>
      <c r="EN41" s="1174"/>
      <c r="EO41" s="1174"/>
      <c r="EP41" s="1174"/>
      <c r="EQ41" s="1174"/>
      <c r="ER41" s="1174"/>
      <c r="ES41" s="1174"/>
      <c r="ET41" s="1174"/>
      <c r="EU41" s="1174"/>
      <c r="EV41" s="1174"/>
      <c r="EW41" s="1174"/>
      <c r="EX41" s="1174"/>
      <c r="EY41" s="1174"/>
      <c r="EZ41" s="1174"/>
      <c r="FA41" s="1174"/>
      <c r="FB41" s="1174"/>
      <c r="FC41" s="1174"/>
      <c r="FD41" s="1174"/>
      <c r="FE41" s="1174"/>
      <c r="FF41" s="1174"/>
      <c r="FG41" s="1174"/>
      <c r="FH41" s="1174"/>
      <c r="FI41" s="1174"/>
      <c r="FJ41" s="1174"/>
      <c r="FK41" s="1174"/>
      <c r="FL41" s="1174"/>
      <c r="FM41" s="1174"/>
      <c r="FN41" s="1174"/>
      <c r="FO41" s="1174"/>
      <c r="FP41" s="1174"/>
      <c r="FQ41" s="1174"/>
      <c r="FR41" s="1174"/>
      <c r="FS41" s="1174"/>
      <c r="FT41" s="1174"/>
      <c r="FU41" s="1174"/>
      <c r="FV41" s="1174"/>
      <c r="FW41" s="1174"/>
      <c r="FX41" s="1174"/>
      <c r="FY41" s="1174"/>
      <c r="FZ41" s="1174"/>
      <c r="GA41" s="1174"/>
      <c r="GB41" s="1174"/>
      <c r="GC41" s="1174"/>
      <c r="GD41" s="1174"/>
      <c r="GE41" s="1174"/>
      <c r="GF41" s="1174"/>
      <c r="GG41" s="1174"/>
      <c r="GH41" s="1174"/>
      <c r="GI41" s="1174"/>
      <c r="GJ41" s="1174"/>
      <c r="GK41" s="1174"/>
      <c r="GL41" s="1174"/>
      <c r="GM41" s="1174"/>
      <c r="GN41" s="1174"/>
      <c r="GO41" s="1174"/>
      <c r="GP41" s="1174"/>
      <c r="GQ41" s="1174"/>
      <c r="GR41" s="1174"/>
      <c r="GS41" s="1174"/>
      <c r="GT41" s="1174"/>
      <c r="GU41" s="1174"/>
      <c r="GV41" s="1174"/>
      <c r="GW41" s="1174"/>
      <c r="GX41" s="1174"/>
      <c r="GY41" s="1174"/>
      <c r="GZ41" s="1174"/>
      <c r="HA41" s="1174"/>
      <c r="HB41" s="1174"/>
      <c r="HC41" s="1174"/>
      <c r="HD41" s="1174"/>
      <c r="HE41" s="1174"/>
      <c r="HF41" s="1174"/>
      <c r="HG41" s="1174"/>
      <c r="HH41" s="1174"/>
      <c r="HI41" s="1174"/>
      <c r="HJ41" s="1174"/>
      <c r="HK41" s="1174"/>
      <c r="HL41" s="1174"/>
      <c r="HM41" s="1174"/>
      <c r="HN41" s="1174"/>
      <c r="HO41" s="1174"/>
      <c r="HP41" s="1174"/>
      <c r="HQ41" s="1174"/>
      <c r="HR41" s="1174"/>
      <c r="HS41" s="1174"/>
      <c r="HT41" s="1174"/>
      <c r="HU41" s="1174"/>
      <c r="HV41" s="1174"/>
      <c r="HW41" s="1174"/>
      <c r="HX41" s="1174"/>
      <c r="HY41" s="1174"/>
      <c r="HZ41" s="1174"/>
      <c r="IA41" s="1174"/>
      <c r="IB41" s="1174"/>
      <c r="IC41" s="1174"/>
      <c r="ID41" s="1174"/>
      <c r="IE41" s="1174"/>
      <c r="IF41" s="1174"/>
      <c r="IG41" s="1174"/>
      <c r="IH41" s="1174"/>
      <c r="II41" s="1174"/>
      <c r="IJ41" s="1174"/>
      <c r="IK41" s="1174"/>
      <c r="IL41" s="1174"/>
      <c r="IM41" s="1174"/>
      <c r="IN41" s="1174"/>
      <c r="IO41" s="1174"/>
      <c r="IP41" s="1174"/>
      <c r="IQ41" s="1174"/>
      <c r="IR41" s="1174"/>
      <c r="IS41" s="1174"/>
      <c r="IT41" s="1174"/>
      <c r="IU41" s="1174"/>
      <c r="IV41" s="1174"/>
      <c r="IW41" s="1174"/>
      <c r="IX41" s="1174"/>
      <c r="IY41" s="1174"/>
      <c r="IZ41" s="1174"/>
      <c r="JA41" s="1174"/>
      <c r="JB41" s="1174"/>
      <c r="JC41" s="1174"/>
      <c r="JD41" s="1174"/>
      <c r="JE41" s="1174"/>
      <c r="JF41" s="1174"/>
      <c r="JG41" s="1174"/>
      <c r="JH41" s="1174"/>
      <c r="JI41" s="1174"/>
      <c r="JJ41" s="1174"/>
      <c r="JK41" s="1174"/>
      <c r="JL41" s="1174"/>
      <c r="JM41" s="1174"/>
      <c r="JN41" s="1174"/>
      <c r="JO41" s="1174"/>
      <c r="JP41" s="1174"/>
      <c r="JQ41" s="1174"/>
      <c r="JR41" s="1174"/>
      <c r="JS41" s="1174"/>
      <c r="JT41" s="1174"/>
      <c r="JU41" s="1174"/>
      <c r="JV41" s="1174"/>
      <c r="JW41" s="1174"/>
      <c r="JX41" s="1174"/>
      <c r="JY41" s="1174"/>
      <c r="JZ41" s="1174"/>
      <c r="KA41" s="1174"/>
      <c r="KB41" s="1174"/>
      <c r="KC41" s="1174"/>
      <c r="KD41" s="1174"/>
      <c r="KE41" s="1174"/>
      <c r="KF41" s="1174"/>
      <c r="KG41" s="1174"/>
      <c r="KH41" s="1174"/>
      <c r="KI41" s="1174"/>
      <c r="KJ41" s="1174"/>
      <c r="KK41" s="1174"/>
      <c r="KL41" s="1174"/>
      <c r="KM41" s="1174"/>
      <c r="KN41" s="1174"/>
      <c r="KO41" s="1174"/>
      <c r="KP41" s="1174"/>
      <c r="KQ41" s="1174"/>
      <c r="KR41" s="1174"/>
      <c r="KS41" s="1174"/>
      <c r="KT41" s="1174"/>
      <c r="KU41" s="1174"/>
      <c r="KV41" s="1174"/>
      <c r="KW41" s="1174"/>
      <c r="KX41" s="1174"/>
      <c r="KY41" s="1174"/>
      <c r="KZ41" s="1174"/>
      <c r="LA41" s="1174"/>
      <c r="LB41" s="1174"/>
      <c r="LC41" s="1174"/>
      <c r="LD41" s="1174"/>
      <c r="LE41" s="1174"/>
      <c r="LF41" s="1174"/>
      <c r="LG41" s="1174"/>
      <c r="LH41" s="1174"/>
      <c r="LI41" s="1174"/>
      <c r="LJ41" s="1174"/>
      <c r="LK41" s="1174"/>
      <c r="LL41" s="1174"/>
      <c r="LM41" s="1174"/>
      <c r="LN41" s="1174"/>
      <c r="LO41" s="1174"/>
      <c r="LP41" s="1174"/>
      <c r="LQ41" s="1174"/>
      <c r="LR41" s="1174"/>
      <c r="LS41" s="1174"/>
      <c r="LT41" s="1174"/>
      <c r="LU41" s="1174"/>
      <c r="LV41" s="1174"/>
      <c r="LW41" s="1174"/>
      <c r="LX41" s="1174"/>
      <c r="LY41" s="1174"/>
      <c r="LZ41" s="1174"/>
      <c r="MA41" s="1174"/>
      <c r="MB41" s="1174"/>
      <c r="MC41" s="1174"/>
      <c r="MD41" s="1174"/>
      <c r="ME41" s="1174"/>
      <c r="MF41" s="1174"/>
      <c r="MG41" s="1174"/>
      <c r="MH41" s="1174"/>
      <c r="MI41" s="1174"/>
      <c r="MJ41" s="1174"/>
      <c r="MK41" s="1174"/>
      <c r="ML41" s="1174"/>
      <c r="MM41" s="1174"/>
      <c r="MN41" s="1174"/>
      <c r="MO41" s="1174"/>
      <c r="MP41" s="1174"/>
      <c r="MQ41" s="1174"/>
      <c r="MR41" s="1174"/>
      <c r="MS41" s="1174"/>
      <c r="MT41" s="1174"/>
      <c r="MU41" s="1174"/>
      <c r="MV41" s="1174"/>
      <c r="MW41" s="1174"/>
      <c r="MX41" s="1174"/>
      <c r="MY41" s="1174"/>
      <c r="MZ41" s="1174"/>
      <c r="NA41" s="1174"/>
      <c r="NB41" s="1174"/>
      <c r="NC41" s="1174"/>
      <c r="ND41" s="1174"/>
      <c r="NE41" s="1174"/>
      <c r="NF41" s="1174"/>
      <c r="NG41" s="1174"/>
      <c r="NH41" s="1174"/>
      <c r="NI41" s="1174"/>
      <c r="NJ41" s="1174"/>
      <c r="NK41" s="1174"/>
      <c r="NL41" s="1174"/>
      <c r="NM41" s="1174"/>
      <c r="NN41" s="1174"/>
      <c r="NO41" s="1174"/>
      <c r="NP41" s="1174"/>
      <c r="NQ41" s="1174"/>
      <c r="NR41" s="1174"/>
      <c r="NS41" s="1174"/>
      <c r="NT41" s="1174"/>
      <c r="NU41" s="1174"/>
      <c r="NV41" s="1174"/>
      <c r="NW41" s="1174"/>
      <c r="NX41" s="1174"/>
      <c r="NY41" s="1174"/>
      <c r="NZ41" s="1174"/>
      <c r="OA41" s="1174"/>
      <c r="OB41" s="1174"/>
      <c r="OC41" s="1174"/>
      <c r="OD41" s="1174"/>
      <c r="OE41" s="1174"/>
      <c r="OF41" s="1174"/>
      <c r="OG41" s="1174"/>
      <c r="OH41" s="1174"/>
      <c r="OI41" s="1174"/>
      <c r="OJ41" s="1174"/>
      <c r="OK41" s="1174"/>
      <c r="OL41" s="1174"/>
      <c r="OM41" s="1174"/>
      <c r="ON41" s="1174"/>
      <c r="OO41" s="1174"/>
      <c r="OP41" s="1174"/>
      <c r="OQ41" s="1174"/>
      <c r="OR41" s="1174"/>
      <c r="OS41" s="1174"/>
      <c r="OT41" s="1174"/>
      <c r="OU41" s="1174"/>
    </row>
    <row r="42">
      <c r="A42" s="1175"/>
      <c r="B42" s="1176" t="s">
        <v>44</v>
      </c>
      <c r="C42" s="1177" t="s">
        <v>23</v>
      </c>
      <c r="D42" s="1178">
        <v>29819.0</v>
      </c>
      <c r="E42" s="1178">
        <v>2211.0</v>
      </c>
      <c r="F42" s="1178">
        <v>2165.0</v>
      </c>
      <c r="G42" s="1178">
        <v>2421.0</v>
      </c>
      <c r="H42" s="1178">
        <v>2330.0</v>
      </c>
      <c r="I42" s="1178">
        <v>2438.0</v>
      </c>
      <c r="J42" s="1178">
        <v>2447.0</v>
      </c>
      <c r="K42" s="1178">
        <v>2510.0</v>
      </c>
      <c r="L42" s="1178">
        <v>2608.0</v>
      </c>
      <c r="M42" s="1178">
        <v>2560.0</v>
      </c>
      <c r="N42" s="1178">
        <v>2651.0</v>
      </c>
      <c r="O42" s="1178">
        <v>2665.0</v>
      </c>
      <c r="P42" s="1178">
        <v>2814.0</v>
      </c>
      <c r="Q42" s="1178">
        <v>2149.0</v>
      </c>
      <c r="R42" s="1178">
        <v>2041.0</v>
      </c>
      <c r="S42" s="1178">
        <v>2121.0</v>
      </c>
      <c r="T42" s="1178">
        <v>2113.0</v>
      </c>
      <c r="U42" s="1178">
        <v>2168.0</v>
      </c>
      <c r="V42" s="1178">
        <v>2146.0</v>
      </c>
      <c r="W42" s="1179"/>
      <c r="X42" s="1179"/>
      <c r="Y42" s="1179"/>
      <c r="Z42" s="1179"/>
      <c r="AA42" s="1179"/>
      <c r="AB42" s="1179"/>
      <c r="AC42" s="1180">
        <v>4190.0</v>
      </c>
      <c r="AD42" s="1186">
        <v>0.958</v>
      </c>
      <c r="AE42" s="1182">
        <v>0.141</v>
      </c>
      <c r="AF42" s="1183">
        <v>16.0</v>
      </c>
      <c r="AG42" s="1186">
        <v>0.987</v>
      </c>
      <c r="AH42" s="1314">
        <v>20.0</v>
      </c>
      <c r="AI42" s="1178">
        <v>4245.0</v>
      </c>
      <c r="AJ42" s="1178">
        <v>2254.0</v>
      </c>
      <c r="AK42" s="1178">
        <v>1991.0</v>
      </c>
      <c r="AL42" s="1178">
        <v>2078.0</v>
      </c>
      <c r="AM42" s="1178">
        <v>2023.0</v>
      </c>
      <c r="AN42" s="1178">
        <v>2040.0</v>
      </c>
      <c r="AO42" s="1178">
        <v>1980.0</v>
      </c>
      <c r="AP42" s="1178">
        <v>1982.0</v>
      </c>
      <c r="AQ42" s="1178">
        <v>1931.0</v>
      </c>
      <c r="AR42" s="1178">
        <v>1858.0</v>
      </c>
      <c r="AS42" s="1178">
        <v>1960.0</v>
      </c>
      <c r="AT42" s="1178">
        <v>1890.0</v>
      </c>
      <c r="AU42" s="1178">
        <v>1958.0</v>
      </c>
      <c r="AV42" s="1178">
        <v>23943.0</v>
      </c>
      <c r="AW42" s="1174"/>
      <c r="AX42" s="1174"/>
      <c r="AY42" s="1174"/>
      <c r="AZ42" s="1174"/>
      <c r="BA42" s="1174"/>
      <c r="BB42" s="1174"/>
      <c r="BC42" s="1174"/>
      <c r="BD42" s="1174"/>
      <c r="BE42" s="1174"/>
      <c r="BF42" s="1174"/>
      <c r="BG42" s="1174"/>
      <c r="BH42" s="1174"/>
      <c r="BI42" s="1174"/>
      <c r="BJ42" s="1174"/>
      <c r="BK42" s="1174"/>
      <c r="BL42" s="1174"/>
      <c r="BM42" s="1174"/>
      <c r="BN42" s="1174"/>
      <c r="BO42" s="1174"/>
      <c r="BP42" s="1174"/>
      <c r="BQ42" s="1174"/>
      <c r="BR42" s="1174"/>
      <c r="BS42" s="1174"/>
      <c r="BT42" s="1174"/>
      <c r="BU42" s="1174"/>
      <c r="BV42" s="1174"/>
      <c r="BW42" s="1174"/>
      <c r="BX42" s="1174"/>
      <c r="BY42" s="1174"/>
      <c r="BZ42" s="1174"/>
      <c r="CA42" s="1174"/>
      <c r="CB42" s="1174"/>
      <c r="CC42" s="1174"/>
      <c r="CD42" s="1174"/>
      <c r="CE42" s="1174"/>
      <c r="CF42" s="1174"/>
      <c r="CG42" s="1174"/>
      <c r="CH42" s="1174"/>
      <c r="CI42" s="1174"/>
      <c r="CJ42" s="1174"/>
      <c r="CK42" s="1174"/>
      <c r="CL42" s="1174"/>
      <c r="CM42" s="1174"/>
      <c r="CN42" s="1174"/>
      <c r="CO42" s="1174"/>
      <c r="CP42" s="1174"/>
      <c r="CQ42" s="1174"/>
      <c r="CR42" s="1174"/>
      <c r="CS42" s="1174"/>
      <c r="CT42" s="1174"/>
      <c r="CU42" s="1174"/>
      <c r="CV42" s="1174"/>
      <c r="CW42" s="1174"/>
      <c r="CX42" s="1174"/>
      <c r="CY42" s="1174"/>
      <c r="CZ42" s="1174"/>
      <c r="DA42" s="1174"/>
      <c r="DB42" s="1174"/>
      <c r="DC42" s="1174"/>
      <c r="DD42" s="1174"/>
      <c r="DE42" s="1174"/>
      <c r="DF42" s="1174"/>
      <c r="DG42" s="1174"/>
      <c r="DH42" s="1174"/>
      <c r="DI42" s="1174"/>
      <c r="DJ42" s="1174"/>
      <c r="DK42" s="1174"/>
      <c r="DL42" s="1174"/>
      <c r="DM42" s="1174"/>
      <c r="DN42" s="1174"/>
      <c r="DO42" s="1174"/>
      <c r="DP42" s="1174"/>
      <c r="DQ42" s="1174"/>
      <c r="DR42" s="1174"/>
      <c r="DS42" s="1174"/>
      <c r="DT42" s="1174"/>
      <c r="DU42" s="1174"/>
      <c r="DV42" s="1174"/>
      <c r="DW42" s="1174"/>
      <c r="DX42" s="1174"/>
      <c r="DY42" s="1174"/>
      <c r="DZ42" s="1174"/>
      <c r="EA42" s="1174"/>
      <c r="EB42" s="1174"/>
      <c r="EC42" s="1174"/>
      <c r="ED42" s="1174"/>
      <c r="EE42" s="1174"/>
      <c r="EF42" s="1174"/>
      <c r="EG42" s="1174"/>
      <c r="EH42" s="1174"/>
      <c r="EI42" s="1174"/>
      <c r="EJ42" s="1174"/>
      <c r="EK42" s="1174"/>
      <c r="EL42" s="1174"/>
      <c r="EM42" s="1174"/>
      <c r="EN42" s="1174"/>
      <c r="EO42" s="1174"/>
      <c r="EP42" s="1174"/>
      <c r="EQ42" s="1174"/>
      <c r="ER42" s="1174"/>
      <c r="ES42" s="1174"/>
      <c r="ET42" s="1174"/>
      <c r="EU42" s="1174"/>
      <c r="EV42" s="1174"/>
      <c r="EW42" s="1174"/>
      <c r="EX42" s="1174"/>
      <c r="EY42" s="1174"/>
      <c r="EZ42" s="1174"/>
      <c r="FA42" s="1174"/>
      <c r="FB42" s="1174"/>
      <c r="FC42" s="1174"/>
      <c r="FD42" s="1174"/>
      <c r="FE42" s="1174"/>
      <c r="FF42" s="1174"/>
      <c r="FG42" s="1174"/>
      <c r="FH42" s="1174"/>
      <c r="FI42" s="1174"/>
      <c r="FJ42" s="1174"/>
      <c r="FK42" s="1174"/>
      <c r="FL42" s="1174"/>
      <c r="FM42" s="1174"/>
      <c r="FN42" s="1174"/>
      <c r="FO42" s="1174"/>
      <c r="FP42" s="1174"/>
      <c r="FQ42" s="1174"/>
      <c r="FR42" s="1174"/>
      <c r="FS42" s="1174"/>
      <c r="FT42" s="1174"/>
      <c r="FU42" s="1174"/>
      <c r="FV42" s="1174"/>
      <c r="FW42" s="1174"/>
      <c r="FX42" s="1174"/>
      <c r="FY42" s="1174"/>
      <c r="FZ42" s="1174"/>
      <c r="GA42" s="1174"/>
      <c r="GB42" s="1174"/>
      <c r="GC42" s="1174"/>
      <c r="GD42" s="1174"/>
      <c r="GE42" s="1174"/>
      <c r="GF42" s="1174"/>
      <c r="GG42" s="1174"/>
      <c r="GH42" s="1174"/>
      <c r="GI42" s="1174"/>
      <c r="GJ42" s="1174"/>
      <c r="GK42" s="1174"/>
      <c r="GL42" s="1174"/>
      <c r="GM42" s="1174"/>
      <c r="GN42" s="1174"/>
      <c r="GO42" s="1174"/>
      <c r="GP42" s="1174"/>
      <c r="GQ42" s="1174"/>
      <c r="GR42" s="1174"/>
      <c r="GS42" s="1174"/>
      <c r="GT42" s="1174"/>
      <c r="GU42" s="1174"/>
      <c r="GV42" s="1174"/>
      <c r="GW42" s="1174"/>
      <c r="GX42" s="1174"/>
      <c r="GY42" s="1174"/>
      <c r="GZ42" s="1174"/>
      <c r="HA42" s="1174"/>
      <c r="HB42" s="1174"/>
      <c r="HC42" s="1174"/>
      <c r="HD42" s="1174"/>
      <c r="HE42" s="1174"/>
      <c r="HF42" s="1174"/>
      <c r="HG42" s="1174"/>
      <c r="HH42" s="1174"/>
      <c r="HI42" s="1174"/>
      <c r="HJ42" s="1174"/>
      <c r="HK42" s="1174"/>
      <c r="HL42" s="1174"/>
      <c r="HM42" s="1174"/>
      <c r="HN42" s="1174"/>
      <c r="HO42" s="1174"/>
      <c r="HP42" s="1174"/>
      <c r="HQ42" s="1174"/>
      <c r="HR42" s="1174"/>
      <c r="HS42" s="1174"/>
      <c r="HT42" s="1174"/>
      <c r="HU42" s="1174"/>
      <c r="HV42" s="1174"/>
      <c r="HW42" s="1174"/>
      <c r="HX42" s="1174"/>
      <c r="HY42" s="1174"/>
      <c r="HZ42" s="1174"/>
      <c r="IA42" s="1174"/>
      <c r="IB42" s="1174"/>
      <c r="IC42" s="1174"/>
      <c r="ID42" s="1174"/>
      <c r="IE42" s="1174"/>
      <c r="IF42" s="1174"/>
      <c r="IG42" s="1174"/>
      <c r="IH42" s="1174"/>
      <c r="II42" s="1174"/>
      <c r="IJ42" s="1174"/>
      <c r="IK42" s="1174"/>
      <c r="IL42" s="1174"/>
      <c r="IM42" s="1174"/>
      <c r="IN42" s="1174"/>
      <c r="IO42" s="1174"/>
      <c r="IP42" s="1174"/>
      <c r="IQ42" s="1174"/>
      <c r="IR42" s="1174"/>
      <c r="IS42" s="1174"/>
      <c r="IT42" s="1174"/>
      <c r="IU42" s="1174"/>
      <c r="IV42" s="1174"/>
      <c r="IW42" s="1174"/>
      <c r="IX42" s="1174"/>
      <c r="IY42" s="1174"/>
      <c r="IZ42" s="1174"/>
      <c r="JA42" s="1174"/>
      <c r="JB42" s="1174"/>
      <c r="JC42" s="1174"/>
      <c r="JD42" s="1174"/>
      <c r="JE42" s="1174"/>
      <c r="JF42" s="1174"/>
      <c r="JG42" s="1174"/>
      <c r="JH42" s="1174"/>
      <c r="JI42" s="1174"/>
      <c r="JJ42" s="1174"/>
      <c r="JK42" s="1174"/>
      <c r="JL42" s="1174"/>
      <c r="JM42" s="1174"/>
      <c r="JN42" s="1174"/>
      <c r="JO42" s="1174"/>
      <c r="JP42" s="1174"/>
      <c r="JQ42" s="1174"/>
      <c r="JR42" s="1174"/>
      <c r="JS42" s="1174"/>
      <c r="JT42" s="1174"/>
      <c r="JU42" s="1174"/>
      <c r="JV42" s="1174"/>
      <c r="JW42" s="1174"/>
      <c r="JX42" s="1174"/>
      <c r="JY42" s="1174"/>
      <c r="JZ42" s="1174"/>
      <c r="KA42" s="1174"/>
      <c r="KB42" s="1174"/>
      <c r="KC42" s="1174"/>
      <c r="KD42" s="1174"/>
      <c r="KE42" s="1174"/>
      <c r="KF42" s="1174"/>
      <c r="KG42" s="1174"/>
      <c r="KH42" s="1174"/>
      <c r="KI42" s="1174"/>
      <c r="KJ42" s="1174"/>
      <c r="KK42" s="1174"/>
      <c r="KL42" s="1174"/>
      <c r="KM42" s="1174"/>
      <c r="KN42" s="1174"/>
      <c r="KO42" s="1174"/>
      <c r="KP42" s="1174"/>
      <c r="KQ42" s="1174"/>
      <c r="KR42" s="1174"/>
      <c r="KS42" s="1174"/>
      <c r="KT42" s="1174"/>
      <c r="KU42" s="1174"/>
      <c r="KV42" s="1174"/>
      <c r="KW42" s="1174"/>
      <c r="KX42" s="1174"/>
      <c r="KY42" s="1174"/>
      <c r="KZ42" s="1174"/>
      <c r="LA42" s="1174"/>
      <c r="LB42" s="1174"/>
      <c r="LC42" s="1174"/>
      <c r="LD42" s="1174"/>
      <c r="LE42" s="1174"/>
      <c r="LF42" s="1174"/>
      <c r="LG42" s="1174"/>
      <c r="LH42" s="1174"/>
      <c r="LI42" s="1174"/>
      <c r="LJ42" s="1174"/>
      <c r="LK42" s="1174"/>
      <c r="LL42" s="1174"/>
      <c r="LM42" s="1174"/>
      <c r="LN42" s="1174"/>
      <c r="LO42" s="1174"/>
      <c r="LP42" s="1174"/>
      <c r="LQ42" s="1174"/>
      <c r="LR42" s="1174"/>
      <c r="LS42" s="1174"/>
      <c r="LT42" s="1174"/>
      <c r="LU42" s="1174"/>
      <c r="LV42" s="1174"/>
      <c r="LW42" s="1174"/>
      <c r="LX42" s="1174"/>
      <c r="LY42" s="1174"/>
      <c r="LZ42" s="1174"/>
      <c r="MA42" s="1174"/>
      <c r="MB42" s="1174"/>
      <c r="MC42" s="1174"/>
      <c r="MD42" s="1174"/>
      <c r="ME42" s="1174"/>
      <c r="MF42" s="1174"/>
      <c r="MG42" s="1174"/>
      <c r="MH42" s="1174"/>
      <c r="MI42" s="1174"/>
      <c r="MJ42" s="1174"/>
      <c r="MK42" s="1174"/>
      <c r="ML42" s="1174"/>
      <c r="MM42" s="1174"/>
      <c r="MN42" s="1174"/>
      <c r="MO42" s="1174"/>
      <c r="MP42" s="1174"/>
      <c r="MQ42" s="1174"/>
      <c r="MR42" s="1174"/>
      <c r="MS42" s="1174"/>
      <c r="MT42" s="1174"/>
      <c r="MU42" s="1174"/>
      <c r="MV42" s="1174"/>
      <c r="MW42" s="1174"/>
      <c r="MX42" s="1174"/>
      <c r="MY42" s="1174"/>
      <c r="MZ42" s="1174"/>
      <c r="NA42" s="1174"/>
      <c r="NB42" s="1174"/>
      <c r="NC42" s="1174"/>
      <c r="ND42" s="1174"/>
      <c r="NE42" s="1174"/>
      <c r="NF42" s="1174"/>
      <c r="NG42" s="1174"/>
      <c r="NH42" s="1174"/>
      <c r="NI42" s="1174"/>
      <c r="NJ42" s="1174"/>
      <c r="NK42" s="1174"/>
      <c r="NL42" s="1174"/>
      <c r="NM42" s="1174"/>
      <c r="NN42" s="1174"/>
      <c r="NO42" s="1174"/>
      <c r="NP42" s="1174"/>
      <c r="NQ42" s="1174"/>
      <c r="NR42" s="1174"/>
      <c r="NS42" s="1174"/>
      <c r="NT42" s="1174"/>
      <c r="NU42" s="1174"/>
      <c r="NV42" s="1174"/>
      <c r="NW42" s="1174"/>
      <c r="NX42" s="1174"/>
      <c r="NY42" s="1174"/>
      <c r="NZ42" s="1174"/>
      <c r="OA42" s="1174"/>
      <c r="OB42" s="1174"/>
      <c r="OC42" s="1174"/>
      <c r="OD42" s="1174"/>
      <c r="OE42" s="1174"/>
      <c r="OF42" s="1174"/>
      <c r="OG42" s="1174"/>
      <c r="OH42" s="1174"/>
      <c r="OI42" s="1174"/>
      <c r="OJ42" s="1174"/>
      <c r="OK42" s="1174"/>
      <c r="OL42" s="1174"/>
      <c r="OM42" s="1174"/>
      <c r="ON42" s="1174"/>
      <c r="OO42" s="1174"/>
      <c r="OP42" s="1174"/>
      <c r="OQ42" s="1174"/>
      <c r="OR42" s="1174"/>
      <c r="OS42" s="1174"/>
      <c r="OT42" s="1174"/>
      <c r="OU42" s="1174"/>
    </row>
    <row r="43">
      <c r="A43" s="1175"/>
      <c r="B43" s="1176" t="s">
        <v>500</v>
      </c>
      <c r="C43" s="1177" t="s">
        <v>23</v>
      </c>
      <c r="D43" s="1178">
        <v>23333.0</v>
      </c>
      <c r="E43" s="1178">
        <v>1675.0</v>
      </c>
      <c r="F43" s="1178">
        <v>1652.0</v>
      </c>
      <c r="G43" s="1178">
        <v>1856.0</v>
      </c>
      <c r="H43" s="1178">
        <v>1799.0</v>
      </c>
      <c r="I43" s="1178">
        <v>1891.0</v>
      </c>
      <c r="J43" s="1178">
        <v>1910.0</v>
      </c>
      <c r="K43" s="1178">
        <v>1969.0</v>
      </c>
      <c r="L43" s="1178">
        <v>2054.0</v>
      </c>
      <c r="M43" s="1178">
        <v>2030.0</v>
      </c>
      <c r="N43" s="1178">
        <v>2110.0</v>
      </c>
      <c r="O43" s="1178">
        <v>2132.0</v>
      </c>
      <c r="P43" s="1178">
        <v>2255.0</v>
      </c>
      <c r="Q43" s="1178">
        <v>1807.0</v>
      </c>
      <c r="R43" s="1178">
        <v>1785.0</v>
      </c>
      <c r="S43" s="1178">
        <v>1771.0</v>
      </c>
      <c r="T43" s="1178">
        <v>1776.0</v>
      </c>
      <c r="U43" s="1178">
        <v>1812.0</v>
      </c>
      <c r="V43" s="1178">
        <v>1787.0</v>
      </c>
      <c r="W43" s="1179"/>
      <c r="X43" s="1179"/>
      <c r="Y43" s="1179"/>
      <c r="Z43" s="1179"/>
      <c r="AA43" s="1179"/>
      <c r="AB43" s="1179"/>
      <c r="AC43" s="1180">
        <v>3592.0</v>
      </c>
      <c r="AD43" s="1181">
        <v>1.08</v>
      </c>
      <c r="AE43" s="1182">
        <v>0.154</v>
      </c>
      <c r="AF43" s="1183">
        <v>12.0</v>
      </c>
      <c r="AG43" s="1181">
        <v>1.122</v>
      </c>
      <c r="AH43" s="1183">
        <v>14.0</v>
      </c>
      <c r="AI43" s="1178">
        <v>3201.0</v>
      </c>
      <c r="AJ43" s="1178">
        <v>1675.0</v>
      </c>
      <c r="AK43" s="1178">
        <v>1527.0</v>
      </c>
      <c r="AL43" s="1178">
        <v>1621.0</v>
      </c>
      <c r="AM43" s="1178">
        <v>1589.0</v>
      </c>
      <c r="AN43" s="1178">
        <v>1603.0</v>
      </c>
      <c r="AO43" s="1178">
        <v>1531.0</v>
      </c>
      <c r="AP43" s="1178">
        <v>1532.0</v>
      </c>
      <c r="AQ43" s="1178">
        <v>1504.0</v>
      </c>
      <c r="AR43" s="1178">
        <v>1473.0</v>
      </c>
      <c r="AS43" s="1178">
        <v>1546.0</v>
      </c>
      <c r="AT43" s="1178">
        <v>1464.0</v>
      </c>
      <c r="AU43" s="1178">
        <v>1540.0</v>
      </c>
      <c r="AV43" s="1178">
        <v>18604.0</v>
      </c>
      <c r="AW43" s="1174"/>
      <c r="AX43" s="1174"/>
      <c r="AY43" s="1174"/>
      <c r="AZ43" s="1174"/>
      <c r="BA43" s="1174"/>
      <c r="BB43" s="1174"/>
      <c r="BC43" s="1174"/>
      <c r="BD43" s="1174"/>
      <c r="BE43" s="1174"/>
      <c r="BF43" s="1174"/>
      <c r="BG43" s="1174"/>
      <c r="BH43" s="1174"/>
      <c r="BI43" s="1174"/>
      <c r="BJ43" s="1174"/>
      <c r="BK43" s="1174"/>
      <c r="BL43" s="1174"/>
      <c r="BM43" s="1174"/>
      <c r="BN43" s="1174"/>
      <c r="BO43" s="1174"/>
      <c r="BP43" s="1174"/>
      <c r="BQ43" s="1174"/>
      <c r="BR43" s="1174"/>
      <c r="BS43" s="1174"/>
      <c r="BT43" s="1174"/>
      <c r="BU43" s="1174"/>
      <c r="BV43" s="1174"/>
      <c r="BW43" s="1174"/>
      <c r="BX43" s="1174"/>
      <c r="BY43" s="1174"/>
      <c r="BZ43" s="1174"/>
      <c r="CA43" s="1174"/>
      <c r="CB43" s="1174"/>
      <c r="CC43" s="1174"/>
      <c r="CD43" s="1174"/>
      <c r="CE43" s="1174"/>
      <c r="CF43" s="1174"/>
      <c r="CG43" s="1174"/>
      <c r="CH43" s="1174"/>
      <c r="CI43" s="1174"/>
      <c r="CJ43" s="1174"/>
      <c r="CK43" s="1174"/>
      <c r="CL43" s="1174"/>
      <c r="CM43" s="1174"/>
      <c r="CN43" s="1174"/>
      <c r="CO43" s="1174"/>
      <c r="CP43" s="1174"/>
      <c r="CQ43" s="1174"/>
      <c r="CR43" s="1174"/>
      <c r="CS43" s="1174"/>
      <c r="CT43" s="1174"/>
      <c r="CU43" s="1174"/>
      <c r="CV43" s="1174"/>
      <c r="CW43" s="1174"/>
      <c r="CX43" s="1174"/>
      <c r="CY43" s="1174"/>
      <c r="CZ43" s="1174"/>
      <c r="DA43" s="1174"/>
      <c r="DB43" s="1174"/>
      <c r="DC43" s="1174"/>
      <c r="DD43" s="1174"/>
      <c r="DE43" s="1174"/>
      <c r="DF43" s="1174"/>
      <c r="DG43" s="1174"/>
      <c r="DH43" s="1174"/>
      <c r="DI43" s="1174"/>
      <c r="DJ43" s="1174"/>
      <c r="DK43" s="1174"/>
      <c r="DL43" s="1174"/>
      <c r="DM43" s="1174"/>
      <c r="DN43" s="1174"/>
      <c r="DO43" s="1174"/>
      <c r="DP43" s="1174"/>
      <c r="DQ43" s="1174"/>
      <c r="DR43" s="1174"/>
      <c r="DS43" s="1174"/>
      <c r="DT43" s="1174"/>
      <c r="DU43" s="1174"/>
      <c r="DV43" s="1174"/>
      <c r="DW43" s="1174"/>
      <c r="DX43" s="1174"/>
      <c r="DY43" s="1174"/>
      <c r="DZ43" s="1174"/>
      <c r="EA43" s="1174"/>
      <c r="EB43" s="1174"/>
      <c r="EC43" s="1174"/>
      <c r="ED43" s="1174"/>
      <c r="EE43" s="1174"/>
      <c r="EF43" s="1174"/>
      <c r="EG43" s="1174"/>
      <c r="EH43" s="1174"/>
      <c r="EI43" s="1174"/>
      <c r="EJ43" s="1174"/>
      <c r="EK43" s="1174"/>
      <c r="EL43" s="1174"/>
      <c r="EM43" s="1174"/>
      <c r="EN43" s="1174"/>
      <c r="EO43" s="1174"/>
      <c r="EP43" s="1174"/>
      <c r="EQ43" s="1174"/>
      <c r="ER43" s="1174"/>
      <c r="ES43" s="1174"/>
      <c r="ET43" s="1174"/>
      <c r="EU43" s="1174"/>
      <c r="EV43" s="1174"/>
      <c r="EW43" s="1174"/>
      <c r="EX43" s="1174"/>
      <c r="EY43" s="1174"/>
      <c r="EZ43" s="1174"/>
      <c r="FA43" s="1174"/>
      <c r="FB43" s="1174"/>
      <c r="FC43" s="1174"/>
      <c r="FD43" s="1174"/>
      <c r="FE43" s="1174"/>
      <c r="FF43" s="1174"/>
      <c r="FG43" s="1174"/>
      <c r="FH43" s="1174"/>
      <c r="FI43" s="1174"/>
      <c r="FJ43" s="1174"/>
      <c r="FK43" s="1174"/>
      <c r="FL43" s="1174"/>
      <c r="FM43" s="1174"/>
      <c r="FN43" s="1174"/>
      <c r="FO43" s="1174"/>
      <c r="FP43" s="1174"/>
      <c r="FQ43" s="1174"/>
      <c r="FR43" s="1174"/>
      <c r="FS43" s="1174"/>
      <c r="FT43" s="1174"/>
      <c r="FU43" s="1174"/>
      <c r="FV43" s="1174"/>
      <c r="FW43" s="1174"/>
      <c r="FX43" s="1174"/>
      <c r="FY43" s="1174"/>
      <c r="FZ43" s="1174"/>
      <c r="GA43" s="1174"/>
      <c r="GB43" s="1174"/>
      <c r="GC43" s="1174"/>
      <c r="GD43" s="1174"/>
      <c r="GE43" s="1174"/>
      <c r="GF43" s="1174"/>
      <c r="GG43" s="1174"/>
      <c r="GH43" s="1174"/>
      <c r="GI43" s="1174"/>
      <c r="GJ43" s="1174"/>
      <c r="GK43" s="1174"/>
      <c r="GL43" s="1174"/>
      <c r="GM43" s="1174"/>
      <c r="GN43" s="1174"/>
      <c r="GO43" s="1174"/>
      <c r="GP43" s="1174"/>
      <c r="GQ43" s="1174"/>
      <c r="GR43" s="1174"/>
      <c r="GS43" s="1174"/>
      <c r="GT43" s="1174"/>
      <c r="GU43" s="1174"/>
      <c r="GV43" s="1174"/>
      <c r="GW43" s="1174"/>
      <c r="GX43" s="1174"/>
      <c r="GY43" s="1174"/>
      <c r="GZ43" s="1174"/>
      <c r="HA43" s="1174"/>
      <c r="HB43" s="1174"/>
      <c r="HC43" s="1174"/>
      <c r="HD43" s="1174"/>
      <c r="HE43" s="1174"/>
      <c r="HF43" s="1174"/>
      <c r="HG43" s="1174"/>
      <c r="HH43" s="1174"/>
      <c r="HI43" s="1174"/>
      <c r="HJ43" s="1174"/>
      <c r="HK43" s="1174"/>
      <c r="HL43" s="1174"/>
      <c r="HM43" s="1174"/>
      <c r="HN43" s="1174"/>
      <c r="HO43" s="1174"/>
      <c r="HP43" s="1174"/>
      <c r="HQ43" s="1174"/>
      <c r="HR43" s="1174"/>
      <c r="HS43" s="1174"/>
      <c r="HT43" s="1174"/>
      <c r="HU43" s="1174"/>
      <c r="HV43" s="1174"/>
      <c r="HW43" s="1174"/>
      <c r="HX43" s="1174"/>
      <c r="HY43" s="1174"/>
      <c r="HZ43" s="1174"/>
      <c r="IA43" s="1174"/>
      <c r="IB43" s="1174"/>
      <c r="IC43" s="1174"/>
      <c r="ID43" s="1174"/>
      <c r="IE43" s="1174"/>
      <c r="IF43" s="1174"/>
      <c r="IG43" s="1174"/>
      <c r="IH43" s="1174"/>
      <c r="II43" s="1174"/>
      <c r="IJ43" s="1174"/>
      <c r="IK43" s="1174"/>
      <c r="IL43" s="1174"/>
      <c r="IM43" s="1174"/>
      <c r="IN43" s="1174"/>
      <c r="IO43" s="1174"/>
      <c r="IP43" s="1174"/>
      <c r="IQ43" s="1174"/>
      <c r="IR43" s="1174"/>
      <c r="IS43" s="1174"/>
      <c r="IT43" s="1174"/>
      <c r="IU43" s="1174"/>
      <c r="IV43" s="1174"/>
      <c r="IW43" s="1174"/>
      <c r="IX43" s="1174"/>
      <c r="IY43" s="1174"/>
      <c r="IZ43" s="1174"/>
      <c r="JA43" s="1174"/>
      <c r="JB43" s="1174"/>
      <c r="JC43" s="1174"/>
      <c r="JD43" s="1174"/>
      <c r="JE43" s="1174"/>
      <c r="JF43" s="1174"/>
      <c r="JG43" s="1174"/>
      <c r="JH43" s="1174"/>
      <c r="JI43" s="1174"/>
      <c r="JJ43" s="1174"/>
      <c r="JK43" s="1174"/>
      <c r="JL43" s="1174"/>
      <c r="JM43" s="1174"/>
      <c r="JN43" s="1174"/>
      <c r="JO43" s="1174"/>
      <c r="JP43" s="1174"/>
      <c r="JQ43" s="1174"/>
      <c r="JR43" s="1174"/>
      <c r="JS43" s="1174"/>
      <c r="JT43" s="1174"/>
      <c r="JU43" s="1174"/>
      <c r="JV43" s="1174"/>
      <c r="JW43" s="1174"/>
      <c r="JX43" s="1174"/>
      <c r="JY43" s="1174"/>
      <c r="JZ43" s="1174"/>
      <c r="KA43" s="1174"/>
      <c r="KB43" s="1174"/>
      <c r="KC43" s="1174"/>
      <c r="KD43" s="1174"/>
      <c r="KE43" s="1174"/>
      <c r="KF43" s="1174"/>
      <c r="KG43" s="1174"/>
      <c r="KH43" s="1174"/>
      <c r="KI43" s="1174"/>
      <c r="KJ43" s="1174"/>
      <c r="KK43" s="1174"/>
      <c r="KL43" s="1174"/>
      <c r="KM43" s="1174"/>
      <c r="KN43" s="1174"/>
      <c r="KO43" s="1174"/>
      <c r="KP43" s="1174"/>
      <c r="KQ43" s="1174"/>
      <c r="KR43" s="1174"/>
      <c r="KS43" s="1174"/>
      <c r="KT43" s="1174"/>
      <c r="KU43" s="1174"/>
      <c r="KV43" s="1174"/>
      <c r="KW43" s="1174"/>
      <c r="KX43" s="1174"/>
      <c r="KY43" s="1174"/>
      <c r="KZ43" s="1174"/>
      <c r="LA43" s="1174"/>
      <c r="LB43" s="1174"/>
      <c r="LC43" s="1174"/>
      <c r="LD43" s="1174"/>
      <c r="LE43" s="1174"/>
      <c r="LF43" s="1174"/>
      <c r="LG43" s="1174"/>
      <c r="LH43" s="1174"/>
      <c r="LI43" s="1174"/>
      <c r="LJ43" s="1174"/>
      <c r="LK43" s="1174"/>
      <c r="LL43" s="1174"/>
      <c r="LM43" s="1174"/>
      <c r="LN43" s="1174"/>
      <c r="LO43" s="1174"/>
      <c r="LP43" s="1174"/>
      <c r="LQ43" s="1174"/>
      <c r="LR43" s="1174"/>
      <c r="LS43" s="1174"/>
      <c r="LT43" s="1174"/>
      <c r="LU43" s="1174"/>
      <c r="LV43" s="1174"/>
      <c r="LW43" s="1174"/>
      <c r="LX43" s="1174"/>
      <c r="LY43" s="1174"/>
      <c r="LZ43" s="1174"/>
      <c r="MA43" s="1174"/>
      <c r="MB43" s="1174"/>
      <c r="MC43" s="1174"/>
      <c r="MD43" s="1174"/>
      <c r="ME43" s="1174"/>
      <c r="MF43" s="1174"/>
      <c r="MG43" s="1174"/>
      <c r="MH43" s="1174"/>
      <c r="MI43" s="1174"/>
      <c r="MJ43" s="1174"/>
      <c r="MK43" s="1174"/>
      <c r="ML43" s="1174"/>
      <c r="MM43" s="1174"/>
      <c r="MN43" s="1174"/>
      <c r="MO43" s="1174"/>
      <c r="MP43" s="1174"/>
      <c r="MQ43" s="1174"/>
      <c r="MR43" s="1174"/>
      <c r="MS43" s="1174"/>
      <c r="MT43" s="1174"/>
      <c r="MU43" s="1174"/>
      <c r="MV43" s="1174"/>
      <c r="MW43" s="1174"/>
      <c r="MX43" s="1174"/>
      <c r="MY43" s="1174"/>
      <c r="MZ43" s="1174"/>
      <c r="NA43" s="1174"/>
      <c r="NB43" s="1174"/>
      <c r="NC43" s="1174"/>
      <c r="ND43" s="1174"/>
      <c r="NE43" s="1174"/>
      <c r="NF43" s="1174"/>
      <c r="NG43" s="1174"/>
      <c r="NH43" s="1174"/>
      <c r="NI43" s="1174"/>
      <c r="NJ43" s="1174"/>
      <c r="NK43" s="1174"/>
      <c r="NL43" s="1174"/>
      <c r="NM43" s="1174"/>
      <c r="NN43" s="1174"/>
      <c r="NO43" s="1174"/>
      <c r="NP43" s="1174"/>
      <c r="NQ43" s="1174"/>
      <c r="NR43" s="1174"/>
      <c r="NS43" s="1174"/>
      <c r="NT43" s="1174"/>
      <c r="NU43" s="1174"/>
      <c r="NV43" s="1174"/>
      <c r="NW43" s="1174"/>
      <c r="NX43" s="1174"/>
      <c r="NY43" s="1174"/>
      <c r="NZ43" s="1174"/>
      <c r="OA43" s="1174"/>
      <c r="OB43" s="1174"/>
      <c r="OC43" s="1174"/>
      <c r="OD43" s="1174"/>
      <c r="OE43" s="1174"/>
      <c r="OF43" s="1174"/>
      <c r="OG43" s="1174"/>
      <c r="OH43" s="1174"/>
      <c r="OI43" s="1174"/>
      <c r="OJ43" s="1174"/>
      <c r="OK43" s="1174"/>
      <c r="OL43" s="1174"/>
      <c r="OM43" s="1174"/>
      <c r="ON43" s="1174"/>
      <c r="OO43" s="1174"/>
      <c r="OP43" s="1174"/>
      <c r="OQ43" s="1174"/>
      <c r="OR43" s="1174"/>
      <c r="OS43" s="1174"/>
      <c r="OT43" s="1174"/>
      <c r="OU43" s="1174"/>
    </row>
    <row r="44">
      <c r="A44" s="1175"/>
      <c r="B44" s="1176" t="s">
        <v>497</v>
      </c>
      <c r="C44" s="1177" t="s">
        <v>23</v>
      </c>
      <c r="D44" s="1178">
        <v>17032.0</v>
      </c>
      <c r="E44" s="1178">
        <v>1234.0</v>
      </c>
      <c r="F44" s="1178">
        <v>1215.0</v>
      </c>
      <c r="G44" s="1178">
        <v>1362.0</v>
      </c>
      <c r="H44" s="1178">
        <v>1318.0</v>
      </c>
      <c r="I44" s="1178">
        <v>1384.0</v>
      </c>
      <c r="J44" s="1178">
        <v>1395.0</v>
      </c>
      <c r="K44" s="1178">
        <v>1436.0</v>
      </c>
      <c r="L44" s="1178">
        <v>1497.0</v>
      </c>
      <c r="M44" s="1178">
        <v>1476.0</v>
      </c>
      <c r="N44" s="1178">
        <v>1533.0</v>
      </c>
      <c r="O44" s="1178">
        <v>1547.0</v>
      </c>
      <c r="P44" s="1178">
        <v>1635.0</v>
      </c>
      <c r="Q44" s="1178">
        <v>1108.0</v>
      </c>
      <c r="R44" s="1178">
        <v>1076.0</v>
      </c>
      <c r="S44" s="1178">
        <v>1085.0</v>
      </c>
      <c r="T44" s="1178">
        <v>1108.0</v>
      </c>
      <c r="U44" s="1178">
        <v>1145.0</v>
      </c>
      <c r="V44" s="1178">
        <v>1147.0</v>
      </c>
      <c r="W44" s="1179"/>
      <c r="X44" s="1179"/>
      <c r="Y44" s="1179"/>
      <c r="Z44" s="1179"/>
      <c r="AA44" s="1179"/>
      <c r="AB44" s="1179"/>
      <c r="AC44" s="1180">
        <v>2184.0</v>
      </c>
      <c r="AD44" s="1313">
        <v>0.892</v>
      </c>
      <c r="AE44" s="1182">
        <v>0.128</v>
      </c>
      <c r="AF44" s="1314">
        <v>21.0</v>
      </c>
      <c r="AG44" s="1186">
        <v>0.953</v>
      </c>
      <c r="AH44" s="1314">
        <v>21.0</v>
      </c>
      <c r="AI44" s="1178">
        <v>2292.0</v>
      </c>
      <c r="AJ44" s="1178">
        <v>1230.0</v>
      </c>
      <c r="AK44" s="1178">
        <v>1063.0</v>
      </c>
      <c r="AL44" s="1178">
        <v>1109.0</v>
      </c>
      <c r="AM44" s="1178">
        <v>1072.0</v>
      </c>
      <c r="AN44" s="1178">
        <v>1048.0</v>
      </c>
      <c r="AO44" s="1178">
        <v>1011.0</v>
      </c>
      <c r="AP44" s="1187">
        <v>976.0</v>
      </c>
      <c r="AQ44" s="1187">
        <v>971.0</v>
      </c>
      <c r="AR44" s="1187">
        <v>936.0</v>
      </c>
      <c r="AS44" s="1187">
        <v>965.0</v>
      </c>
      <c r="AT44" s="1187">
        <v>895.0</v>
      </c>
      <c r="AU44" s="1187">
        <v>958.0</v>
      </c>
      <c r="AV44" s="1178">
        <v>12234.0</v>
      </c>
      <c r="AW44" s="1174"/>
      <c r="AX44" s="1174"/>
      <c r="AY44" s="1174"/>
      <c r="AZ44" s="1174"/>
      <c r="BA44" s="1174"/>
      <c r="BB44" s="1174"/>
      <c r="BC44" s="1174"/>
      <c r="BD44" s="1174"/>
      <c r="BE44" s="1174"/>
      <c r="BF44" s="1174"/>
      <c r="BG44" s="1174"/>
      <c r="BH44" s="1174"/>
      <c r="BI44" s="1174"/>
      <c r="BJ44" s="1174"/>
      <c r="BK44" s="1174"/>
      <c r="BL44" s="1174"/>
      <c r="BM44" s="1174"/>
      <c r="BN44" s="1174"/>
      <c r="BO44" s="1174"/>
      <c r="BP44" s="1174"/>
      <c r="BQ44" s="1174"/>
      <c r="BR44" s="1174"/>
      <c r="BS44" s="1174"/>
      <c r="BT44" s="1174"/>
      <c r="BU44" s="1174"/>
      <c r="BV44" s="1174"/>
      <c r="BW44" s="1174"/>
      <c r="BX44" s="1174"/>
      <c r="BY44" s="1174"/>
      <c r="BZ44" s="1174"/>
      <c r="CA44" s="1174"/>
      <c r="CB44" s="1174"/>
      <c r="CC44" s="1174"/>
      <c r="CD44" s="1174"/>
      <c r="CE44" s="1174"/>
      <c r="CF44" s="1174"/>
      <c r="CG44" s="1174"/>
      <c r="CH44" s="1174"/>
      <c r="CI44" s="1174"/>
      <c r="CJ44" s="1174"/>
      <c r="CK44" s="1174"/>
      <c r="CL44" s="1174"/>
      <c r="CM44" s="1174"/>
      <c r="CN44" s="1174"/>
      <c r="CO44" s="1174"/>
      <c r="CP44" s="1174"/>
      <c r="CQ44" s="1174"/>
      <c r="CR44" s="1174"/>
      <c r="CS44" s="1174"/>
      <c r="CT44" s="1174"/>
      <c r="CU44" s="1174"/>
      <c r="CV44" s="1174"/>
      <c r="CW44" s="1174"/>
      <c r="CX44" s="1174"/>
      <c r="CY44" s="1174"/>
      <c r="CZ44" s="1174"/>
      <c r="DA44" s="1174"/>
      <c r="DB44" s="1174"/>
      <c r="DC44" s="1174"/>
      <c r="DD44" s="1174"/>
      <c r="DE44" s="1174"/>
      <c r="DF44" s="1174"/>
      <c r="DG44" s="1174"/>
      <c r="DH44" s="1174"/>
      <c r="DI44" s="1174"/>
      <c r="DJ44" s="1174"/>
      <c r="DK44" s="1174"/>
      <c r="DL44" s="1174"/>
      <c r="DM44" s="1174"/>
      <c r="DN44" s="1174"/>
      <c r="DO44" s="1174"/>
      <c r="DP44" s="1174"/>
      <c r="DQ44" s="1174"/>
      <c r="DR44" s="1174"/>
      <c r="DS44" s="1174"/>
      <c r="DT44" s="1174"/>
      <c r="DU44" s="1174"/>
      <c r="DV44" s="1174"/>
      <c r="DW44" s="1174"/>
      <c r="DX44" s="1174"/>
      <c r="DY44" s="1174"/>
      <c r="DZ44" s="1174"/>
      <c r="EA44" s="1174"/>
      <c r="EB44" s="1174"/>
      <c r="EC44" s="1174"/>
      <c r="ED44" s="1174"/>
      <c r="EE44" s="1174"/>
      <c r="EF44" s="1174"/>
      <c r="EG44" s="1174"/>
      <c r="EH44" s="1174"/>
      <c r="EI44" s="1174"/>
      <c r="EJ44" s="1174"/>
      <c r="EK44" s="1174"/>
      <c r="EL44" s="1174"/>
      <c r="EM44" s="1174"/>
      <c r="EN44" s="1174"/>
      <c r="EO44" s="1174"/>
      <c r="EP44" s="1174"/>
      <c r="EQ44" s="1174"/>
      <c r="ER44" s="1174"/>
      <c r="ES44" s="1174"/>
      <c r="ET44" s="1174"/>
      <c r="EU44" s="1174"/>
      <c r="EV44" s="1174"/>
      <c r="EW44" s="1174"/>
      <c r="EX44" s="1174"/>
      <c r="EY44" s="1174"/>
      <c r="EZ44" s="1174"/>
      <c r="FA44" s="1174"/>
      <c r="FB44" s="1174"/>
      <c r="FC44" s="1174"/>
      <c r="FD44" s="1174"/>
      <c r="FE44" s="1174"/>
      <c r="FF44" s="1174"/>
      <c r="FG44" s="1174"/>
      <c r="FH44" s="1174"/>
      <c r="FI44" s="1174"/>
      <c r="FJ44" s="1174"/>
      <c r="FK44" s="1174"/>
      <c r="FL44" s="1174"/>
      <c r="FM44" s="1174"/>
      <c r="FN44" s="1174"/>
      <c r="FO44" s="1174"/>
      <c r="FP44" s="1174"/>
      <c r="FQ44" s="1174"/>
      <c r="FR44" s="1174"/>
      <c r="FS44" s="1174"/>
      <c r="FT44" s="1174"/>
      <c r="FU44" s="1174"/>
      <c r="FV44" s="1174"/>
      <c r="FW44" s="1174"/>
      <c r="FX44" s="1174"/>
      <c r="FY44" s="1174"/>
      <c r="FZ44" s="1174"/>
      <c r="GA44" s="1174"/>
      <c r="GB44" s="1174"/>
      <c r="GC44" s="1174"/>
      <c r="GD44" s="1174"/>
      <c r="GE44" s="1174"/>
      <c r="GF44" s="1174"/>
      <c r="GG44" s="1174"/>
      <c r="GH44" s="1174"/>
      <c r="GI44" s="1174"/>
      <c r="GJ44" s="1174"/>
      <c r="GK44" s="1174"/>
      <c r="GL44" s="1174"/>
      <c r="GM44" s="1174"/>
      <c r="GN44" s="1174"/>
      <c r="GO44" s="1174"/>
      <c r="GP44" s="1174"/>
      <c r="GQ44" s="1174"/>
      <c r="GR44" s="1174"/>
      <c r="GS44" s="1174"/>
      <c r="GT44" s="1174"/>
      <c r="GU44" s="1174"/>
      <c r="GV44" s="1174"/>
      <c r="GW44" s="1174"/>
      <c r="GX44" s="1174"/>
      <c r="GY44" s="1174"/>
      <c r="GZ44" s="1174"/>
      <c r="HA44" s="1174"/>
      <c r="HB44" s="1174"/>
      <c r="HC44" s="1174"/>
      <c r="HD44" s="1174"/>
      <c r="HE44" s="1174"/>
      <c r="HF44" s="1174"/>
      <c r="HG44" s="1174"/>
      <c r="HH44" s="1174"/>
      <c r="HI44" s="1174"/>
      <c r="HJ44" s="1174"/>
      <c r="HK44" s="1174"/>
      <c r="HL44" s="1174"/>
      <c r="HM44" s="1174"/>
      <c r="HN44" s="1174"/>
      <c r="HO44" s="1174"/>
      <c r="HP44" s="1174"/>
      <c r="HQ44" s="1174"/>
      <c r="HR44" s="1174"/>
      <c r="HS44" s="1174"/>
      <c r="HT44" s="1174"/>
      <c r="HU44" s="1174"/>
      <c r="HV44" s="1174"/>
      <c r="HW44" s="1174"/>
      <c r="HX44" s="1174"/>
      <c r="HY44" s="1174"/>
      <c r="HZ44" s="1174"/>
      <c r="IA44" s="1174"/>
      <c r="IB44" s="1174"/>
      <c r="IC44" s="1174"/>
      <c r="ID44" s="1174"/>
      <c r="IE44" s="1174"/>
      <c r="IF44" s="1174"/>
      <c r="IG44" s="1174"/>
      <c r="IH44" s="1174"/>
      <c r="II44" s="1174"/>
      <c r="IJ44" s="1174"/>
      <c r="IK44" s="1174"/>
      <c r="IL44" s="1174"/>
      <c r="IM44" s="1174"/>
      <c r="IN44" s="1174"/>
      <c r="IO44" s="1174"/>
      <c r="IP44" s="1174"/>
      <c r="IQ44" s="1174"/>
      <c r="IR44" s="1174"/>
      <c r="IS44" s="1174"/>
      <c r="IT44" s="1174"/>
      <c r="IU44" s="1174"/>
      <c r="IV44" s="1174"/>
      <c r="IW44" s="1174"/>
      <c r="IX44" s="1174"/>
      <c r="IY44" s="1174"/>
      <c r="IZ44" s="1174"/>
      <c r="JA44" s="1174"/>
      <c r="JB44" s="1174"/>
      <c r="JC44" s="1174"/>
      <c r="JD44" s="1174"/>
      <c r="JE44" s="1174"/>
      <c r="JF44" s="1174"/>
      <c r="JG44" s="1174"/>
      <c r="JH44" s="1174"/>
      <c r="JI44" s="1174"/>
      <c r="JJ44" s="1174"/>
      <c r="JK44" s="1174"/>
      <c r="JL44" s="1174"/>
      <c r="JM44" s="1174"/>
      <c r="JN44" s="1174"/>
      <c r="JO44" s="1174"/>
      <c r="JP44" s="1174"/>
      <c r="JQ44" s="1174"/>
      <c r="JR44" s="1174"/>
      <c r="JS44" s="1174"/>
      <c r="JT44" s="1174"/>
      <c r="JU44" s="1174"/>
      <c r="JV44" s="1174"/>
      <c r="JW44" s="1174"/>
      <c r="JX44" s="1174"/>
      <c r="JY44" s="1174"/>
      <c r="JZ44" s="1174"/>
      <c r="KA44" s="1174"/>
      <c r="KB44" s="1174"/>
      <c r="KC44" s="1174"/>
      <c r="KD44" s="1174"/>
      <c r="KE44" s="1174"/>
      <c r="KF44" s="1174"/>
      <c r="KG44" s="1174"/>
      <c r="KH44" s="1174"/>
      <c r="KI44" s="1174"/>
      <c r="KJ44" s="1174"/>
      <c r="KK44" s="1174"/>
      <c r="KL44" s="1174"/>
      <c r="KM44" s="1174"/>
      <c r="KN44" s="1174"/>
      <c r="KO44" s="1174"/>
      <c r="KP44" s="1174"/>
      <c r="KQ44" s="1174"/>
      <c r="KR44" s="1174"/>
      <c r="KS44" s="1174"/>
      <c r="KT44" s="1174"/>
      <c r="KU44" s="1174"/>
      <c r="KV44" s="1174"/>
      <c r="KW44" s="1174"/>
      <c r="KX44" s="1174"/>
      <c r="KY44" s="1174"/>
      <c r="KZ44" s="1174"/>
      <c r="LA44" s="1174"/>
      <c r="LB44" s="1174"/>
      <c r="LC44" s="1174"/>
      <c r="LD44" s="1174"/>
      <c r="LE44" s="1174"/>
      <c r="LF44" s="1174"/>
      <c r="LG44" s="1174"/>
      <c r="LH44" s="1174"/>
      <c r="LI44" s="1174"/>
      <c r="LJ44" s="1174"/>
      <c r="LK44" s="1174"/>
      <c r="LL44" s="1174"/>
      <c r="LM44" s="1174"/>
      <c r="LN44" s="1174"/>
      <c r="LO44" s="1174"/>
      <c r="LP44" s="1174"/>
      <c r="LQ44" s="1174"/>
      <c r="LR44" s="1174"/>
      <c r="LS44" s="1174"/>
      <c r="LT44" s="1174"/>
      <c r="LU44" s="1174"/>
      <c r="LV44" s="1174"/>
      <c r="LW44" s="1174"/>
      <c r="LX44" s="1174"/>
      <c r="LY44" s="1174"/>
      <c r="LZ44" s="1174"/>
      <c r="MA44" s="1174"/>
      <c r="MB44" s="1174"/>
      <c r="MC44" s="1174"/>
      <c r="MD44" s="1174"/>
      <c r="ME44" s="1174"/>
      <c r="MF44" s="1174"/>
      <c r="MG44" s="1174"/>
      <c r="MH44" s="1174"/>
      <c r="MI44" s="1174"/>
      <c r="MJ44" s="1174"/>
      <c r="MK44" s="1174"/>
      <c r="ML44" s="1174"/>
      <c r="MM44" s="1174"/>
      <c r="MN44" s="1174"/>
      <c r="MO44" s="1174"/>
      <c r="MP44" s="1174"/>
      <c r="MQ44" s="1174"/>
      <c r="MR44" s="1174"/>
      <c r="MS44" s="1174"/>
      <c r="MT44" s="1174"/>
      <c r="MU44" s="1174"/>
      <c r="MV44" s="1174"/>
      <c r="MW44" s="1174"/>
      <c r="MX44" s="1174"/>
      <c r="MY44" s="1174"/>
      <c r="MZ44" s="1174"/>
      <c r="NA44" s="1174"/>
      <c r="NB44" s="1174"/>
      <c r="NC44" s="1174"/>
      <c r="ND44" s="1174"/>
      <c r="NE44" s="1174"/>
      <c r="NF44" s="1174"/>
      <c r="NG44" s="1174"/>
      <c r="NH44" s="1174"/>
      <c r="NI44" s="1174"/>
      <c r="NJ44" s="1174"/>
      <c r="NK44" s="1174"/>
      <c r="NL44" s="1174"/>
      <c r="NM44" s="1174"/>
      <c r="NN44" s="1174"/>
      <c r="NO44" s="1174"/>
      <c r="NP44" s="1174"/>
      <c r="NQ44" s="1174"/>
      <c r="NR44" s="1174"/>
      <c r="NS44" s="1174"/>
      <c r="NT44" s="1174"/>
      <c r="NU44" s="1174"/>
      <c r="NV44" s="1174"/>
      <c r="NW44" s="1174"/>
      <c r="NX44" s="1174"/>
      <c r="NY44" s="1174"/>
      <c r="NZ44" s="1174"/>
      <c r="OA44" s="1174"/>
      <c r="OB44" s="1174"/>
      <c r="OC44" s="1174"/>
      <c r="OD44" s="1174"/>
      <c r="OE44" s="1174"/>
      <c r="OF44" s="1174"/>
      <c r="OG44" s="1174"/>
      <c r="OH44" s="1174"/>
      <c r="OI44" s="1174"/>
      <c r="OJ44" s="1174"/>
      <c r="OK44" s="1174"/>
      <c r="OL44" s="1174"/>
      <c r="OM44" s="1174"/>
      <c r="ON44" s="1174"/>
      <c r="OO44" s="1174"/>
      <c r="OP44" s="1174"/>
      <c r="OQ44" s="1174"/>
      <c r="OR44" s="1174"/>
      <c r="OS44" s="1174"/>
      <c r="OT44" s="1174"/>
      <c r="OU44" s="1174"/>
    </row>
    <row r="45">
      <c r="A45" s="1175"/>
      <c r="B45" s="1176" t="s">
        <v>48</v>
      </c>
      <c r="C45" s="1177" t="s">
        <v>23</v>
      </c>
      <c r="D45" s="1178">
        <v>14660.0</v>
      </c>
      <c r="E45" s="1178">
        <v>1004.0</v>
      </c>
      <c r="F45" s="1178">
        <v>1002.0</v>
      </c>
      <c r="G45" s="1178">
        <v>1132.0</v>
      </c>
      <c r="H45" s="1178">
        <v>1109.0</v>
      </c>
      <c r="I45" s="1178">
        <v>1175.0</v>
      </c>
      <c r="J45" s="1178">
        <v>1196.0</v>
      </c>
      <c r="K45" s="1178">
        <v>1241.0</v>
      </c>
      <c r="L45" s="1178">
        <v>1302.0</v>
      </c>
      <c r="M45" s="1178">
        <v>1299.0</v>
      </c>
      <c r="N45" s="1178">
        <v>1356.0</v>
      </c>
      <c r="O45" s="1178">
        <v>1380.0</v>
      </c>
      <c r="P45" s="1178">
        <v>1463.0</v>
      </c>
      <c r="Q45" s="1187">
        <v>994.0</v>
      </c>
      <c r="R45" s="1187">
        <v>983.0</v>
      </c>
      <c r="S45" s="1187">
        <v>973.0</v>
      </c>
      <c r="T45" s="1187">
        <v>949.0</v>
      </c>
      <c r="U45" s="1178">
        <v>1005.0</v>
      </c>
      <c r="V45" s="1187">
        <v>976.0</v>
      </c>
      <c r="W45" s="1179"/>
      <c r="X45" s="1179"/>
      <c r="Y45" s="1179"/>
      <c r="Z45" s="1179"/>
      <c r="AA45" s="1179"/>
      <c r="AB45" s="1179"/>
      <c r="AC45" s="1180">
        <v>1977.0</v>
      </c>
      <c r="AD45" s="1186">
        <v>0.986</v>
      </c>
      <c r="AE45" s="1182">
        <v>0.135</v>
      </c>
      <c r="AF45" s="1183">
        <v>19.0</v>
      </c>
      <c r="AG45" s="1181">
        <v>1.084</v>
      </c>
      <c r="AH45" s="1183">
        <v>17.0</v>
      </c>
      <c r="AI45" s="1178">
        <v>1825.0</v>
      </c>
      <c r="AJ45" s="1187">
        <v>960.0</v>
      </c>
      <c r="AK45" s="1187">
        <v>865.0</v>
      </c>
      <c r="AL45" s="1187">
        <v>895.0</v>
      </c>
      <c r="AM45" s="1187">
        <v>896.0</v>
      </c>
      <c r="AN45" s="1187">
        <v>891.0</v>
      </c>
      <c r="AO45" s="1187">
        <v>876.0</v>
      </c>
      <c r="AP45" s="1187">
        <v>867.0</v>
      </c>
      <c r="AQ45" s="1187">
        <v>860.0</v>
      </c>
      <c r="AR45" s="1187">
        <v>831.0</v>
      </c>
      <c r="AS45" s="1187">
        <v>857.0</v>
      </c>
      <c r="AT45" s="1187">
        <v>769.0</v>
      </c>
      <c r="AU45" s="1187">
        <v>795.0</v>
      </c>
      <c r="AV45" s="1178">
        <v>10361.0</v>
      </c>
      <c r="AW45" s="1174"/>
      <c r="AX45" s="1174"/>
      <c r="AY45" s="1174"/>
      <c r="AZ45" s="1174"/>
      <c r="BA45" s="1174"/>
      <c r="BB45" s="1174"/>
      <c r="BC45" s="1174"/>
      <c r="BD45" s="1174"/>
      <c r="BE45" s="1174"/>
      <c r="BF45" s="1174"/>
      <c r="BG45" s="1174"/>
      <c r="BH45" s="1174"/>
      <c r="BI45" s="1174"/>
      <c r="BJ45" s="1174"/>
      <c r="BK45" s="1174"/>
      <c r="BL45" s="1174"/>
      <c r="BM45" s="1174"/>
      <c r="BN45" s="1174"/>
      <c r="BO45" s="1174"/>
      <c r="BP45" s="1174"/>
      <c r="BQ45" s="1174"/>
      <c r="BR45" s="1174"/>
      <c r="BS45" s="1174"/>
      <c r="BT45" s="1174"/>
      <c r="BU45" s="1174"/>
      <c r="BV45" s="1174"/>
      <c r="BW45" s="1174"/>
      <c r="BX45" s="1174"/>
      <c r="BY45" s="1174"/>
      <c r="BZ45" s="1174"/>
      <c r="CA45" s="1174"/>
      <c r="CB45" s="1174"/>
      <c r="CC45" s="1174"/>
      <c r="CD45" s="1174"/>
      <c r="CE45" s="1174"/>
      <c r="CF45" s="1174"/>
      <c r="CG45" s="1174"/>
      <c r="CH45" s="1174"/>
      <c r="CI45" s="1174"/>
      <c r="CJ45" s="1174"/>
      <c r="CK45" s="1174"/>
      <c r="CL45" s="1174"/>
      <c r="CM45" s="1174"/>
      <c r="CN45" s="1174"/>
      <c r="CO45" s="1174"/>
      <c r="CP45" s="1174"/>
      <c r="CQ45" s="1174"/>
      <c r="CR45" s="1174"/>
      <c r="CS45" s="1174"/>
      <c r="CT45" s="1174"/>
      <c r="CU45" s="1174"/>
      <c r="CV45" s="1174"/>
      <c r="CW45" s="1174"/>
      <c r="CX45" s="1174"/>
      <c r="CY45" s="1174"/>
      <c r="CZ45" s="1174"/>
      <c r="DA45" s="1174"/>
      <c r="DB45" s="1174"/>
      <c r="DC45" s="1174"/>
      <c r="DD45" s="1174"/>
      <c r="DE45" s="1174"/>
      <c r="DF45" s="1174"/>
      <c r="DG45" s="1174"/>
      <c r="DH45" s="1174"/>
      <c r="DI45" s="1174"/>
      <c r="DJ45" s="1174"/>
      <c r="DK45" s="1174"/>
      <c r="DL45" s="1174"/>
      <c r="DM45" s="1174"/>
      <c r="DN45" s="1174"/>
      <c r="DO45" s="1174"/>
      <c r="DP45" s="1174"/>
      <c r="DQ45" s="1174"/>
      <c r="DR45" s="1174"/>
      <c r="DS45" s="1174"/>
      <c r="DT45" s="1174"/>
      <c r="DU45" s="1174"/>
      <c r="DV45" s="1174"/>
      <c r="DW45" s="1174"/>
      <c r="DX45" s="1174"/>
      <c r="DY45" s="1174"/>
      <c r="DZ45" s="1174"/>
      <c r="EA45" s="1174"/>
      <c r="EB45" s="1174"/>
      <c r="EC45" s="1174"/>
      <c r="ED45" s="1174"/>
      <c r="EE45" s="1174"/>
      <c r="EF45" s="1174"/>
      <c r="EG45" s="1174"/>
      <c r="EH45" s="1174"/>
      <c r="EI45" s="1174"/>
      <c r="EJ45" s="1174"/>
      <c r="EK45" s="1174"/>
      <c r="EL45" s="1174"/>
      <c r="EM45" s="1174"/>
      <c r="EN45" s="1174"/>
      <c r="EO45" s="1174"/>
      <c r="EP45" s="1174"/>
      <c r="EQ45" s="1174"/>
      <c r="ER45" s="1174"/>
      <c r="ES45" s="1174"/>
      <c r="ET45" s="1174"/>
      <c r="EU45" s="1174"/>
      <c r="EV45" s="1174"/>
      <c r="EW45" s="1174"/>
      <c r="EX45" s="1174"/>
      <c r="EY45" s="1174"/>
      <c r="EZ45" s="1174"/>
      <c r="FA45" s="1174"/>
      <c r="FB45" s="1174"/>
      <c r="FC45" s="1174"/>
      <c r="FD45" s="1174"/>
      <c r="FE45" s="1174"/>
      <c r="FF45" s="1174"/>
      <c r="FG45" s="1174"/>
      <c r="FH45" s="1174"/>
      <c r="FI45" s="1174"/>
      <c r="FJ45" s="1174"/>
      <c r="FK45" s="1174"/>
      <c r="FL45" s="1174"/>
      <c r="FM45" s="1174"/>
      <c r="FN45" s="1174"/>
      <c r="FO45" s="1174"/>
      <c r="FP45" s="1174"/>
      <c r="FQ45" s="1174"/>
      <c r="FR45" s="1174"/>
      <c r="FS45" s="1174"/>
      <c r="FT45" s="1174"/>
      <c r="FU45" s="1174"/>
      <c r="FV45" s="1174"/>
      <c r="FW45" s="1174"/>
      <c r="FX45" s="1174"/>
      <c r="FY45" s="1174"/>
      <c r="FZ45" s="1174"/>
      <c r="GA45" s="1174"/>
      <c r="GB45" s="1174"/>
      <c r="GC45" s="1174"/>
      <c r="GD45" s="1174"/>
      <c r="GE45" s="1174"/>
      <c r="GF45" s="1174"/>
      <c r="GG45" s="1174"/>
      <c r="GH45" s="1174"/>
      <c r="GI45" s="1174"/>
      <c r="GJ45" s="1174"/>
      <c r="GK45" s="1174"/>
      <c r="GL45" s="1174"/>
      <c r="GM45" s="1174"/>
      <c r="GN45" s="1174"/>
      <c r="GO45" s="1174"/>
      <c r="GP45" s="1174"/>
      <c r="GQ45" s="1174"/>
      <c r="GR45" s="1174"/>
      <c r="GS45" s="1174"/>
      <c r="GT45" s="1174"/>
      <c r="GU45" s="1174"/>
      <c r="GV45" s="1174"/>
      <c r="GW45" s="1174"/>
      <c r="GX45" s="1174"/>
      <c r="GY45" s="1174"/>
      <c r="GZ45" s="1174"/>
      <c r="HA45" s="1174"/>
      <c r="HB45" s="1174"/>
      <c r="HC45" s="1174"/>
      <c r="HD45" s="1174"/>
      <c r="HE45" s="1174"/>
      <c r="HF45" s="1174"/>
      <c r="HG45" s="1174"/>
      <c r="HH45" s="1174"/>
      <c r="HI45" s="1174"/>
      <c r="HJ45" s="1174"/>
      <c r="HK45" s="1174"/>
      <c r="HL45" s="1174"/>
      <c r="HM45" s="1174"/>
      <c r="HN45" s="1174"/>
      <c r="HO45" s="1174"/>
      <c r="HP45" s="1174"/>
      <c r="HQ45" s="1174"/>
      <c r="HR45" s="1174"/>
      <c r="HS45" s="1174"/>
      <c r="HT45" s="1174"/>
      <c r="HU45" s="1174"/>
      <c r="HV45" s="1174"/>
      <c r="HW45" s="1174"/>
      <c r="HX45" s="1174"/>
      <c r="HY45" s="1174"/>
      <c r="HZ45" s="1174"/>
      <c r="IA45" s="1174"/>
      <c r="IB45" s="1174"/>
      <c r="IC45" s="1174"/>
      <c r="ID45" s="1174"/>
      <c r="IE45" s="1174"/>
      <c r="IF45" s="1174"/>
      <c r="IG45" s="1174"/>
      <c r="IH45" s="1174"/>
      <c r="II45" s="1174"/>
      <c r="IJ45" s="1174"/>
      <c r="IK45" s="1174"/>
      <c r="IL45" s="1174"/>
      <c r="IM45" s="1174"/>
      <c r="IN45" s="1174"/>
      <c r="IO45" s="1174"/>
      <c r="IP45" s="1174"/>
      <c r="IQ45" s="1174"/>
      <c r="IR45" s="1174"/>
      <c r="IS45" s="1174"/>
      <c r="IT45" s="1174"/>
      <c r="IU45" s="1174"/>
      <c r="IV45" s="1174"/>
      <c r="IW45" s="1174"/>
      <c r="IX45" s="1174"/>
      <c r="IY45" s="1174"/>
      <c r="IZ45" s="1174"/>
      <c r="JA45" s="1174"/>
      <c r="JB45" s="1174"/>
      <c r="JC45" s="1174"/>
      <c r="JD45" s="1174"/>
      <c r="JE45" s="1174"/>
      <c r="JF45" s="1174"/>
      <c r="JG45" s="1174"/>
      <c r="JH45" s="1174"/>
      <c r="JI45" s="1174"/>
      <c r="JJ45" s="1174"/>
      <c r="JK45" s="1174"/>
      <c r="JL45" s="1174"/>
      <c r="JM45" s="1174"/>
      <c r="JN45" s="1174"/>
      <c r="JO45" s="1174"/>
      <c r="JP45" s="1174"/>
      <c r="JQ45" s="1174"/>
      <c r="JR45" s="1174"/>
      <c r="JS45" s="1174"/>
      <c r="JT45" s="1174"/>
      <c r="JU45" s="1174"/>
      <c r="JV45" s="1174"/>
      <c r="JW45" s="1174"/>
      <c r="JX45" s="1174"/>
      <c r="JY45" s="1174"/>
      <c r="JZ45" s="1174"/>
      <c r="KA45" s="1174"/>
      <c r="KB45" s="1174"/>
      <c r="KC45" s="1174"/>
      <c r="KD45" s="1174"/>
      <c r="KE45" s="1174"/>
      <c r="KF45" s="1174"/>
      <c r="KG45" s="1174"/>
      <c r="KH45" s="1174"/>
      <c r="KI45" s="1174"/>
      <c r="KJ45" s="1174"/>
      <c r="KK45" s="1174"/>
      <c r="KL45" s="1174"/>
      <c r="KM45" s="1174"/>
      <c r="KN45" s="1174"/>
      <c r="KO45" s="1174"/>
      <c r="KP45" s="1174"/>
      <c r="KQ45" s="1174"/>
      <c r="KR45" s="1174"/>
      <c r="KS45" s="1174"/>
      <c r="KT45" s="1174"/>
      <c r="KU45" s="1174"/>
      <c r="KV45" s="1174"/>
      <c r="KW45" s="1174"/>
      <c r="KX45" s="1174"/>
      <c r="KY45" s="1174"/>
      <c r="KZ45" s="1174"/>
      <c r="LA45" s="1174"/>
      <c r="LB45" s="1174"/>
      <c r="LC45" s="1174"/>
      <c r="LD45" s="1174"/>
      <c r="LE45" s="1174"/>
      <c r="LF45" s="1174"/>
      <c r="LG45" s="1174"/>
      <c r="LH45" s="1174"/>
      <c r="LI45" s="1174"/>
      <c r="LJ45" s="1174"/>
      <c r="LK45" s="1174"/>
      <c r="LL45" s="1174"/>
      <c r="LM45" s="1174"/>
      <c r="LN45" s="1174"/>
      <c r="LO45" s="1174"/>
      <c r="LP45" s="1174"/>
      <c r="LQ45" s="1174"/>
      <c r="LR45" s="1174"/>
      <c r="LS45" s="1174"/>
      <c r="LT45" s="1174"/>
      <c r="LU45" s="1174"/>
      <c r="LV45" s="1174"/>
      <c r="LW45" s="1174"/>
      <c r="LX45" s="1174"/>
      <c r="LY45" s="1174"/>
      <c r="LZ45" s="1174"/>
      <c r="MA45" s="1174"/>
      <c r="MB45" s="1174"/>
      <c r="MC45" s="1174"/>
      <c r="MD45" s="1174"/>
      <c r="ME45" s="1174"/>
      <c r="MF45" s="1174"/>
      <c r="MG45" s="1174"/>
      <c r="MH45" s="1174"/>
      <c r="MI45" s="1174"/>
      <c r="MJ45" s="1174"/>
      <c r="MK45" s="1174"/>
      <c r="ML45" s="1174"/>
      <c r="MM45" s="1174"/>
      <c r="MN45" s="1174"/>
      <c r="MO45" s="1174"/>
      <c r="MP45" s="1174"/>
      <c r="MQ45" s="1174"/>
      <c r="MR45" s="1174"/>
      <c r="MS45" s="1174"/>
      <c r="MT45" s="1174"/>
      <c r="MU45" s="1174"/>
      <c r="MV45" s="1174"/>
      <c r="MW45" s="1174"/>
      <c r="MX45" s="1174"/>
      <c r="MY45" s="1174"/>
      <c r="MZ45" s="1174"/>
      <c r="NA45" s="1174"/>
      <c r="NB45" s="1174"/>
      <c r="NC45" s="1174"/>
      <c r="ND45" s="1174"/>
      <c r="NE45" s="1174"/>
      <c r="NF45" s="1174"/>
      <c r="NG45" s="1174"/>
      <c r="NH45" s="1174"/>
      <c r="NI45" s="1174"/>
      <c r="NJ45" s="1174"/>
      <c r="NK45" s="1174"/>
      <c r="NL45" s="1174"/>
      <c r="NM45" s="1174"/>
      <c r="NN45" s="1174"/>
      <c r="NO45" s="1174"/>
      <c r="NP45" s="1174"/>
      <c r="NQ45" s="1174"/>
      <c r="NR45" s="1174"/>
      <c r="NS45" s="1174"/>
      <c r="NT45" s="1174"/>
      <c r="NU45" s="1174"/>
      <c r="NV45" s="1174"/>
      <c r="NW45" s="1174"/>
      <c r="NX45" s="1174"/>
      <c r="NY45" s="1174"/>
      <c r="NZ45" s="1174"/>
      <c r="OA45" s="1174"/>
      <c r="OB45" s="1174"/>
      <c r="OC45" s="1174"/>
      <c r="OD45" s="1174"/>
      <c r="OE45" s="1174"/>
      <c r="OF45" s="1174"/>
      <c r="OG45" s="1174"/>
      <c r="OH45" s="1174"/>
      <c r="OI45" s="1174"/>
      <c r="OJ45" s="1174"/>
      <c r="OK45" s="1174"/>
      <c r="OL45" s="1174"/>
      <c r="OM45" s="1174"/>
      <c r="ON45" s="1174"/>
      <c r="OO45" s="1174"/>
      <c r="OP45" s="1174"/>
      <c r="OQ45" s="1174"/>
      <c r="OR45" s="1174"/>
      <c r="OS45" s="1174"/>
      <c r="OT45" s="1174"/>
      <c r="OU45" s="1174"/>
    </row>
    <row r="46">
      <c r="A46" s="1175"/>
      <c r="B46" s="1176" t="s">
        <v>49</v>
      </c>
      <c r="C46" s="1177" t="s">
        <v>23</v>
      </c>
      <c r="D46" s="1178">
        <v>49875.0</v>
      </c>
      <c r="E46" s="1178">
        <v>3819.0</v>
      </c>
      <c r="F46" s="1178">
        <v>3714.0</v>
      </c>
      <c r="G46" s="1178">
        <v>4134.0</v>
      </c>
      <c r="H46" s="1178">
        <v>3950.0</v>
      </c>
      <c r="I46" s="1178">
        <v>4112.0</v>
      </c>
      <c r="J46" s="1178">
        <v>4102.0</v>
      </c>
      <c r="K46" s="1178">
        <v>4187.0</v>
      </c>
      <c r="L46" s="1178">
        <v>4332.0</v>
      </c>
      <c r="M46" s="1178">
        <v>4223.0</v>
      </c>
      <c r="N46" s="1178">
        <v>4357.0</v>
      </c>
      <c r="O46" s="1178">
        <v>4355.0</v>
      </c>
      <c r="P46" s="1178">
        <v>4589.0</v>
      </c>
      <c r="Q46" s="1178">
        <v>4168.0</v>
      </c>
      <c r="R46" s="1178">
        <v>4106.0</v>
      </c>
      <c r="S46" s="1178">
        <v>4108.0</v>
      </c>
      <c r="T46" s="1178">
        <v>4046.0</v>
      </c>
      <c r="U46" s="1178">
        <v>4144.0</v>
      </c>
      <c r="V46" s="1178">
        <v>4121.0</v>
      </c>
      <c r="W46" s="1179"/>
      <c r="X46" s="1179"/>
      <c r="Y46" s="1179"/>
      <c r="Z46" s="1179"/>
      <c r="AA46" s="1179"/>
      <c r="AB46" s="1179"/>
      <c r="AC46" s="1180">
        <v>8274.0</v>
      </c>
      <c r="AD46" s="1181">
        <v>1.099</v>
      </c>
      <c r="AE46" s="1182">
        <v>0.166</v>
      </c>
      <c r="AF46" s="1183">
        <v>7.0</v>
      </c>
      <c r="AG46" s="1181">
        <v>1.099</v>
      </c>
      <c r="AH46" s="1183">
        <v>15.0</v>
      </c>
      <c r="AI46" s="1178">
        <v>7531.0</v>
      </c>
      <c r="AJ46" s="1178">
        <v>3951.0</v>
      </c>
      <c r="AK46" s="1178">
        <v>3580.0</v>
      </c>
      <c r="AL46" s="1178">
        <v>3801.0</v>
      </c>
      <c r="AM46" s="1178">
        <v>3712.0</v>
      </c>
      <c r="AN46" s="1178">
        <v>3718.0</v>
      </c>
      <c r="AO46" s="1178">
        <v>3603.0</v>
      </c>
      <c r="AP46" s="1178">
        <v>3592.0</v>
      </c>
      <c r="AQ46" s="1178">
        <v>3532.0</v>
      </c>
      <c r="AR46" s="1178">
        <v>3452.0</v>
      </c>
      <c r="AS46" s="1178">
        <v>3567.0</v>
      </c>
      <c r="AT46" s="1178">
        <v>3525.0</v>
      </c>
      <c r="AU46" s="1178">
        <v>3628.0</v>
      </c>
      <c r="AV46" s="1178">
        <v>43660.0</v>
      </c>
      <c r="AW46" s="1174"/>
      <c r="AX46" s="1174"/>
      <c r="AY46" s="1174"/>
      <c r="AZ46" s="1174"/>
      <c r="BA46" s="1174"/>
      <c r="BB46" s="1174"/>
      <c r="BC46" s="1174"/>
      <c r="BD46" s="1174"/>
      <c r="BE46" s="1174"/>
      <c r="BF46" s="1174"/>
      <c r="BG46" s="1174"/>
      <c r="BH46" s="1174"/>
      <c r="BI46" s="1174"/>
      <c r="BJ46" s="1174"/>
      <c r="BK46" s="1174"/>
      <c r="BL46" s="1174"/>
      <c r="BM46" s="1174"/>
      <c r="BN46" s="1174"/>
      <c r="BO46" s="1174"/>
      <c r="BP46" s="1174"/>
      <c r="BQ46" s="1174"/>
      <c r="BR46" s="1174"/>
      <c r="BS46" s="1174"/>
      <c r="BT46" s="1174"/>
      <c r="BU46" s="1174"/>
      <c r="BV46" s="1174"/>
      <c r="BW46" s="1174"/>
      <c r="BX46" s="1174"/>
      <c r="BY46" s="1174"/>
      <c r="BZ46" s="1174"/>
      <c r="CA46" s="1174"/>
      <c r="CB46" s="1174"/>
      <c r="CC46" s="1174"/>
      <c r="CD46" s="1174"/>
      <c r="CE46" s="1174"/>
      <c r="CF46" s="1174"/>
      <c r="CG46" s="1174"/>
      <c r="CH46" s="1174"/>
      <c r="CI46" s="1174"/>
      <c r="CJ46" s="1174"/>
      <c r="CK46" s="1174"/>
      <c r="CL46" s="1174"/>
      <c r="CM46" s="1174"/>
      <c r="CN46" s="1174"/>
      <c r="CO46" s="1174"/>
      <c r="CP46" s="1174"/>
      <c r="CQ46" s="1174"/>
      <c r="CR46" s="1174"/>
      <c r="CS46" s="1174"/>
      <c r="CT46" s="1174"/>
      <c r="CU46" s="1174"/>
      <c r="CV46" s="1174"/>
      <c r="CW46" s="1174"/>
      <c r="CX46" s="1174"/>
      <c r="CY46" s="1174"/>
      <c r="CZ46" s="1174"/>
      <c r="DA46" s="1174"/>
      <c r="DB46" s="1174"/>
      <c r="DC46" s="1174"/>
      <c r="DD46" s="1174"/>
      <c r="DE46" s="1174"/>
      <c r="DF46" s="1174"/>
      <c r="DG46" s="1174"/>
      <c r="DH46" s="1174"/>
      <c r="DI46" s="1174"/>
      <c r="DJ46" s="1174"/>
      <c r="DK46" s="1174"/>
      <c r="DL46" s="1174"/>
      <c r="DM46" s="1174"/>
      <c r="DN46" s="1174"/>
      <c r="DO46" s="1174"/>
      <c r="DP46" s="1174"/>
      <c r="DQ46" s="1174"/>
      <c r="DR46" s="1174"/>
      <c r="DS46" s="1174"/>
      <c r="DT46" s="1174"/>
      <c r="DU46" s="1174"/>
      <c r="DV46" s="1174"/>
      <c r="DW46" s="1174"/>
      <c r="DX46" s="1174"/>
      <c r="DY46" s="1174"/>
      <c r="DZ46" s="1174"/>
      <c r="EA46" s="1174"/>
      <c r="EB46" s="1174"/>
      <c r="EC46" s="1174"/>
      <c r="ED46" s="1174"/>
      <c r="EE46" s="1174"/>
      <c r="EF46" s="1174"/>
      <c r="EG46" s="1174"/>
      <c r="EH46" s="1174"/>
      <c r="EI46" s="1174"/>
      <c r="EJ46" s="1174"/>
      <c r="EK46" s="1174"/>
      <c r="EL46" s="1174"/>
      <c r="EM46" s="1174"/>
      <c r="EN46" s="1174"/>
      <c r="EO46" s="1174"/>
      <c r="EP46" s="1174"/>
      <c r="EQ46" s="1174"/>
      <c r="ER46" s="1174"/>
      <c r="ES46" s="1174"/>
      <c r="ET46" s="1174"/>
      <c r="EU46" s="1174"/>
      <c r="EV46" s="1174"/>
      <c r="EW46" s="1174"/>
      <c r="EX46" s="1174"/>
      <c r="EY46" s="1174"/>
      <c r="EZ46" s="1174"/>
      <c r="FA46" s="1174"/>
      <c r="FB46" s="1174"/>
      <c r="FC46" s="1174"/>
      <c r="FD46" s="1174"/>
      <c r="FE46" s="1174"/>
      <c r="FF46" s="1174"/>
      <c r="FG46" s="1174"/>
      <c r="FH46" s="1174"/>
      <c r="FI46" s="1174"/>
      <c r="FJ46" s="1174"/>
      <c r="FK46" s="1174"/>
      <c r="FL46" s="1174"/>
      <c r="FM46" s="1174"/>
      <c r="FN46" s="1174"/>
      <c r="FO46" s="1174"/>
      <c r="FP46" s="1174"/>
      <c r="FQ46" s="1174"/>
      <c r="FR46" s="1174"/>
      <c r="FS46" s="1174"/>
      <c r="FT46" s="1174"/>
      <c r="FU46" s="1174"/>
      <c r="FV46" s="1174"/>
      <c r="FW46" s="1174"/>
      <c r="FX46" s="1174"/>
      <c r="FY46" s="1174"/>
      <c r="FZ46" s="1174"/>
      <c r="GA46" s="1174"/>
      <c r="GB46" s="1174"/>
      <c r="GC46" s="1174"/>
      <c r="GD46" s="1174"/>
      <c r="GE46" s="1174"/>
      <c r="GF46" s="1174"/>
      <c r="GG46" s="1174"/>
      <c r="GH46" s="1174"/>
      <c r="GI46" s="1174"/>
      <c r="GJ46" s="1174"/>
      <c r="GK46" s="1174"/>
      <c r="GL46" s="1174"/>
      <c r="GM46" s="1174"/>
      <c r="GN46" s="1174"/>
      <c r="GO46" s="1174"/>
      <c r="GP46" s="1174"/>
      <c r="GQ46" s="1174"/>
      <c r="GR46" s="1174"/>
      <c r="GS46" s="1174"/>
      <c r="GT46" s="1174"/>
      <c r="GU46" s="1174"/>
      <c r="GV46" s="1174"/>
      <c r="GW46" s="1174"/>
      <c r="GX46" s="1174"/>
      <c r="GY46" s="1174"/>
      <c r="GZ46" s="1174"/>
      <c r="HA46" s="1174"/>
      <c r="HB46" s="1174"/>
      <c r="HC46" s="1174"/>
      <c r="HD46" s="1174"/>
      <c r="HE46" s="1174"/>
      <c r="HF46" s="1174"/>
      <c r="HG46" s="1174"/>
      <c r="HH46" s="1174"/>
      <c r="HI46" s="1174"/>
      <c r="HJ46" s="1174"/>
      <c r="HK46" s="1174"/>
      <c r="HL46" s="1174"/>
      <c r="HM46" s="1174"/>
      <c r="HN46" s="1174"/>
      <c r="HO46" s="1174"/>
      <c r="HP46" s="1174"/>
      <c r="HQ46" s="1174"/>
      <c r="HR46" s="1174"/>
      <c r="HS46" s="1174"/>
      <c r="HT46" s="1174"/>
      <c r="HU46" s="1174"/>
      <c r="HV46" s="1174"/>
      <c r="HW46" s="1174"/>
      <c r="HX46" s="1174"/>
      <c r="HY46" s="1174"/>
      <c r="HZ46" s="1174"/>
      <c r="IA46" s="1174"/>
      <c r="IB46" s="1174"/>
      <c r="IC46" s="1174"/>
      <c r="ID46" s="1174"/>
      <c r="IE46" s="1174"/>
      <c r="IF46" s="1174"/>
      <c r="IG46" s="1174"/>
      <c r="IH46" s="1174"/>
      <c r="II46" s="1174"/>
      <c r="IJ46" s="1174"/>
      <c r="IK46" s="1174"/>
      <c r="IL46" s="1174"/>
      <c r="IM46" s="1174"/>
      <c r="IN46" s="1174"/>
      <c r="IO46" s="1174"/>
      <c r="IP46" s="1174"/>
      <c r="IQ46" s="1174"/>
      <c r="IR46" s="1174"/>
      <c r="IS46" s="1174"/>
      <c r="IT46" s="1174"/>
      <c r="IU46" s="1174"/>
      <c r="IV46" s="1174"/>
      <c r="IW46" s="1174"/>
      <c r="IX46" s="1174"/>
      <c r="IY46" s="1174"/>
      <c r="IZ46" s="1174"/>
      <c r="JA46" s="1174"/>
      <c r="JB46" s="1174"/>
      <c r="JC46" s="1174"/>
      <c r="JD46" s="1174"/>
      <c r="JE46" s="1174"/>
      <c r="JF46" s="1174"/>
      <c r="JG46" s="1174"/>
      <c r="JH46" s="1174"/>
      <c r="JI46" s="1174"/>
      <c r="JJ46" s="1174"/>
      <c r="JK46" s="1174"/>
      <c r="JL46" s="1174"/>
      <c r="JM46" s="1174"/>
      <c r="JN46" s="1174"/>
      <c r="JO46" s="1174"/>
      <c r="JP46" s="1174"/>
      <c r="JQ46" s="1174"/>
      <c r="JR46" s="1174"/>
      <c r="JS46" s="1174"/>
      <c r="JT46" s="1174"/>
      <c r="JU46" s="1174"/>
      <c r="JV46" s="1174"/>
      <c r="JW46" s="1174"/>
      <c r="JX46" s="1174"/>
      <c r="JY46" s="1174"/>
      <c r="JZ46" s="1174"/>
      <c r="KA46" s="1174"/>
      <c r="KB46" s="1174"/>
      <c r="KC46" s="1174"/>
      <c r="KD46" s="1174"/>
      <c r="KE46" s="1174"/>
      <c r="KF46" s="1174"/>
      <c r="KG46" s="1174"/>
      <c r="KH46" s="1174"/>
      <c r="KI46" s="1174"/>
      <c r="KJ46" s="1174"/>
      <c r="KK46" s="1174"/>
      <c r="KL46" s="1174"/>
      <c r="KM46" s="1174"/>
      <c r="KN46" s="1174"/>
      <c r="KO46" s="1174"/>
      <c r="KP46" s="1174"/>
      <c r="KQ46" s="1174"/>
      <c r="KR46" s="1174"/>
      <c r="KS46" s="1174"/>
      <c r="KT46" s="1174"/>
      <c r="KU46" s="1174"/>
      <c r="KV46" s="1174"/>
      <c r="KW46" s="1174"/>
      <c r="KX46" s="1174"/>
      <c r="KY46" s="1174"/>
      <c r="KZ46" s="1174"/>
      <c r="LA46" s="1174"/>
      <c r="LB46" s="1174"/>
      <c r="LC46" s="1174"/>
      <c r="LD46" s="1174"/>
      <c r="LE46" s="1174"/>
      <c r="LF46" s="1174"/>
      <c r="LG46" s="1174"/>
      <c r="LH46" s="1174"/>
      <c r="LI46" s="1174"/>
      <c r="LJ46" s="1174"/>
      <c r="LK46" s="1174"/>
      <c r="LL46" s="1174"/>
      <c r="LM46" s="1174"/>
      <c r="LN46" s="1174"/>
      <c r="LO46" s="1174"/>
      <c r="LP46" s="1174"/>
      <c r="LQ46" s="1174"/>
      <c r="LR46" s="1174"/>
      <c r="LS46" s="1174"/>
      <c r="LT46" s="1174"/>
      <c r="LU46" s="1174"/>
      <c r="LV46" s="1174"/>
      <c r="LW46" s="1174"/>
      <c r="LX46" s="1174"/>
      <c r="LY46" s="1174"/>
      <c r="LZ46" s="1174"/>
      <c r="MA46" s="1174"/>
      <c r="MB46" s="1174"/>
      <c r="MC46" s="1174"/>
      <c r="MD46" s="1174"/>
      <c r="ME46" s="1174"/>
      <c r="MF46" s="1174"/>
      <c r="MG46" s="1174"/>
      <c r="MH46" s="1174"/>
      <c r="MI46" s="1174"/>
      <c r="MJ46" s="1174"/>
      <c r="MK46" s="1174"/>
      <c r="ML46" s="1174"/>
      <c r="MM46" s="1174"/>
      <c r="MN46" s="1174"/>
      <c r="MO46" s="1174"/>
      <c r="MP46" s="1174"/>
      <c r="MQ46" s="1174"/>
      <c r="MR46" s="1174"/>
      <c r="MS46" s="1174"/>
      <c r="MT46" s="1174"/>
      <c r="MU46" s="1174"/>
      <c r="MV46" s="1174"/>
      <c r="MW46" s="1174"/>
      <c r="MX46" s="1174"/>
      <c r="MY46" s="1174"/>
      <c r="MZ46" s="1174"/>
      <c r="NA46" s="1174"/>
      <c r="NB46" s="1174"/>
      <c r="NC46" s="1174"/>
      <c r="ND46" s="1174"/>
      <c r="NE46" s="1174"/>
      <c r="NF46" s="1174"/>
      <c r="NG46" s="1174"/>
      <c r="NH46" s="1174"/>
      <c r="NI46" s="1174"/>
      <c r="NJ46" s="1174"/>
      <c r="NK46" s="1174"/>
      <c r="NL46" s="1174"/>
      <c r="NM46" s="1174"/>
      <c r="NN46" s="1174"/>
      <c r="NO46" s="1174"/>
      <c r="NP46" s="1174"/>
      <c r="NQ46" s="1174"/>
      <c r="NR46" s="1174"/>
      <c r="NS46" s="1174"/>
      <c r="NT46" s="1174"/>
      <c r="NU46" s="1174"/>
      <c r="NV46" s="1174"/>
      <c r="NW46" s="1174"/>
      <c r="NX46" s="1174"/>
      <c r="NY46" s="1174"/>
      <c r="NZ46" s="1174"/>
      <c r="OA46" s="1174"/>
      <c r="OB46" s="1174"/>
      <c r="OC46" s="1174"/>
      <c r="OD46" s="1174"/>
      <c r="OE46" s="1174"/>
      <c r="OF46" s="1174"/>
      <c r="OG46" s="1174"/>
      <c r="OH46" s="1174"/>
      <c r="OI46" s="1174"/>
      <c r="OJ46" s="1174"/>
      <c r="OK46" s="1174"/>
      <c r="OL46" s="1174"/>
      <c r="OM46" s="1174"/>
      <c r="ON46" s="1174"/>
      <c r="OO46" s="1174"/>
      <c r="OP46" s="1174"/>
      <c r="OQ46" s="1174"/>
      <c r="OR46" s="1174"/>
      <c r="OS46" s="1174"/>
      <c r="OT46" s="1174"/>
      <c r="OU46" s="1174"/>
    </row>
    <row r="47">
      <c r="A47" s="1175"/>
      <c r="B47" s="1176" t="s">
        <v>484</v>
      </c>
      <c r="C47" s="1177" t="s">
        <v>23</v>
      </c>
      <c r="D47" s="1178">
        <v>28307.0</v>
      </c>
      <c r="E47" s="1178">
        <v>2085.0</v>
      </c>
      <c r="F47" s="1178">
        <v>2045.0</v>
      </c>
      <c r="G47" s="1178">
        <v>2288.0</v>
      </c>
      <c r="H47" s="1178">
        <v>2206.0</v>
      </c>
      <c r="I47" s="1178">
        <v>2310.0</v>
      </c>
      <c r="J47" s="1178">
        <v>2321.0</v>
      </c>
      <c r="K47" s="1178">
        <v>2384.0</v>
      </c>
      <c r="L47" s="1178">
        <v>2479.0</v>
      </c>
      <c r="M47" s="1178">
        <v>2437.0</v>
      </c>
      <c r="N47" s="1178">
        <v>2526.0</v>
      </c>
      <c r="O47" s="1178">
        <v>2542.0</v>
      </c>
      <c r="P47" s="1178">
        <v>2685.0</v>
      </c>
      <c r="Q47" s="1178">
        <v>1888.0</v>
      </c>
      <c r="R47" s="1178">
        <v>1748.0</v>
      </c>
      <c r="S47" s="1178">
        <v>1837.0</v>
      </c>
      <c r="T47" s="1178">
        <v>1840.0</v>
      </c>
      <c r="U47" s="1178">
        <v>1887.0</v>
      </c>
      <c r="V47" s="1178">
        <v>1861.0</v>
      </c>
      <c r="W47" s="1179"/>
      <c r="X47" s="1179"/>
      <c r="Y47" s="1179"/>
      <c r="Z47" s="1179"/>
      <c r="AA47" s="1179"/>
      <c r="AB47" s="1179"/>
      <c r="AC47" s="1180">
        <v>3636.0</v>
      </c>
      <c r="AD47" s="1313">
        <v>0.881</v>
      </c>
      <c r="AE47" s="1182">
        <v>0.128</v>
      </c>
      <c r="AF47" s="1314">
        <v>20.0</v>
      </c>
      <c r="AG47" s="1181">
        <v>1.0</v>
      </c>
      <c r="AH47" s="1183">
        <v>19.0</v>
      </c>
      <c r="AI47" s="1178">
        <v>3636.0</v>
      </c>
      <c r="AJ47" s="1178">
        <v>1992.0</v>
      </c>
      <c r="AK47" s="1178">
        <v>1644.0</v>
      </c>
      <c r="AL47" s="1178">
        <v>1756.0</v>
      </c>
      <c r="AM47" s="1178">
        <v>1684.0</v>
      </c>
      <c r="AN47" s="1178">
        <v>1713.0</v>
      </c>
      <c r="AO47" s="1178">
        <v>1665.0</v>
      </c>
      <c r="AP47" s="1178">
        <v>1684.0</v>
      </c>
      <c r="AQ47" s="1178">
        <v>1655.0</v>
      </c>
      <c r="AR47" s="1178">
        <v>1592.0</v>
      </c>
      <c r="AS47" s="1178">
        <v>1715.0</v>
      </c>
      <c r="AT47" s="1178">
        <v>1638.0</v>
      </c>
      <c r="AU47" s="1178">
        <v>1665.0</v>
      </c>
      <c r="AV47" s="1178">
        <v>20403.0</v>
      </c>
      <c r="AW47" s="1174"/>
      <c r="AX47" s="1174"/>
      <c r="AY47" s="1174"/>
      <c r="AZ47" s="1174"/>
      <c r="BA47" s="1174"/>
      <c r="BB47" s="1174"/>
      <c r="BC47" s="1174"/>
      <c r="BD47" s="1174"/>
      <c r="BE47" s="1174"/>
      <c r="BF47" s="1174"/>
      <c r="BG47" s="1174"/>
      <c r="BH47" s="1174"/>
      <c r="BI47" s="1174"/>
      <c r="BJ47" s="1174"/>
      <c r="BK47" s="1174"/>
      <c r="BL47" s="1174"/>
      <c r="BM47" s="1174"/>
      <c r="BN47" s="1174"/>
      <c r="BO47" s="1174"/>
      <c r="BP47" s="1174"/>
      <c r="BQ47" s="1174"/>
      <c r="BR47" s="1174"/>
      <c r="BS47" s="1174"/>
      <c r="BT47" s="1174"/>
      <c r="BU47" s="1174"/>
      <c r="BV47" s="1174"/>
      <c r="BW47" s="1174"/>
      <c r="BX47" s="1174"/>
      <c r="BY47" s="1174"/>
      <c r="BZ47" s="1174"/>
      <c r="CA47" s="1174"/>
      <c r="CB47" s="1174"/>
      <c r="CC47" s="1174"/>
      <c r="CD47" s="1174"/>
      <c r="CE47" s="1174"/>
      <c r="CF47" s="1174"/>
      <c r="CG47" s="1174"/>
      <c r="CH47" s="1174"/>
      <c r="CI47" s="1174"/>
      <c r="CJ47" s="1174"/>
      <c r="CK47" s="1174"/>
      <c r="CL47" s="1174"/>
      <c r="CM47" s="1174"/>
      <c r="CN47" s="1174"/>
      <c r="CO47" s="1174"/>
      <c r="CP47" s="1174"/>
      <c r="CQ47" s="1174"/>
      <c r="CR47" s="1174"/>
      <c r="CS47" s="1174"/>
      <c r="CT47" s="1174"/>
      <c r="CU47" s="1174"/>
      <c r="CV47" s="1174"/>
      <c r="CW47" s="1174"/>
      <c r="CX47" s="1174"/>
      <c r="CY47" s="1174"/>
      <c r="CZ47" s="1174"/>
      <c r="DA47" s="1174"/>
      <c r="DB47" s="1174"/>
      <c r="DC47" s="1174"/>
      <c r="DD47" s="1174"/>
      <c r="DE47" s="1174"/>
      <c r="DF47" s="1174"/>
      <c r="DG47" s="1174"/>
      <c r="DH47" s="1174"/>
      <c r="DI47" s="1174"/>
      <c r="DJ47" s="1174"/>
      <c r="DK47" s="1174"/>
      <c r="DL47" s="1174"/>
      <c r="DM47" s="1174"/>
      <c r="DN47" s="1174"/>
      <c r="DO47" s="1174"/>
      <c r="DP47" s="1174"/>
      <c r="DQ47" s="1174"/>
      <c r="DR47" s="1174"/>
      <c r="DS47" s="1174"/>
      <c r="DT47" s="1174"/>
      <c r="DU47" s="1174"/>
      <c r="DV47" s="1174"/>
      <c r="DW47" s="1174"/>
      <c r="DX47" s="1174"/>
      <c r="DY47" s="1174"/>
      <c r="DZ47" s="1174"/>
      <c r="EA47" s="1174"/>
      <c r="EB47" s="1174"/>
      <c r="EC47" s="1174"/>
      <c r="ED47" s="1174"/>
      <c r="EE47" s="1174"/>
      <c r="EF47" s="1174"/>
      <c r="EG47" s="1174"/>
      <c r="EH47" s="1174"/>
      <c r="EI47" s="1174"/>
      <c r="EJ47" s="1174"/>
      <c r="EK47" s="1174"/>
      <c r="EL47" s="1174"/>
      <c r="EM47" s="1174"/>
      <c r="EN47" s="1174"/>
      <c r="EO47" s="1174"/>
      <c r="EP47" s="1174"/>
      <c r="EQ47" s="1174"/>
      <c r="ER47" s="1174"/>
      <c r="ES47" s="1174"/>
      <c r="ET47" s="1174"/>
      <c r="EU47" s="1174"/>
      <c r="EV47" s="1174"/>
      <c r="EW47" s="1174"/>
      <c r="EX47" s="1174"/>
      <c r="EY47" s="1174"/>
      <c r="EZ47" s="1174"/>
      <c r="FA47" s="1174"/>
      <c r="FB47" s="1174"/>
      <c r="FC47" s="1174"/>
      <c r="FD47" s="1174"/>
      <c r="FE47" s="1174"/>
      <c r="FF47" s="1174"/>
      <c r="FG47" s="1174"/>
      <c r="FH47" s="1174"/>
      <c r="FI47" s="1174"/>
      <c r="FJ47" s="1174"/>
      <c r="FK47" s="1174"/>
      <c r="FL47" s="1174"/>
      <c r="FM47" s="1174"/>
      <c r="FN47" s="1174"/>
      <c r="FO47" s="1174"/>
      <c r="FP47" s="1174"/>
      <c r="FQ47" s="1174"/>
      <c r="FR47" s="1174"/>
      <c r="FS47" s="1174"/>
      <c r="FT47" s="1174"/>
      <c r="FU47" s="1174"/>
      <c r="FV47" s="1174"/>
      <c r="FW47" s="1174"/>
      <c r="FX47" s="1174"/>
      <c r="FY47" s="1174"/>
      <c r="FZ47" s="1174"/>
      <c r="GA47" s="1174"/>
      <c r="GB47" s="1174"/>
      <c r="GC47" s="1174"/>
      <c r="GD47" s="1174"/>
      <c r="GE47" s="1174"/>
      <c r="GF47" s="1174"/>
      <c r="GG47" s="1174"/>
      <c r="GH47" s="1174"/>
      <c r="GI47" s="1174"/>
      <c r="GJ47" s="1174"/>
      <c r="GK47" s="1174"/>
      <c r="GL47" s="1174"/>
      <c r="GM47" s="1174"/>
      <c r="GN47" s="1174"/>
      <c r="GO47" s="1174"/>
      <c r="GP47" s="1174"/>
      <c r="GQ47" s="1174"/>
      <c r="GR47" s="1174"/>
      <c r="GS47" s="1174"/>
      <c r="GT47" s="1174"/>
      <c r="GU47" s="1174"/>
      <c r="GV47" s="1174"/>
      <c r="GW47" s="1174"/>
      <c r="GX47" s="1174"/>
      <c r="GY47" s="1174"/>
      <c r="GZ47" s="1174"/>
      <c r="HA47" s="1174"/>
      <c r="HB47" s="1174"/>
      <c r="HC47" s="1174"/>
      <c r="HD47" s="1174"/>
      <c r="HE47" s="1174"/>
      <c r="HF47" s="1174"/>
      <c r="HG47" s="1174"/>
      <c r="HH47" s="1174"/>
      <c r="HI47" s="1174"/>
      <c r="HJ47" s="1174"/>
      <c r="HK47" s="1174"/>
      <c r="HL47" s="1174"/>
      <c r="HM47" s="1174"/>
      <c r="HN47" s="1174"/>
      <c r="HO47" s="1174"/>
      <c r="HP47" s="1174"/>
      <c r="HQ47" s="1174"/>
      <c r="HR47" s="1174"/>
      <c r="HS47" s="1174"/>
      <c r="HT47" s="1174"/>
      <c r="HU47" s="1174"/>
      <c r="HV47" s="1174"/>
      <c r="HW47" s="1174"/>
      <c r="HX47" s="1174"/>
      <c r="HY47" s="1174"/>
      <c r="HZ47" s="1174"/>
      <c r="IA47" s="1174"/>
      <c r="IB47" s="1174"/>
      <c r="IC47" s="1174"/>
      <c r="ID47" s="1174"/>
      <c r="IE47" s="1174"/>
      <c r="IF47" s="1174"/>
      <c r="IG47" s="1174"/>
      <c r="IH47" s="1174"/>
      <c r="II47" s="1174"/>
      <c r="IJ47" s="1174"/>
      <c r="IK47" s="1174"/>
      <c r="IL47" s="1174"/>
      <c r="IM47" s="1174"/>
      <c r="IN47" s="1174"/>
      <c r="IO47" s="1174"/>
      <c r="IP47" s="1174"/>
      <c r="IQ47" s="1174"/>
      <c r="IR47" s="1174"/>
      <c r="IS47" s="1174"/>
      <c r="IT47" s="1174"/>
      <c r="IU47" s="1174"/>
      <c r="IV47" s="1174"/>
      <c r="IW47" s="1174"/>
      <c r="IX47" s="1174"/>
      <c r="IY47" s="1174"/>
      <c r="IZ47" s="1174"/>
      <c r="JA47" s="1174"/>
      <c r="JB47" s="1174"/>
      <c r="JC47" s="1174"/>
      <c r="JD47" s="1174"/>
      <c r="JE47" s="1174"/>
      <c r="JF47" s="1174"/>
      <c r="JG47" s="1174"/>
      <c r="JH47" s="1174"/>
      <c r="JI47" s="1174"/>
      <c r="JJ47" s="1174"/>
      <c r="JK47" s="1174"/>
      <c r="JL47" s="1174"/>
      <c r="JM47" s="1174"/>
      <c r="JN47" s="1174"/>
      <c r="JO47" s="1174"/>
      <c r="JP47" s="1174"/>
      <c r="JQ47" s="1174"/>
      <c r="JR47" s="1174"/>
      <c r="JS47" s="1174"/>
      <c r="JT47" s="1174"/>
      <c r="JU47" s="1174"/>
      <c r="JV47" s="1174"/>
      <c r="JW47" s="1174"/>
      <c r="JX47" s="1174"/>
      <c r="JY47" s="1174"/>
      <c r="JZ47" s="1174"/>
      <c r="KA47" s="1174"/>
      <c r="KB47" s="1174"/>
      <c r="KC47" s="1174"/>
      <c r="KD47" s="1174"/>
      <c r="KE47" s="1174"/>
      <c r="KF47" s="1174"/>
      <c r="KG47" s="1174"/>
      <c r="KH47" s="1174"/>
      <c r="KI47" s="1174"/>
      <c r="KJ47" s="1174"/>
      <c r="KK47" s="1174"/>
      <c r="KL47" s="1174"/>
      <c r="KM47" s="1174"/>
      <c r="KN47" s="1174"/>
      <c r="KO47" s="1174"/>
      <c r="KP47" s="1174"/>
      <c r="KQ47" s="1174"/>
      <c r="KR47" s="1174"/>
      <c r="KS47" s="1174"/>
      <c r="KT47" s="1174"/>
      <c r="KU47" s="1174"/>
      <c r="KV47" s="1174"/>
      <c r="KW47" s="1174"/>
      <c r="KX47" s="1174"/>
      <c r="KY47" s="1174"/>
      <c r="KZ47" s="1174"/>
      <c r="LA47" s="1174"/>
      <c r="LB47" s="1174"/>
      <c r="LC47" s="1174"/>
      <c r="LD47" s="1174"/>
      <c r="LE47" s="1174"/>
      <c r="LF47" s="1174"/>
      <c r="LG47" s="1174"/>
      <c r="LH47" s="1174"/>
      <c r="LI47" s="1174"/>
      <c r="LJ47" s="1174"/>
      <c r="LK47" s="1174"/>
      <c r="LL47" s="1174"/>
      <c r="LM47" s="1174"/>
      <c r="LN47" s="1174"/>
      <c r="LO47" s="1174"/>
      <c r="LP47" s="1174"/>
      <c r="LQ47" s="1174"/>
      <c r="LR47" s="1174"/>
      <c r="LS47" s="1174"/>
      <c r="LT47" s="1174"/>
      <c r="LU47" s="1174"/>
      <c r="LV47" s="1174"/>
      <c r="LW47" s="1174"/>
      <c r="LX47" s="1174"/>
      <c r="LY47" s="1174"/>
      <c r="LZ47" s="1174"/>
      <c r="MA47" s="1174"/>
      <c r="MB47" s="1174"/>
      <c r="MC47" s="1174"/>
      <c r="MD47" s="1174"/>
      <c r="ME47" s="1174"/>
      <c r="MF47" s="1174"/>
      <c r="MG47" s="1174"/>
      <c r="MH47" s="1174"/>
      <c r="MI47" s="1174"/>
      <c r="MJ47" s="1174"/>
      <c r="MK47" s="1174"/>
      <c r="ML47" s="1174"/>
      <c r="MM47" s="1174"/>
      <c r="MN47" s="1174"/>
      <c r="MO47" s="1174"/>
      <c r="MP47" s="1174"/>
      <c r="MQ47" s="1174"/>
      <c r="MR47" s="1174"/>
      <c r="MS47" s="1174"/>
      <c r="MT47" s="1174"/>
      <c r="MU47" s="1174"/>
      <c r="MV47" s="1174"/>
      <c r="MW47" s="1174"/>
      <c r="MX47" s="1174"/>
      <c r="MY47" s="1174"/>
      <c r="MZ47" s="1174"/>
      <c r="NA47" s="1174"/>
      <c r="NB47" s="1174"/>
      <c r="NC47" s="1174"/>
      <c r="ND47" s="1174"/>
      <c r="NE47" s="1174"/>
      <c r="NF47" s="1174"/>
      <c r="NG47" s="1174"/>
      <c r="NH47" s="1174"/>
      <c r="NI47" s="1174"/>
      <c r="NJ47" s="1174"/>
      <c r="NK47" s="1174"/>
      <c r="NL47" s="1174"/>
      <c r="NM47" s="1174"/>
      <c r="NN47" s="1174"/>
      <c r="NO47" s="1174"/>
      <c r="NP47" s="1174"/>
      <c r="NQ47" s="1174"/>
      <c r="NR47" s="1174"/>
      <c r="NS47" s="1174"/>
      <c r="NT47" s="1174"/>
      <c r="NU47" s="1174"/>
      <c r="NV47" s="1174"/>
      <c r="NW47" s="1174"/>
      <c r="NX47" s="1174"/>
      <c r="NY47" s="1174"/>
      <c r="NZ47" s="1174"/>
      <c r="OA47" s="1174"/>
      <c r="OB47" s="1174"/>
      <c r="OC47" s="1174"/>
      <c r="OD47" s="1174"/>
      <c r="OE47" s="1174"/>
      <c r="OF47" s="1174"/>
      <c r="OG47" s="1174"/>
      <c r="OH47" s="1174"/>
      <c r="OI47" s="1174"/>
      <c r="OJ47" s="1174"/>
      <c r="OK47" s="1174"/>
      <c r="OL47" s="1174"/>
      <c r="OM47" s="1174"/>
      <c r="ON47" s="1174"/>
      <c r="OO47" s="1174"/>
      <c r="OP47" s="1174"/>
      <c r="OQ47" s="1174"/>
      <c r="OR47" s="1174"/>
      <c r="OS47" s="1174"/>
      <c r="OT47" s="1174"/>
      <c r="OU47" s="1174"/>
    </row>
    <row r="48">
      <c r="A48" s="1175"/>
      <c r="B48" s="1176" t="s">
        <v>629</v>
      </c>
      <c r="C48" s="1177" t="s">
        <v>23</v>
      </c>
      <c r="D48" s="1178">
        <v>11882.0</v>
      </c>
      <c r="E48" s="1187">
        <v>990.0</v>
      </c>
      <c r="F48" s="1187">
        <v>990.0</v>
      </c>
      <c r="G48" s="1187">
        <v>990.0</v>
      </c>
      <c r="H48" s="1187">
        <v>990.0</v>
      </c>
      <c r="I48" s="1187">
        <v>990.0</v>
      </c>
      <c r="J48" s="1187">
        <v>990.0</v>
      </c>
      <c r="K48" s="1187">
        <v>990.0</v>
      </c>
      <c r="L48" s="1187">
        <v>990.0</v>
      </c>
      <c r="M48" s="1187">
        <v>990.0</v>
      </c>
      <c r="N48" s="1187">
        <v>990.0</v>
      </c>
      <c r="O48" s="1187">
        <v>990.0</v>
      </c>
      <c r="P48" s="1187">
        <v>990.0</v>
      </c>
      <c r="Q48" s="1187">
        <v>920.0</v>
      </c>
      <c r="R48" s="1187">
        <v>920.0</v>
      </c>
      <c r="S48" s="1187">
        <v>954.0</v>
      </c>
      <c r="T48" s="1187">
        <v>855.0</v>
      </c>
      <c r="U48" s="1178">
        <v>1225.0</v>
      </c>
      <c r="V48" s="1187">
        <v>180.0</v>
      </c>
      <c r="W48" s="1179"/>
      <c r="X48" s="1179"/>
      <c r="Y48" s="1179"/>
      <c r="Z48" s="1179"/>
      <c r="AA48" s="1179"/>
      <c r="AB48" s="1179"/>
      <c r="AC48" s="1180">
        <v>1840.0</v>
      </c>
      <c r="AD48" s="1186">
        <v>0.929</v>
      </c>
      <c r="AE48" s="1182">
        <v>0.155</v>
      </c>
      <c r="AF48" s="1318"/>
      <c r="AG48" s="1181">
        <v>1.016</v>
      </c>
      <c r="AH48" s="1318"/>
      <c r="AI48" s="1178">
        <v>1811.0</v>
      </c>
      <c r="AJ48" s="1187">
        <v>905.0</v>
      </c>
      <c r="AK48" s="1187">
        <v>905.0</v>
      </c>
      <c r="AL48" s="1187">
        <v>905.0</v>
      </c>
      <c r="AM48" s="1187">
        <v>905.0</v>
      </c>
      <c r="AN48" s="1187">
        <v>905.0</v>
      </c>
      <c r="AO48" s="1187">
        <v>905.0</v>
      </c>
      <c r="AP48" s="1187">
        <v>905.0</v>
      </c>
      <c r="AQ48" s="1187">
        <v>905.0</v>
      </c>
      <c r="AR48" s="1187">
        <v>905.0</v>
      </c>
      <c r="AS48" s="1187">
        <v>905.0</v>
      </c>
      <c r="AT48" s="1187">
        <v>905.0</v>
      </c>
      <c r="AU48" s="1187">
        <v>905.0</v>
      </c>
      <c r="AV48" s="1178">
        <v>10863.0</v>
      </c>
    </row>
  </sheetData>
  <mergeCells count="21">
    <mergeCell ref="X10:Z10"/>
    <mergeCell ref="AA10:AC10"/>
    <mergeCell ref="AD10:AF10"/>
    <mergeCell ref="AG10:AI10"/>
    <mergeCell ref="AJ10:AL10"/>
    <mergeCell ref="C10:E10"/>
    <mergeCell ref="F10:H10"/>
    <mergeCell ref="I10:K10"/>
    <mergeCell ref="L10:N10"/>
    <mergeCell ref="O10:Q10"/>
    <mergeCell ref="R10:T10"/>
    <mergeCell ref="U10:W10"/>
    <mergeCell ref="AG23:AH23"/>
    <mergeCell ref="AI23:AV23"/>
    <mergeCell ref="A23:A24"/>
    <mergeCell ref="B23:B24"/>
    <mergeCell ref="C23:C24"/>
    <mergeCell ref="D23:D24"/>
    <mergeCell ref="E23:P23"/>
    <mergeCell ref="Q23:AC23"/>
    <mergeCell ref="AD23:AF23"/>
  </mergeCells>
  <hyperlinks>
    <hyperlink r:id="rId1" ref="H3"/>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4.13"/>
    <col customWidth="1" min="2" max="2" width="18.63"/>
    <col customWidth="1" min="3" max="3" width="8.5"/>
    <col customWidth="1" min="4" max="20" width="6.88"/>
    <col customWidth="1" min="21" max="38" width="7.75"/>
  </cols>
  <sheetData>
    <row r="1">
      <c r="A1" s="738"/>
      <c r="B1" s="738"/>
      <c r="C1" s="738"/>
      <c r="D1" s="738"/>
      <c r="E1" s="738"/>
      <c r="F1" s="738"/>
      <c r="G1" s="739" t="s">
        <v>630</v>
      </c>
      <c r="H1" s="738"/>
      <c r="I1" s="738"/>
      <c r="J1" s="738"/>
      <c r="K1" s="738"/>
      <c r="L1" s="738"/>
      <c r="M1" s="738"/>
      <c r="N1" s="738"/>
      <c r="O1" s="738"/>
      <c r="P1" s="738"/>
      <c r="Q1" s="738"/>
      <c r="R1" s="738"/>
      <c r="S1" s="738"/>
      <c r="T1" s="738"/>
      <c r="U1" s="738"/>
      <c r="V1" s="738"/>
      <c r="W1" s="738"/>
      <c r="X1" s="738"/>
      <c r="Y1" s="738"/>
      <c r="Z1" s="738"/>
      <c r="AA1" s="738"/>
      <c r="AB1" s="738"/>
      <c r="AC1" s="738"/>
      <c r="AD1" s="738"/>
      <c r="AE1" s="738"/>
      <c r="AF1" s="738"/>
      <c r="AG1" s="738"/>
      <c r="AH1" s="738"/>
      <c r="AI1" s="738"/>
      <c r="AJ1" s="738"/>
      <c r="AK1" s="738"/>
      <c r="AL1" s="738"/>
    </row>
    <row r="2">
      <c r="A2" s="738"/>
      <c r="B2" s="738"/>
      <c r="C2" s="738"/>
      <c r="D2" s="738"/>
      <c r="E2" s="738"/>
      <c r="F2" s="738"/>
      <c r="G2" s="739" t="s">
        <v>631</v>
      </c>
      <c r="H2" s="738"/>
      <c r="I2" s="738"/>
      <c r="J2" s="738"/>
      <c r="K2" s="738"/>
      <c r="L2" s="738"/>
      <c r="M2" s="738"/>
      <c r="N2" s="738"/>
      <c r="O2" s="738"/>
      <c r="P2" s="738"/>
      <c r="Q2" s="738"/>
      <c r="R2" s="738"/>
      <c r="S2" s="738"/>
      <c r="T2" s="738"/>
      <c r="U2" s="738"/>
      <c r="V2" s="738"/>
      <c r="W2" s="738"/>
      <c r="X2" s="738"/>
      <c r="Y2" s="738"/>
      <c r="Z2" s="738"/>
      <c r="AA2" s="738"/>
      <c r="AB2" s="738"/>
      <c r="AC2" s="738"/>
      <c r="AD2" s="738"/>
      <c r="AE2" s="738"/>
      <c r="AF2" s="738"/>
      <c r="AG2" s="738"/>
      <c r="AH2" s="738"/>
      <c r="AI2" s="738"/>
      <c r="AJ2" s="738"/>
      <c r="AK2" s="738"/>
      <c r="AL2" s="738"/>
    </row>
    <row r="3">
      <c r="A3" s="738"/>
      <c r="B3" s="738"/>
      <c r="C3" s="738"/>
      <c r="D3" s="738"/>
      <c r="E3" s="738"/>
      <c r="F3" s="738"/>
      <c r="G3" s="739" t="s">
        <v>343</v>
      </c>
      <c r="H3" s="1188" t="s">
        <v>632</v>
      </c>
      <c r="I3" s="738"/>
      <c r="J3" s="738"/>
      <c r="K3" s="738"/>
      <c r="L3" s="738"/>
      <c r="M3" s="738"/>
      <c r="N3" s="738"/>
      <c r="O3" s="738"/>
      <c r="P3" s="738"/>
      <c r="Q3" s="738"/>
      <c r="R3" s="738"/>
      <c r="S3" s="738"/>
      <c r="T3" s="738"/>
      <c r="U3" s="738"/>
      <c r="V3" s="738"/>
      <c r="W3" s="738"/>
      <c r="X3" s="738"/>
      <c r="Y3" s="738"/>
      <c r="Z3" s="738"/>
      <c r="AA3" s="738"/>
      <c r="AB3" s="738"/>
      <c r="AC3" s="738"/>
      <c r="AD3" s="738"/>
      <c r="AE3" s="738"/>
      <c r="AF3" s="738"/>
      <c r="AG3" s="738"/>
      <c r="AH3" s="738"/>
      <c r="AI3" s="738"/>
      <c r="AJ3" s="738"/>
      <c r="AK3" s="738"/>
      <c r="AL3" s="738"/>
    </row>
    <row r="4">
      <c r="A4" s="738"/>
      <c r="B4" s="738"/>
      <c r="C4" s="738"/>
      <c r="D4" s="738"/>
      <c r="E4" s="738"/>
      <c r="F4" s="738"/>
      <c r="G4" s="738"/>
      <c r="H4" s="1188" t="s">
        <v>633</v>
      </c>
      <c r="I4" s="738"/>
      <c r="J4" s="738"/>
      <c r="K4" s="738"/>
      <c r="L4" s="738"/>
      <c r="M4" s="738"/>
      <c r="N4" s="738"/>
      <c r="O4" s="738"/>
      <c r="P4" s="738"/>
      <c r="Q4" s="738"/>
      <c r="R4" s="738"/>
      <c r="S4" s="738"/>
      <c r="T4" s="738"/>
      <c r="U4" s="738"/>
      <c r="V4" s="738"/>
      <c r="W4" s="738"/>
      <c r="X4" s="738"/>
      <c r="Y4" s="738"/>
      <c r="Z4" s="738"/>
      <c r="AA4" s="738"/>
      <c r="AB4" s="738"/>
      <c r="AC4" s="738"/>
      <c r="AD4" s="738"/>
      <c r="AE4" s="738"/>
      <c r="AF4" s="738"/>
      <c r="AG4" s="738"/>
      <c r="AH4" s="738"/>
      <c r="AI4" s="738"/>
      <c r="AJ4" s="738"/>
      <c r="AK4" s="738"/>
      <c r="AL4" s="738"/>
    </row>
    <row r="5">
      <c r="A5" s="738"/>
      <c r="B5" s="738"/>
      <c r="C5" s="738"/>
      <c r="D5" s="738"/>
      <c r="E5" s="738"/>
      <c r="F5" s="738"/>
      <c r="G5" s="738"/>
      <c r="H5" s="738"/>
      <c r="I5" s="738"/>
      <c r="J5" s="738"/>
      <c r="K5" s="738"/>
      <c r="L5" s="738"/>
      <c r="M5" s="738"/>
      <c r="N5" s="738"/>
      <c r="O5" s="738"/>
      <c r="P5" s="738"/>
      <c r="Q5" s="738"/>
      <c r="R5" s="738"/>
      <c r="S5" s="738"/>
      <c r="T5" s="738"/>
      <c r="U5" s="738"/>
      <c r="V5" s="738"/>
      <c r="W5" s="738"/>
      <c r="X5" s="738"/>
      <c r="Y5" s="738"/>
      <c r="Z5" s="738"/>
      <c r="AA5" s="738"/>
      <c r="AB5" s="738"/>
      <c r="AC5" s="738"/>
      <c r="AD5" s="738"/>
      <c r="AE5" s="738"/>
      <c r="AF5" s="738"/>
      <c r="AG5" s="738"/>
      <c r="AH5" s="738"/>
      <c r="AI5" s="738"/>
      <c r="AJ5" s="738"/>
      <c r="AK5" s="738"/>
      <c r="AL5" s="738"/>
    </row>
    <row r="6">
      <c r="A6" s="738"/>
      <c r="B6" s="738"/>
      <c r="C6" s="738"/>
      <c r="D6" s="738"/>
      <c r="E6" s="738"/>
      <c r="F6" s="738"/>
      <c r="G6" s="738"/>
      <c r="H6" s="738"/>
      <c r="I6" s="738"/>
      <c r="J6" s="738"/>
      <c r="K6" s="738"/>
      <c r="L6" s="738"/>
      <c r="M6" s="738"/>
      <c r="N6" s="738"/>
      <c r="O6" s="738"/>
      <c r="P6" s="738"/>
      <c r="Q6" s="738"/>
      <c r="R6" s="738"/>
      <c r="S6" s="738"/>
      <c r="T6" s="738"/>
      <c r="U6" s="738"/>
      <c r="V6" s="738"/>
      <c r="W6" s="738"/>
      <c r="X6" s="738"/>
      <c r="Y6" s="738"/>
      <c r="Z6" s="738"/>
      <c r="AA6" s="738"/>
      <c r="AB6" s="738"/>
      <c r="AC6" s="738"/>
      <c r="AD6" s="738"/>
      <c r="AE6" s="738"/>
      <c r="AF6" s="738"/>
      <c r="AG6" s="738"/>
      <c r="AH6" s="738"/>
      <c r="AI6" s="738"/>
      <c r="AJ6" s="738"/>
      <c r="AK6" s="738"/>
      <c r="AL6" s="738"/>
    </row>
    <row r="7">
      <c r="A7" s="738"/>
      <c r="B7" s="738"/>
      <c r="C7" s="738"/>
      <c r="D7" s="738"/>
      <c r="E7" s="738"/>
      <c r="F7" s="738"/>
      <c r="G7" s="738"/>
      <c r="H7" s="738"/>
      <c r="I7" s="738"/>
      <c r="J7" s="738"/>
      <c r="K7" s="738"/>
      <c r="L7" s="738"/>
      <c r="M7" s="738"/>
      <c r="N7" s="738"/>
      <c r="O7" s="738"/>
      <c r="P7" s="738"/>
      <c r="Q7" s="738"/>
      <c r="R7" s="738"/>
      <c r="S7" s="738"/>
      <c r="T7" s="738"/>
      <c r="U7" s="738"/>
      <c r="V7" s="738"/>
      <c r="W7" s="738"/>
      <c r="X7" s="738"/>
      <c r="Y7" s="738"/>
      <c r="Z7" s="738"/>
      <c r="AA7" s="738"/>
      <c r="AB7" s="738"/>
      <c r="AC7" s="738"/>
      <c r="AD7" s="738"/>
      <c r="AE7" s="738"/>
      <c r="AF7" s="738"/>
      <c r="AG7" s="738"/>
      <c r="AH7" s="738"/>
      <c r="AI7" s="738"/>
      <c r="AJ7" s="738"/>
      <c r="AK7" s="738"/>
      <c r="AL7" s="738"/>
    </row>
    <row r="8">
      <c r="A8" s="738"/>
      <c r="B8" s="738"/>
      <c r="C8" s="738"/>
      <c r="D8" s="738"/>
      <c r="E8" s="738"/>
      <c r="F8" s="738"/>
      <c r="G8" s="738"/>
      <c r="H8" s="738"/>
      <c r="I8" s="738"/>
      <c r="J8" s="738"/>
      <c r="K8" s="738"/>
      <c r="L8" s="738"/>
      <c r="M8" s="738"/>
      <c r="N8" s="738"/>
      <c r="O8" s="738"/>
      <c r="P8" s="738"/>
      <c r="Q8" s="738"/>
      <c r="R8" s="738"/>
      <c r="S8" s="738"/>
      <c r="T8" s="738"/>
      <c r="U8" s="738"/>
      <c r="V8" s="738"/>
      <c r="W8" s="738"/>
      <c r="X8" s="738"/>
      <c r="Y8" s="738"/>
      <c r="Z8" s="738"/>
      <c r="AA8" s="738"/>
      <c r="AB8" s="738"/>
      <c r="AC8" s="738"/>
      <c r="AD8" s="738"/>
      <c r="AE8" s="738"/>
      <c r="AF8" s="738"/>
      <c r="AG8" s="738"/>
      <c r="AH8" s="738"/>
      <c r="AI8" s="738"/>
      <c r="AJ8" s="738"/>
      <c r="AK8" s="738"/>
      <c r="AL8" s="738"/>
    </row>
    <row r="9">
      <c r="A9" s="738"/>
      <c r="B9" s="738"/>
      <c r="C9" s="738"/>
      <c r="D9" s="738"/>
      <c r="E9" s="738"/>
      <c r="F9" s="738"/>
      <c r="G9" s="738"/>
      <c r="H9" s="738"/>
      <c r="I9" s="738"/>
      <c r="J9" s="738"/>
      <c r="K9" s="738"/>
      <c r="L9" s="738"/>
      <c r="M9" s="738"/>
      <c r="N9" s="738"/>
      <c r="O9" s="738"/>
      <c r="P9" s="738"/>
      <c r="Q9" s="738"/>
      <c r="R9" s="738"/>
      <c r="S9" s="738"/>
      <c r="T9" s="738"/>
      <c r="U9" s="738"/>
      <c r="V9" s="738"/>
      <c r="W9" s="738"/>
      <c r="X9" s="738"/>
      <c r="Y9" s="738"/>
      <c r="Z9" s="738"/>
      <c r="AA9" s="738"/>
      <c r="AB9" s="738"/>
      <c r="AC9" s="738"/>
      <c r="AD9" s="738"/>
      <c r="AE9" s="738"/>
      <c r="AF9" s="738"/>
      <c r="AG9" s="738"/>
      <c r="AH9" s="738"/>
      <c r="AI9" s="738"/>
      <c r="AJ9" s="738"/>
      <c r="AK9" s="738"/>
      <c r="AL9" s="738"/>
    </row>
    <row r="10">
      <c r="A10" s="1189"/>
      <c r="B10" s="1189"/>
      <c r="C10" s="1190" t="s">
        <v>335</v>
      </c>
      <c r="D10" s="629"/>
      <c r="E10" s="630"/>
      <c r="F10" s="1190" t="s">
        <v>336</v>
      </c>
      <c r="G10" s="629"/>
      <c r="H10" s="630"/>
      <c r="I10" s="1191" t="s">
        <v>348</v>
      </c>
      <c r="J10" s="7"/>
      <c r="K10" s="9"/>
      <c r="L10" s="1192" t="s">
        <v>349</v>
      </c>
      <c r="M10" s="7"/>
      <c r="N10" s="9"/>
      <c r="O10" s="1192" t="s">
        <v>350</v>
      </c>
      <c r="P10" s="7"/>
      <c r="Q10" s="9"/>
      <c r="R10" s="1192" t="s">
        <v>351</v>
      </c>
      <c r="S10" s="7"/>
      <c r="T10" s="9"/>
      <c r="U10" s="1192" t="s">
        <v>352</v>
      </c>
      <c r="V10" s="7"/>
      <c r="W10" s="9"/>
      <c r="X10" s="1193"/>
      <c r="Y10" s="1193"/>
      <c r="Z10" s="1193"/>
      <c r="AA10" s="1193"/>
      <c r="AB10" s="1193"/>
      <c r="AC10" s="1193"/>
      <c r="AD10" s="1193"/>
      <c r="AE10" s="1193"/>
      <c r="AF10" s="1193"/>
      <c r="AG10" s="1193"/>
      <c r="AH10" s="1193"/>
      <c r="AI10" s="1193"/>
      <c r="AJ10" s="1193"/>
      <c r="AK10" s="1193"/>
      <c r="AL10" s="1193"/>
    </row>
    <row r="11" ht="53.25" customHeight="1">
      <c r="A11" s="1194" t="s">
        <v>28</v>
      </c>
      <c r="B11" s="1195" t="s">
        <v>586</v>
      </c>
      <c r="C11" s="1196" t="s">
        <v>634</v>
      </c>
      <c r="D11" s="157" t="s">
        <v>635</v>
      </c>
      <c r="E11" s="1197" t="s">
        <v>430</v>
      </c>
      <c r="F11" s="1196" t="s">
        <v>634</v>
      </c>
      <c r="G11" s="157" t="s">
        <v>635</v>
      </c>
      <c r="H11" s="1197" t="s">
        <v>430</v>
      </c>
      <c r="I11" s="1198" t="s">
        <v>634</v>
      </c>
      <c r="J11" s="157" t="s">
        <v>635</v>
      </c>
      <c r="K11" s="1199" t="s">
        <v>430</v>
      </c>
      <c r="L11" s="157" t="s">
        <v>634</v>
      </c>
      <c r="M11" s="157" t="s">
        <v>635</v>
      </c>
      <c r="N11" s="1199" t="s">
        <v>430</v>
      </c>
      <c r="O11" s="157" t="s">
        <v>634</v>
      </c>
      <c r="P11" s="157" t="s">
        <v>635</v>
      </c>
      <c r="Q11" s="1199" t="s">
        <v>430</v>
      </c>
      <c r="R11" s="157" t="s">
        <v>634</v>
      </c>
      <c r="S11" s="157" t="s">
        <v>635</v>
      </c>
      <c r="T11" s="1199" t="s">
        <v>430</v>
      </c>
      <c r="U11" s="157" t="s">
        <v>634</v>
      </c>
      <c r="V11" s="157" t="s">
        <v>635</v>
      </c>
      <c r="W11" s="1199" t="s">
        <v>430</v>
      </c>
      <c r="X11" s="1200"/>
      <c r="Y11" s="1200"/>
      <c r="Z11" s="1200"/>
      <c r="AA11" s="1200"/>
      <c r="AB11" s="1200"/>
      <c r="AC11" s="1200"/>
      <c r="AD11" s="1200"/>
      <c r="AE11" s="1200"/>
      <c r="AF11" s="1200"/>
      <c r="AG11" s="1200"/>
      <c r="AH11" s="1200"/>
      <c r="AI11" s="1200"/>
      <c r="AJ11" s="1200"/>
      <c r="AK11" s="1200"/>
      <c r="AL11" s="1200"/>
    </row>
    <row r="12">
      <c r="A12" s="1201">
        <v>1.0</v>
      </c>
      <c r="B12" s="1202" t="s">
        <v>481</v>
      </c>
      <c r="C12" s="1203">
        <f t="shared" ref="C12:C19" si="1">E38+E51+E64+E77</f>
        <v>471</v>
      </c>
      <c r="D12" s="1204">
        <f t="shared" ref="D12:D19" si="2">C38+C51+C64+C77</f>
        <v>504</v>
      </c>
      <c r="E12" s="1205">
        <f t="shared" ref="E12:E19" si="3">C12/D12</f>
        <v>0.9345238095</v>
      </c>
      <c r="F12" s="1203">
        <f t="shared" ref="F12:F19" si="4">N38+N51+N64+N77</f>
        <v>314</v>
      </c>
      <c r="G12" s="1204">
        <f t="shared" ref="G12:G19" si="5">L38+L51+L64+L77</f>
        <v>324</v>
      </c>
      <c r="H12" s="1205">
        <f t="shared" ref="H12:H19" si="6">F12/G12</f>
        <v>0.9691358025</v>
      </c>
      <c r="I12" s="1206"/>
      <c r="J12" s="1204"/>
      <c r="K12" s="1204"/>
      <c r="L12" s="1204"/>
      <c r="M12" s="1204"/>
      <c r="N12" s="1204"/>
      <c r="O12" s="1204"/>
      <c r="P12" s="1204"/>
      <c r="Q12" s="1204"/>
      <c r="R12" s="1204"/>
      <c r="S12" s="1204"/>
      <c r="T12" s="1204"/>
      <c r="U12" s="1204"/>
      <c r="V12" s="1204"/>
      <c r="W12" s="1204"/>
      <c r="X12" s="1193"/>
      <c r="Y12" s="1193"/>
      <c r="Z12" s="1193"/>
      <c r="AA12" s="1193"/>
      <c r="AB12" s="1193"/>
      <c r="AC12" s="1193"/>
      <c r="AD12" s="1193"/>
      <c r="AE12" s="1193"/>
      <c r="AF12" s="1193"/>
      <c r="AG12" s="1193"/>
      <c r="AH12" s="1193"/>
      <c r="AI12" s="1193"/>
      <c r="AJ12" s="1193"/>
      <c r="AK12" s="1193"/>
      <c r="AL12" s="1193"/>
    </row>
    <row r="13">
      <c r="A13" s="1201">
        <v>2.0</v>
      </c>
      <c r="B13" s="1202" t="s">
        <v>485</v>
      </c>
      <c r="C13" s="1203">
        <f t="shared" si="1"/>
        <v>684</v>
      </c>
      <c r="D13" s="1204">
        <f t="shared" si="2"/>
        <v>777</v>
      </c>
      <c r="E13" s="1205">
        <f t="shared" si="3"/>
        <v>0.8803088803</v>
      </c>
      <c r="F13" s="1203">
        <f t="shared" si="4"/>
        <v>319</v>
      </c>
      <c r="G13" s="1204">
        <f t="shared" si="5"/>
        <v>333</v>
      </c>
      <c r="H13" s="1205">
        <f t="shared" si="6"/>
        <v>0.957957958</v>
      </c>
      <c r="I13" s="1206"/>
      <c r="J13" s="1204"/>
      <c r="K13" s="1204"/>
      <c r="L13" s="1204"/>
      <c r="M13" s="1204"/>
      <c r="N13" s="1204"/>
      <c r="O13" s="1204"/>
      <c r="P13" s="1204"/>
      <c r="Q13" s="1204"/>
      <c r="R13" s="1204"/>
      <c r="S13" s="1204"/>
      <c r="T13" s="1204"/>
      <c r="U13" s="1204"/>
      <c r="V13" s="1204"/>
      <c r="W13" s="1204"/>
      <c r="X13" s="1193"/>
      <c r="Y13" s="1193"/>
      <c r="Z13" s="1193"/>
      <c r="AA13" s="1193"/>
      <c r="AB13" s="1193"/>
      <c r="AC13" s="1193"/>
      <c r="AD13" s="1193"/>
      <c r="AE13" s="1193"/>
      <c r="AF13" s="1193"/>
      <c r="AG13" s="1193"/>
      <c r="AH13" s="1193"/>
      <c r="AI13" s="1193"/>
      <c r="AJ13" s="1193"/>
      <c r="AK13" s="1193"/>
      <c r="AL13" s="1193"/>
    </row>
    <row r="14">
      <c r="A14" s="1201">
        <v>3.0</v>
      </c>
      <c r="B14" s="1202" t="s">
        <v>488</v>
      </c>
      <c r="C14" s="1203">
        <f t="shared" si="1"/>
        <v>569</v>
      </c>
      <c r="D14" s="1204">
        <f t="shared" si="2"/>
        <v>608</v>
      </c>
      <c r="E14" s="1205">
        <f t="shared" si="3"/>
        <v>0.9358552632</v>
      </c>
      <c r="F14" s="1203">
        <f t="shared" si="4"/>
        <v>361</v>
      </c>
      <c r="G14" s="1204">
        <f t="shared" si="5"/>
        <v>388</v>
      </c>
      <c r="H14" s="1205">
        <f t="shared" si="6"/>
        <v>0.9304123711</v>
      </c>
      <c r="I14" s="1206"/>
      <c r="J14" s="1204"/>
      <c r="K14" s="1204"/>
      <c r="L14" s="1204"/>
      <c r="M14" s="1204"/>
      <c r="N14" s="1204"/>
      <c r="O14" s="1204"/>
      <c r="P14" s="1204"/>
      <c r="Q14" s="1204"/>
      <c r="R14" s="1204"/>
      <c r="S14" s="1204"/>
      <c r="T14" s="1204"/>
      <c r="U14" s="1204"/>
      <c r="V14" s="1204"/>
      <c r="W14" s="1204"/>
      <c r="X14" s="1193"/>
      <c r="Y14" s="1193"/>
      <c r="Z14" s="1193"/>
      <c r="AA14" s="1193"/>
      <c r="AB14" s="1193"/>
      <c r="AC14" s="1193"/>
      <c r="AD14" s="1193"/>
      <c r="AE14" s="1193"/>
      <c r="AF14" s="1193"/>
      <c r="AG14" s="1193"/>
      <c r="AH14" s="1193"/>
      <c r="AI14" s="1193"/>
      <c r="AJ14" s="1193"/>
      <c r="AK14" s="1193"/>
      <c r="AL14" s="1193"/>
    </row>
    <row r="15">
      <c r="A15" s="1201">
        <v>4.0</v>
      </c>
      <c r="B15" s="1202" t="s">
        <v>492</v>
      </c>
      <c r="C15" s="1203">
        <f t="shared" si="1"/>
        <v>474</v>
      </c>
      <c r="D15" s="1204">
        <f t="shared" si="2"/>
        <v>488</v>
      </c>
      <c r="E15" s="1205">
        <f t="shared" si="3"/>
        <v>0.9713114754</v>
      </c>
      <c r="F15" s="1203">
        <f t="shared" si="4"/>
        <v>438</v>
      </c>
      <c r="G15" s="1204">
        <f t="shared" si="5"/>
        <v>448</v>
      </c>
      <c r="H15" s="1205">
        <f t="shared" si="6"/>
        <v>0.9776785714</v>
      </c>
      <c r="I15" s="1206"/>
      <c r="J15" s="1204"/>
      <c r="K15" s="1204"/>
      <c r="L15" s="1204"/>
      <c r="M15" s="1204"/>
      <c r="N15" s="1204"/>
      <c r="O15" s="1204"/>
      <c r="P15" s="1204"/>
      <c r="Q15" s="1204"/>
      <c r="R15" s="1204"/>
      <c r="S15" s="1204"/>
      <c r="T15" s="1204"/>
      <c r="U15" s="1204"/>
      <c r="V15" s="1204"/>
      <c r="W15" s="1204"/>
      <c r="X15" s="1193"/>
      <c r="Y15" s="1193"/>
      <c r="Z15" s="1193"/>
      <c r="AA15" s="1193"/>
      <c r="AB15" s="1193"/>
      <c r="AC15" s="1193"/>
      <c r="AD15" s="1193"/>
      <c r="AE15" s="1193"/>
      <c r="AF15" s="1193"/>
      <c r="AG15" s="1193"/>
      <c r="AH15" s="1193"/>
      <c r="AI15" s="1193"/>
      <c r="AJ15" s="1193"/>
      <c r="AK15" s="1193"/>
      <c r="AL15" s="1193"/>
    </row>
    <row r="16">
      <c r="A16" s="1201">
        <v>5.0</v>
      </c>
      <c r="B16" s="1202" t="s">
        <v>496</v>
      </c>
      <c r="C16" s="1203">
        <f t="shared" si="1"/>
        <v>466</v>
      </c>
      <c r="D16" s="1204">
        <f t="shared" si="2"/>
        <v>513</v>
      </c>
      <c r="E16" s="1205">
        <f t="shared" si="3"/>
        <v>0.9083820663</v>
      </c>
      <c r="F16" s="1203">
        <f t="shared" si="4"/>
        <v>308</v>
      </c>
      <c r="G16" s="1204">
        <f t="shared" si="5"/>
        <v>315</v>
      </c>
      <c r="H16" s="1205">
        <f t="shared" si="6"/>
        <v>0.9777777778</v>
      </c>
      <c r="I16" s="1206"/>
      <c r="J16" s="1204"/>
      <c r="K16" s="1204"/>
      <c r="L16" s="1204"/>
      <c r="M16" s="1204"/>
      <c r="N16" s="1204"/>
      <c r="O16" s="1204"/>
      <c r="P16" s="1204"/>
      <c r="Q16" s="1204"/>
      <c r="R16" s="1204"/>
      <c r="S16" s="1204"/>
      <c r="T16" s="1204"/>
      <c r="U16" s="1204"/>
      <c r="V16" s="1204"/>
      <c r="W16" s="1204"/>
      <c r="X16" s="1193"/>
      <c r="Y16" s="1193"/>
      <c r="Z16" s="1193"/>
      <c r="AA16" s="1193"/>
      <c r="AB16" s="1193"/>
      <c r="AC16" s="1193"/>
      <c r="AD16" s="1193"/>
      <c r="AE16" s="1193"/>
      <c r="AF16" s="1193"/>
      <c r="AG16" s="1193"/>
      <c r="AH16" s="1193"/>
      <c r="AI16" s="1193"/>
      <c r="AJ16" s="1193"/>
      <c r="AK16" s="1193"/>
      <c r="AL16" s="1193"/>
    </row>
    <row r="17">
      <c r="A17" s="1201">
        <v>6.0</v>
      </c>
      <c r="B17" s="1202" t="s">
        <v>499</v>
      </c>
      <c r="C17" s="1203">
        <f t="shared" si="1"/>
        <v>310</v>
      </c>
      <c r="D17" s="1204">
        <f t="shared" si="2"/>
        <v>346</v>
      </c>
      <c r="E17" s="1205">
        <f t="shared" si="3"/>
        <v>0.8959537572</v>
      </c>
      <c r="F17" s="1203">
        <f t="shared" si="4"/>
        <v>181</v>
      </c>
      <c r="G17" s="1204">
        <f t="shared" si="5"/>
        <v>185</v>
      </c>
      <c r="H17" s="1205">
        <f t="shared" si="6"/>
        <v>0.9783783784</v>
      </c>
      <c r="I17" s="1206"/>
      <c r="J17" s="1204"/>
      <c r="K17" s="1204"/>
      <c r="L17" s="1204"/>
      <c r="M17" s="1204"/>
      <c r="N17" s="1204"/>
      <c r="O17" s="1204"/>
      <c r="P17" s="1204"/>
      <c r="Q17" s="1204"/>
      <c r="R17" s="1204"/>
      <c r="S17" s="1204"/>
      <c r="T17" s="1204"/>
      <c r="U17" s="1204"/>
      <c r="V17" s="1204"/>
      <c r="W17" s="1204"/>
      <c r="X17" s="1193"/>
      <c r="Y17" s="1193"/>
      <c r="Z17" s="1193"/>
      <c r="AA17" s="1193"/>
      <c r="AB17" s="1193"/>
      <c r="AC17" s="1193"/>
      <c r="AD17" s="1193"/>
      <c r="AE17" s="1193"/>
      <c r="AF17" s="1193"/>
      <c r="AG17" s="1193"/>
      <c r="AH17" s="1193"/>
      <c r="AI17" s="1193"/>
      <c r="AJ17" s="1193"/>
      <c r="AK17" s="1193"/>
      <c r="AL17" s="1193"/>
    </row>
    <row r="18">
      <c r="A18" s="1201">
        <v>7.0</v>
      </c>
      <c r="B18" s="1202" t="s">
        <v>501</v>
      </c>
      <c r="C18" s="1203">
        <f t="shared" si="1"/>
        <v>696</v>
      </c>
      <c r="D18" s="1204">
        <f t="shared" si="2"/>
        <v>713</v>
      </c>
      <c r="E18" s="1205">
        <f t="shared" si="3"/>
        <v>0.9761570827</v>
      </c>
      <c r="F18" s="1203">
        <f t="shared" si="4"/>
        <v>570</v>
      </c>
      <c r="G18" s="1204">
        <f t="shared" si="5"/>
        <v>579</v>
      </c>
      <c r="H18" s="1205">
        <f t="shared" si="6"/>
        <v>0.9844559585</v>
      </c>
      <c r="I18" s="1206"/>
      <c r="J18" s="1204"/>
      <c r="K18" s="1204"/>
      <c r="L18" s="1204"/>
      <c r="M18" s="1204"/>
      <c r="N18" s="1204"/>
      <c r="O18" s="1204"/>
      <c r="P18" s="1204"/>
      <c r="Q18" s="1204"/>
      <c r="R18" s="1204"/>
      <c r="S18" s="1204"/>
      <c r="T18" s="1204"/>
      <c r="U18" s="1204"/>
      <c r="V18" s="1204"/>
      <c r="W18" s="1204"/>
      <c r="X18" s="1193"/>
      <c r="Y18" s="1193"/>
      <c r="Z18" s="1193"/>
      <c r="AA18" s="1193"/>
      <c r="AB18" s="1193"/>
      <c r="AC18" s="1193"/>
      <c r="AD18" s="1193"/>
      <c r="AE18" s="1193"/>
      <c r="AF18" s="1193"/>
      <c r="AG18" s="1193"/>
      <c r="AH18" s="1193"/>
      <c r="AI18" s="1193"/>
      <c r="AJ18" s="1193"/>
      <c r="AK18" s="1193"/>
      <c r="AL18" s="1193"/>
    </row>
    <row r="19">
      <c r="A19" s="1207"/>
      <c r="B19" s="1208" t="s">
        <v>50</v>
      </c>
      <c r="C19" s="1209">
        <f t="shared" si="1"/>
        <v>3670</v>
      </c>
      <c r="D19" s="1210">
        <f t="shared" si="2"/>
        <v>3949</v>
      </c>
      <c r="E19" s="1211">
        <f t="shared" si="3"/>
        <v>0.9293492023</v>
      </c>
      <c r="F19" s="1209">
        <f t="shared" si="4"/>
        <v>2491</v>
      </c>
      <c r="G19" s="1210">
        <f t="shared" si="5"/>
        <v>2572</v>
      </c>
      <c r="H19" s="1211">
        <f t="shared" si="6"/>
        <v>0.9685069984</v>
      </c>
      <c r="I19" s="1206"/>
      <c r="J19" s="1204"/>
      <c r="K19" s="1204"/>
      <c r="L19" s="1204"/>
      <c r="M19" s="1204"/>
      <c r="N19" s="1204"/>
      <c r="O19" s="1204"/>
      <c r="P19" s="1204"/>
      <c r="Q19" s="1204"/>
      <c r="R19" s="1204"/>
      <c r="S19" s="1204"/>
      <c r="T19" s="1204"/>
      <c r="U19" s="1204"/>
      <c r="V19" s="1204"/>
      <c r="W19" s="1204"/>
      <c r="X19" s="1193"/>
      <c r="Y19" s="1193"/>
      <c r="Z19" s="1193"/>
      <c r="AA19" s="1193"/>
      <c r="AB19" s="1193"/>
      <c r="AC19" s="1193"/>
      <c r="AD19" s="1193"/>
      <c r="AE19" s="1193"/>
      <c r="AF19" s="1193"/>
      <c r="AG19" s="1193"/>
      <c r="AH19" s="1193"/>
      <c r="AI19" s="1193"/>
      <c r="AJ19" s="1193"/>
      <c r="AK19" s="1193"/>
      <c r="AL19" s="1193"/>
    </row>
    <row r="20">
      <c r="A20" s="738"/>
      <c r="B20" s="738"/>
      <c r="C20" s="1193"/>
      <c r="D20" s="1193"/>
      <c r="E20" s="1193"/>
      <c r="F20" s="1193"/>
      <c r="G20" s="1193"/>
      <c r="H20" s="1193"/>
      <c r="I20" s="1193"/>
      <c r="J20" s="1193"/>
      <c r="K20" s="1193"/>
      <c r="L20" s="1193"/>
      <c r="M20" s="1193"/>
      <c r="N20" s="1193"/>
      <c r="O20" s="1193"/>
      <c r="P20" s="1193"/>
      <c r="Q20" s="1193"/>
      <c r="R20" s="1193"/>
      <c r="S20" s="1193"/>
      <c r="T20" s="1193"/>
      <c r="U20" s="1193"/>
      <c r="V20" s="1193"/>
      <c r="W20" s="1193"/>
      <c r="X20" s="1193"/>
      <c r="Y20" s="1193"/>
      <c r="Z20" s="1193"/>
      <c r="AA20" s="1193"/>
      <c r="AB20" s="1193"/>
      <c r="AC20" s="1193"/>
      <c r="AD20" s="1193"/>
      <c r="AE20" s="1193"/>
      <c r="AF20" s="1193"/>
      <c r="AG20" s="1193"/>
      <c r="AH20" s="1193"/>
      <c r="AI20" s="1193"/>
      <c r="AJ20" s="1193"/>
      <c r="AK20" s="1193"/>
      <c r="AL20" s="1193"/>
    </row>
    <row r="21">
      <c r="A21" s="738"/>
      <c r="B21" s="738"/>
      <c r="C21" s="1193"/>
      <c r="D21" s="1193"/>
      <c r="E21" s="1193"/>
      <c r="F21" s="1193"/>
      <c r="G21" s="1193"/>
      <c r="H21" s="1193"/>
      <c r="I21" s="1193"/>
      <c r="J21" s="1193"/>
      <c r="K21" s="1193"/>
      <c r="L21" s="1193"/>
      <c r="M21" s="1193"/>
      <c r="N21" s="1193"/>
      <c r="O21" s="1193"/>
      <c r="P21" s="1193"/>
      <c r="Q21" s="1193"/>
      <c r="R21" s="1193"/>
      <c r="S21" s="1193"/>
      <c r="T21" s="1193"/>
      <c r="U21" s="1193"/>
      <c r="V21" s="1193"/>
      <c r="W21" s="1193"/>
      <c r="X21" s="1193"/>
      <c r="Y21" s="1193"/>
      <c r="Z21" s="1193"/>
      <c r="AA21" s="1193"/>
      <c r="AB21" s="1193"/>
      <c r="AC21" s="1193"/>
      <c r="AD21" s="1193"/>
      <c r="AE21" s="1193"/>
      <c r="AF21" s="1193"/>
      <c r="AG21" s="1193"/>
      <c r="AH21" s="1193"/>
      <c r="AI21" s="1193"/>
      <c r="AJ21" s="1193"/>
      <c r="AK21" s="1193"/>
      <c r="AL21" s="1193"/>
    </row>
    <row r="22">
      <c r="A22" s="738"/>
      <c r="B22" s="738"/>
      <c r="C22" s="1193"/>
      <c r="D22" s="1193"/>
      <c r="E22" s="1193"/>
      <c r="F22" s="1193"/>
      <c r="G22" s="1193"/>
      <c r="H22" s="1193"/>
      <c r="I22" s="1193"/>
      <c r="J22" s="1193"/>
      <c r="K22" s="1193"/>
      <c r="L22" s="1193"/>
      <c r="M22" s="1193"/>
      <c r="N22" s="1193"/>
      <c r="O22" s="1193"/>
      <c r="P22" s="1193"/>
      <c r="Q22" s="1193"/>
      <c r="R22" s="1193"/>
      <c r="S22" s="1193"/>
      <c r="T22" s="1193"/>
      <c r="U22" s="1193"/>
      <c r="V22" s="1193"/>
      <c r="W22" s="1193"/>
      <c r="X22" s="1193"/>
      <c r="Y22" s="1193"/>
      <c r="Z22" s="1193"/>
      <c r="AA22" s="1193"/>
      <c r="AB22" s="1193"/>
      <c r="AC22" s="1193"/>
      <c r="AD22" s="1193"/>
      <c r="AE22" s="1193"/>
      <c r="AF22" s="1193"/>
      <c r="AG22" s="1193"/>
      <c r="AH22" s="1193"/>
      <c r="AI22" s="1193"/>
      <c r="AJ22" s="1193"/>
      <c r="AK22" s="1193"/>
      <c r="AL22" s="1193"/>
    </row>
    <row r="23">
      <c r="A23" s="738"/>
      <c r="B23" s="738"/>
      <c r="C23" s="1212" t="s">
        <v>636</v>
      </c>
      <c r="D23" s="1213"/>
      <c r="E23" s="1213"/>
      <c r="F23" s="1213"/>
      <c r="G23" s="1213"/>
      <c r="H23" s="1213"/>
      <c r="I23" s="1213"/>
      <c r="J23" s="1213"/>
      <c r="K23" s="1214"/>
      <c r="L23" s="1215" t="s">
        <v>637</v>
      </c>
      <c r="M23" s="1213"/>
      <c r="N23" s="1213"/>
      <c r="O23" s="1213"/>
      <c r="P23" s="1213"/>
      <c r="Q23" s="1213"/>
      <c r="R23" s="1213"/>
      <c r="S23" s="1213"/>
      <c r="T23" s="1214"/>
      <c r="U23" s="1216" t="s">
        <v>638</v>
      </c>
      <c r="V23" s="1213"/>
      <c r="W23" s="1213"/>
      <c r="X23" s="1213"/>
      <c r="Y23" s="1213"/>
      <c r="Z23" s="1213"/>
      <c r="AA23" s="1213"/>
      <c r="AB23" s="1213"/>
      <c r="AC23" s="1214"/>
      <c r="AD23" s="1217" t="s">
        <v>639</v>
      </c>
      <c r="AE23" s="1213"/>
      <c r="AF23" s="1213"/>
      <c r="AG23" s="1213"/>
      <c r="AH23" s="1213"/>
      <c r="AI23" s="1213"/>
      <c r="AJ23" s="1213"/>
      <c r="AK23" s="1213"/>
      <c r="AL23" s="1214"/>
    </row>
    <row r="24">
      <c r="A24" s="1189" t="s">
        <v>28</v>
      </c>
      <c r="B24" s="1218" t="s">
        <v>586</v>
      </c>
      <c r="C24" s="1219" t="s">
        <v>640</v>
      </c>
      <c r="D24" s="1220" t="s">
        <v>641</v>
      </c>
      <c r="E24" s="1220" t="s">
        <v>642</v>
      </c>
      <c r="F24" s="1220" t="s">
        <v>643</v>
      </c>
      <c r="G24" s="1220" t="s">
        <v>644</v>
      </c>
      <c r="H24" s="1221" t="s">
        <v>645</v>
      </c>
      <c r="I24" s="1221" t="s">
        <v>646</v>
      </c>
      <c r="J24" s="1221" t="s">
        <v>647</v>
      </c>
      <c r="K24" s="1222" t="s">
        <v>648</v>
      </c>
      <c r="L24" s="1219" t="s">
        <v>640</v>
      </c>
      <c r="M24" s="1220" t="s">
        <v>641</v>
      </c>
      <c r="N24" s="1220" t="s">
        <v>642</v>
      </c>
      <c r="O24" s="1220" t="s">
        <v>643</v>
      </c>
      <c r="P24" s="1220" t="s">
        <v>644</v>
      </c>
      <c r="Q24" s="1221" t="s">
        <v>645</v>
      </c>
      <c r="R24" s="1221" t="s">
        <v>646</v>
      </c>
      <c r="S24" s="1221" t="s">
        <v>647</v>
      </c>
      <c r="T24" s="1222" t="s">
        <v>648</v>
      </c>
      <c r="U24" s="1219" t="s">
        <v>640</v>
      </c>
      <c r="V24" s="1220" t="s">
        <v>641</v>
      </c>
      <c r="W24" s="1220" t="s">
        <v>642</v>
      </c>
      <c r="X24" s="1220" t="s">
        <v>643</v>
      </c>
      <c r="Y24" s="1220" t="s">
        <v>644</v>
      </c>
      <c r="Z24" s="1221" t="s">
        <v>645</v>
      </c>
      <c r="AA24" s="1221" t="s">
        <v>646</v>
      </c>
      <c r="AB24" s="1221" t="s">
        <v>647</v>
      </c>
      <c r="AC24" s="1222" t="s">
        <v>648</v>
      </c>
      <c r="AD24" s="1219" t="s">
        <v>640</v>
      </c>
      <c r="AE24" s="1220" t="s">
        <v>641</v>
      </c>
      <c r="AF24" s="1220" t="s">
        <v>642</v>
      </c>
      <c r="AG24" s="1220" t="s">
        <v>643</v>
      </c>
      <c r="AH24" s="1220" t="s">
        <v>644</v>
      </c>
      <c r="AI24" s="1221" t="s">
        <v>645</v>
      </c>
      <c r="AJ24" s="1221" t="s">
        <v>646</v>
      </c>
      <c r="AK24" s="1221" t="s">
        <v>647</v>
      </c>
      <c r="AL24" s="1222" t="s">
        <v>648</v>
      </c>
    </row>
    <row r="25">
      <c r="A25" s="1223">
        <v>1.0</v>
      </c>
      <c r="B25" s="1224" t="s">
        <v>481</v>
      </c>
      <c r="C25" s="1225">
        <v>21.0</v>
      </c>
      <c r="D25" s="1226">
        <v>21.0</v>
      </c>
      <c r="E25" s="1226">
        <v>20.0</v>
      </c>
      <c r="F25" s="1227">
        <v>1.0</v>
      </c>
      <c r="G25" s="1228">
        <v>0.9524</v>
      </c>
      <c r="H25" s="1226">
        <v>0.0</v>
      </c>
      <c r="I25" s="1226">
        <v>0.0</v>
      </c>
      <c r="J25" s="1226">
        <v>0.0</v>
      </c>
      <c r="K25" s="1229">
        <v>0.0</v>
      </c>
      <c r="L25" s="1225">
        <v>44.0</v>
      </c>
      <c r="M25" s="1226">
        <v>44.0</v>
      </c>
      <c r="N25" s="1226">
        <v>43.0</v>
      </c>
      <c r="O25" s="1227">
        <v>1.0</v>
      </c>
      <c r="P25" s="1228">
        <v>0.9773</v>
      </c>
      <c r="Q25" s="1226">
        <v>0.0</v>
      </c>
      <c r="R25" s="1226">
        <v>0.0</v>
      </c>
      <c r="S25" s="1226">
        <v>0.0</v>
      </c>
      <c r="T25" s="1229">
        <v>0.0</v>
      </c>
      <c r="U25" s="1225">
        <v>250.0</v>
      </c>
      <c r="V25" s="1226">
        <v>250.0</v>
      </c>
      <c r="W25" s="1226">
        <v>243.0</v>
      </c>
      <c r="X25" s="1227">
        <v>7.0</v>
      </c>
      <c r="Y25" s="1228">
        <v>0.972</v>
      </c>
      <c r="Z25" s="1226">
        <v>0.0</v>
      </c>
      <c r="AA25" s="1226">
        <v>0.0</v>
      </c>
      <c r="AB25" s="1226">
        <v>0.0</v>
      </c>
      <c r="AC25" s="1229">
        <v>0.0</v>
      </c>
      <c r="AD25" s="1225">
        <v>9.0</v>
      </c>
      <c r="AE25" s="1226">
        <v>8.0</v>
      </c>
      <c r="AF25" s="1226">
        <v>8.0</v>
      </c>
      <c r="AG25" s="1227">
        <v>0.0</v>
      </c>
      <c r="AH25" s="1228">
        <v>0.8889</v>
      </c>
      <c r="AI25" s="1226">
        <v>0.0</v>
      </c>
      <c r="AJ25" s="1226">
        <v>0.0</v>
      </c>
      <c r="AK25" s="1226">
        <v>0.0</v>
      </c>
      <c r="AL25" s="1229">
        <v>0.0</v>
      </c>
    </row>
    <row r="26">
      <c r="A26" s="1223">
        <v>2.0</v>
      </c>
      <c r="B26" s="1224" t="s">
        <v>485</v>
      </c>
      <c r="C26" s="1225">
        <v>14.0</v>
      </c>
      <c r="D26" s="1226">
        <v>14.0</v>
      </c>
      <c r="E26" s="1226">
        <v>14.0</v>
      </c>
      <c r="F26" s="1226">
        <v>0.0</v>
      </c>
      <c r="G26" s="1228">
        <v>1.0</v>
      </c>
      <c r="H26" s="1226">
        <v>0.0</v>
      </c>
      <c r="I26" s="1226">
        <v>0.0</v>
      </c>
      <c r="J26" s="1226">
        <v>0.0</v>
      </c>
      <c r="K26" s="1229">
        <v>0.0</v>
      </c>
      <c r="L26" s="1225">
        <v>40.0</v>
      </c>
      <c r="M26" s="1226">
        <v>40.0</v>
      </c>
      <c r="N26" s="1226">
        <v>40.0</v>
      </c>
      <c r="O26" s="1226">
        <v>0.0</v>
      </c>
      <c r="P26" s="1228">
        <v>1.0</v>
      </c>
      <c r="Q26" s="1226">
        <v>0.0</v>
      </c>
      <c r="R26" s="1226">
        <v>0.0</v>
      </c>
      <c r="S26" s="1226">
        <v>0.0</v>
      </c>
      <c r="T26" s="1229">
        <v>0.0</v>
      </c>
      <c r="U26" s="1225">
        <v>269.0</v>
      </c>
      <c r="V26" s="1226">
        <v>266.0</v>
      </c>
      <c r="W26" s="1226">
        <v>255.0</v>
      </c>
      <c r="X26" s="1227">
        <v>11.0</v>
      </c>
      <c r="Y26" s="1228">
        <v>0.9586</v>
      </c>
      <c r="Z26" s="1226">
        <v>3.0</v>
      </c>
      <c r="AA26" s="1226">
        <v>2.0</v>
      </c>
      <c r="AB26" s="1227">
        <v>1.0</v>
      </c>
      <c r="AC26" s="1230">
        <v>0.0112</v>
      </c>
      <c r="AD26" s="1225">
        <v>10.0</v>
      </c>
      <c r="AE26" s="1226">
        <v>10.0</v>
      </c>
      <c r="AF26" s="1226">
        <v>10.0</v>
      </c>
      <c r="AG26" s="1227">
        <v>0.0</v>
      </c>
      <c r="AH26" s="1228">
        <v>1.0</v>
      </c>
      <c r="AI26" s="1226">
        <v>0.0</v>
      </c>
      <c r="AJ26" s="1226">
        <v>0.0</v>
      </c>
      <c r="AK26" s="1227">
        <v>0.0</v>
      </c>
      <c r="AL26" s="1230">
        <v>0.0</v>
      </c>
    </row>
    <row r="27">
      <c r="A27" s="1223">
        <v>3.0</v>
      </c>
      <c r="B27" s="1224" t="s">
        <v>488</v>
      </c>
      <c r="C27" s="1225">
        <v>0.0</v>
      </c>
      <c r="D27" s="1226">
        <v>0.0</v>
      </c>
      <c r="E27" s="1226">
        <v>0.0</v>
      </c>
      <c r="F27" s="1226">
        <v>0.0</v>
      </c>
      <c r="G27" s="1228">
        <v>0.0</v>
      </c>
      <c r="H27" s="1226">
        <v>0.0</v>
      </c>
      <c r="I27" s="1226">
        <v>0.0</v>
      </c>
      <c r="J27" s="1226">
        <v>0.0</v>
      </c>
      <c r="K27" s="1229">
        <v>0.0</v>
      </c>
      <c r="L27" s="1225">
        <v>91.0</v>
      </c>
      <c r="M27" s="1226">
        <v>90.0</v>
      </c>
      <c r="N27" s="1226">
        <v>84.0</v>
      </c>
      <c r="O27" s="1227">
        <v>6.0</v>
      </c>
      <c r="P27" s="1228">
        <v>0.9333</v>
      </c>
      <c r="Q27" s="1226">
        <v>1.0</v>
      </c>
      <c r="R27" s="1226">
        <v>0.0</v>
      </c>
      <c r="S27" s="1227">
        <v>1.0</v>
      </c>
      <c r="T27" s="1230">
        <v>0.011</v>
      </c>
      <c r="U27" s="1225">
        <v>293.0</v>
      </c>
      <c r="V27" s="1226">
        <v>291.0</v>
      </c>
      <c r="W27" s="1226">
        <v>274.0</v>
      </c>
      <c r="X27" s="1227">
        <v>17.0</v>
      </c>
      <c r="Y27" s="1228">
        <v>0.9416</v>
      </c>
      <c r="Z27" s="1226">
        <v>2.0</v>
      </c>
      <c r="AA27" s="1226">
        <v>1.0</v>
      </c>
      <c r="AB27" s="1227">
        <v>1.0</v>
      </c>
      <c r="AC27" s="1230">
        <v>0.0068</v>
      </c>
      <c r="AD27" s="1225">
        <v>4.0</v>
      </c>
      <c r="AE27" s="1226">
        <v>3.0</v>
      </c>
      <c r="AF27" s="1226">
        <v>3.0</v>
      </c>
      <c r="AG27" s="1227">
        <v>0.0</v>
      </c>
      <c r="AH27" s="1228">
        <v>0.75</v>
      </c>
      <c r="AI27" s="1226">
        <v>0.0</v>
      </c>
      <c r="AJ27" s="1226">
        <v>0.0</v>
      </c>
      <c r="AK27" s="1227">
        <v>0.0</v>
      </c>
      <c r="AL27" s="1230">
        <v>0.0</v>
      </c>
    </row>
    <row r="28">
      <c r="A28" s="1223">
        <v>4.0</v>
      </c>
      <c r="B28" s="1224" t="s">
        <v>492</v>
      </c>
      <c r="C28" s="1225">
        <v>24.0</v>
      </c>
      <c r="D28" s="1226">
        <v>24.0</v>
      </c>
      <c r="E28" s="1226">
        <v>23.0</v>
      </c>
      <c r="F28" s="1227">
        <v>1.0</v>
      </c>
      <c r="G28" s="1228">
        <v>0.9583</v>
      </c>
      <c r="H28" s="1226">
        <v>0.0</v>
      </c>
      <c r="I28" s="1226">
        <v>0.0</v>
      </c>
      <c r="J28" s="1226">
        <v>0.0</v>
      </c>
      <c r="K28" s="1229">
        <v>0.0</v>
      </c>
      <c r="L28" s="1225">
        <v>176.0</v>
      </c>
      <c r="M28" s="1226">
        <v>176.0</v>
      </c>
      <c r="N28" s="1226">
        <v>174.0</v>
      </c>
      <c r="O28" s="1227">
        <v>2.0</v>
      </c>
      <c r="P28" s="1228">
        <v>0.9886</v>
      </c>
      <c r="Q28" s="1226">
        <v>0.0</v>
      </c>
      <c r="R28" s="1226">
        <v>0.0</v>
      </c>
      <c r="S28" s="1226">
        <v>0.0</v>
      </c>
      <c r="T28" s="1229">
        <v>0.0</v>
      </c>
      <c r="U28" s="1225">
        <v>231.0</v>
      </c>
      <c r="V28" s="1226">
        <v>231.0</v>
      </c>
      <c r="W28" s="1226">
        <v>224.0</v>
      </c>
      <c r="X28" s="1227">
        <v>7.0</v>
      </c>
      <c r="Y28" s="1228">
        <v>0.9697</v>
      </c>
      <c r="Z28" s="1226">
        <v>0.0</v>
      </c>
      <c r="AA28" s="1226">
        <v>0.0</v>
      </c>
      <c r="AB28" s="1226">
        <v>0.0</v>
      </c>
      <c r="AC28" s="1229">
        <v>0.0</v>
      </c>
      <c r="AD28" s="1225">
        <v>17.0</v>
      </c>
      <c r="AE28" s="1226">
        <v>17.0</v>
      </c>
      <c r="AF28" s="1226">
        <v>17.0</v>
      </c>
      <c r="AG28" s="1227">
        <v>0.0</v>
      </c>
      <c r="AH28" s="1228">
        <v>1.0</v>
      </c>
      <c r="AI28" s="1226">
        <v>0.0</v>
      </c>
      <c r="AJ28" s="1226">
        <v>0.0</v>
      </c>
      <c r="AK28" s="1226">
        <v>0.0</v>
      </c>
      <c r="AL28" s="1229">
        <v>0.0</v>
      </c>
    </row>
    <row r="29">
      <c r="A29" s="1223">
        <v>5.0</v>
      </c>
      <c r="B29" s="1224" t="s">
        <v>496</v>
      </c>
      <c r="C29" s="1225">
        <v>30.0</v>
      </c>
      <c r="D29" s="1226">
        <v>30.0</v>
      </c>
      <c r="E29" s="1226">
        <v>30.0</v>
      </c>
      <c r="F29" s="1226">
        <v>0.0</v>
      </c>
      <c r="G29" s="1228">
        <v>1.0</v>
      </c>
      <c r="H29" s="1226">
        <v>0.0</v>
      </c>
      <c r="I29" s="1226">
        <v>0.0</v>
      </c>
      <c r="J29" s="1226">
        <v>0.0</v>
      </c>
      <c r="K29" s="1229">
        <v>0.0</v>
      </c>
      <c r="L29" s="1225">
        <v>66.0</v>
      </c>
      <c r="M29" s="1226">
        <v>66.0</v>
      </c>
      <c r="N29" s="1226">
        <v>66.0</v>
      </c>
      <c r="O29" s="1226">
        <v>0.0</v>
      </c>
      <c r="P29" s="1228">
        <v>1.0</v>
      </c>
      <c r="Q29" s="1226">
        <v>0.0</v>
      </c>
      <c r="R29" s="1226">
        <v>0.0</v>
      </c>
      <c r="S29" s="1226">
        <v>0.0</v>
      </c>
      <c r="T29" s="1229">
        <v>0.0</v>
      </c>
      <c r="U29" s="1225">
        <v>211.0</v>
      </c>
      <c r="V29" s="1226">
        <v>209.0</v>
      </c>
      <c r="W29" s="1226">
        <v>204.0</v>
      </c>
      <c r="X29" s="1227">
        <v>5.0</v>
      </c>
      <c r="Y29" s="1228">
        <v>0.9761</v>
      </c>
      <c r="Z29" s="1226">
        <v>2.0</v>
      </c>
      <c r="AA29" s="1226">
        <v>2.0</v>
      </c>
      <c r="AB29" s="1226">
        <v>0.0</v>
      </c>
      <c r="AC29" s="1230">
        <v>0.0095</v>
      </c>
      <c r="AD29" s="1225">
        <v>8.0</v>
      </c>
      <c r="AE29" s="1226">
        <v>8.0</v>
      </c>
      <c r="AF29" s="1226">
        <v>8.0</v>
      </c>
      <c r="AG29" s="1227">
        <v>0.0</v>
      </c>
      <c r="AH29" s="1228">
        <v>1.0</v>
      </c>
      <c r="AI29" s="1226">
        <v>0.0</v>
      </c>
      <c r="AJ29" s="1226">
        <v>0.0</v>
      </c>
      <c r="AK29" s="1226">
        <v>0.0</v>
      </c>
      <c r="AL29" s="1230">
        <v>0.0</v>
      </c>
    </row>
    <row r="30">
      <c r="A30" s="1223">
        <v>6.0</v>
      </c>
      <c r="B30" s="1224" t="s">
        <v>499</v>
      </c>
      <c r="C30" s="1225">
        <v>29.0</v>
      </c>
      <c r="D30" s="1226">
        <v>29.0</v>
      </c>
      <c r="E30" s="1226">
        <v>29.0</v>
      </c>
      <c r="F30" s="1226">
        <v>0.0</v>
      </c>
      <c r="G30" s="1228">
        <v>1.0</v>
      </c>
      <c r="H30" s="1226">
        <v>0.0</v>
      </c>
      <c r="I30" s="1226">
        <v>0.0</v>
      </c>
      <c r="J30" s="1226">
        <v>0.0</v>
      </c>
      <c r="K30" s="1229">
        <v>0.0</v>
      </c>
      <c r="L30" s="1225">
        <v>60.0</v>
      </c>
      <c r="M30" s="1226">
        <v>59.0</v>
      </c>
      <c r="N30" s="1226">
        <v>58.0</v>
      </c>
      <c r="O30" s="1227">
        <v>1.0</v>
      </c>
      <c r="P30" s="1228">
        <v>0.9831</v>
      </c>
      <c r="Q30" s="1226">
        <v>1.0</v>
      </c>
      <c r="R30" s="1226">
        <v>0.0</v>
      </c>
      <c r="S30" s="1227">
        <v>1.0</v>
      </c>
      <c r="T30" s="1230">
        <v>0.0167</v>
      </c>
      <c r="U30" s="1225">
        <v>90.0</v>
      </c>
      <c r="V30" s="1226">
        <v>90.0</v>
      </c>
      <c r="W30" s="1226">
        <v>88.0</v>
      </c>
      <c r="X30" s="1227">
        <v>2.0</v>
      </c>
      <c r="Y30" s="1228">
        <v>0.9778</v>
      </c>
      <c r="Z30" s="1226">
        <v>0.0</v>
      </c>
      <c r="AA30" s="1226">
        <v>0.0</v>
      </c>
      <c r="AB30" s="1226">
        <v>0.0</v>
      </c>
      <c r="AC30" s="1229">
        <v>0.0</v>
      </c>
      <c r="AD30" s="1225">
        <v>6.0</v>
      </c>
      <c r="AE30" s="1226">
        <v>6.0</v>
      </c>
      <c r="AF30" s="1226">
        <v>6.0</v>
      </c>
      <c r="AG30" s="1227">
        <v>0.0</v>
      </c>
      <c r="AH30" s="1228">
        <v>1.0</v>
      </c>
      <c r="AI30" s="1226">
        <v>0.0</v>
      </c>
      <c r="AJ30" s="1226">
        <v>0.0</v>
      </c>
      <c r="AK30" s="1226">
        <v>0.0</v>
      </c>
      <c r="AL30" s="1229">
        <v>0.0</v>
      </c>
    </row>
    <row r="31">
      <c r="A31" s="1223">
        <v>7.0</v>
      </c>
      <c r="B31" s="1224" t="s">
        <v>501</v>
      </c>
      <c r="C31" s="1225">
        <v>7.0</v>
      </c>
      <c r="D31" s="1226">
        <v>7.0</v>
      </c>
      <c r="E31" s="1226">
        <v>7.0</v>
      </c>
      <c r="F31" s="1226">
        <v>0.0</v>
      </c>
      <c r="G31" s="1228">
        <v>1.0</v>
      </c>
      <c r="H31" s="1226">
        <v>0.0</v>
      </c>
      <c r="I31" s="1226">
        <v>0.0</v>
      </c>
      <c r="J31" s="1226">
        <v>0.0</v>
      </c>
      <c r="K31" s="1229">
        <v>0.0</v>
      </c>
      <c r="L31" s="1225">
        <v>198.0</v>
      </c>
      <c r="M31" s="1226">
        <v>198.0</v>
      </c>
      <c r="N31" s="1226">
        <v>195.0</v>
      </c>
      <c r="O31" s="1227">
        <v>3.0</v>
      </c>
      <c r="P31" s="1228">
        <v>0.9848</v>
      </c>
      <c r="Q31" s="1226">
        <v>0.0</v>
      </c>
      <c r="R31" s="1226">
        <v>0.0</v>
      </c>
      <c r="S31" s="1226">
        <v>0.0</v>
      </c>
      <c r="T31" s="1229">
        <v>0.0</v>
      </c>
      <c r="U31" s="1225">
        <v>333.0</v>
      </c>
      <c r="V31" s="1226">
        <v>333.0</v>
      </c>
      <c r="W31" s="1226">
        <v>327.0</v>
      </c>
      <c r="X31" s="1227">
        <v>6.0</v>
      </c>
      <c r="Y31" s="1228">
        <v>0.982</v>
      </c>
      <c r="Z31" s="1226">
        <v>0.0</v>
      </c>
      <c r="AA31" s="1226">
        <v>0.0</v>
      </c>
      <c r="AB31" s="1226">
        <v>0.0</v>
      </c>
      <c r="AC31" s="1229">
        <v>0.0</v>
      </c>
      <c r="AD31" s="1225">
        <v>41.0</v>
      </c>
      <c r="AE31" s="1226">
        <v>41.0</v>
      </c>
      <c r="AF31" s="1226">
        <v>41.0</v>
      </c>
      <c r="AG31" s="1227">
        <v>0.0</v>
      </c>
      <c r="AH31" s="1228">
        <v>1.0</v>
      </c>
      <c r="AI31" s="1226">
        <v>0.0</v>
      </c>
      <c r="AJ31" s="1226">
        <v>0.0</v>
      </c>
      <c r="AK31" s="1226">
        <v>0.0</v>
      </c>
      <c r="AL31" s="1229">
        <v>0.0</v>
      </c>
    </row>
    <row r="32">
      <c r="A32" s="1231"/>
      <c r="B32" s="1232" t="s">
        <v>50</v>
      </c>
      <c r="C32" s="1233">
        <v>125.0</v>
      </c>
      <c r="D32" s="1234">
        <v>125.0</v>
      </c>
      <c r="E32" s="1234">
        <v>123.0</v>
      </c>
      <c r="F32" s="1234">
        <v>2.0</v>
      </c>
      <c r="G32" s="1235">
        <v>0.984</v>
      </c>
      <c r="H32" s="1234">
        <v>0.0</v>
      </c>
      <c r="I32" s="1234">
        <v>0.0</v>
      </c>
      <c r="J32" s="1234">
        <v>0.0</v>
      </c>
      <c r="K32" s="1236">
        <v>0.0</v>
      </c>
      <c r="L32" s="1233">
        <v>675.0</v>
      </c>
      <c r="M32" s="1234">
        <v>673.0</v>
      </c>
      <c r="N32" s="1234">
        <v>660.0</v>
      </c>
      <c r="O32" s="1234">
        <v>13.0</v>
      </c>
      <c r="P32" s="1235">
        <v>0.9807</v>
      </c>
      <c r="Q32" s="1234">
        <v>2.0</v>
      </c>
      <c r="R32" s="1234">
        <v>0.0</v>
      </c>
      <c r="S32" s="1234">
        <v>2.0</v>
      </c>
      <c r="T32" s="1236">
        <v>0.003</v>
      </c>
      <c r="U32" s="1233">
        <v>1677.0</v>
      </c>
      <c r="V32" s="1234">
        <v>1670.0</v>
      </c>
      <c r="W32" s="1234">
        <v>1615.0</v>
      </c>
      <c r="X32" s="1234">
        <v>55.0</v>
      </c>
      <c r="Y32" s="1235">
        <v>0.9671</v>
      </c>
      <c r="Z32" s="1234">
        <v>7.0</v>
      </c>
      <c r="AA32" s="1234">
        <v>5.0</v>
      </c>
      <c r="AB32" s="1234">
        <v>2.0</v>
      </c>
      <c r="AC32" s="1236">
        <v>0.0042</v>
      </c>
      <c r="AD32" s="1233">
        <v>95.0</v>
      </c>
      <c r="AE32" s="1234">
        <v>93.0</v>
      </c>
      <c r="AF32" s="1234">
        <v>93.0</v>
      </c>
      <c r="AG32" s="1234">
        <v>0.0</v>
      </c>
      <c r="AH32" s="1235">
        <v>0.9789</v>
      </c>
      <c r="AI32" s="1234">
        <v>0.0</v>
      </c>
      <c r="AJ32" s="1234">
        <v>0.0</v>
      </c>
      <c r="AK32" s="1234">
        <v>0.0</v>
      </c>
      <c r="AL32" s="1236">
        <v>0.0</v>
      </c>
    </row>
    <row r="33">
      <c r="A33" s="738"/>
      <c r="B33" s="738"/>
      <c r="C33" s="1193"/>
      <c r="D33" s="1193"/>
      <c r="E33" s="1193"/>
      <c r="F33" s="1193"/>
      <c r="G33" s="1193"/>
      <c r="H33" s="1193"/>
      <c r="I33" s="1193"/>
      <c r="J33" s="1193"/>
      <c r="K33" s="1193"/>
      <c r="L33" s="1193"/>
      <c r="M33" s="1193"/>
      <c r="N33" s="1193"/>
      <c r="O33" s="1193"/>
      <c r="P33" s="1193"/>
      <c r="Q33" s="1193"/>
      <c r="R33" s="1193"/>
      <c r="S33" s="1193"/>
      <c r="T33" s="1193"/>
      <c r="U33" s="1193"/>
      <c r="V33" s="1193"/>
      <c r="W33" s="1193"/>
      <c r="X33" s="1193"/>
      <c r="Y33" s="1193"/>
      <c r="Z33" s="1193"/>
      <c r="AA33" s="1193"/>
      <c r="AB33" s="1193"/>
      <c r="AC33" s="1193"/>
      <c r="AD33" s="1193"/>
      <c r="AE33" s="1193"/>
      <c r="AF33" s="1193"/>
      <c r="AG33" s="1193"/>
      <c r="AH33" s="1193"/>
      <c r="AI33" s="1193"/>
      <c r="AJ33" s="1193"/>
      <c r="AK33" s="1193"/>
      <c r="AL33" s="1193"/>
    </row>
    <row r="34">
      <c r="A34" s="738"/>
      <c r="B34" s="738"/>
      <c r="C34" s="1193"/>
      <c r="D34" s="1193"/>
      <c r="E34" s="1193"/>
      <c r="F34" s="1193"/>
      <c r="G34" s="1193"/>
      <c r="H34" s="1193"/>
      <c r="I34" s="1193"/>
      <c r="J34" s="1193"/>
      <c r="K34" s="1193"/>
      <c r="L34" s="1193"/>
      <c r="M34" s="1193"/>
      <c r="N34" s="1193"/>
      <c r="O34" s="1193"/>
      <c r="P34" s="1193"/>
      <c r="Q34" s="1193"/>
      <c r="R34" s="1193"/>
      <c r="S34" s="1193"/>
      <c r="T34" s="1193"/>
      <c r="U34" s="1193"/>
      <c r="V34" s="1193"/>
      <c r="W34" s="1193"/>
      <c r="X34" s="1193"/>
      <c r="Y34" s="1193"/>
      <c r="Z34" s="1193"/>
      <c r="AA34" s="1193"/>
      <c r="AB34" s="1193"/>
      <c r="AC34" s="1193"/>
      <c r="AD34" s="1193"/>
      <c r="AE34" s="1193"/>
      <c r="AF34" s="1193"/>
      <c r="AG34" s="1193"/>
      <c r="AH34" s="1193"/>
      <c r="AI34" s="1193"/>
      <c r="AJ34" s="1193"/>
      <c r="AK34" s="1193"/>
      <c r="AL34" s="1193"/>
    </row>
    <row r="35">
      <c r="A35" s="738"/>
      <c r="B35" s="738"/>
      <c r="C35" s="1193"/>
      <c r="D35" s="1193"/>
      <c r="E35" s="1193"/>
      <c r="F35" s="1193"/>
      <c r="G35" s="1193"/>
      <c r="H35" s="1193"/>
      <c r="I35" s="1193"/>
      <c r="J35" s="1193"/>
      <c r="K35" s="1193"/>
      <c r="L35" s="1193"/>
      <c r="M35" s="1193"/>
      <c r="N35" s="1193"/>
      <c r="O35" s="1193"/>
      <c r="P35" s="1193"/>
      <c r="Q35" s="1193"/>
      <c r="R35" s="1193"/>
      <c r="S35" s="1193"/>
      <c r="T35" s="1193"/>
      <c r="U35" s="1193"/>
      <c r="V35" s="1193"/>
      <c r="W35" s="1193"/>
      <c r="X35" s="1193"/>
      <c r="Y35" s="1193"/>
      <c r="Z35" s="1193"/>
      <c r="AA35" s="1193"/>
      <c r="AB35" s="1193"/>
      <c r="AC35" s="1193"/>
      <c r="AD35" s="1193"/>
      <c r="AE35" s="1193"/>
      <c r="AF35" s="1193"/>
      <c r="AG35" s="1193"/>
      <c r="AH35" s="1193"/>
      <c r="AI35" s="1193"/>
      <c r="AJ35" s="1193"/>
      <c r="AK35" s="1193"/>
      <c r="AL35" s="1193"/>
    </row>
    <row r="36">
      <c r="A36" s="1237"/>
      <c r="B36" s="1237"/>
      <c r="C36" s="1212" t="s">
        <v>649</v>
      </c>
      <c r="D36" s="1213"/>
      <c r="E36" s="1213"/>
      <c r="F36" s="1213"/>
      <c r="G36" s="1213"/>
      <c r="H36" s="1213"/>
      <c r="I36" s="1213"/>
      <c r="J36" s="1213"/>
      <c r="K36" s="1214"/>
      <c r="L36" s="1212" t="s">
        <v>650</v>
      </c>
      <c r="M36" s="1213"/>
      <c r="N36" s="1213"/>
      <c r="O36" s="1213"/>
      <c r="P36" s="1213"/>
      <c r="Q36" s="1213"/>
      <c r="R36" s="1213"/>
      <c r="S36" s="1213"/>
      <c r="T36" s="1214"/>
      <c r="U36" s="738"/>
      <c r="V36" s="738"/>
      <c r="W36" s="738"/>
      <c r="X36" s="738"/>
      <c r="Y36" s="738"/>
      <c r="Z36" s="738"/>
      <c r="AA36" s="738"/>
      <c r="AB36" s="738"/>
      <c r="AC36" s="738"/>
      <c r="AD36" s="738"/>
      <c r="AE36" s="738"/>
      <c r="AF36" s="738"/>
      <c r="AG36" s="738"/>
      <c r="AH36" s="738"/>
      <c r="AI36" s="738"/>
      <c r="AJ36" s="738"/>
      <c r="AK36" s="738"/>
      <c r="AL36" s="738"/>
    </row>
    <row r="37">
      <c r="A37" s="1189" t="s">
        <v>28</v>
      </c>
      <c r="B37" s="1218" t="s">
        <v>586</v>
      </c>
      <c r="C37" s="1219" t="s">
        <v>640</v>
      </c>
      <c r="D37" s="1220" t="s">
        <v>641</v>
      </c>
      <c r="E37" s="1220" t="s">
        <v>642</v>
      </c>
      <c r="F37" s="1220" t="s">
        <v>643</v>
      </c>
      <c r="G37" s="1220" t="s">
        <v>644</v>
      </c>
      <c r="H37" s="1221" t="s">
        <v>645</v>
      </c>
      <c r="I37" s="1221" t="s">
        <v>646</v>
      </c>
      <c r="J37" s="1221" t="s">
        <v>647</v>
      </c>
      <c r="K37" s="1222" t="s">
        <v>648</v>
      </c>
      <c r="L37" s="1219" t="s">
        <v>640</v>
      </c>
      <c r="M37" s="1220" t="s">
        <v>641</v>
      </c>
      <c r="N37" s="1220" t="s">
        <v>642</v>
      </c>
      <c r="O37" s="1220" t="s">
        <v>643</v>
      </c>
      <c r="P37" s="1220" t="s">
        <v>644</v>
      </c>
      <c r="Q37" s="1221" t="s">
        <v>645</v>
      </c>
      <c r="R37" s="1221" t="s">
        <v>646</v>
      </c>
      <c r="S37" s="1221" t="s">
        <v>647</v>
      </c>
      <c r="T37" s="1222" t="s">
        <v>648</v>
      </c>
      <c r="U37" s="738"/>
      <c r="V37" s="738"/>
      <c r="W37" s="738"/>
      <c r="X37" s="738"/>
      <c r="Y37" s="738"/>
      <c r="Z37" s="738"/>
      <c r="AA37" s="738"/>
      <c r="AB37" s="738"/>
      <c r="AC37" s="738"/>
      <c r="AD37" s="738"/>
      <c r="AE37" s="738"/>
      <c r="AF37" s="738"/>
      <c r="AG37" s="738"/>
      <c r="AH37" s="738"/>
      <c r="AI37" s="738"/>
      <c r="AJ37" s="738"/>
      <c r="AK37" s="738"/>
      <c r="AL37" s="738"/>
    </row>
    <row r="38">
      <c r="A38" s="1223">
        <v>1.0</v>
      </c>
      <c r="B38" s="1224" t="s">
        <v>481</v>
      </c>
      <c r="C38" s="1225">
        <v>45.0</v>
      </c>
      <c r="D38" s="1226">
        <v>45.0</v>
      </c>
      <c r="E38" s="1226">
        <v>43.0</v>
      </c>
      <c r="F38" s="1227">
        <v>2.0</v>
      </c>
      <c r="G38" s="1228">
        <v>0.9556</v>
      </c>
      <c r="H38" s="1226">
        <v>0.0</v>
      </c>
      <c r="I38" s="1226">
        <v>0.0</v>
      </c>
      <c r="J38" s="1226">
        <v>0.0</v>
      </c>
      <c r="K38" s="1229">
        <v>0.0</v>
      </c>
      <c r="L38" s="1225">
        <v>21.0</v>
      </c>
      <c r="M38" s="1226">
        <v>21.0</v>
      </c>
      <c r="N38" s="1226">
        <v>20.0</v>
      </c>
      <c r="O38" s="1227">
        <v>1.0</v>
      </c>
      <c r="P38" s="1228">
        <v>0.9524</v>
      </c>
      <c r="Q38" s="1226">
        <v>0.0</v>
      </c>
      <c r="R38" s="1226">
        <v>0.0</v>
      </c>
      <c r="S38" s="1226">
        <v>0.0</v>
      </c>
      <c r="T38" s="1229">
        <v>0.0</v>
      </c>
      <c r="U38" s="738"/>
      <c r="V38" s="738"/>
      <c r="W38" s="738"/>
      <c r="X38" s="738"/>
      <c r="Y38" s="738"/>
      <c r="Z38" s="738"/>
      <c r="AA38" s="738"/>
      <c r="AB38" s="738"/>
      <c r="AC38" s="738"/>
      <c r="AD38" s="738"/>
      <c r="AE38" s="738"/>
      <c r="AF38" s="738"/>
      <c r="AG38" s="738"/>
      <c r="AH38" s="738"/>
      <c r="AI38" s="738"/>
      <c r="AJ38" s="738"/>
      <c r="AK38" s="738"/>
      <c r="AL38" s="738"/>
    </row>
    <row r="39">
      <c r="A39" s="1223">
        <v>2.0</v>
      </c>
      <c r="B39" s="1224" t="s">
        <v>485</v>
      </c>
      <c r="C39" s="1225">
        <v>62.0</v>
      </c>
      <c r="D39" s="1226">
        <v>62.0</v>
      </c>
      <c r="E39" s="1226">
        <v>57.0</v>
      </c>
      <c r="F39" s="1226">
        <v>5.0</v>
      </c>
      <c r="G39" s="1228">
        <v>0.9194</v>
      </c>
      <c r="H39" s="1226">
        <v>0.0</v>
      </c>
      <c r="I39" s="1226">
        <v>0.0</v>
      </c>
      <c r="J39" s="1226">
        <v>0.0</v>
      </c>
      <c r="K39" s="1229">
        <v>0.0</v>
      </c>
      <c r="L39" s="1225">
        <v>14.0</v>
      </c>
      <c r="M39" s="1226">
        <v>14.0</v>
      </c>
      <c r="N39" s="1226">
        <v>14.0</v>
      </c>
      <c r="O39" s="1226">
        <v>0.0</v>
      </c>
      <c r="P39" s="1228">
        <v>1.0</v>
      </c>
      <c r="Q39" s="1226">
        <v>0.0</v>
      </c>
      <c r="R39" s="1226">
        <v>0.0</v>
      </c>
      <c r="S39" s="1226">
        <v>0.0</v>
      </c>
      <c r="T39" s="1229">
        <v>0.0</v>
      </c>
      <c r="U39" s="738"/>
      <c r="V39" s="738"/>
      <c r="W39" s="738"/>
      <c r="X39" s="738"/>
      <c r="Y39" s="738"/>
      <c r="Z39" s="738"/>
      <c r="AA39" s="738"/>
      <c r="AB39" s="738"/>
      <c r="AC39" s="738"/>
      <c r="AD39" s="738"/>
      <c r="AE39" s="738"/>
      <c r="AF39" s="738"/>
      <c r="AG39" s="738"/>
      <c r="AH39" s="738"/>
      <c r="AI39" s="738"/>
      <c r="AJ39" s="738"/>
      <c r="AK39" s="738"/>
      <c r="AL39" s="738"/>
    </row>
    <row r="40">
      <c r="A40" s="1223">
        <v>3.0</v>
      </c>
      <c r="B40" s="1224" t="s">
        <v>488</v>
      </c>
      <c r="C40" s="1225">
        <v>2.0</v>
      </c>
      <c r="D40" s="1226">
        <v>2.0</v>
      </c>
      <c r="E40" s="1226">
        <v>2.0</v>
      </c>
      <c r="F40" s="1226">
        <v>0.0</v>
      </c>
      <c r="G40" s="1228">
        <v>1.0</v>
      </c>
      <c r="H40" s="1226">
        <v>0.0</v>
      </c>
      <c r="I40" s="1226">
        <v>0.0</v>
      </c>
      <c r="J40" s="1226">
        <v>0.0</v>
      </c>
      <c r="K40" s="1229">
        <v>0.0</v>
      </c>
      <c r="L40" s="1225">
        <v>0.0</v>
      </c>
      <c r="M40" s="1226">
        <v>0.0</v>
      </c>
      <c r="N40" s="1226">
        <v>0.0</v>
      </c>
      <c r="O40" s="1226">
        <v>0.0</v>
      </c>
      <c r="P40" s="1228">
        <v>0.0</v>
      </c>
      <c r="Q40" s="1226">
        <v>0.0</v>
      </c>
      <c r="R40" s="1226">
        <v>0.0</v>
      </c>
      <c r="S40" s="1226">
        <v>0.0</v>
      </c>
      <c r="T40" s="1229">
        <v>0.0</v>
      </c>
      <c r="U40" s="738"/>
      <c r="V40" s="738"/>
      <c r="W40" s="738"/>
      <c r="X40" s="738"/>
      <c r="Y40" s="738"/>
      <c r="Z40" s="738"/>
      <c r="AA40" s="738"/>
      <c r="AB40" s="738"/>
      <c r="AC40" s="738"/>
      <c r="AD40" s="738"/>
      <c r="AE40" s="738"/>
      <c r="AF40" s="738"/>
      <c r="AG40" s="738"/>
      <c r="AH40" s="738"/>
      <c r="AI40" s="738"/>
      <c r="AJ40" s="738"/>
      <c r="AK40" s="738"/>
      <c r="AL40" s="738"/>
    </row>
    <row r="41">
      <c r="A41" s="1223">
        <v>4.0</v>
      </c>
      <c r="B41" s="1224" t="s">
        <v>492</v>
      </c>
      <c r="C41" s="1225">
        <v>28.0</v>
      </c>
      <c r="D41" s="1226">
        <v>28.0</v>
      </c>
      <c r="E41" s="1226">
        <v>26.0</v>
      </c>
      <c r="F41" s="1227">
        <v>2.0</v>
      </c>
      <c r="G41" s="1228">
        <v>0.9286</v>
      </c>
      <c r="H41" s="1226">
        <v>0.0</v>
      </c>
      <c r="I41" s="1226">
        <v>0.0</v>
      </c>
      <c r="J41" s="1226">
        <v>0.0</v>
      </c>
      <c r="K41" s="1229">
        <v>0.0</v>
      </c>
      <c r="L41" s="1225">
        <v>24.0</v>
      </c>
      <c r="M41" s="1226">
        <v>24.0</v>
      </c>
      <c r="N41" s="1226">
        <v>23.0</v>
      </c>
      <c r="O41" s="1227">
        <v>1.0</v>
      </c>
      <c r="P41" s="1228">
        <v>0.9583</v>
      </c>
      <c r="Q41" s="1226">
        <v>0.0</v>
      </c>
      <c r="R41" s="1226">
        <v>0.0</v>
      </c>
      <c r="S41" s="1226">
        <v>0.0</v>
      </c>
      <c r="T41" s="1229">
        <v>0.0</v>
      </c>
      <c r="U41" s="738"/>
      <c r="V41" s="738"/>
      <c r="W41" s="738"/>
      <c r="X41" s="738"/>
      <c r="Y41" s="738"/>
      <c r="Z41" s="738"/>
      <c r="AA41" s="738"/>
      <c r="AB41" s="738"/>
      <c r="AC41" s="738"/>
      <c r="AD41" s="738"/>
      <c r="AE41" s="738"/>
      <c r="AF41" s="738"/>
      <c r="AG41" s="738"/>
      <c r="AH41" s="738"/>
      <c r="AI41" s="738"/>
      <c r="AJ41" s="738"/>
      <c r="AK41" s="738"/>
      <c r="AL41" s="738"/>
    </row>
    <row r="42">
      <c r="A42" s="1223">
        <v>5.0</v>
      </c>
      <c r="B42" s="1224" t="s">
        <v>496</v>
      </c>
      <c r="C42" s="1225">
        <v>30.0</v>
      </c>
      <c r="D42" s="1226">
        <v>30.0</v>
      </c>
      <c r="E42" s="1226">
        <v>27.0</v>
      </c>
      <c r="F42" s="1226">
        <v>3.0</v>
      </c>
      <c r="G42" s="1228">
        <v>0.9</v>
      </c>
      <c r="H42" s="1226">
        <v>0.0</v>
      </c>
      <c r="I42" s="1226">
        <v>0.0</v>
      </c>
      <c r="J42" s="1226">
        <v>0.0</v>
      </c>
      <c r="K42" s="1229">
        <v>0.0</v>
      </c>
      <c r="L42" s="1225">
        <v>30.0</v>
      </c>
      <c r="M42" s="1226">
        <v>30.0</v>
      </c>
      <c r="N42" s="1226">
        <v>30.0</v>
      </c>
      <c r="O42" s="1226">
        <v>0.0</v>
      </c>
      <c r="P42" s="1228">
        <v>1.0</v>
      </c>
      <c r="Q42" s="1226">
        <v>0.0</v>
      </c>
      <c r="R42" s="1226">
        <v>0.0</v>
      </c>
      <c r="S42" s="1226">
        <v>0.0</v>
      </c>
      <c r="T42" s="1229">
        <v>0.0</v>
      </c>
      <c r="U42" s="738"/>
      <c r="V42" s="738"/>
      <c r="W42" s="738"/>
      <c r="X42" s="738"/>
      <c r="Y42" s="738"/>
      <c r="Z42" s="738"/>
      <c r="AA42" s="738"/>
      <c r="AB42" s="738"/>
      <c r="AC42" s="738"/>
      <c r="AD42" s="738"/>
      <c r="AE42" s="738"/>
      <c r="AF42" s="738"/>
      <c r="AG42" s="738"/>
      <c r="AH42" s="738"/>
      <c r="AI42" s="738"/>
      <c r="AJ42" s="738"/>
      <c r="AK42" s="738"/>
      <c r="AL42" s="738"/>
    </row>
    <row r="43">
      <c r="A43" s="1223">
        <v>6.0</v>
      </c>
      <c r="B43" s="1224" t="s">
        <v>499</v>
      </c>
      <c r="C43" s="1225">
        <v>34.0</v>
      </c>
      <c r="D43" s="1226">
        <v>34.0</v>
      </c>
      <c r="E43" s="1226">
        <v>32.0</v>
      </c>
      <c r="F43" s="1226">
        <v>2.0</v>
      </c>
      <c r="G43" s="1228">
        <v>0.9412</v>
      </c>
      <c r="H43" s="1226">
        <v>0.0</v>
      </c>
      <c r="I43" s="1226">
        <v>0.0</v>
      </c>
      <c r="J43" s="1226">
        <v>0.0</v>
      </c>
      <c r="K43" s="1229">
        <v>0.0</v>
      </c>
      <c r="L43" s="1225">
        <v>29.0</v>
      </c>
      <c r="M43" s="1226">
        <v>29.0</v>
      </c>
      <c r="N43" s="1226">
        <v>29.0</v>
      </c>
      <c r="O43" s="1226">
        <v>0.0</v>
      </c>
      <c r="P43" s="1228">
        <v>1.0</v>
      </c>
      <c r="Q43" s="1226">
        <v>0.0</v>
      </c>
      <c r="R43" s="1226">
        <v>0.0</v>
      </c>
      <c r="S43" s="1226">
        <v>0.0</v>
      </c>
      <c r="T43" s="1229">
        <v>0.0</v>
      </c>
      <c r="U43" s="738"/>
      <c r="V43" s="738"/>
      <c r="W43" s="738"/>
      <c r="X43" s="738"/>
      <c r="Y43" s="738"/>
      <c r="Z43" s="738"/>
      <c r="AA43" s="738"/>
      <c r="AB43" s="738"/>
      <c r="AC43" s="738"/>
      <c r="AD43" s="738"/>
      <c r="AE43" s="738"/>
      <c r="AF43" s="738"/>
      <c r="AG43" s="738"/>
      <c r="AH43" s="738"/>
      <c r="AI43" s="738"/>
      <c r="AJ43" s="738"/>
      <c r="AK43" s="738"/>
      <c r="AL43" s="738"/>
    </row>
    <row r="44">
      <c r="A44" s="1223">
        <v>7.0</v>
      </c>
      <c r="B44" s="1224" t="s">
        <v>501</v>
      </c>
      <c r="C44" s="1225">
        <v>13.0</v>
      </c>
      <c r="D44" s="1226">
        <v>13.0</v>
      </c>
      <c r="E44" s="1226">
        <v>12.0</v>
      </c>
      <c r="F44" s="1226">
        <v>1.0</v>
      </c>
      <c r="G44" s="1228">
        <v>0.9231</v>
      </c>
      <c r="H44" s="1226">
        <v>0.0</v>
      </c>
      <c r="I44" s="1226">
        <v>0.0</v>
      </c>
      <c r="J44" s="1226">
        <v>0.0</v>
      </c>
      <c r="K44" s="1229">
        <v>0.0</v>
      </c>
      <c r="L44" s="1225">
        <v>7.0</v>
      </c>
      <c r="M44" s="1226">
        <v>7.0</v>
      </c>
      <c r="N44" s="1226">
        <v>7.0</v>
      </c>
      <c r="O44" s="1226">
        <v>0.0</v>
      </c>
      <c r="P44" s="1228">
        <v>1.0</v>
      </c>
      <c r="Q44" s="1226">
        <v>0.0</v>
      </c>
      <c r="R44" s="1226">
        <v>0.0</v>
      </c>
      <c r="S44" s="1226">
        <v>0.0</v>
      </c>
      <c r="T44" s="1229">
        <v>0.0</v>
      </c>
      <c r="U44" s="738"/>
      <c r="V44" s="738"/>
      <c r="W44" s="738"/>
      <c r="X44" s="738"/>
      <c r="Y44" s="738"/>
      <c r="Z44" s="738"/>
      <c r="AA44" s="738"/>
      <c r="AB44" s="738"/>
      <c r="AC44" s="738"/>
      <c r="AD44" s="738"/>
      <c r="AE44" s="738"/>
      <c r="AF44" s="738"/>
      <c r="AG44" s="738"/>
      <c r="AH44" s="738"/>
      <c r="AI44" s="738"/>
      <c r="AJ44" s="738"/>
      <c r="AK44" s="738"/>
      <c r="AL44" s="738"/>
    </row>
    <row r="45">
      <c r="A45" s="1231"/>
      <c r="B45" s="1232" t="s">
        <v>50</v>
      </c>
      <c r="C45" s="1233">
        <v>214.0</v>
      </c>
      <c r="D45" s="1234">
        <v>214.0</v>
      </c>
      <c r="E45" s="1234">
        <v>199.0</v>
      </c>
      <c r="F45" s="1234">
        <v>15.0</v>
      </c>
      <c r="G45" s="1235">
        <v>0.9299</v>
      </c>
      <c r="H45" s="1234">
        <v>0.0</v>
      </c>
      <c r="I45" s="1234">
        <v>0.0</v>
      </c>
      <c r="J45" s="1234">
        <v>0.0</v>
      </c>
      <c r="K45" s="1236">
        <v>0.0</v>
      </c>
      <c r="L45" s="1233">
        <v>125.0</v>
      </c>
      <c r="M45" s="1234">
        <v>125.0</v>
      </c>
      <c r="N45" s="1234">
        <v>123.0</v>
      </c>
      <c r="O45" s="1234">
        <v>2.0</v>
      </c>
      <c r="P45" s="1235">
        <v>0.984</v>
      </c>
      <c r="Q45" s="1234">
        <v>0.0</v>
      </c>
      <c r="R45" s="1234">
        <v>0.0</v>
      </c>
      <c r="S45" s="1234">
        <v>0.0</v>
      </c>
      <c r="T45" s="1236">
        <v>0.0</v>
      </c>
      <c r="U45" s="738"/>
      <c r="V45" s="738"/>
      <c r="W45" s="738"/>
      <c r="X45" s="738"/>
      <c r="Y45" s="738"/>
      <c r="Z45" s="738"/>
      <c r="AA45" s="738"/>
      <c r="AB45" s="738"/>
      <c r="AC45" s="738"/>
      <c r="AD45" s="738"/>
      <c r="AE45" s="738"/>
      <c r="AF45" s="738"/>
      <c r="AG45" s="738"/>
      <c r="AH45" s="738"/>
      <c r="AI45" s="738"/>
      <c r="AJ45" s="738"/>
      <c r="AK45" s="738"/>
      <c r="AL45" s="738"/>
    </row>
    <row r="46">
      <c r="A46" s="738"/>
      <c r="B46" s="738"/>
      <c r="C46" s="738"/>
      <c r="D46" s="738"/>
      <c r="E46" s="738"/>
      <c r="F46" s="738"/>
      <c r="G46" s="738"/>
      <c r="H46" s="738"/>
      <c r="I46" s="738"/>
      <c r="J46" s="738"/>
      <c r="K46" s="738"/>
      <c r="L46" s="738"/>
      <c r="M46" s="738"/>
      <c r="N46" s="738"/>
      <c r="O46" s="738"/>
      <c r="P46" s="738"/>
      <c r="Q46" s="738"/>
      <c r="R46" s="738"/>
      <c r="S46" s="738"/>
      <c r="T46" s="738"/>
      <c r="U46" s="738"/>
      <c r="V46" s="738"/>
      <c r="W46" s="738"/>
      <c r="X46" s="738"/>
      <c r="Y46" s="738"/>
      <c r="Z46" s="738"/>
      <c r="AA46" s="738"/>
      <c r="AB46" s="738"/>
      <c r="AC46" s="738"/>
      <c r="AD46" s="738"/>
      <c r="AE46" s="738"/>
      <c r="AF46" s="738"/>
      <c r="AG46" s="738"/>
      <c r="AH46" s="738"/>
      <c r="AI46" s="738"/>
      <c r="AJ46" s="738"/>
      <c r="AK46" s="738"/>
      <c r="AL46" s="738"/>
    </row>
    <row r="47">
      <c r="A47" s="738"/>
      <c r="B47" s="738"/>
      <c r="C47" s="738"/>
      <c r="D47" s="738"/>
      <c r="E47" s="738"/>
      <c r="F47" s="738"/>
      <c r="G47" s="738"/>
      <c r="H47" s="738"/>
      <c r="I47" s="738"/>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row>
    <row r="48">
      <c r="A48" s="738"/>
      <c r="B48" s="738"/>
      <c r="C48" s="738"/>
      <c r="D48" s="738"/>
      <c r="E48" s="738"/>
      <c r="F48" s="738"/>
      <c r="G48" s="738"/>
      <c r="H48" s="738"/>
      <c r="I48" s="738"/>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row>
    <row r="49">
      <c r="A49" s="738"/>
      <c r="B49" s="738"/>
      <c r="C49" s="1249" t="s">
        <v>664</v>
      </c>
      <c r="D49" s="1250"/>
      <c r="E49" s="1250"/>
      <c r="F49" s="1250"/>
      <c r="G49" s="1250"/>
      <c r="H49" s="1250"/>
      <c r="I49" s="1250"/>
      <c r="J49" s="1250"/>
      <c r="K49" s="1251"/>
      <c r="L49" s="1249" t="s">
        <v>665</v>
      </c>
      <c r="M49" s="1250"/>
      <c r="N49" s="1250"/>
      <c r="O49" s="1250"/>
      <c r="P49" s="1250"/>
      <c r="Q49" s="1250"/>
      <c r="R49" s="1250"/>
      <c r="S49" s="1250"/>
      <c r="T49" s="1251"/>
      <c r="U49" s="738"/>
      <c r="V49" s="738"/>
      <c r="W49" s="738"/>
      <c r="X49" s="738"/>
      <c r="Y49" s="738"/>
      <c r="Z49" s="738"/>
      <c r="AA49" s="738"/>
      <c r="AB49" s="738"/>
      <c r="AC49" s="738"/>
      <c r="AD49" s="738"/>
      <c r="AE49" s="738"/>
      <c r="AF49" s="738"/>
      <c r="AG49" s="738"/>
      <c r="AH49" s="738"/>
      <c r="AI49" s="738"/>
      <c r="AJ49" s="738"/>
      <c r="AK49" s="738"/>
      <c r="AL49" s="738"/>
    </row>
    <row r="50">
      <c r="A50" s="1189" t="s">
        <v>28</v>
      </c>
      <c r="B50" s="1252" t="s">
        <v>586</v>
      </c>
      <c r="C50" s="1220" t="s">
        <v>640</v>
      </c>
      <c r="D50" s="1220" t="s">
        <v>641</v>
      </c>
      <c r="E50" s="1220" t="s">
        <v>642</v>
      </c>
      <c r="F50" s="1220" t="s">
        <v>643</v>
      </c>
      <c r="G50" s="1220" t="s">
        <v>644</v>
      </c>
      <c r="H50" s="1221" t="s">
        <v>645</v>
      </c>
      <c r="I50" s="1221" t="s">
        <v>646</v>
      </c>
      <c r="J50" s="1221" t="s">
        <v>647</v>
      </c>
      <c r="K50" s="1221" t="s">
        <v>648</v>
      </c>
      <c r="L50" s="1220" t="s">
        <v>640</v>
      </c>
      <c r="M50" s="1220" t="s">
        <v>641</v>
      </c>
      <c r="N50" s="1220" t="s">
        <v>642</v>
      </c>
      <c r="O50" s="1220" t="s">
        <v>643</v>
      </c>
      <c r="P50" s="1220" t="s">
        <v>644</v>
      </c>
      <c r="Q50" s="1221" t="s">
        <v>645</v>
      </c>
      <c r="R50" s="1221" t="s">
        <v>646</v>
      </c>
      <c r="S50" s="1221" t="s">
        <v>647</v>
      </c>
      <c r="T50" s="1221" t="s">
        <v>648</v>
      </c>
      <c r="U50" s="738"/>
      <c r="V50" s="738"/>
      <c r="W50" s="738"/>
      <c r="X50" s="738"/>
      <c r="Y50" s="738"/>
      <c r="Z50" s="738"/>
      <c r="AA50" s="738"/>
      <c r="AB50" s="738"/>
      <c r="AC50" s="738"/>
      <c r="AD50" s="738"/>
      <c r="AE50" s="738"/>
      <c r="AF50" s="738"/>
      <c r="AG50" s="738"/>
      <c r="AH50" s="738"/>
      <c r="AI50" s="738"/>
      <c r="AJ50" s="738"/>
      <c r="AK50" s="738"/>
      <c r="AL50" s="738"/>
    </row>
    <row r="51">
      <c r="A51" s="1223">
        <v>1.0</v>
      </c>
      <c r="B51" s="1253" t="s">
        <v>481</v>
      </c>
      <c r="C51" s="1226">
        <v>46.0</v>
      </c>
      <c r="D51" s="1226">
        <v>46.0</v>
      </c>
      <c r="E51" s="1226">
        <v>41.0</v>
      </c>
      <c r="F51" s="1227">
        <v>5.0</v>
      </c>
      <c r="G51" s="1228">
        <v>0.8913</v>
      </c>
      <c r="H51" s="1226">
        <v>0.0</v>
      </c>
      <c r="I51" s="1226">
        <v>0.0</v>
      </c>
      <c r="J51" s="1226">
        <v>0.0</v>
      </c>
      <c r="K51" s="1228">
        <v>0.0</v>
      </c>
      <c r="L51" s="1226">
        <v>44.0</v>
      </c>
      <c r="M51" s="1226">
        <v>44.0</v>
      </c>
      <c r="N51" s="1226">
        <v>43.0</v>
      </c>
      <c r="O51" s="1227">
        <v>1.0</v>
      </c>
      <c r="P51" s="1228">
        <v>0.9773</v>
      </c>
      <c r="Q51" s="1226">
        <v>0.0</v>
      </c>
      <c r="R51" s="1226">
        <v>0.0</v>
      </c>
      <c r="S51" s="1226">
        <v>0.0</v>
      </c>
      <c r="T51" s="1228">
        <v>0.0</v>
      </c>
      <c r="U51" s="738"/>
      <c r="V51" s="738"/>
      <c r="W51" s="738"/>
      <c r="X51" s="738"/>
      <c r="Y51" s="738"/>
      <c r="Z51" s="738"/>
      <c r="AA51" s="738"/>
      <c r="AB51" s="738"/>
      <c r="AC51" s="738"/>
      <c r="AD51" s="738"/>
      <c r="AE51" s="738"/>
      <c r="AF51" s="738"/>
      <c r="AG51" s="738"/>
      <c r="AH51" s="738"/>
      <c r="AI51" s="738"/>
      <c r="AJ51" s="738"/>
      <c r="AK51" s="738"/>
      <c r="AL51" s="738"/>
    </row>
    <row r="52">
      <c r="A52" s="1223">
        <v>2.0</v>
      </c>
      <c r="B52" s="1253" t="s">
        <v>485</v>
      </c>
      <c r="C52" s="1226">
        <v>78.0</v>
      </c>
      <c r="D52" s="1226">
        <v>78.0</v>
      </c>
      <c r="E52" s="1226">
        <v>74.0</v>
      </c>
      <c r="F52" s="1226">
        <v>4.0</v>
      </c>
      <c r="G52" s="1228">
        <v>0.9487</v>
      </c>
      <c r="H52" s="1226">
        <v>0.0</v>
      </c>
      <c r="I52" s="1226">
        <v>0.0</v>
      </c>
      <c r="J52" s="1226">
        <v>0.0</v>
      </c>
      <c r="K52" s="1228">
        <v>0.0</v>
      </c>
      <c r="L52" s="1226">
        <v>40.0</v>
      </c>
      <c r="M52" s="1226">
        <v>40.0</v>
      </c>
      <c r="N52" s="1226">
        <v>40.0</v>
      </c>
      <c r="O52" s="1226">
        <v>0.0</v>
      </c>
      <c r="P52" s="1228">
        <v>1.0</v>
      </c>
      <c r="Q52" s="1226">
        <v>0.0</v>
      </c>
      <c r="R52" s="1226">
        <v>0.0</v>
      </c>
      <c r="S52" s="1226">
        <v>0.0</v>
      </c>
      <c r="T52" s="1228">
        <v>0.0</v>
      </c>
      <c r="U52" s="738"/>
      <c r="V52" s="738"/>
      <c r="W52" s="738"/>
      <c r="X52" s="738"/>
      <c r="Y52" s="738"/>
      <c r="Z52" s="738"/>
      <c r="AA52" s="738"/>
      <c r="AB52" s="738"/>
      <c r="AC52" s="738"/>
      <c r="AD52" s="738"/>
      <c r="AE52" s="738"/>
      <c r="AF52" s="738"/>
      <c r="AG52" s="738"/>
      <c r="AH52" s="738"/>
      <c r="AI52" s="738"/>
      <c r="AJ52" s="738"/>
      <c r="AK52" s="738"/>
      <c r="AL52" s="738"/>
    </row>
    <row r="53">
      <c r="A53" s="1223">
        <v>3.0</v>
      </c>
      <c r="B53" s="1253" t="s">
        <v>488</v>
      </c>
      <c r="C53" s="1226">
        <v>87.0</v>
      </c>
      <c r="D53" s="1226">
        <v>87.0</v>
      </c>
      <c r="E53" s="1226">
        <v>85.0</v>
      </c>
      <c r="F53" s="1227">
        <v>2.0</v>
      </c>
      <c r="G53" s="1228">
        <v>0.977</v>
      </c>
      <c r="H53" s="1226">
        <v>0.0</v>
      </c>
      <c r="I53" s="1226">
        <v>0.0</v>
      </c>
      <c r="J53" s="1227">
        <v>0.0</v>
      </c>
      <c r="K53" s="1257">
        <v>0.0</v>
      </c>
      <c r="L53" s="1226">
        <v>91.0</v>
      </c>
      <c r="M53" s="1226">
        <v>90.0</v>
      </c>
      <c r="N53" s="1226">
        <v>84.0</v>
      </c>
      <c r="O53" s="1227">
        <v>6.0</v>
      </c>
      <c r="P53" s="1228">
        <v>0.9333</v>
      </c>
      <c r="Q53" s="1226">
        <v>1.0</v>
      </c>
      <c r="R53" s="1226">
        <v>0.0</v>
      </c>
      <c r="S53" s="1227">
        <v>1.0</v>
      </c>
      <c r="T53" s="1257">
        <v>0.011</v>
      </c>
      <c r="U53" s="738"/>
      <c r="V53" s="738"/>
      <c r="W53" s="738"/>
      <c r="X53" s="738"/>
      <c r="Y53" s="738"/>
      <c r="Z53" s="738"/>
      <c r="AA53" s="738"/>
      <c r="AB53" s="738"/>
      <c r="AC53" s="738"/>
      <c r="AD53" s="738"/>
      <c r="AE53" s="738"/>
      <c r="AF53" s="738"/>
      <c r="AG53" s="738"/>
      <c r="AH53" s="738"/>
      <c r="AI53" s="738"/>
      <c r="AJ53" s="738"/>
      <c r="AK53" s="738"/>
      <c r="AL53" s="738"/>
    </row>
    <row r="54">
      <c r="A54" s="1223">
        <v>4.0</v>
      </c>
      <c r="B54" s="1253" t="s">
        <v>492</v>
      </c>
      <c r="C54" s="1226">
        <v>27.0</v>
      </c>
      <c r="D54" s="1226">
        <v>27.0</v>
      </c>
      <c r="E54" s="1226">
        <v>25.0</v>
      </c>
      <c r="F54" s="1227">
        <v>2.0</v>
      </c>
      <c r="G54" s="1228">
        <v>0.9259</v>
      </c>
      <c r="H54" s="1226">
        <v>0.0</v>
      </c>
      <c r="I54" s="1226">
        <v>0.0</v>
      </c>
      <c r="J54" s="1226">
        <v>0.0</v>
      </c>
      <c r="K54" s="1228">
        <v>0.0</v>
      </c>
      <c r="L54" s="1226">
        <v>176.0</v>
      </c>
      <c r="M54" s="1226">
        <v>176.0</v>
      </c>
      <c r="N54" s="1226">
        <v>174.0</v>
      </c>
      <c r="O54" s="1227">
        <v>2.0</v>
      </c>
      <c r="P54" s="1228">
        <v>0.9886</v>
      </c>
      <c r="Q54" s="1226">
        <v>0.0</v>
      </c>
      <c r="R54" s="1226">
        <v>0.0</v>
      </c>
      <c r="S54" s="1226">
        <v>0.0</v>
      </c>
      <c r="T54" s="1228">
        <v>0.0</v>
      </c>
      <c r="U54" s="738"/>
      <c r="V54" s="738"/>
      <c r="W54" s="738"/>
      <c r="X54" s="738"/>
      <c r="Y54" s="738"/>
      <c r="Z54" s="738"/>
      <c r="AA54" s="738"/>
      <c r="AB54" s="738"/>
      <c r="AC54" s="738"/>
      <c r="AD54" s="738"/>
      <c r="AE54" s="738"/>
      <c r="AF54" s="738"/>
      <c r="AG54" s="738"/>
      <c r="AH54" s="738"/>
      <c r="AI54" s="738"/>
      <c r="AJ54" s="738"/>
      <c r="AK54" s="738"/>
      <c r="AL54" s="738"/>
    </row>
    <row r="55">
      <c r="A55" s="1223">
        <v>5.0</v>
      </c>
      <c r="B55" s="1253" t="s">
        <v>496</v>
      </c>
      <c r="C55" s="1226">
        <v>78.0</v>
      </c>
      <c r="D55" s="1226">
        <v>78.0</v>
      </c>
      <c r="E55" s="1226">
        <v>76.0</v>
      </c>
      <c r="F55" s="1226">
        <v>2.0</v>
      </c>
      <c r="G55" s="1228">
        <v>0.9744</v>
      </c>
      <c r="H55" s="1226">
        <v>0.0</v>
      </c>
      <c r="I55" s="1226">
        <v>0.0</v>
      </c>
      <c r="J55" s="1226">
        <v>0.0</v>
      </c>
      <c r="K55" s="1228">
        <v>0.0</v>
      </c>
      <c r="L55" s="1226">
        <v>66.0</v>
      </c>
      <c r="M55" s="1226">
        <v>66.0</v>
      </c>
      <c r="N55" s="1226">
        <v>66.0</v>
      </c>
      <c r="O55" s="1226">
        <v>0.0</v>
      </c>
      <c r="P55" s="1228">
        <v>1.0</v>
      </c>
      <c r="Q55" s="1226">
        <v>0.0</v>
      </c>
      <c r="R55" s="1226">
        <v>0.0</v>
      </c>
      <c r="S55" s="1226">
        <v>0.0</v>
      </c>
      <c r="T55" s="1228">
        <v>0.0</v>
      </c>
      <c r="U55" s="738"/>
      <c r="V55" s="738"/>
      <c r="W55" s="738"/>
      <c r="X55" s="738"/>
      <c r="Y55" s="738"/>
      <c r="Z55" s="738"/>
      <c r="AA55" s="738"/>
      <c r="AB55" s="738"/>
      <c r="AC55" s="738"/>
      <c r="AD55" s="738"/>
      <c r="AE55" s="738"/>
      <c r="AF55" s="738"/>
      <c r="AG55" s="738"/>
      <c r="AH55" s="738"/>
      <c r="AI55" s="738"/>
      <c r="AJ55" s="738"/>
      <c r="AK55" s="738"/>
      <c r="AL55" s="738"/>
    </row>
    <row r="56">
      <c r="A56" s="1223">
        <v>6.0</v>
      </c>
      <c r="B56" s="1253" t="s">
        <v>499</v>
      </c>
      <c r="C56" s="1226">
        <v>49.0</v>
      </c>
      <c r="D56" s="1226">
        <v>48.0</v>
      </c>
      <c r="E56" s="1226">
        <v>43.0</v>
      </c>
      <c r="F56" s="1227">
        <v>5.0</v>
      </c>
      <c r="G56" s="1228">
        <v>0.8958</v>
      </c>
      <c r="H56" s="1226">
        <v>1.0</v>
      </c>
      <c r="I56" s="1226">
        <v>0.0</v>
      </c>
      <c r="J56" s="1227">
        <v>1.0</v>
      </c>
      <c r="K56" s="1257">
        <v>0.0204</v>
      </c>
      <c r="L56" s="1226">
        <v>60.0</v>
      </c>
      <c r="M56" s="1226">
        <v>59.0</v>
      </c>
      <c r="N56" s="1226">
        <v>58.0</v>
      </c>
      <c r="O56" s="1227">
        <v>1.0</v>
      </c>
      <c r="P56" s="1228">
        <v>0.9831</v>
      </c>
      <c r="Q56" s="1226">
        <v>1.0</v>
      </c>
      <c r="R56" s="1226">
        <v>0.0</v>
      </c>
      <c r="S56" s="1227">
        <v>1.0</v>
      </c>
      <c r="T56" s="1257">
        <v>0.0167</v>
      </c>
      <c r="U56" s="738"/>
      <c r="V56" s="738"/>
      <c r="W56" s="738"/>
      <c r="X56" s="738"/>
      <c r="Y56" s="738"/>
      <c r="Z56" s="738"/>
      <c r="AA56" s="738"/>
      <c r="AB56" s="738"/>
      <c r="AC56" s="738"/>
      <c r="AD56" s="738"/>
      <c r="AE56" s="738"/>
      <c r="AF56" s="738"/>
      <c r="AG56" s="738"/>
      <c r="AH56" s="738"/>
      <c r="AI56" s="738"/>
      <c r="AJ56" s="738"/>
      <c r="AK56" s="738"/>
      <c r="AL56" s="738"/>
    </row>
    <row r="57">
      <c r="A57" s="1223">
        <v>7.0</v>
      </c>
      <c r="B57" s="1253" t="s">
        <v>501</v>
      </c>
      <c r="C57" s="1226">
        <v>36.0</v>
      </c>
      <c r="D57" s="1226">
        <v>36.0</v>
      </c>
      <c r="E57" s="1226">
        <v>33.0</v>
      </c>
      <c r="F57" s="1227">
        <v>3.0</v>
      </c>
      <c r="G57" s="1228">
        <v>0.9167</v>
      </c>
      <c r="H57" s="1226">
        <v>0.0</v>
      </c>
      <c r="I57" s="1226">
        <v>0.0</v>
      </c>
      <c r="J57" s="1226">
        <v>0.0</v>
      </c>
      <c r="K57" s="1228">
        <v>0.0</v>
      </c>
      <c r="L57" s="1226">
        <v>198.0</v>
      </c>
      <c r="M57" s="1226">
        <v>198.0</v>
      </c>
      <c r="N57" s="1226">
        <v>195.0</v>
      </c>
      <c r="O57" s="1227">
        <v>3.0</v>
      </c>
      <c r="P57" s="1228">
        <v>0.9848</v>
      </c>
      <c r="Q57" s="1226">
        <v>0.0</v>
      </c>
      <c r="R57" s="1226">
        <v>0.0</v>
      </c>
      <c r="S57" s="1226">
        <v>0.0</v>
      </c>
      <c r="T57" s="1228">
        <v>0.0</v>
      </c>
      <c r="U57" s="738"/>
      <c r="V57" s="738"/>
      <c r="W57" s="738"/>
      <c r="X57" s="738"/>
      <c r="Y57" s="738"/>
      <c r="Z57" s="738"/>
      <c r="AA57" s="738"/>
      <c r="AB57" s="738"/>
      <c r="AC57" s="738"/>
      <c r="AD57" s="738"/>
      <c r="AE57" s="738"/>
      <c r="AF57" s="738"/>
      <c r="AG57" s="738"/>
      <c r="AH57" s="738"/>
      <c r="AI57" s="738"/>
      <c r="AJ57" s="738"/>
      <c r="AK57" s="738"/>
      <c r="AL57" s="738"/>
    </row>
    <row r="58">
      <c r="A58" s="1231"/>
      <c r="B58" s="1285" t="s">
        <v>50</v>
      </c>
      <c r="C58" s="1227">
        <v>401.0</v>
      </c>
      <c r="D58" s="1227">
        <v>400.0</v>
      </c>
      <c r="E58" s="1227">
        <v>377.0</v>
      </c>
      <c r="F58" s="1227">
        <v>23.0</v>
      </c>
      <c r="G58" s="1257">
        <v>0.9425</v>
      </c>
      <c r="H58" s="1227">
        <v>1.0</v>
      </c>
      <c r="I58" s="1227">
        <v>0.0</v>
      </c>
      <c r="J58" s="1227">
        <v>1.0</v>
      </c>
      <c r="K58" s="1257">
        <v>0.0025</v>
      </c>
      <c r="L58" s="1227">
        <v>675.0</v>
      </c>
      <c r="M58" s="1227">
        <v>673.0</v>
      </c>
      <c r="N58" s="1227">
        <v>660.0</v>
      </c>
      <c r="O58" s="1227">
        <v>13.0</v>
      </c>
      <c r="P58" s="1257">
        <v>0.9807</v>
      </c>
      <c r="Q58" s="1227">
        <v>2.0</v>
      </c>
      <c r="R58" s="1227">
        <v>0.0</v>
      </c>
      <c r="S58" s="1227">
        <v>2.0</v>
      </c>
      <c r="T58" s="1257">
        <v>0.003</v>
      </c>
      <c r="U58" s="738"/>
      <c r="V58" s="738"/>
      <c r="W58" s="738"/>
      <c r="X58" s="738"/>
      <c r="Y58" s="738"/>
      <c r="Z58" s="738"/>
      <c r="AA58" s="738"/>
      <c r="AB58" s="738"/>
      <c r="AC58" s="738"/>
      <c r="AD58" s="738"/>
      <c r="AE58" s="738"/>
      <c r="AF58" s="738"/>
      <c r="AG58" s="738"/>
      <c r="AH58" s="738"/>
      <c r="AI58" s="738"/>
      <c r="AJ58" s="738"/>
      <c r="AK58" s="738"/>
      <c r="AL58" s="738"/>
    </row>
    <row r="59">
      <c r="A59" s="738"/>
      <c r="B59" s="738"/>
      <c r="C59" s="738"/>
      <c r="D59" s="738"/>
      <c r="E59" s="738"/>
      <c r="F59" s="738"/>
      <c r="G59" s="738"/>
      <c r="H59" s="738"/>
      <c r="I59" s="738"/>
      <c r="J59" s="738"/>
      <c r="K59" s="738"/>
      <c r="L59" s="738"/>
      <c r="M59" s="738"/>
      <c r="N59" s="738"/>
      <c r="O59" s="738"/>
      <c r="P59" s="738"/>
      <c r="Q59" s="738"/>
      <c r="R59" s="738"/>
      <c r="S59" s="738"/>
      <c r="T59" s="738"/>
      <c r="U59" s="738"/>
      <c r="V59" s="738"/>
      <c r="W59" s="738"/>
      <c r="X59" s="738"/>
      <c r="Y59" s="738"/>
      <c r="Z59" s="738"/>
      <c r="AA59" s="738"/>
      <c r="AB59" s="738"/>
      <c r="AC59" s="738"/>
      <c r="AD59" s="738"/>
      <c r="AE59" s="738"/>
      <c r="AF59" s="738"/>
      <c r="AG59" s="738"/>
      <c r="AH59" s="738"/>
      <c r="AI59" s="738"/>
      <c r="AJ59" s="738"/>
      <c r="AK59" s="738"/>
      <c r="AL59" s="738"/>
    </row>
    <row r="60">
      <c r="A60" s="738"/>
      <c r="B60" s="738"/>
      <c r="C60" s="738"/>
      <c r="D60" s="738"/>
      <c r="E60" s="738"/>
      <c r="F60" s="738"/>
      <c r="G60" s="738"/>
      <c r="H60" s="738"/>
      <c r="I60" s="738"/>
      <c r="J60" s="738"/>
      <c r="K60" s="738"/>
      <c r="L60" s="738"/>
      <c r="M60" s="738"/>
      <c r="N60" s="738"/>
      <c r="O60" s="738"/>
      <c r="P60" s="738"/>
      <c r="Q60" s="738"/>
      <c r="R60" s="738"/>
      <c r="S60" s="738"/>
      <c r="T60" s="738"/>
      <c r="U60" s="738"/>
      <c r="V60" s="738"/>
      <c r="W60" s="738"/>
      <c r="X60" s="738"/>
      <c r="Y60" s="738"/>
      <c r="Z60" s="738"/>
      <c r="AA60" s="738"/>
      <c r="AB60" s="738"/>
      <c r="AC60" s="738"/>
      <c r="AD60" s="738"/>
      <c r="AE60" s="738"/>
      <c r="AF60" s="738"/>
      <c r="AG60" s="738"/>
      <c r="AH60" s="738"/>
      <c r="AI60" s="738"/>
      <c r="AJ60" s="738"/>
      <c r="AK60" s="738"/>
      <c r="AL60" s="738"/>
    </row>
    <row r="61">
      <c r="A61" s="738"/>
      <c r="B61" s="738"/>
      <c r="C61" s="738"/>
      <c r="D61" s="738"/>
      <c r="E61" s="738"/>
      <c r="F61" s="738"/>
      <c r="G61" s="738"/>
      <c r="H61" s="738"/>
      <c r="I61" s="738"/>
      <c r="J61" s="738"/>
      <c r="K61" s="738"/>
      <c r="L61" s="738"/>
      <c r="M61" s="738"/>
      <c r="N61" s="738"/>
      <c r="O61" s="738"/>
      <c r="P61" s="738"/>
      <c r="Q61" s="738"/>
      <c r="R61" s="738"/>
      <c r="S61" s="738"/>
      <c r="T61" s="738"/>
      <c r="U61" s="738"/>
      <c r="V61" s="738"/>
      <c r="W61" s="738"/>
      <c r="X61" s="738"/>
      <c r="Y61" s="738"/>
      <c r="Z61" s="738"/>
      <c r="AA61" s="738"/>
      <c r="AB61" s="738"/>
      <c r="AC61" s="738"/>
      <c r="AD61" s="738"/>
      <c r="AE61" s="738"/>
      <c r="AF61" s="738"/>
      <c r="AG61" s="738"/>
      <c r="AH61" s="738"/>
      <c r="AI61" s="738"/>
      <c r="AJ61" s="738"/>
      <c r="AK61" s="738"/>
      <c r="AL61" s="738"/>
    </row>
    <row r="62">
      <c r="A62" s="738"/>
      <c r="B62" s="738"/>
      <c r="C62" s="1292" t="s">
        <v>679</v>
      </c>
      <c r="D62" s="1250"/>
      <c r="E62" s="1250"/>
      <c r="F62" s="1250"/>
      <c r="G62" s="1250"/>
      <c r="H62" s="1250"/>
      <c r="I62" s="1250"/>
      <c r="J62" s="1250"/>
      <c r="K62" s="1251"/>
      <c r="L62" s="1292" t="s">
        <v>681</v>
      </c>
      <c r="M62" s="1250"/>
      <c r="N62" s="1250"/>
      <c r="O62" s="1250"/>
      <c r="P62" s="1250"/>
      <c r="Q62" s="1250"/>
      <c r="R62" s="1250"/>
      <c r="S62" s="1250"/>
      <c r="T62" s="1251"/>
      <c r="U62" s="738"/>
      <c r="V62" s="738"/>
      <c r="W62" s="738"/>
      <c r="X62" s="738"/>
      <c r="Y62" s="738"/>
      <c r="Z62" s="738"/>
      <c r="AA62" s="738"/>
      <c r="AB62" s="738"/>
      <c r="AC62" s="738"/>
      <c r="AD62" s="738"/>
      <c r="AE62" s="738"/>
      <c r="AF62" s="738"/>
      <c r="AG62" s="738"/>
      <c r="AH62" s="738"/>
      <c r="AI62" s="738"/>
      <c r="AJ62" s="738"/>
      <c r="AK62" s="738"/>
      <c r="AL62" s="738"/>
    </row>
    <row r="63">
      <c r="A63" s="1189" t="s">
        <v>28</v>
      </c>
      <c r="B63" s="1252" t="s">
        <v>586</v>
      </c>
      <c r="C63" s="1220" t="s">
        <v>640</v>
      </c>
      <c r="D63" s="1220" t="s">
        <v>641</v>
      </c>
      <c r="E63" s="1220" t="s">
        <v>642</v>
      </c>
      <c r="F63" s="1220" t="s">
        <v>643</v>
      </c>
      <c r="G63" s="1220" t="s">
        <v>644</v>
      </c>
      <c r="H63" s="1221" t="s">
        <v>645</v>
      </c>
      <c r="I63" s="1221" t="s">
        <v>646</v>
      </c>
      <c r="J63" s="1221" t="s">
        <v>647</v>
      </c>
      <c r="K63" s="1221" t="s">
        <v>648</v>
      </c>
      <c r="L63" s="1220" t="s">
        <v>640</v>
      </c>
      <c r="M63" s="1220" t="s">
        <v>641</v>
      </c>
      <c r="N63" s="1220" t="s">
        <v>642</v>
      </c>
      <c r="O63" s="1220" t="s">
        <v>643</v>
      </c>
      <c r="P63" s="1220" t="s">
        <v>644</v>
      </c>
      <c r="Q63" s="1221" t="s">
        <v>645</v>
      </c>
      <c r="R63" s="1221" t="s">
        <v>646</v>
      </c>
      <c r="S63" s="1221" t="s">
        <v>647</v>
      </c>
      <c r="T63" s="1221" t="s">
        <v>648</v>
      </c>
      <c r="U63" s="738"/>
      <c r="V63" s="738"/>
      <c r="W63" s="738"/>
      <c r="X63" s="738"/>
      <c r="Y63" s="738"/>
      <c r="Z63" s="738"/>
      <c r="AA63" s="738"/>
      <c r="AB63" s="738"/>
      <c r="AC63" s="738"/>
      <c r="AD63" s="738"/>
      <c r="AE63" s="738"/>
      <c r="AF63" s="738"/>
      <c r="AG63" s="738"/>
      <c r="AH63" s="738"/>
      <c r="AI63" s="738"/>
      <c r="AJ63" s="738"/>
      <c r="AK63" s="738"/>
      <c r="AL63" s="738"/>
    </row>
    <row r="64">
      <c r="A64" s="1223">
        <v>1.0</v>
      </c>
      <c r="B64" s="1253" t="s">
        <v>481</v>
      </c>
      <c r="C64" s="1226">
        <v>403.0</v>
      </c>
      <c r="D64" s="1226">
        <v>401.0</v>
      </c>
      <c r="E64" s="1226">
        <v>377.0</v>
      </c>
      <c r="F64" s="1227">
        <v>24.0</v>
      </c>
      <c r="G64" s="1228">
        <v>0.9401</v>
      </c>
      <c r="H64" s="1226">
        <v>2.0</v>
      </c>
      <c r="I64" s="1226">
        <v>2.0</v>
      </c>
      <c r="J64" s="1226">
        <v>0.0</v>
      </c>
      <c r="K64" s="1228">
        <v>0.005</v>
      </c>
      <c r="L64" s="1226">
        <v>250.0</v>
      </c>
      <c r="M64" s="1226">
        <v>250.0</v>
      </c>
      <c r="N64" s="1226">
        <v>243.0</v>
      </c>
      <c r="O64" s="1227">
        <v>7.0</v>
      </c>
      <c r="P64" s="1228">
        <v>0.972</v>
      </c>
      <c r="Q64" s="1226">
        <v>0.0</v>
      </c>
      <c r="R64" s="1226">
        <v>0.0</v>
      </c>
      <c r="S64" s="1226">
        <v>0.0</v>
      </c>
      <c r="T64" s="1228">
        <v>0.0</v>
      </c>
      <c r="U64" s="738"/>
      <c r="V64" s="738"/>
      <c r="W64" s="738"/>
      <c r="X64" s="738"/>
      <c r="Y64" s="738"/>
      <c r="Z64" s="738"/>
      <c r="AA64" s="738"/>
      <c r="AB64" s="738"/>
      <c r="AC64" s="738"/>
      <c r="AD64" s="738"/>
      <c r="AE64" s="738"/>
      <c r="AF64" s="738"/>
      <c r="AG64" s="738"/>
      <c r="AH64" s="738"/>
      <c r="AI64" s="738"/>
      <c r="AJ64" s="738"/>
      <c r="AK64" s="738"/>
      <c r="AL64" s="738"/>
    </row>
    <row r="65">
      <c r="A65" s="1223">
        <v>2.0</v>
      </c>
      <c r="B65" s="1253" t="s">
        <v>485</v>
      </c>
      <c r="C65" s="1226">
        <v>628.0</v>
      </c>
      <c r="D65" s="1226">
        <v>626.0</v>
      </c>
      <c r="E65" s="1226">
        <v>544.0</v>
      </c>
      <c r="F65" s="1227">
        <v>82.0</v>
      </c>
      <c r="G65" s="1228">
        <v>0.869</v>
      </c>
      <c r="H65" s="1226">
        <v>2.0</v>
      </c>
      <c r="I65" s="1226">
        <v>1.0</v>
      </c>
      <c r="J65" s="1227">
        <v>1.0</v>
      </c>
      <c r="K65" s="1257">
        <v>0.0032</v>
      </c>
      <c r="L65" s="1226">
        <v>269.0</v>
      </c>
      <c r="M65" s="1226">
        <v>266.0</v>
      </c>
      <c r="N65" s="1226">
        <v>255.0</v>
      </c>
      <c r="O65" s="1227">
        <v>11.0</v>
      </c>
      <c r="P65" s="1228">
        <v>0.9586</v>
      </c>
      <c r="Q65" s="1226">
        <v>3.0</v>
      </c>
      <c r="R65" s="1226">
        <v>2.0</v>
      </c>
      <c r="S65" s="1227">
        <v>1.0</v>
      </c>
      <c r="T65" s="1257">
        <v>0.0112</v>
      </c>
      <c r="U65" s="738"/>
      <c r="V65" s="738"/>
      <c r="W65" s="738"/>
      <c r="X65" s="738"/>
      <c r="Y65" s="738"/>
      <c r="Z65" s="738"/>
      <c r="AA65" s="738"/>
      <c r="AB65" s="738"/>
      <c r="AC65" s="738"/>
      <c r="AD65" s="738"/>
      <c r="AE65" s="738"/>
      <c r="AF65" s="738"/>
      <c r="AG65" s="738"/>
      <c r="AH65" s="738"/>
      <c r="AI65" s="738"/>
      <c r="AJ65" s="738"/>
      <c r="AK65" s="738"/>
      <c r="AL65" s="738"/>
    </row>
    <row r="66">
      <c r="A66" s="1223">
        <v>3.0</v>
      </c>
      <c r="B66" s="1253" t="s">
        <v>488</v>
      </c>
      <c r="C66" s="1226">
        <v>516.0</v>
      </c>
      <c r="D66" s="1226">
        <v>516.0</v>
      </c>
      <c r="E66" s="1226">
        <v>479.0</v>
      </c>
      <c r="F66" s="1227">
        <v>37.0</v>
      </c>
      <c r="G66" s="1228">
        <v>0.9283</v>
      </c>
      <c r="H66" s="1226">
        <v>0.0</v>
      </c>
      <c r="I66" s="1226">
        <v>0.0</v>
      </c>
      <c r="J66" s="1227">
        <v>0.0</v>
      </c>
      <c r="K66" s="1257">
        <v>0.0</v>
      </c>
      <c r="L66" s="1226">
        <v>293.0</v>
      </c>
      <c r="M66" s="1226">
        <v>291.0</v>
      </c>
      <c r="N66" s="1226">
        <v>274.0</v>
      </c>
      <c r="O66" s="1227">
        <v>17.0</v>
      </c>
      <c r="P66" s="1228">
        <v>0.9416</v>
      </c>
      <c r="Q66" s="1226">
        <v>2.0</v>
      </c>
      <c r="R66" s="1226">
        <v>1.0</v>
      </c>
      <c r="S66" s="1227">
        <v>1.0</v>
      </c>
      <c r="T66" s="1257">
        <v>0.0068</v>
      </c>
      <c r="U66" s="738"/>
      <c r="V66" s="738"/>
      <c r="W66" s="738"/>
      <c r="X66" s="738"/>
      <c r="Y66" s="738"/>
      <c r="Z66" s="738"/>
      <c r="AA66" s="738"/>
      <c r="AB66" s="738"/>
      <c r="AC66" s="738"/>
      <c r="AD66" s="738"/>
      <c r="AE66" s="738"/>
      <c r="AF66" s="738"/>
      <c r="AG66" s="738"/>
      <c r="AH66" s="738"/>
      <c r="AI66" s="738"/>
      <c r="AJ66" s="738"/>
      <c r="AK66" s="738"/>
      <c r="AL66" s="738"/>
    </row>
    <row r="67">
      <c r="A67" s="1223">
        <v>4.0</v>
      </c>
      <c r="B67" s="1253" t="s">
        <v>492</v>
      </c>
      <c r="C67" s="1226">
        <v>431.0</v>
      </c>
      <c r="D67" s="1226">
        <v>429.0</v>
      </c>
      <c r="E67" s="1226">
        <v>421.0</v>
      </c>
      <c r="F67" s="1227">
        <v>8.0</v>
      </c>
      <c r="G67" s="1228">
        <v>0.9814</v>
      </c>
      <c r="H67" s="1226">
        <v>2.0</v>
      </c>
      <c r="I67" s="1226">
        <v>0.0</v>
      </c>
      <c r="J67" s="1226">
        <v>2.0</v>
      </c>
      <c r="K67" s="1228">
        <v>0.0046</v>
      </c>
      <c r="L67" s="1226">
        <v>231.0</v>
      </c>
      <c r="M67" s="1226">
        <v>231.0</v>
      </c>
      <c r="N67" s="1226">
        <v>224.0</v>
      </c>
      <c r="O67" s="1227">
        <v>7.0</v>
      </c>
      <c r="P67" s="1228">
        <v>0.9697</v>
      </c>
      <c r="Q67" s="1226">
        <v>0.0</v>
      </c>
      <c r="R67" s="1226">
        <v>0.0</v>
      </c>
      <c r="S67" s="1226">
        <v>0.0</v>
      </c>
      <c r="T67" s="1228">
        <v>0.0</v>
      </c>
      <c r="U67" s="738"/>
      <c r="V67" s="738"/>
      <c r="W67" s="738"/>
      <c r="X67" s="738"/>
      <c r="Y67" s="738"/>
      <c r="Z67" s="738"/>
      <c r="AA67" s="738"/>
      <c r="AB67" s="738"/>
      <c r="AC67" s="738"/>
      <c r="AD67" s="738"/>
      <c r="AE67" s="738"/>
      <c r="AF67" s="738"/>
      <c r="AG67" s="738"/>
      <c r="AH67" s="738"/>
      <c r="AI67" s="738"/>
      <c r="AJ67" s="738"/>
      <c r="AK67" s="738"/>
      <c r="AL67" s="738"/>
    </row>
    <row r="68">
      <c r="A68" s="1223">
        <v>5.0</v>
      </c>
      <c r="B68" s="1253" t="s">
        <v>496</v>
      </c>
      <c r="C68" s="1226">
        <v>402.0</v>
      </c>
      <c r="D68" s="1226">
        <v>401.0</v>
      </c>
      <c r="E68" s="1226">
        <v>360.0</v>
      </c>
      <c r="F68" s="1227">
        <v>41.0</v>
      </c>
      <c r="G68" s="1228">
        <v>0.8978</v>
      </c>
      <c r="H68" s="1226">
        <v>1.0</v>
      </c>
      <c r="I68" s="1226">
        <v>0.0</v>
      </c>
      <c r="J68" s="1226">
        <v>1.0</v>
      </c>
      <c r="K68" s="1257">
        <v>0.0025</v>
      </c>
      <c r="L68" s="1226">
        <v>211.0</v>
      </c>
      <c r="M68" s="1226">
        <v>209.0</v>
      </c>
      <c r="N68" s="1226">
        <v>204.0</v>
      </c>
      <c r="O68" s="1227">
        <v>5.0</v>
      </c>
      <c r="P68" s="1228">
        <v>0.9761</v>
      </c>
      <c r="Q68" s="1226">
        <v>2.0</v>
      </c>
      <c r="R68" s="1226">
        <v>2.0</v>
      </c>
      <c r="S68" s="1226">
        <v>0.0</v>
      </c>
      <c r="T68" s="1257">
        <v>0.0095</v>
      </c>
      <c r="U68" s="738"/>
      <c r="V68" s="738"/>
      <c r="W68" s="738"/>
      <c r="X68" s="738"/>
      <c r="Y68" s="738"/>
      <c r="Z68" s="738"/>
      <c r="AA68" s="738"/>
      <c r="AB68" s="738"/>
      <c r="AC68" s="738"/>
      <c r="AD68" s="738"/>
      <c r="AE68" s="738"/>
      <c r="AF68" s="738"/>
      <c r="AG68" s="738"/>
      <c r="AH68" s="738"/>
      <c r="AI68" s="738"/>
      <c r="AJ68" s="738"/>
      <c r="AK68" s="738"/>
      <c r="AL68" s="738"/>
    </row>
    <row r="69">
      <c r="A69" s="1223">
        <v>6.0</v>
      </c>
      <c r="B69" s="1253" t="s">
        <v>499</v>
      </c>
      <c r="C69" s="1226">
        <v>253.0</v>
      </c>
      <c r="D69" s="1226">
        <v>253.0</v>
      </c>
      <c r="E69" s="1226">
        <v>225.0</v>
      </c>
      <c r="F69" s="1227">
        <v>28.0</v>
      </c>
      <c r="G69" s="1228">
        <v>0.8893</v>
      </c>
      <c r="H69" s="1226">
        <v>0.0</v>
      </c>
      <c r="I69" s="1226">
        <v>0.0</v>
      </c>
      <c r="J69" s="1226">
        <v>0.0</v>
      </c>
      <c r="K69" s="1228">
        <v>0.0</v>
      </c>
      <c r="L69" s="1226">
        <v>90.0</v>
      </c>
      <c r="M69" s="1226">
        <v>90.0</v>
      </c>
      <c r="N69" s="1226">
        <v>88.0</v>
      </c>
      <c r="O69" s="1227">
        <v>2.0</v>
      </c>
      <c r="P69" s="1228">
        <v>0.9778</v>
      </c>
      <c r="Q69" s="1226">
        <v>0.0</v>
      </c>
      <c r="R69" s="1226">
        <v>0.0</v>
      </c>
      <c r="S69" s="1226">
        <v>0.0</v>
      </c>
      <c r="T69" s="1228">
        <v>0.0</v>
      </c>
      <c r="U69" s="738"/>
      <c r="V69" s="738"/>
      <c r="W69" s="738"/>
      <c r="X69" s="738"/>
      <c r="Y69" s="738"/>
      <c r="Z69" s="738"/>
      <c r="AA69" s="738"/>
      <c r="AB69" s="738"/>
      <c r="AC69" s="738"/>
      <c r="AD69" s="738"/>
      <c r="AE69" s="738"/>
      <c r="AF69" s="738"/>
      <c r="AG69" s="738"/>
      <c r="AH69" s="738"/>
      <c r="AI69" s="738"/>
      <c r="AJ69" s="738"/>
      <c r="AK69" s="738"/>
      <c r="AL69" s="738"/>
    </row>
    <row r="70">
      <c r="A70" s="1223">
        <v>7.0</v>
      </c>
      <c r="B70" s="1253" t="s">
        <v>501</v>
      </c>
      <c r="C70" s="1226">
        <v>626.0</v>
      </c>
      <c r="D70" s="1226">
        <v>625.0</v>
      </c>
      <c r="E70" s="1226">
        <v>613.0</v>
      </c>
      <c r="F70" s="1227">
        <v>12.0</v>
      </c>
      <c r="G70" s="1228">
        <v>0.9808</v>
      </c>
      <c r="H70" s="1226">
        <v>1.0</v>
      </c>
      <c r="I70" s="1226">
        <v>0.0</v>
      </c>
      <c r="J70" s="1226">
        <v>1.0</v>
      </c>
      <c r="K70" s="1228">
        <v>0.0016</v>
      </c>
      <c r="L70" s="1226">
        <v>333.0</v>
      </c>
      <c r="M70" s="1226">
        <v>333.0</v>
      </c>
      <c r="N70" s="1226">
        <v>327.0</v>
      </c>
      <c r="O70" s="1227">
        <v>6.0</v>
      </c>
      <c r="P70" s="1228">
        <v>0.982</v>
      </c>
      <c r="Q70" s="1226">
        <v>0.0</v>
      </c>
      <c r="R70" s="1226">
        <v>0.0</v>
      </c>
      <c r="S70" s="1226">
        <v>0.0</v>
      </c>
      <c r="T70" s="1228">
        <v>0.0</v>
      </c>
      <c r="U70" s="738"/>
      <c r="V70" s="738"/>
      <c r="W70" s="738"/>
      <c r="X70" s="738"/>
      <c r="Y70" s="738"/>
      <c r="Z70" s="738"/>
      <c r="AA70" s="738"/>
      <c r="AB70" s="738"/>
      <c r="AC70" s="738"/>
      <c r="AD70" s="738"/>
      <c r="AE70" s="738"/>
      <c r="AF70" s="738"/>
      <c r="AG70" s="738"/>
      <c r="AH70" s="738"/>
      <c r="AI70" s="738"/>
      <c r="AJ70" s="738"/>
      <c r="AK70" s="738"/>
      <c r="AL70" s="738"/>
    </row>
    <row r="71">
      <c r="A71" s="1231"/>
      <c r="B71" s="1285" t="s">
        <v>50</v>
      </c>
      <c r="C71" s="1227">
        <v>3259.0</v>
      </c>
      <c r="D71" s="1227">
        <v>3251.0</v>
      </c>
      <c r="E71" s="1227">
        <v>3019.0</v>
      </c>
      <c r="F71" s="1227">
        <v>232.0</v>
      </c>
      <c r="G71" s="1257">
        <v>0.9286</v>
      </c>
      <c r="H71" s="1227">
        <v>8.0</v>
      </c>
      <c r="I71" s="1227">
        <v>3.0</v>
      </c>
      <c r="J71" s="1227">
        <v>5.0</v>
      </c>
      <c r="K71" s="1257">
        <v>0.0025</v>
      </c>
      <c r="L71" s="1227">
        <v>1677.0</v>
      </c>
      <c r="M71" s="1227">
        <v>1670.0</v>
      </c>
      <c r="N71" s="1227">
        <v>1615.0</v>
      </c>
      <c r="O71" s="1227">
        <v>55.0</v>
      </c>
      <c r="P71" s="1257">
        <v>0.9671</v>
      </c>
      <c r="Q71" s="1227">
        <v>7.0</v>
      </c>
      <c r="R71" s="1227">
        <v>5.0</v>
      </c>
      <c r="S71" s="1227">
        <v>2.0</v>
      </c>
      <c r="T71" s="1257">
        <v>0.0042</v>
      </c>
      <c r="U71" s="738"/>
      <c r="V71" s="738"/>
      <c r="W71" s="738"/>
      <c r="X71" s="738"/>
      <c r="Y71" s="738"/>
      <c r="Z71" s="738"/>
      <c r="AA71" s="738"/>
      <c r="AB71" s="738"/>
      <c r="AC71" s="738"/>
      <c r="AD71" s="738"/>
      <c r="AE71" s="738"/>
      <c r="AF71" s="738"/>
      <c r="AG71" s="738"/>
      <c r="AH71" s="738"/>
      <c r="AI71" s="738"/>
      <c r="AJ71" s="738"/>
      <c r="AK71" s="738"/>
      <c r="AL71" s="738"/>
    </row>
    <row r="72">
      <c r="A72" s="738"/>
      <c r="B72" s="738"/>
      <c r="C72" s="738"/>
      <c r="D72" s="738"/>
      <c r="E72" s="738"/>
      <c r="F72" s="738"/>
      <c r="G72" s="738"/>
      <c r="H72" s="738"/>
      <c r="I72" s="738"/>
      <c r="J72" s="738"/>
      <c r="K72" s="738"/>
      <c r="L72" s="738"/>
      <c r="M72" s="738"/>
      <c r="N72" s="738"/>
      <c r="O72" s="738"/>
      <c r="P72" s="738"/>
      <c r="Q72" s="738"/>
      <c r="R72" s="738"/>
      <c r="S72" s="738"/>
      <c r="T72" s="738"/>
      <c r="U72" s="738"/>
      <c r="V72" s="738"/>
      <c r="W72" s="738"/>
      <c r="X72" s="738"/>
      <c r="Y72" s="738"/>
      <c r="Z72" s="738"/>
      <c r="AA72" s="738"/>
      <c r="AB72" s="738"/>
      <c r="AC72" s="738"/>
      <c r="AD72" s="738"/>
      <c r="AE72" s="738"/>
      <c r="AF72" s="738"/>
      <c r="AG72" s="738"/>
      <c r="AH72" s="738"/>
      <c r="AI72" s="738"/>
      <c r="AJ72" s="738"/>
      <c r="AK72" s="738"/>
      <c r="AL72" s="738"/>
    </row>
    <row r="73">
      <c r="A73" s="738"/>
      <c r="B73" s="738"/>
      <c r="C73" s="738"/>
      <c r="D73" s="738"/>
      <c r="E73" s="738"/>
      <c r="F73" s="738"/>
      <c r="G73" s="738"/>
      <c r="H73" s="738"/>
      <c r="I73" s="738"/>
      <c r="J73" s="738"/>
      <c r="K73" s="738"/>
      <c r="L73" s="738"/>
      <c r="M73" s="738"/>
      <c r="N73" s="738"/>
      <c r="O73" s="738"/>
      <c r="P73" s="738"/>
      <c r="Q73" s="738"/>
      <c r="R73" s="738"/>
      <c r="S73" s="738"/>
      <c r="T73" s="738"/>
      <c r="U73" s="738"/>
      <c r="V73" s="738"/>
      <c r="W73" s="738"/>
      <c r="X73" s="738"/>
      <c r="Y73" s="738"/>
      <c r="Z73" s="738"/>
      <c r="AA73" s="738"/>
      <c r="AB73" s="738"/>
      <c r="AC73" s="738"/>
      <c r="AD73" s="738"/>
      <c r="AE73" s="738"/>
      <c r="AF73" s="738"/>
      <c r="AG73" s="738"/>
      <c r="AH73" s="738"/>
      <c r="AI73" s="738"/>
      <c r="AJ73" s="738"/>
      <c r="AK73" s="738"/>
      <c r="AL73" s="738"/>
    </row>
    <row r="74">
      <c r="A74" s="738"/>
      <c r="B74" s="738"/>
      <c r="C74" s="738"/>
      <c r="D74" s="738"/>
      <c r="E74" s="738"/>
      <c r="F74" s="738"/>
      <c r="G74" s="738"/>
      <c r="H74" s="738"/>
      <c r="I74" s="738"/>
      <c r="J74" s="738"/>
      <c r="K74" s="738"/>
      <c r="L74" s="738"/>
      <c r="M74" s="738"/>
      <c r="N74" s="738"/>
      <c r="O74" s="738"/>
      <c r="P74" s="738"/>
      <c r="Q74" s="738"/>
      <c r="R74" s="738"/>
      <c r="S74" s="738"/>
      <c r="T74" s="738"/>
      <c r="U74" s="738"/>
      <c r="V74" s="738"/>
      <c r="W74" s="738"/>
      <c r="X74" s="738"/>
      <c r="Y74" s="738"/>
      <c r="Z74" s="738"/>
      <c r="AA74" s="738"/>
      <c r="AB74" s="738"/>
      <c r="AC74" s="738"/>
      <c r="AD74" s="738"/>
      <c r="AE74" s="738"/>
      <c r="AF74" s="738"/>
      <c r="AG74" s="738"/>
      <c r="AH74" s="738"/>
      <c r="AI74" s="738"/>
      <c r="AJ74" s="738"/>
      <c r="AK74" s="738"/>
      <c r="AL74" s="738"/>
    </row>
    <row r="75">
      <c r="A75" s="738"/>
      <c r="B75" s="738"/>
      <c r="C75" s="1317" t="s">
        <v>682</v>
      </c>
      <c r="D75" s="1250"/>
      <c r="E75" s="1250"/>
      <c r="F75" s="1250"/>
      <c r="G75" s="1250"/>
      <c r="H75" s="1250"/>
      <c r="I75" s="1250"/>
      <c r="J75" s="1250"/>
      <c r="K75" s="1251"/>
      <c r="L75" s="1317" t="s">
        <v>683</v>
      </c>
      <c r="M75" s="1250"/>
      <c r="N75" s="1250"/>
      <c r="O75" s="1250"/>
      <c r="P75" s="1250"/>
      <c r="Q75" s="1250"/>
      <c r="R75" s="1250"/>
      <c r="S75" s="1250"/>
      <c r="T75" s="1251"/>
      <c r="U75" s="738"/>
      <c r="V75" s="738"/>
      <c r="W75" s="738"/>
      <c r="X75" s="738"/>
      <c r="Y75" s="738"/>
      <c r="Z75" s="738"/>
      <c r="AA75" s="738"/>
      <c r="AB75" s="738"/>
      <c r="AC75" s="738"/>
      <c r="AD75" s="738"/>
      <c r="AE75" s="738"/>
      <c r="AF75" s="738"/>
      <c r="AG75" s="738"/>
      <c r="AH75" s="738"/>
      <c r="AI75" s="738"/>
      <c r="AJ75" s="738"/>
      <c r="AK75" s="738"/>
      <c r="AL75" s="738"/>
    </row>
    <row r="76">
      <c r="A76" s="1189" t="s">
        <v>28</v>
      </c>
      <c r="B76" s="1252" t="s">
        <v>586</v>
      </c>
      <c r="C76" s="1220" t="s">
        <v>640</v>
      </c>
      <c r="D76" s="1220" t="s">
        <v>641</v>
      </c>
      <c r="E76" s="1220" t="s">
        <v>642</v>
      </c>
      <c r="F76" s="1220" t="s">
        <v>643</v>
      </c>
      <c r="G76" s="1220" t="s">
        <v>644</v>
      </c>
      <c r="H76" s="1221" t="s">
        <v>645</v>
      </c>
      <c r="I76" s="1221" t="s">
        <v>646</v>
      </c>
      <c r="J76" s="1221" t="s">
        <v>647</v>
      </c>
      <c r="K76" s="1221" t="s">
        <v>648</v>
      </c>
      <c r="L76" s="1220" t="s">
        <v>640</v>
      </c>
      <c r="M76" s="1220" t="s">
        <v>641</v>
      </c>
      <c r="N76" s="1220" t="s">
        <v>642</v>
      </c>
      <c r="O76" s="1220" t="s">
        <v>643</v>
      </c>
      <c r="P76" s="1220" t="s">
        <v>644</v>
      </c>
      <c r="Q76" s="1221" t="s">
        <v>645</v>
      </c>
      <c r="R76" s="1221" t="s">
        <v>646</v>
      </c>
      <c r="S76" s="1221" t="s">
        <v>647</v>
      </c>
      <c r="T76" s="1221" t="s">
        <v>648</v>
      </c>
      <c r="U76" s="738"/>
      <c r="V76" s="738"/>
      <c r="W76" s="738"/>
      <c r="X76" s="738"/>
      <c r="Y76" s="738"/>
      <c r="Z76" s="738"/>
      <c r="AA76" s="738"/>
      <c r="AB76" s="738"/>
      <c r="AC76" s="738"/>
      <c r="AD76" s="738"/>
      <c r="AE76" s="738"/>
      <c r="AF76" s="738"/>
      <c r="AG76" s="738"/>
      <c r="AH76" s="738"/>
      <c r="AI76" s="738"/>
      <c r="AJ76" s="738"/>
      <c r="AK76" s="738"/>
      <c r="AL76" s="738"/>
    </row>
    <row r="77">
      <c r="A77" s="1223">
        <v>1.0</v>
      </c>
      <c r="B77" s="1253" t="s">
        <v>481</v>
      </c>
      <c r="C77" s="1226">
        <v>10.0</v>
      </c>
      <c r="D77" s="1226">
        <v>10.0</v>
      </c>
      <c r="E77" s="1226">
        <v>10.0</v>
      </c>
      <c r="F77" s="1227">
        <v>0.0</v>
      </c>
      <c r="G77" s="1228">
        <v>1.0</v>
      </c>
      <c r="H77" s="1226">
        <v>0.0</v>
      </c>
      <c r="I77" s="1226">
        <v>0.0</v>
      </c>
      <c r="J77" s="1226">
        <v>0.0</v>
      </c>
      <c r="K77" s="1228">
        <v>0.0</v>
      </c>
      <c r="L77" s="1226">
        <v>9.0</v>
      </c>
      <c r="M77" s="1226">
        <v>8.0</v>
      </c>
      <c r="N77" s="1226">
        <v>8.0</v>
      </c>
      <c r="O77" s="1227">
        <v>0.0</v>
      </c>
      <c r="P77" s="1228">
        <v>0.8889</v>
      </c>
      <c r="Q77" s="1226">
        <v>0.0</v>
      </c>
      <c r="R77" s="1226">
        <v>0.0</v>
      </c>
      <c r="S77" s="1226">
        <v>0.0</v>
      </c>
      <c r="T77" s="1228">
        <v>0.0</v>
      </c>
      <c r="U77" s="738"/>
      <c r="V77" s="738"/>
      <c r="W77" s="738"/>
      <c r="X77" s="738"/>
      <c r="Y77" s="738"/>
      <c r="Z77" s="738"/>
      <c r="AA77" s="738"/>
      <c r="AB77" s="738"/>
      <c r="AC77" s="738"/>
      <c r="AD77" s="738"/>
      <c r="AE77" s="738"/>
      <c r="AF77" s="738"/>
      <c r="AG77" s="738"/>
      <c r="AH77" s="738"/>
      <c r="AI77" s="738"/>
      <c r="AJ77" s="738"/>
      <c r="AK77" s="738"/>
      <c r="AL77" s="738"/>
    </row>
    <row r="78">
      <c r="A78" s="1223">
        <v>2.0</v>
      </c>
      <c r="B78" s="1253" t="s">
        <v>485</v>
      </c>
      <c r="C78" s="1226">
        <v>9.0</v>
      </c>
      <c r="D78" s="1226">
        <v>9.0</v>
      </c>
      <c r="E78" s="1226">
        <v>9.0</v>
      </c>
      <c r="F78" s="1227">
        <v>0.0</v>
      </c>
      <c r="G78" s="1228">
        <v>1.0</v>
      </c>
      <c r="H78" s="1226">
        <v>0.0</v>
      </c>
      <c r="I78" s="1226">
        <v>0.0</v>
      </c>
      <c r="J78" s="1227">
        <v>0.0</v>
      </c>
      <c r="K78" s="1257">
        <v>0.0</v>
      </c>
      <c r="L78" s="1226">
        <v>10.0</v>
      </c>
      <c r="M78" s="1226">
        <v>10.0</v>
      </c>
      <c r="N78" s="1226">
        <v>10.0</v>
      </c>
      <c r="O78" s="1227">
        <v>0.0</v>
      </c>
      <c r="P78" s="1228">
        <v>1.0</v>
      </c>
      <c r="Q78" s="1226">
        <v>0.0</v>
      </c>
      <c r="R78" s="1226">
        <v>0.0</v>
      </c>
      <c r="S78" s="1227">
        <v>0.0</v>
      </c>
      <c r="T78" s="1257">
        <v>0.0</v>
      </c>
      <c r="U78" s="738"/>
      <c r="V78" s="738"/>
      <c r="W78" s="738"/>
      <c r="X78" s="738"/>
      <c r="Y78" s="738"/>
      <c r="Z78" s="738"/>
      <c r="AA78" s="738"/>
      <c r="AB78" s="738"/>
      <c r="AC78" s="738"/>
      <c r="AD78" s="738"/>
      <c r="AE78" s="738"/>
      <c r="AF78" s="738"/>
      <c r="AG78" s="738"/>
      <c r="AH78" s="738"/>
      <c r="AI78" s="738"/>
      <c r="AJ78" s="738"/>
      <c r="AK78" s="738"/>
      <c r="AL78" s="738"/>
    </row>
    <row r="79">
      <c r="A79" s="1223">
        <v>3.0</v>
      </c>
      <c r="B79" s="1253" t="s">
        <v>488</v>
      </c>
      <c r="C79" s="1226">
        <v>3.0</v>
      </c>
      <c r="D79" s="1226">
        <v>3.0</v>
      </c>
      <c r="E79" s="1226">
        <v>3.0</v>
      </c>
      <c r="F79" s="1227">
        <v>0.0</v>
      </c>
      <c r="G79" s="1228">
        <v>1.0</v>
      </c>
      <c r="H79" s="1226">
        <v>0.0</v>
      </c>
      <c r="I79" s="1226">
        <v>0.0</v>
      </c>
      <c r="J79" s="1227">
        <v>0.0</v>
      </c>
      <c r="K79" s="1257">
        <v>0.0</v>
      </c>
      <c r="L79" s="1226">
        <v>4.0</v>
      </c>
      <c r="M79" s="1226">
        <v>3.0</v>
      </c>
      <c r="N79" s="1226">
        <v>3.0</v>
      </c>
      <c r="O79" s="1227">
        <v>0.0</v>
      </c>
      <c r="P79" s="1228">
        <v>0.75</v>
      </c>
      <c r="Q79" s="1226">
        <v>0.0</v>
      </c>
      <c r="R79" s="1226">
        <v>0.0</v>
      </c>
      <c r="S79" s="1227">
        <v>0.0</v>
      </c>
      <c r="T79" s="1257">
        <v>0.0</v>
      </c>
      <c r="U79" s="738"/>
      <c r="V79" s="738"/>
      <c r="W79" s="738"/>
      <c r="X79" s="738"/>
      <c r="Y79" s="738"/>
      <c r="Z79" s="738"/>
      <c r="AA79" s="738"/>
      <c r="AB79" s="738"/>
      <c r="AC79" s="738"/>
      <c r="AD79" s="738"/>
      <c r="AE79" s="738"/>
      <c r="AF79" s="738"/>
      <c r="AG79" s="738"/>
      <c r="AH79" s="738"/>
      <c r="AI79" s="738"/>
      <c r="AJ79" s="738"/>
      <c r="AK79" s="738"/>
      <c r="AL79" s="738"/>
    </row>
    <row r="80">
      <c r="A80" s="1223">
        <v>4.0</v>
      </c>
      <c r="B80" s="1253" t="s">
        <v>492</v>
      </c>
      <c r="C80" s="1226">
        <v>2.0</v>
      </c>
      <c r="D80" s="1226">
        <v>2.0</v>
      </c>
      <c r="E80" s="1226">
        <v>2.0</v>
      </c>
      <c r="F80" s="1227">
        <v>0.0</v>
      </c>
      <c r="G80" s="1228">
        <v>1.0</v>
      </c>
      <c r="H80" s="1226">
        <v>0.0</v>
      </c>
      <c r="I80" s="1226">
        <v>0.0</v>
      </c>
      <c r="J80" s="1226">
        <v>0.0</v>
      </c>
      <c r="K80" s="1228">
        <v>0.0</v>
      </c>
      <c r="L80" s="1226">
        <v>17.0</v>
      </c>
      <c r="M80" s="1226">
        <v>17.0</v>
      </c>
      <c r="N80" s="1226">
        <v>17.0</v>
      </c>
      <c r="O80" s="1227">
        <v>0.0</v>
      </c>
      <c r="P80" s="1228">
        <v>1.0</v>
      </c>
      <c r="Q80" s="1226">
        <v>0.0</v>
      </c>
      <c r="R80" s="1226">
        <v>0.0</v>
      </c>
      <c r="S80" s="1226">
        <v>0.0</v>
      </c>
      <c r="T80" s="1228">
        <v>0.0</v>
      </c>
      <c r="U80" s="738"/>
      <c r="V80" s="738"/>
      <c r="W80" s="738"/>
      <c r="X80" s="738"/>
      <c r="Y80" s="738"/>
      <c r="Z80" s="738"/>
      <c r="AA80" s="738"/>
      <c r="AB80" s="738"/>
      <c r="AC80" s="738"/>
      <c r="AD80" s="738"/>
      <c r="AE80" s="738"/>
      <c r="AF80" s="738"/>
      <c r="AG80" s="738"/>
      <c r="AH80" s="738"/>
      <c r="AI80" s="738"/>
      <c r="AJ80" s="738"/>
      <c r="AK80" s="738"/>
      <c r="AL80" s="738"/>
    </row>
    <row r="81">
      <c r="A81" s="1223">
        <v>5.0</v>
      </c>
      <c r="B81" s="1253" t="s">
        <v>496</v>
      </c>
      <c r="C81" s="1226">
        <v>3.0</v>
      </c>
      <c r="D81" s="1226">
        <v>3.0</v>
      </c>
      <c r="E81" s="1226">
        <v>3.0</v>
      </c>
      <c r="F81" s="1227">
        <v>0.0</v>
      </c>
      <c r="G81" s="1228">
        <v>1.0</v>
      </c>
      <c r="H81" s="1226">
        <v>0.0</v>
      </c>
      <c r="I81" s="1226">
        <v>0.0</v>
      </c>
      <c r="J81" s="1226">
        <v>0.0</v>
      </c>
      <c r="K81" s="1257">
        <v>0.0</v>
      </c>
      <c r="L81" s="1226">
        <v>8.0</v>
      </c>
      <c r="M81" s="1226">
        <v>8.0</v>
      </c>
      <c r="N81" s="1226">
        <v>8.0</v>
      </c>
      <c r="O81" s="1227">
        <v>0.0</v>
      </c>
      <c r="P81" s="1228">
        <v>1.0</v>
      </c>
      <c r="Q81" s="1226">
        <v>0.0</v>
      </c>
      <c r="R81" s="1226">
        <v>0.0</v>
      </c>
      <c r="S81" s="1226">
        <v>0.0</v>
      </c>
      <c r="T81" s="1257">
        <v>0.0</v>
      </c>
      <c r="U81" s="738"/>
      <c r="V81" s="738"/>
      <c r="W81" s="738"/>
      <c r="X81" s="738"/>
      <c r="Y81" s="738"/>
      <c r="Z81" s="738"/>
      <c r="AA81" s="738"/>
      <c r="AB81" s="738"/>
      <c r="AC81" s="738"/>
      <c r="AD81" s="738"/>
      <c r="AE81" s="738"/>
      <c r="AF81" s="738"/>
      <c r="AG81" s="738"/>
      <c r="AH81" s="738"/>
      <c r="AI81" s="738"/>
      <c r="AJ81" s="738"/>
      <c r="AK81" s="738"/>
      <c r="AL81" s="738"/>
    </row>
    <row r="82">
      <c r="A82" s="1223">
        <v>6.0</v>
      </c>
      <c r="B82" s="1253" t="s">
        <v>499</v>
      </c>
      <c r="C82" s="1226">
        <v>10.0</v>
      </c>
      <c r="D82" s="1226">
        <v>10.0</v>
      </c>
      <c r="E82" s="1226">
        <v>10.0</v>
      </c>
      <c r="F82" s="1227">
        <v>0.0</v>
      </c>
      <c r="G82" s="1228">
        <v>1.0</v>
      </c>
      <c r="H82" s="1226">
        <v>0.0</v>
      </c>
      <c r="I82" s="1226">
        <v>0.0</v>
      </c>
      <c r="J82" s="1226">
        <v>0.0</v>
      </c>
      <c r="K82" s="1228">
        <v>0.0</v>
      </c>
      <c r="L82" s="1226">
        <v>6.0</v>
      </c>
      <c r="M82" s="1226">
        <v>6.0</v>
      </c>
      <c r="N82" s="1226">
        <v>6.0</v>
      </c>
      <c r="O82" s="1227">
        <v>0.0</v>
      </c>
      <c r="P82" s="1228">
        <v>1.0</v>
      </c>
      <c r="Q82" s="1226">
        <v>0.0</v>
      </c>
      <c r="R82" s="1226">
        <v>0.0</v>
      </c>
      <c r="S82" s="1226">
        <v>0.0</v>
      </c>
      <c r="T82" s="1228">
        <v>0.0</v>
      </c>
      <c r="U82" s="738"/>
      <c r="V82" s="738"/>
      <c r="W82" s="738"/>
      <c r="X82" s="738"/>
      <c r="Y82" s="738"/>
      <c r="Z82" s="738"/>
      <c r="AA82" s="738"/>
      <c r="AB82" s="738"/>
      <c r="AC82" s="738"/>
      <c r="AD82" s="738"/>
      <c r="AE82" s="738"/>
      <c r="AF82" s="738"/>
      <c r="AG82" s="738"/>
      <c r="AH82" s="738"/>
      <c r="AI82" s="738"/>
      <c r="AJ82" s="738"/>
      <c r="AK82" s="738"/>
      <c r="AL82" s="738"/>
    </row>
    <row r="83">
      <c r="A83" s="1223">
        <v>7.0</v>
      </c>
      <c r="B83" s="1253" t="s">
        <v>501</v>
      </c>
      <c r="C83" s="1226">
        <v>38.0</v>
      </c>
      <c r="D83" s="1226">
        <v>38.0</v>
      </c>
      <c r="E83" s="1226">
        <v>38.0</v>
      </c>
      <c r="F83" s="1227">
        <v>0.0</v>
      </c>
      <c r="G83" s="1228">
        <v>1.0</v>
      </c>
      <c r="H83" s="1226">
        <v>0.0</v>
      </c>
      <c r="I83" s="1226">
        <v>0.0</v>
      </c>
      <c r="J83" s="1226">
        <v>0.0</v>
      </c>
      <c r="K83" s="1228">
        <v>0.0</v>
      </c>
      <c r="L83" s="1226">
        <v>41.0</v>
      </c>
      <c r="M83" s="1226">
        <v>41.0</v>
      </c>
      <c r="N83" s="1226">
        <v>41.0</v>
      </c>
      <c r="O83" s="1227">
        <v>0.0</v>
      </c>
      <c r="P83" s="1228">
        <v>1.0</v>
      </c>
      <c r="Q83" s="1226">
        <v>0.0</v>
      </c>
      <c r="R83" s="1226">
        <v>0.0</v>
      </c>
      <c r="S83" s="1226">
        <v>0.0</v>
      </c>
      <c r="T83" s="1228">
        <v>0.0</v>
      </c>
      <c r="U83" s="738"/>
      <c r="V83" s="738"/>
      <c r="W83" s="738"/>
      <c r="X83" s="738"/>
      <c r="Y83" s="738"/>
      <c r="Z83" s="738"/>
      <c r="AA83" s="738"/>
      <c r="AB83" s="738"/>
      <c r="AC83" s="738"/>
      <c r="AD83" s="738"/>
      <c r="AE83" s="738"/>
      <c r="AF83" s="738"/>
      <c r="AG83" s="738"/>
      <c r="AH83" s="738"/>
      <c r="AI83" s="738"/>
      <c r="AJ83" s="738"/>
      <c r="AK83" s="738"/>
      <c r="AL83" s="738"/>
    </row>
    <row r="84">
      <c r="A84" s="1231"/>
      <c r="B84" s="1285" t="s">
        <v>50</v>
      </c>
      <c r="C84" s="1227">
        <v>75.0</v>
      </c>
      <c r="D84" s="1227">
        <v>75.0</v>
      </c>
      <c r="E84" s="1227">
        <v>75.0</v>
      </c>
      <c r="F84" s="1227">
        <v>0.0</v>
      </c>
      <c r="G84" s="1257">
        <v>1.0</v>
      </c>
      <c r="H84" s="1227">
        <v>0.0</v>
      </c>
      <c r="I84" s="1227">
        <v>0.0</v>
      </c>
      <c r="J84" s="1227">
        <v>0.0</v>
      </c>
      <c r="K84" s="1257">
        <v>0.0</v>
      </c>
      <c r="L84" s="1227">
        <v>95.0</v>
      </c>
      <c r="M84" s="1227">
        <v>93.0</v>
      </c>
      <c r="N84" s="1227">
        <v>93.0</v>
      </c>
      <c r="O84" s="1227">
        <v>0.0</v>
      </c>
      <c r="P84" s="1257">
        <v>0.9789</v>
      </c>
      <c r="Q84" s="1227">
        <v>0.0</v>
      </c>
      <c r="R84" s="1227">
        <v>0.0</v>
      </c>
      <c r="S84" s="1227">
        <v>0.0</v>
      </c>
      <c r="T84" s="1257">
        <v>0.0</v>
      </c>
      <c r="U84" s="738"/>
      <c r="V84" s="738"/>
      <c r="W84" s="738"/>
      <c r="X84" s="738"/>
      <c r="Y84" s="738"/>
      <c r="Z84" s="738"/>
      <c r="AA84" s="738"/>
      <c r="AB84" s="738"/>
      <c r="AC84" s="738"/>
      <c r="AD84" s="738"/>
      <c r="AE84" s="738"/>
      <c r="AF84" s="738"/>
      <c r="AG84" s="738"/>
      <c r="AH84" s="738"/>
      <c r="AI84" s="738"/>
      <c r="AJ84" s="738"/>
      <c r="AK84" s="738"/>
      <c r="AL84" s="738"/>
    </row>
    <row r="85">
      <c r="A85" s="738"/>
      <c r="B85" s="738"/>
      <c r="C85" s="738"/>
      <c r="D85" s="738"/>
      <c r="E85" s="738"/>
      <c r="F85" s="738"/>
      <c r="G85" s="738"/>
      <c r="H85" s="738"/>
      <c r="I85" s="738"/>
      <c r="J85" s="738"/>
      <c r="K85" s="738"/>
      <c r="L85" s="738"/>
      <c r="M85" s="738"/>
      <c r="N85" s="738"/>
      <c r="O85" s="738"/>
      <c r="P85" s="738"/>
      <c r="Q85" s="738"/>
      <c r="R85" s="738"/>
      <c r="S85" s="738"/>
      <c r="T85" s="738"/>
      <c r="U85" s="738"/>
      <c r="V85" s="738"/>
      <c r="W85" s="738"/>
      <c r="X85" s="738"/>
      <c r="Y85" s="738"/>
      <c r="Z85" s="738"/>
      <c r="AA85" s="738"/>
      <c r="AB85" s="738"/>
      <c r="AC85" s="738"/>
      <c r="AD85" s="738"/>
      <c r="AE85" s="738"/>
      <c r="AF85" s="738"/>
      <c r="AG85" s="738"/>
      <c r="AH85" s="738"/>
      <c r="AI85" s="738"/>
      <c r="AJ85" s="738"/>
      <c r="AK85" s="738"/>
      <c r="AL85" s="738"/>
    </row>
    <row r="86">
      <c r="A86" s="738"/>
      <c r="B86" s="738"/>
      <c r="C86" s="738"/>
      <c r="D86" s="738"/>
      <c r="E86" s="738"/>
      <c r="F86" s="738"/>
      <c r="G86" s="738"/>
      <c r="H86" s="738"/>
      <c r="I86" s="738"/>
      <c r="J86" s="738"/>
      <c r="K86" s="738"/>
      <c r="L86" s="738"/>
      <c r="M86" s="738"/>
      <c r="N86" s="738"/>
      <c r="O86" s="738"/>
      <c r="P86" s="738"/>
      <c r="Q86" s="738"/>
      <c r="R86" s="738"/>
      <c r="S86" s="738"/>
      <c r="T86" s="738"/>
      <c r="U86" s="738"/>
      <c r="V86" s="738"/>
      <c r="W86" s="738"/>
      <c r="X86" s="738"/>
      <c r="Y86" s="738"/>
      <c r="Z86" s="738"/>
      <c r="AA86" s="738"/>
      <c r="AB86" s="738"/>
      <c r="AC86" s="738"/>
      <c r="AD86" s="738"/>
      <c r="AE86" s="738"/>
      <c r="AF86" s="738"/>
      <c r="AG86" s="738"/>
      <c r="AH86" s="738"/>
      <c r="AI86" s="738"/>
      <c r="AJ86" s="738"/>
      <c r="AK86" s="738"/>
      <c r="AL86" s="738"/>
    </row>
    <row r="87">
      <c r="A87" s="738"/>
      <c r="B87" s="738"/>
      <c r="C87" s="738"/>
      <c r="D87" s="738"/>
      <c r="E87" s="738"/>
      <c r="F87" s="738"/>
      <c r="G87" s="738"/>
      <c r="H87" s="738"/>
      <c r="I87" s="738"/>
      <c r="J87" s="738"/>
      <c r="K87" s="738"/>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row>
    <row r="88">
      <c r="A88" s="738"/>
      <c r="B88" s="738"/>
      <c r="C88" s="738"/>
      <c r="D88" s="738"/>
      <c r="E88" s="738"/>
      <c r="F88" s="738"/>
      <c r="G88" s="738"/>
      <c r="H88" s="738"/>
      <c r="I88" s="738"/>
      <c r="J88" s="738"/>
      <c r="K88" s="738"/>
      <c r="L88" s="738"/>
      <c r="M88" s="738"/>
      <c r="N88" s="738"/>
      <c r="O88" s="738"/>
      <c r="P88" s="738"/>
      <c r="Q88" s="738"/>
      <c r="R88" s="738"/>
      <c r="S88" s="738"/>
      <c r="T88" s="738"/>
      <c r="U88" s="738"/>
      <c r="V88" s="738"/>
      <c r="W88" s="738"/>
      <c r="X88" s="738"/>
      <c r="Y88" s="738"/>
      <c r="Z88" s="738"/>
      <c r="AA88" s="738"/>
      <c r="AB88" s="738"/>
      <c r="AC88" s="738"/>
      <c r="AD88" s="738"/>
      <c r="AE88" s="738"/>
      <c r="AF88" s="738"/>
      <c r="AG88" s="738"/>
      <c r="AH88" s="738"/>
      <c r="AI88" s="738"/>
      <c r="AJ88" s="738"/>
      <c r="AK88" s="738"/>
      <c r="AL88" s="738"/>
    </row>
    <row r="89">
      <c r="A89" s="738"/>
      <c r="B89" s="738"/>
      <c r="C89" s="738"/>
      <c r="D89" s="738"/>
      <c r="E89" s="738"/>
      <c r="F89" s="738"/>
      <c r="G89" s="738"/>
      <c r="H89" s="738"/>
      <c r="I89" s="738"/>
      <c r="J89" s="738"/>
      <c r="K89" s="738"/>
      <c r="L89" s="738"/>
      <c r="M89" s="738"/>
      <c r="N89" s="738"/>
      <c r="O89" s="738"/>
      <c r="P89" s="738"/>
      <c r="Q89" s="738"/>
      <c r="R89" s="738"/>
      <c r="S89" s="738"/>
      <c r="T89" s="738"/>
      <c r="U89" s="738"/>
      <c r="V89" s="738"/>
      <c r="W89" s="738"/>
      <c r="X89" s="738"/>
      <c r="Y89" s="738"/>
      <c r="Z89" s="738"/>
      <c r="AA89" s="738"/>
      <c r="AB89" s="738"/>
      <c r="AC89" s="738"/>
      <c r="AD89" s="738"/>
      <c r="AE89" s="738"/>
      <c r="AF89" s="738"/>
      <c r="AG89" s="738"/>
      <c r="AH89" s="738"/>
      <c r="AI89" s="738"/>
      <c r="AJ89" s="738"/>
      <c r="AK89" s="738"/>
      <c r="AL89" s="738"/>
    </row>
    <row r="90">
      <c r="A90" s="738"/>
      <c r="B90" s="738"/>
      <c r="C90" s="738"/>
      <c r="D90" s="738"/>
      <c r="E90" s="738"/>
      <c r="F90" s="738"/>
      <c r="G90" s="738"/>
      <c r="H90" s="738"/>
      <c r="I90" s="738"/>
      <c r="J90" s="738"/>
      <c r="K90" s="738"/>
      <c r="L90" s="738"/>
      <c r="M90" s="738"/>
      <c r="N90" s="738"/>
      <c r="O90" s="738"/>
      <c r="P90" s="738"/>
      <c r="Q90" s="738"/>
      <c r="R90" s="738"/>
      <c r="S90" s="738"/>
      <c r="T90" s="738"/>
      <c r="U90" s="738"/>
      <c r="V90" s="738"/>
      <c r="W90" s="738"/>
      <c r="X90" s="738"/>
      <c r="Y90" s="738"/>
      <c r="Z90" s="738"/>
      <c r="AA90" s="738"/>
      <c r="AB90" s="738"/>
      <c r="AC90" s="738"/>
      <c r="AD90" s="738"/>
      <c r="AE90" s="738"/>
      <c r="AF90" s="738"/>
      <c r="AG90" s="738"/>
      <c r="AH90" s="738"/>
      <c r="AI90" s="738"/>
      <c r="AJ90" s="738"/>
      <c r="AK90" s="738"/>
      <c r="AL90" s="738"/>
    </row>
    <row r="91">
      <c r="A91" s="738"/>
      <c r="B91" s="738"/>
      <c r="C91" s="738"/>
      <c r="D91" s="738"/>
      <c r="E91" s="738"/>
      <c r="F91" s="738"/>
      <c r="G91" s="738"/>
      <c r="H91" s="738"/>
      <c r="I91" s="738"/>
      <c r="J91" s="738"/>
      <c r="K91" s="738"/>
      <c r="L91" s="738"/>
      <c r="M91" s="738"/>
      <c r="N91" s="738"/>
      <c r="O91" s="738"/>
      <c r="P91" s="738"/>
      <c r="Q91" s="738"/>
      <c r="R91" s="738"/>
      <c r="S91" s="738"/>
      <c r="T91" s="738"/>
      <c r="U91" s="738"/>
      <c r="V91" s="738"/>
      <c r="W91" s="738"/>
      <c r="X91" s="738"/>
      <c r="Y91" s="738"/>
      <c r="Z91" s="738"/>
      <c r="AA91" s="738"/>
      <c r="AB91" s="738"/>
      <c r="AC91" s="738"/>
      <c r="AD91" s="738"/>
      <c r="AE91" s="738"/>
      <c r="AF91" s="738"/>
      <c r="AG91" s="738"/>
      <c r="AH91" s="738"/>
      <c r="AI91" s="738"/>
      <c r="AJ91" s="738"/>
      <c r="AK91" s="738"/>
      <c r="AL91" s="738"/>
    </row>
    <row r="92">
      <c r="A92" s="738"/>
      <c r="B92" s="738"/>
      <c r="C92" s="738"/>
      <c r="D92" s="738"/>
      <c r="E92" s="738"/>
      <c r="F92" s="738"/>
      <c r="G92" s="738"/>
      <c r="H92" s="738"/>
      <c r="I92" s="738"/>
      <c r="J92" s="738"/>
      <c r="K92" s="738"/>
      <c r="L92" s="738"/>
      <c r="M92" s="738"/>
      <c r="N92" s="738"/>
      <c r="O92" s="738"/>
      <c r="P92" s="738"/>
      <c r="Q92" s="738"/>
      <c r="R92" s="738"/>
      <c r="S92" s="738"/>
      <c r="T92" s="738"/>
      <c r="U92" s="738"/>
      <c r="V92" s="738"/>
      <c r="W92" s="738"/>
      <c r="X92" s="738"/>
      <c r="Y92" s="738"/>
      <c r="Z92" s="738"/>
      <c r="AA92" s="738"/>
      <c r="AB92" s="738"/>
      <c r="AC92" s="738"/>
      <c r="AD92" s="738"/>
      <c r="AE92" s="738"/>
      <c r="AF92" s="738"/>
      <c r="AG92" s="738"/>
      <c r="AH92" s="738"/>
      <c r="AI92" s="738"/>
      <c r="AJ92" s="738"/>
      <c r="AK92" s="738"/>
      <c r="AL92" s="738"/>
    </row>
    <row r="93">
      <c r="A93" s="738"/>
      <c r="B93" s="738"/>
      <c r="C93" s="738"/>
      <c r="D93" s="738"/>
      <c r="E93" s="738"/>
      <c r="F93" s="738"/>
      <c r="G93" s="738"/>
      <c r="H93" s="738"/>
      <c r="I93" s="738"/>
      <c r="J93" s="738"/>
      <c r="K93" s="738"/>
      <c r="L93" s="738"/>
      <c r="M93" s="738"/>
      <c r="N93" s="738"/>
      <c r="O93" s="738"/>
      <c r="P93" s="738"/>
      <c r="Q93" s="738"/>
      <c r="R93" s="738"/>
      <c r="S93" s="738"/>
      <c r="T93" s="738"/>
      <c r="U93" s="738"/>
      <c r="V93" s="738"/>
      <c r="W93" s="738"/>
      <c r="X93" s="738"/>
      <c r="Y93" s="738"/>
      <c r="Z93" s="738"/>
      <c r="AA93" s="738"/>
      <c r="AB93" s="738"/>
      <c r="AC93" s="738"/>
      <c r="AD93" s="738"/>
      <c r="AE93" s="738"/>
      <c r="AF93" s="738"/>
      <c r="AG93" s="738"/>
      <c r="AH93" s="738"/>
      <c r="AI93" s="738"/>
      <c r="AJ93" s="738"/>
      <c r="AK93" s="738"/>
      <c r="AL93" s="738"/>
    </row>
    <row r="94">
      <c r="A94" s="738"/>
      <c r="B94" s="738"/>
      <c r="C94" s="738"/>
      <c r="D94" s="738"/>
      <c r="E94" s="738"/>
      <c r="F94" s="738"/>
      <c r="G94" s="738"/>
      <c r="H94" s="738"/>
      <c r="I94" s="738"/>
      <c r="J94" s="738"/>
      <c r="K94" s="738"/>
      <c r="L94" s="738"/>
      <c r="M94" s="738"/>
      <c r="N94" s="738"/>
      <c r="O94" s="738"/>
      <c r="P94" s="738"/>
      <c r="Q94" s="738"/>
      <c r="R94" s="738"/>
      <c r="S94" s="738"/>
      <c r="T94" s="738"/>
      <c r="U94" s="738"/>
      <c r="V94" s="738"/>
      <c r="W94" s="738"/>
      <c r="X94" s="738"/>
      <c r="Y94" s="738"/>
      <c r="Z94" s="738"/>
      <c r="AA94" s="738"/>
      <c r="AB94" s="738"/>
      <c r="AC94" s="738"/>
      <c r="AD94" s="738"/>
      <c r="AE94" s="738"/>
      <c r="AF94" s="738"/>
      <c r="AG94" s="738"/>
      <c r="AH94" s="738"/>
      <c r="AI94" s="738"/>
      <c r="AJ94" s="738"/>
      <c r="AK94" s="738"/>
      <c r="AL94" s="738"/>
    </row>
    <row r="95">
      <c r="A95" s="738"/>
      <c r="B95" s="738"/>
      <c r="C95" s="738"/>
      <c r="D95" s="738"/>
      <c r="E95" s="738"/>
      <c r="F95" s="738"/>
      <c r="G95" s="738"/>
      <c r="H95" s="738"/>
      <c r="I95" s="738"/>
      <c r="J95" s="738"/>
      <c r="K95" s="738"/>
      <c r="L95" s="738"/>
      <c r="M95" s="738"/>
      <c r="N95" s="738"/>
      <c r="O95" s="738"/>
      <c r="P95" s="738"/>
      <c r="Q95" s="738"/>
      <c r="R95" s="738"/>
      <c r="S95" s="738"/>
      <c r="T95" s="738"/>
      <c r="U95" s="738"/>
      <c r="V95" s="738"/>
      <c r="W95" s="738"/>
      <c r="X95" s="738"/>
      <c r="Y95" s="738"/>
      <c r="Z95" s="738"/>
      <c r="AA95" s="738"/>
      <c r="AB95" s="738"/>
      <c r="AC95" s="738"/>
      <c r="AD95" s="738"/>
      <c r="AE95" s="738"/>
      <c r="AF95" s="738"/>
      <c r="AG95" s="738"/>
      <c r="AH95" s="738"/>
      <c r="AI95" s="738"/>
      <c r="AJ95" s="738"/>
      <c r="AK95" s="738"/>
      <c r="AL95" s="738"/>
    </row>
    <row r="96">
      <c r="A96" s="738"/>
      <c r="B96" s="738"/>
      <c r="C96" s="738"/>
      <c r="D96" s="738"/>
      <c r="E96" s="738"/>
      <c r="F96" s="738"/>
      <c r="G96" s="738"/>
      <c r="H96" s="738"/>
      <c r="I96" s="738"/>
      <c r="J96" s="738"/>
      <c r="K96" s="738"/>
      <c r="L96" s="738"/>
      <c r="M96" s="738"/>
      <c r="N96" s="738"/>
      <c r="O96" s="738"/>
      <c r="P96" s="738"/>
      <c r="Q96" s="738"/>
      <c r="R96" s="738"/>
      <c r="S96" s="738"/>
      <c r="T96" s="738"/>
      <c r="U96" s="738"/>
      <c r="V96" s="738"/>
      <c r="W96" s="738"/>
      <c r="X96" s="738"/>
      <c r="Y96" s="738"/>
      <c r="Z96" s="738"/>
      <c r="AA96" s="738"/>
      <c r="AB96" s="738"/>
      <c r="AC96" s="738"/>
      <c r="AD96" s="738"/>
      <c r="AE96" s="738"/>
      <c r="AF96" s="738"/>
      <c r="AG96" s="738"/>
      <c r="AH96" s="738"/>
      <c r="AI96" s="738"/>
      <c r="AJ96" s="738"/>
      <c r="AK96" s="738"/>
      <c r="AL96" s="738"/>
    </row>
    <row r="97">
      <c r="A97" s="738"/>
      <c r="B97" s="738"/>
      <c r="C97" s="738"/>
      <c r="D97" s="738"/>
      <c r="E97" s="738"/>
      <c r="F97" s="738"/>
      <c r="G97" s="738"/>
      <c r="H97" s="738"/>
      <c r="I97" s="738"/>
      <c r="J97" s="738"/>
      <c r="K97" s="738"/>
      <c r="L97" s="738"/>
      <c r="M97" s="738"/>
      <c r="N97" s="738"/>
      <c r="O97" s="738"/>
      <c r="P97" s="738"/>
      <c r="Q97" s="738"/>
      <c r="R97" s="738"/>
      <c r="S97" s="738"/>
      <c r="T97" s="738"/>
      <c r="U97" s="738"/>
      <c r="V97" s="738"/>
      <c r="W97" s="738"/>
      <c r="X97" s="738"/>
      <c r="Y97" s="738"/>
      <c r="Z97" s="738"/>
      <c r="AA97" s="738"/>
      <c r="AB97" s="738"/>
      <c r="AC97" s="738"/>
      <c r="AD97" s="738"/>
      <c r="AE97" s="738"/>
      <c r="AF97" s="738"/>
      <c r="AG97" s="738"/>
      <c r="AH97" s="738"/>
      <c r="AI97" s="738"/>
      <c r="AJ97" s="738"/>
      <c r="AK97" s="738"/>
      <c r="AL97" s="738"/>
    </row>
    <row r="98">
      <c r="A98" s="738"/>
      <c r="B98" s="738"/>
      <c r="C98" s="738"/>
      <c r="D98" s="738"/>
      <c r="E98" s="738"/>
      <c r="F98" s="738"/>
      <c r="G98" s="738"/>
      <c r="H98" s="738"/>
      <c r="I98" s="738"/>
      <c r="J98" s="738"/>
      <c r="K98" s="738"/>
      <c r="L98" s="738"/>
      <c r="M98" s="738"/>
      <c r="N98" s="738"/>
      <c r="O98" s="738"/>
      <c r="P98" s="738"/>
      <c r="Q98" s="738"/>
      <c r="R98" s="738"/>
      <c r="S98" s="738"/>
      <c r="T98" s="738"/>
      <c r="U98" s="738"/>
      <c r="V98" s="738"/>
      <c r="W98" s="738"/>
      <c r="X98" s="738"/>
      <c r="Y98" s="738"/>
      <c r="Z98" s="738"/>
      <c r="AA98" s="738"/>
      <c r="AB98" s="738"/>
      <c r="AC98" s="738"/>
      <c r="AD98" s="738"/>
      <c r="AE98" s="738"/>
      <c r="AF98" s="738"/>
      <c r="AG98" s="738"/>
      <c r="AH98" s="738"/>
      <c r="AI98" s="738"/>
      <c r="AJ98" s="738"/>
      <c r="AK98" s="738"/>
      <c r="AL98" s="738"/>
    </row>
    <row r="99">
      <c r="A99" s="738"/>
      <c r="B99" s="738"/>
      <c r="C99" s="738"/>
      <c r="D99" s="738"/>
      <c r="E99" s="738"/>
      <c r="F99" s="738"/>
      <c r="G99" s="738"/>
      <c r="H99" s="738"/>
      <c r="I99" s="738"/>
      <c r="J99" s="738"/>
      <c r="K99" s="738"/>
      <c r="L99" s="738"/>
      <c r="M99" s="738"/>
      <c r="N99" s="738"/>
      <c r="O99" s="738"/>
      <c r="P99" s="738"/>
      <c r="Q99" s="738"/>
      <c r="R99" s="738"/>
      <c r="S99" s="738"/>
      <c r="T99" s="738"/>
      <c r="U99" s="738"/>
      <c r="V99" s="738"/>
      <c r="W99" s="738"/>
      <c r="X99" s="738"/>
      <c r="Y99" s="738"/>
      <c r="Z99" s="738"/>
      <c r="AA99" s="738"/>
      <c r="AB99" s="738"/>
      <c r="AC99" s="738"/>
      <c r="AD99" s="738"/>
      <c r="AE99" s="738"/>
      <c r="AF99" s="738"/>
      <c r="AG99" s="738"/>
      <c r="AH99" s="738"/>
      <c r="AI99" s="738"/>
      <c r="AJ99" s="738"/>
      <c r="AK99" s="738"/>
      <c r="AL99" s="738"/>
    </row>
    <row r="100">
      <c r="A100" s="738"/>
      <c r="B100" s="738"/>
      <c r="C100" s="738"/>
      <c r="D100" s="738"/>
      <c r="E100" s="738"/>
      <c r="F100" s="738"/>
      <c r="G100" s="738"/>
      <c r="H100" s="738"/>
      <c r="I100" s="738"/>
      <c r="J100" s="738"/>
      <c r="K100" s="738"/>
      <c r="L100" s="738"/>
      <c r="M100" s="738"/>
      <c r="N100" s="738"/>
      <c r="O100" s="738"/>
      <c r="P100" s="738"/>
      <c r="Q100" s="738"/>
      <c r="R100" s="738"/>
      <c r="S100" s="738"/>
      <c r="T100" s="738"/>
      <c r="U100" s="738"/>
      <c r="V100" s="738"/>
      <c r="W100" s="738"/>
      <c r="X100" s="738"/>
      <c r="Y100" s="738"/>
      <c r="Z100" s="738"/>
      <c r="AA100" s="738"/>
      <c r="AB100" s="738"/>
      <c r="AC100" s="738"/>
      <c r="AD100" s="738"/>
      <c r="AE100" s="738"/>
      <c r="AF100" s="738"/>
      <c r="AG100" s="738"/>
      <c r="AH100" s="738"/>
      <c r="AI100" s="738"/>
      <c r="AJ100" s="738"/>
      <c r="AK100" s="738"/>
      <c r="AL100" s="738"/>
    </row>
    <row r="101">
      <c r="A101" s="738"/>
      <c r="B101" s="738"/>
      <c r="C101" s="738"/>
      <c r="D101" s="738"/>
      <c r="E101" s="738"/>
      <c r="F101" s="738"/>
      <c r="G101" s="738"/>
      <c r="H101" s="738"/>
      <c r="I101" s="738"/>
      <c r="J101" s="738"/>
      <c r="K101" s="738"/>
      <c r="L101" s="738"/>
      <c r="M101" s="738"/>
      <c r="N101" s="738"/>
      <c r="O101" s="738"/>
      <c r="P101" s="738"/>
      <c r="Q101" s="738"/>
      <c r="R101" s="738"/>
      <c r="S101" s="738"/>
      <c r="T101" s="738"/>
      <c r="U101" s="738"/>
      <c r="V101" s="738"/>
      <c r="W101" s="738"/>
      <c r="X101" s="738"/>
      <c r="Y101" s="738"/>
      <c r="Z101" s="738"/>
      <c r="AA101" s="738"/>
      <c r="AB101" s="738"/>
      <c r="AC101" s="738"/>
      <c r="AD101" s="738"/>
      <c r="AE101" s="738"/>
      <c r="AF101" s="738"/>
      <c r="AG101" s="738"/>
      <c r="AH101" s="738"/>
      <c r="AI101" s="738"/>
      <c r="AJ101" s="738"/>
      <c r="AK101" s="738"/>
      <c r="AL101" s="738"/>
    </row>
    <row r="102">
      <c r="A102" s="738"/>
      <c r="B102" s="738"/>
      <c r="C102" s="738"/>
      <c r="D102" s="738"/>
      <c r="E102" s="738"/>
      <c r="F102" s="738"/>
      <c r="G102" s="738"/>
      <c r="H102" s="738"/>
      <c r="I102" s="738"/>
      <c r="J102" s="738"/>
      <c r="K102" s="738"/>
      <c r="L102" s="738"/>
      <c r="M102" s="738"/>
      <c r="N102" s="738"/>
      <c r="O102" s="738"/>
      <c r="P102" s="738"/>
      <c r="Q102" s="738"/>
      <c r="R102" s="738"/>
      <c r="S102" s="738"/>
      <c r="T102" s="738"/>
      <c r="U102" s="738"/>
      <c r="V102" s="738"/>
      <c r="W102" s="738"/>
      <c r="X102" s="738"/>
      <c r="Y102" s="738"/>
      <c r="Z102" s="738"/>
      <c r="AA102" s="738"/>
      <c r="AB102" s="738"/>
      <c r="AC102" s="738"/>
      <c r="AD102" s="738"/>
      <c r="AE102" s="738"/>
      <c r="AF102" s="738"/>
      <c r="AG102" s="738"/>
      <c r="AH102" s="738"/>
      <c r="AI102" s="738"/>
      <c r="AJ102" s="738"/>
      <c r="AK102" s="738"/>
      <c r="AL102" s="738"/>
    </row>
    <row r="103">
      <c r="A103" s="738"/>
      <c r="B103" s="738"/>
      <c r="C103" s="738"/>
      <c r="D103" s="738"/>
      <c r="E103" s="738"/>
      <c r="F103" s="738"/>
      <c r="G103" s="738"/>
      <c r="H103" s="738"/>
      <c r="I103" s="738"/>
      <c r="J103" s="738"/>
      <c r="K103" s="738"/>
      <c r="L103" s="738"/>
      <c r="M103" s="738"/>
      <c r="N103" s="738"/>
      <c r="O103" s="738"/>
      <c r="P103" s="738"/>
      <c r="Q103" s="738"/>
      <c r="R103" s="738"/>
      <c r="S103" s="738"/>
      <c r="T103" s="738"/>
      <c r="U103" s="738"/>
      <c r="V103" s="738"/>
      <c r="W103" s="738"/>
      <c r="X103" s="738"/>
      <c r="Y103" s="738"/>
      <c r="Z103" s="738"/>
      <c r="AA103" s="738"/>
      <c r="AB103" s="738"/>
      <c r="AC103" s="738"/>
      <c r="AD103" s="738"/>
      <c r="AE103" s="738"/>
      <c r="AF103" s="738"/>
      <c r="AG103" s="738"/>
      <c r="AH103" s="738"/>
      <c r="AI103" s="738"/>
      <c r="AJ103" s="738"/>
      <c r="AK103" s="738"/>
      <c r="AL103" s="738"/>
    </row>
    <row r="104">
      <c r="A104" s="738"/>
      <c r="B104" s="738"/>
      <c r="C104" s="738"/>
      <c r="D104" s="738"/>
      <c r="E104" s="738"/>
      <c r="F104" s="738"/>
      <c r="G104" s="738"/>
      <c r="H104" s="738"/>
      <c r="I104" s="738"/>
      <c r="J104" s="738"/>
      <c r="K104" s="738"/>
      <c r="L104" s="738"/>
      <c r="M104" s="738"/>
      <c r="N104" s="738"/>
      <c r="O104" s="738"/>
      <c r="P104" s="738"/>
      <c r="Q104" s="738"/>
      <c r="R104" s="738"/>
      <c r="S104" s="738"/>
      <c r="T104" s="738"/>
      <c r="U104" s="738"/>
      <c r="V104" s="738"/>
      <c r="W104" s="738"/>
      <c r="X104" s="738"/>
      <c r="Y104" s="738"/>
      <c r="Z104" s="738"/>
      <c r="AA104" s="738"/>
      <c r="AB104" s="738"/>
      <c r="AC104" s="738"/>
      <c r="AD104" s="738"/>
      <c r="AE104" s="738"/>
      <c r="AF104" s="738"/>
      <c r="AG104" s="738"/>
      <c r="AH104" s="738"/>
      <c r="AI104" s="738"/>
      <c r="AJ104" s="738"/>
      <c r="AK104" s="738"/>
      <c r="AL104" s="738"/>
    </row>
    <row r="105">
      <c r="A105" s="738"/>
      <c r="B105" s="738"/>
      <c r="C105" s="738"/>
      <c r="D105" s="738"/>
      <c r="E105" s="738"/>
      <c r="F105" s="738"/>
      <c r="G105" s="738"/>
      <c r="H105" s="738"/>
      <c r="I105" s="738"/>
      <c r="J105" s="738"/>
      <c r="K105" s="738"/>
      <c r="L105" s="738"/>
      <c r="M105" s="738"/>
      <c r="N105" s="738"/>
      <c r="O105" s="738"/>
      <c r="P105" s="738"/>
      <c r="Q105" s="738"/>
      <c r="R105" s="738"/>
      <c r="S105" s="738"/>
      <c r="T105" s="738"/>
      <c r="U105" s="738"/>
      <c r="V105" s="738"/>
      <c r="W105" s="738"/>
      <c r="X105" s="738"/>
      <c r="Y105" s="738"/>
      <c r="Z105" s="738"/>
      <c r="AA105" s="738"/>
      <c r="AB105" s="738"/>
      <c r="AC105" s="738"/>
      <c r="AD105" s="738"/>
      <c r="AE105" s="738"/>
      <c r="AF105" s="738"/>
      <c r="AG105" s="738"/>
      <c r="AH105" s="738"/>
      <c r="AI105" s="738"/>
      <c r="AJ105" s="738"/>
      <c r="AK105" s="738"/>
      <c r="AL105" s="738"/>
    </row>
    <row r="106">
      <c r="A106" s="738"/>
      <c r="B106" s="738"/>
      <c r="C106" s="738"/>
      <c r="D106" s="738"/>
      <c r="E106" s="738"/>
      <c r="F106" s="738"/>
      <c r="G106" s="738"/>
      <c r="H106" s="738"/>
      <c r="I106" s="738"/>
      <c r="J106" s="738"/>
      <c r="K106" s="738"/>
      <c r="L106" s="738"/>
      <c r="M106" s="738"/>
      <c r="N106" s="738"/>
      <c r="O106" s="738"/>
      <c r="P106" s="738"/>
      <c r="Q106" s="738"/>
      <c r="R106" s="738"/>
      <c r="S106" s="738"/>
      <c r="T106" s="738"/>
      <c r="U106" s="738"/>
      <c r="V106" s="738"/>
      <c r="W106" s="738"/>
      <c r="X106" s="738"/>
      <c r="Y106" s="738"/>
      <c r="Z106" s="738"/>
      <c r="AA106" s="738"/>
      <c r="AB106" s="738"/>
      <c r="AC106" s="738"/>
      <c r="AD106" s="738"/>
      <c r="AE106" s="738"/>
      <c r="AF106" s="738"/>
      <c r="AG106" s="738"/>
      <c r="AH106" s="738"/>
      <c r="AI106" s="738"/>
      <c r="AJ106" s="738"/>
      <c r="AK106" s="738"/>
      <c r="AL106" s="738"/>
    </row>
    <row r="107">
      <c r="A107" s="738"/>
      <c r="B107" s="738"/>
      <c r="C107" s="738"/>
      <c r="D107" s="738"/>
      <c r="E107" s="738"/>
      <c r="F107" s="738"/>
      <c r="G107" s="738"/>
      <c r="H107" s="738"/>
      <c r="I107" s="738"/>
      <c r="J107" s="738"/>
      <c r="K107" s="738"/>
      <c r="L107" s="738"/>
      <c r="M107" s="738"/>
      <c r="N107" s="738"/>
      <c r="O107" s="738"/>
      <c r="P107" s="738"/>
      <c r="Q107" s="738"/>
      <c r="R107" s="738"/>
      <c r="S107" s="738"/>
      <c r="T107" s="738"/>
      <c r="U107" s="738"/>
      <c r="V107" s="738"/>
      <c r="W107" s="738"/>
      <c r="X107" s="738"/>
      <c r="Y107" s="738"/>
      <c r="Z107" s="738"/>
      <c r="AA107" s="738"/>
      <c r="AB107" s="738"/>
      <c r="AC107" s="738"/>
      <c r="AD107" s="738"/>
      <c r="AE107" s="738"/>
      <c r="AF107" s="738"/>
      <c r="AG107" s="738"/>
      <c r="AH107" s="738"/>
      <c r="AI107" s="738"/>
      <c r="AJ107" s="738"/>
      <c r="AK107" s="738"/>
      <c r="AL107" s="738"/>
    </row>
    <row r="108">
      <c r="A108" s="738"/>
      <c r="B108" s="738"/>
      <c r="C108" s="738"/>
      <c r="D108" s="738"/>
      <c r="E108" s="738"/>
      <c r="F108" s="738"/>
      <c r="G108" s="738"/>
      <c r="H108" s="738"/>
      <c r="I108" s="738"/>
      <c r="J108" s="738"/>
      <c r="K108" s="738"/>
      <c r="L108" s="738"/>
      <c r="M108" s="738"/>
      <c r="N108" s="738"/>
      <c r="O108" s="738"/>
      <c r="P108" s="738"/>
      <c r="Q108" s="738"/>
      <c r="R108" s="738"/>
      <c r="S108" s="738"/>
      <c r="T108" s="738"/>
      <c r="U108" s="738"/>
      <c r="V108" s="738"/>
      <c r="W108" s="738"/>
      <c r="X108" s="738"/>
      <c r="Y108" s="738"/>
      <c r="Z108" s="738"/>
      <c r="AA108" s="738"/>
      <c r="AB108" s="738"/>
      <c r="AC108" s="738"/>
      <c r="AD108" s="738"/>
      <c r="AE108" s="738"/>
      <c r="AF108" s="738"/>
      <c r="AG108" s="738"/>
      <c r="AH108" s="738"/>
      <c r="AI108" s="738"/>
      <c r="AJ108" s="738"/>
      <c r="AK108" s="738"/>
      <c r="AL108" s="738"/>
    </row>
    <row r="109">
      <c r="A109" s="738"/>
      <c r="B109" s="738"/>
      <c r="C109" s="738"/>
      <c r="D109" s="738"/>
      <c r="E109" s="738"/>
      <c r="F109" s="738"/>
      <c r="G109" s="738"/>
      <c r="H109" s="738"/>
      <c r="I109" s="738"/>
      <c r="J109" s="738"/>
      <c r="K109" s="738"/>
      <c r="L109" s="738"/>
      <c r="M109" s="738"/>
      <c r="N109" s="738"/>
      <c r="O109" s="738"/>
      <c r="P109" s="738"/>
      <c r="Q109" s="738"/>
      <c r="R109" s="738"/>
      <c r="S109" s="738"/>
      <c r="T109" s="738"/>
      <c r="U109" s="738"/>
      <c r="V109" s="738"/>
      <c r="W109" s="738"/>
      <c r="X109" s="738"/>
      <c r="Y109" s="738"/>
      <c r="Z109" s="738"/>
      <c r="AA109" s="738"/>
      <c r="AB109" s="738"/>
      <c r="AC109" s="738"/>
      <c r="AD109" s="738"/>
      <c r="AE109" s="738"/>
      <c r="AF109" s="738"/>
      <c r="AG109" s="738"/>
      <c r="AH109" s="738"/>
      <c r="AI109" s="738"/>
      <c r="AJ109" s="738"/>
      <c r="AK109" s="738"/>
      <c r="AL109" s="738"/>
    </row>
    <row r="110">
      <c r="A110" s="738"/>
      <c r="B110" s="738"/>
      <c r="C110" s="738"/>
      <c r="D110" s="738"/>
      <c r="E110" s="738"/>
      <c r="F110" s="738"/>
      <c r="G110" s="738"/>
      <c r="H110" s="738"/>
      <c r="I110" s="738"/>
      <c r="J110" s="738"/>
      <c r="K110" s="738"/>
      <c r="L110" s="738"/>
      <c r="M110" s="738"/>
      <c r="N110" s="738"/>
      <c r="O110" s="738"/>
      <c r="P110" s="738"/>
      <c r="Q110" s="738"/>
      <c r="R110" s="738"/>
      <c r="S110" s="738"/>
      <c r="T110" s="738"/>
      <c r="U110" s="738"/>
      <c r="V110" s="738"/>
      <c r="W110" s="738"/>
      <c r="X110" s="738"/>
      <c r="Y110" s="738"/>
      <c r="Z110" s="738"/>
      <c r="AA110" s="738"/>
      <c r="AB110" s="738"/>
      <c r="AC110" s="738"/>
      <c r="AD110" s="738"/>
      <c r="AE110" s="738"/>
      <c r="AF110" s="738"/>
      <c r="AG110" s="738"/>
      <c r="AH110" s="738"/>
      <c r="AI110" s="738"/>
      <c r="AJ110" s="738"/>
      <c r="AK110" s="738"/>
      <c r="AL110" s="738"/>
    </row>
    <row r="111">
      <c r="A111" s="738"/>
      <c r="B111" s="738"/>
      <c r="C111" s="738"/>
      <c r="D111" s="738"/>
      <c r="E111" s="738"/>
      <c r="F111" s="738"/>
      <c r="G111" s="738"/>
      <c r="H111" s="738"/>
      <c r="I111" s="738"/>
      <c r="J111" s="738"/>
      <c r="K111" s="738"/>
      <c r="L111" s="738"/>
      <c r="M111" s="738"/>
      <c r="N111" s="738"/>
      <c r="O111" s="738"/>
      <c r="P111" s="738"/>
      <c r="Q111" s="738"/>
      <c r="R111" s="738"/>
      <c r="S111" s="738"/>
      <c r="T111" s="738"/>
      <c r="U111" s="738"/>
      <c r="V111" s="738"/>
      <c r="W111" s="738"/>
      <c r="X111" s="738"/>
      <c r="Y111" s="738"/>
      <c r="Z111" s="738"/>
      <c r="AA111" s="738"/>
      <c r="AB111" s="738"/>
      <c r="AC111" s="738"/>
      <c r="AD111" s="738"/>
      <c r="AE111" s="738"/>
      <c r="AF111" s="738"/>
      <c r="AG111" s="738"/>
      <c r="AH111" s="738"/>
      <c r="AI111" s="738"/>
      <c r="AJ111" s="738"/>
      <c r="AK111" s="738"/>
      <c r="AL111" s="738"/>
    </row>
    <row r="112">
      <c r="A112" s="738"/>
      <c r="B112" s="738"/>
      <c r="C112" s="738"/>
      <c r="D112" s="738"/>
      <c r="E112" s="738"/>
      <c r="F112" s="738"/>
      <c r="G112" s="738"/>
      <c r="H112" s="738"/>
      <c r="I112" s="738"/>
      <c r="J112" s="738"/>
      <c r="K112" s="738"/>
      <c r="L112" s="738"/>
      <c r="M112" s="738"/>
      <c r="N112" s="738"/>
      <c r="O112" s="738"/>
      <c r="P112" s="738"/>
      <c r="Q112" s="738"/>
      <c r="R112" s="738"/>
      <c r="S112" s="738"/>
      <c r="T112" s="738"/>
      <c r="U112" s="738"/>
      <c r="V112" s="738"/>
      <c r="W112" s="738"/>
      <c r="X112" s="738"/>
      <c r="Y112" s="738"/>
      <c r="Z112" s="738"/>
      <c r="AA112" s="738"/>
      <c r="AB112" s="738"/>
      <c r="AC112" s="738"/>
      <c r="AD112" s="738"/>
      <c r="AE112" s="738"/>
      <c r="AF112" s="738"/>
      <c r="AG112" s="738"/>
      <c r="AH112" s="738"/>
      <c r="AI112" s="738"/>
      <c r="AJ112" s="738"/>
      <c r="AK112" s="738"/>
      <c r="AL112" s="738"/>
    </row>
    <row r="113">
      <c r="A113" s="738"/>
      <c r="B113" s="738"/>
      <c r="C113" s="738"/>
      <c r="D113" s="738"/>
      <c r="E113" s="738"/>
      <c r="F113" s="738"/>
      <c r="G113" s="738"/>
      <c r="H113" s="738"/>
      <c r="I113" s="738"/>
      <c r="J113" s="738"/>
      <c r="K113" s="738"/>
      <c r="L113" s="738"/>
      <c r="M113" s="738"/>
      <c r="N113" s="738"/>
      <c r="O113" s="738"/>
      <c r="P113" s="738"/>
      <c r="Q113" s="738"/>
      <c r="R113" s="738"/>
      <c r="S113" s="738"/>
      <c r="T113" s="738"/>
      <c r="U113" s="738"/>
      <c r="V113" s="738"/>
      <c r="W113" s="738"/>
      <c r="X113" s="738"/>
      <c r="Y113" s="738"/>
      <c r="Z113" s="738"/>
      <c r="AA113" s="738"/>
      <c r="AB113" s="738"/>
      <c r="AC113" s="738"/>
      <c r="AD113" s="738"/>
      <c r="AE113" s="738"/>
      <c r="AF113" s="738"/>
      <c r="AG113" s="738"/>
      <c r="AH113" s="738"/>
      <c r="AI113" s="738"/>
      <c r="AJ113" s="738"/>
      <c r="AK113" s="738"/>
      <c r="AL113" s="738"/>
    </row>
    <row r="114">
      <c r="A114" s="738"/>
      <c r="B114" s="738"/>
      <c r="C114" s="738"/>
      <c r="D114" s="738"/>
      <c r="E114" s="738"/>
      <c r="F114" s="738"/>
      <c r="G114" s="738"/>
      <c r="H114" s="738"/>
      <c r="I114" s="738"/>
      <c r="J114" s="738"/>
      <c r="K114" s="738"/>
      <c r="L114" s="738"/>
      <c r="M114" s="738"/>
      <c r="N114" s="738"/>
      <c r="O114" s="738"/>
      <c r="P114" s="738"/>
      <c r="Q114" s="738"/>
      <c r="R114" s="738"/>
      <c r="S114" s="738"/>
      <c r="T114" s="738"/>
      <c r="U114" s="738"/>
      <c r="V114" s="738"/>
      <c r="W114" s="738"/>
      <c r="X114" s="738"/>
      <c r="Y114" s="738"/>
      <c r="Z114" s="738"/>
      <c r="AA114" s="738"/>
      <c r="AB114" s="738"/>
      <c r="AC114" s="738"/>
      <c r="AD114" s="738"/>
      <c r="AE114" s="738"/>
      <c r="AF114" s="738"/>
      <c r="AG114" s="738"/>
      <c r="AH114" s="738"/>
      <c r="AI114" s="738"/>
      <c r="AJ114" s="738"/>
      <c r="AK114" s="738"/>
      <c r="AL114" s="738"/>
    </row>
    <row r="115">
      <c r="A115" s="738"/>
      <c r="B115" s="738"/>
      <c r="C115" s="738"/>
      <c r="D115" s="738"/>
      <c r="E115" s="738"/>
      <c r="F115" s="738"/>
      <c r="G115" s="738"/>
      <c r="H115" s="738"/>
      <c r="I115" s="738"/>
      <c r="J115" s="738"/>
      <c r="K115" s="738"/>
      <c r="L115" s="738"/>
      <c r="M115" s="738"/>
      <c r="N115" s="738"/>
      <c r="O115" s="738"/>
      <c r="P115" s="738"/>
      <c r="Q115" s="738"/>
      <c r="R115" s="738"/>
      <c r="S115" s="738"/>
      <c r="T115" s="738"/>
      <c r="U115" s="738"/>
      <c r="V115" s="738"/>
      <c r="W115" s="738"/>
      <c r="X115" s="738"/>
      <c r="Y115" s="738"/>
      <c r="Z115" s="738"/>
      <c r="AA115" s="738"/>
      <c r="AB115" s="738"/>
      <c r="AC115" s="738"/>
      <c r="AD115" s="738"/>
      <c r="AE115" s="738"/>
      <c r="AF115" s="738"/>
      <c r="AG115" s="738"/>
      <c r="AH115" s="738"/>
      <c r="AI115" s="738"/>
      <c r="AJ115" s="738"/>
      <c r="AK115" s="738"/>
      <c r="AL115" s="738"/>
    </row>
    <row r="116">
      <c r="A116" s="738"/>
      <c r="B116" s="738"/>
      <c r="C116" s="738"/>
      <c r="D116" s="738"/>
      <c r="E116" s="738"/>
      <c r="F116" s="738"/>
      <c r="G116" s="738"/>
      <c r="H116" s="738"/>
      <c r="I116" s="738"/>
      <c r="J116" s="738"/>
      <c r="K116" s="738"/>
      <c r="L116" s="738"/>
      <c r="M116" s="738"/>
      <c r="N116" s="738"/>
      <c r="O116" s="738"/>
      <c r="P116" s="738"/>
      <c r="Q116" s="738"/>
      <c r="R116" s="738"/>
      <c r="S116" s="738"/>
      <c r="T116" s="738"/>
      <c r="U116" s="738"/>
      <c r="V116" s="738"/>
      <c r="W116" s="738"/>
      <c r="X116" s="738"/>
      <c r="Y116" s="738"/>
      <c r="Z116" s="738"/>
      <c r="AA116" s="738"/>
      <c r="AB116" s="738"/>
      <c r="AC116" s="738"/>
      <c r="AD116" s="738"/>
      <c r="AE116" s="738"/>
      <c r="AF116" s="738"/>
      <c r="AG116" s="738"/>
      <c r="AH116" s="738"/>
      <c r="AI116" s="738"/>
      <c r="AJ116" s="738"/>
      <c r="AK116" s="738"/>
      <c r="AL116" s="738"/>
    </row>
    <row r="117">
      <c r="A117" s="738"/>
      <c r="B117" s="738"/>
      <c r="C117" s="738"/>
      <c r="D117" s="738"/>
      <c r="E117" s="738"/>
      <c r="F117" s="738"/>
      <c r="G117" s="738"/>
      <c r="H117" s="738"/>
      <c r="I117" s="738"/>
      <c r="J117" s="738"/>
      <c r="K117" s="738"/>
      <c r="L117" s="738"/>
      <c r="M117" s="738"/>
      <c r="N117" s="738"/>
      <c r="O117" s="738"/>
      <c r="P117" s="738"/>
      <c r="Q117" s="738"/>
      <c r="R117" s="738"/>
      <c r="S117" s="738"/>
      <c r="T117" s="738"/>
      <c r="U117" s="738"/>
      <c r="V117" s="738"/>
      <c r="W117" s="738"/>
      <c r="X117" s="738"/>
      <c r="Y117" s="738"/>
      <c r="Z117" s="738"/>
      <c r="AA117" s="738"/>
      <c r="AB117" s="738"/>
      <c r="AC117" s="738"/>
      <c r="AD117" s="738"/>
      <c r="AE117" s="738"/>
      <c r="AF117" s="738"/>
      <c r="AG117" s="738"/>
      <c r="AH117" s="738"/>
      <c r="AI117" s="738"/>
      <c r="AJ117" s="738"/>
      <c r="AK117" s="738"/>
      <c r="AL117" s="738"/>
    </row>
    <row r="118">
      <c r="A118" s="738"/>
      <c r="B118" s="738"/>
      <c r="C118" s="738"/>
      <c r="D118" s="738"/>
      <c r="E118" s="738"/>
      <c r="F118" s="738"/>
      <c r="G118" s="738"/>
      <c r="H118" s="738"/>
      <c r="I118" s="738"/>
      <c r="J118" s="738"/>
      <c r="K118" s="738"/>
      <c r="L118" s="738"/>
      <c r="M118" s="738"/>
      <c r="N118" s="738"/>
      <c r="O118" s="738"/>
      <c r="P118" s="738"/>
      <c r="Q118" s="738"/>
      <c r="R118" s="738"/>
      <c r="S118" s="738"/>
      <c r="T118" s="738"/>
      <c r="U118" s="738"/>
      <c r="V118" s="738"/>
      <c r="W118" s="738"/>
      <c r="X118" s="738"/>
      <c r="Y118" s="738"/>
      <c r="Z118" s="738"/>
      <c r="AA118" s="738"/>
      <c r="AB118" s="738"/>
      <c r="AC118" s="738"/>
      <c r="AD118" s="738"/>
      <c r="AE118" s="738"/>
      <c r="AF118" s="738"/>
      <c r="AG118" s="738"/>
      <c r="AH118" s="738"/>
      <c r="AI118" s="738"/>
      <c r="AJ118" s="738"/>
      <c r="AK118" s="738"/>
      <c r="AL118" s="738"/>
    </row>
    <row r="119">
      <c r="A119" s="738"/>
      <c r="B119" s="738"/>
      <c r="C119" s="738"/>
      <c r="D119" s="738"/>
      <c r="E119" s="738"/>
      <c r="F119" s="738"/>
      <c r="G119" s="738"/>
      <c r="H119" s="738"/>
      <c r="I119" s="738"/>
      <c r="J119" s="738"/>
      <c r="K119" s="738"/>
      <c r="L119" s="738"/>
      <c r="M119" s="738"/>
      <c r="N119" s="738"/>
      <c r="O119" s="738"/>
      <c r="P119" s="738"/>
      <c r="Q119" s="738"/>
      <c r="R119" s="738"/>
      <c r="S119" s="738"/>
      <c r="T119" s="738"/>
      <c r="U119" s="738"/>
      <c r="V119" s="738"/>
      <c r="W119" s="738"/>
      <c r="X119" s="738"/>
      <c r="Y119" s="738"/>
      <c r="Z119" s="738"/>
      <c r="AA119" s="738"/>
      <c r="AB119" s="738"/>
      <c r="AC119" s="738"/>
      <c r="AD119" s="738"/>
      <c r="AE119" s="738"/>
      <c r="AF119" s="738"/>
      <c r="AG119" s="738"/>
      <c r="AH119" s="738"/>
      <c r="AI119" s="738"/>
      <c r="AJ119" s="738"/>
      <c r="AK119" s="738"/>
      <c r="AL119" s="738"/>
    </row>
    <row r="120">
      <c r="A120" s="738"/>
      <c r="B120" s="738"/>
      <c r="C120" s="738"/>
      <c r="D120" s="738"/>
      <c r="E120" s="738"/>
      <c r="F120" s="738"/>
      <c r="G120" s="738"/>
      <c r="H120" s="738"/>
      <c r="I120" s="738"/>
      <c r="J120" s="738"/>
      <c r="K120" s="738"/>
      <c r="L120" s="738"/>
      <c r="M120" s="738"/>
      <c r="N120" s="738"/>
      <c r="O120" s="738"/>
      <c r="P120" s="738"/>
      <c r="Q120" s="738"/>
      <c r="R120" s="738"/>
      <c r="S120" s="738"/>
      <c r="T120" s="738"/>
      <c r="U120" s="738"/>
      <c r="V120" s="738"/>
      <c r="W120" s="738"/>
      <c r="X120" s="738"/>
      <c r="Y120" s="738"/>
      <c r="Z120" s="738"/>
      <c r="AA120" s="738"/>
      <c r="AB120" s="738"/>
      <c r="AC120" s="738"/>
      <c r="AD120" s="738"/>
      <c r="AE120" s="738"/>
      <c r="AF120" s="738"/>
      <c r="AG120" s="738"/>
      <c r="AH120" s="738"/>
      <c r="AI120" s="738"/>
      <c r="AJ120" s="738"/>
      <c r="AK120" s="738"/>
      <c r="AL120" s="738"/>
    </row>
    <row r="121">
      <c r="A121" s="738"/>
      <c r="B121" s="738"/>
      <c r="C121" s="738"/>
      <c r="D121" s="738"/>
      <c r="E121" s="738"/>
      <c r="F121" s="738"/>
      <c r="G121" s="738"/>
      <c r="H121" s="738"/>
      <c r="I121" s="738"/>
      <c r="J121" s="738"/>
      <c r="K121" s="738"/>
      <c r="L121" s="738"/>
      <c r="M121" s="738"/>
      <c r="N121" s="738"/>
      <c r="O121" s="738"/>
      <c r="P121" s="738"/>
      <c r="Q121" s="738"/>
      <c r="R121" s="738"/>
      <c r="S121" s="738"/>
      <c r="T121" s="738"/>
      <c r="U121" s="738"/>
      <c r="V121" s="738"/>
      <c r="W121" s="738"/>
      <c r="X121" s="738"/>
      <c r="Y121" s="738"/>
      <c r="Z121" s="738"/>
      <c r="AA121" s="738"/>
      <c r="AB121" s="738"/>
      <c r="AC121" s="738"/>
      <c r="AD121" s="738"/>
      <c r="AE121" s="738"/>
      <c r="AF121" s="738"/>
      <c r="AG121" s="738"/>
      <c r="AH121" s="738"/>
      <c r="AI121" s="738"/>
      <c r="AJ121" s="738"/>
      <c r="AK121" s="738"/>
      <c r="AL121" s="738"/>
    </row>
    <row r="122">
      <c r="A122" s="738"/>
      <c r="B122" s="738"/>
      <c r="C122" s="738"/>
      <c r="D122" s="738"/>
      <c r="E122" s="738"/>
      <c r="F122" s="738"/>
      <c r="G122" s="738"/>
      <c r="H122" s="738"/>
      <c r="I122" s="738"/>
      <c r="J122" s="738"/>
      <c r="K122" s="738"/>
      <c r="L122" s="738"/>
      <c r="M122" s="738"/>
      <c r="N122" s="738"/>
      <c r="O122" s="738"/>
      <c r="P122" s="738"/>
      <c r="Q122" s="738"/>
      <c r="R122" s="738"/>
      <c r="S122" s="738"/>
      <c r="T122" s="738"/>
      <c r="U122" s="738"/>
      <c r="V122" s="738"/>
      <c r="W122" s="738"/>
      <c r="X122" s="738"/>
      <c r="Y122" s="738"/>
      <c r="Z122" s="738"/>
      <c r="AA122" s="738"/>
      <c r="AB122" s="738"/>
      <c r="AC122" s="738"/>
      <c r="AD122" s="738"/>
      <c r="AE122" s="738"/>
      <c r="AF122" s="738"/>
      <c r="AG122" s="738"/>
      <c r="AH122" s="738"/>
      <c r="AI122" s="738"/>
      <c r="AJ122" s="738"/>
      <c r="AK122" s="738"/>
      <c r="AL122" s="738"/>
    </row>
    <row r="123">
      <c r="A123" s="738"/>
      <c r="B123" s="738"/>
      <c r="C123" s="738"/>
      <c r="D123" s="738"/>
      <c r="E123" s="738"/>
      <c r="F123" s="738"/>
      <c r="G123" s="738"/>
      <c r="H123" s="738"/>
      <c r="I123" s="738"/>
      <c r="J123" s="738"/>
      <c r="K123" s="738"/>
      <c r="L123" s="738"/>
      <c r="M123" s="738"/>
      <c r="N123" s="738"/>
      <c r="O123" s="738"/>
      <c r="P123" s="738"/>
      <c r="Q123" s="738"/>
      <c r="R123" s="738"/>
      <c r="S123" s="738"/>
      <c r="T123" s="738"/>
      <c r="U123" s="738"/>
      <c r="V123" s="738"/>
      <c r="W123" s="738"/>
      <c r="X123" s="738"/>
      <c r="Y123" s="738"/>
      <c r="Z123" s="738"/>
      <c r="AA123" s="738"/>
      <c r="AB123" s="738"/>
      <c r="AC123" s="738"/>
      <c r="AD123" s="738"/>
      <c r="AE123" s="738"/>
      <c r="AF123" s="738"/>
      <c r="AG123" s="738"/>
      <c r="AH123" s="738"/>
      <c r="AI123" s="738"/>
      <c r="AJ123" s="738"/>
      <c r="AK123" s="738"/>
      <c r="AL123" s="738"/>
    </row>
    <row r="124">
      <c r="A124" s="738"/>
      <c r="B124" s="738"/>
      <c r="C124" s="738"/>
      <c r="D124" s="738"/>
      <c r="E124" s="738"/>
      <c r="F124" s="738"/>
      <c r="G124" s="738"/>
      <c r="H124" s="738"/>
      <c r="I124" s="738"/>
      <c r="J124" s="738"/>
      <c r="K124" s="738"/>
      <c r="L124" s="738"/>
      <c r="M124" s="738"/>
      <c r="N124" s="738"/>
      <c r="O124" s="738"/>
      <c r="P124" s="738"/>
      <c r="Q124" s="738"/>
      <c r="R124" s="738"/>
      <c r="S124" s="738"/>
      <c r="T124" s="738"/>
      <c r="U124" s="738"/>
      <c r="V124" s="738"/>
      <c r="W124" s="738"/>
      <c r="X124" s="738"/>
      <c r="Y124" s="738"/>
      <c r="Z124" s="738"/>
      <c r="AA124" s="738"/>
      <c r="AB124" s="738"/>
      <c r="AC124" s="738"/>
      <c r="AD124" s="738"/>
      <c r="AE124" s="738"/>
      <c r="AF124" s="738"/>
      <c r="AG124" s="738"/>
      <c r="AH124" s="738"/>
      <c r="AI124" s="738"/>
      <c r="AJ124" s="738"/>
      <c r="AK124" s="738"/>
      <c r="AL124" s="738"/>
    </row>
    <row r="125">
      <c r="A125" s="738"/>
      <c r="B125" s="738"/>
      <c r="C125" s="738"/>
      <c r="D125" s="738"/>
      <c r="E125" s="738"/>
      <c r="F125" s="738"/>
      <c r="G125" s="738"/>
      <c r="H125" s="738"/>
      <c r="I125" s="738"/>
      <c r="J125" s="738"/>
      <c r="K125" s="738"/>
      <c r="L125" s="738"/>
      <c r="M125" s="738"/>
      <c r="N125" s="738"/>
      <c r="O125" s="738"/>
      <c r="P125" s="738"/>
      <c r="Q125" s="738"/>
      <c r="R125" s="738"/>
      <c r="S125" s="738"/>
      <c r="T125" s="738"/>
      <c r="U125" s="738"/>
      <c r="V125" s="738"/>
      <c r="W125" s="738"/>
      <c r="X125" s="738"/>
      <c r="Y125" s="738"/>
      <c r="Z125" s="738"/>
      <c r="AA125" s="738"/>
      <c r="AB125" s="738"/>
      <c r="AC125" s="738"/>
      <c r="AD125" s="738"/>
      <c r="AE125" s="738"/>
      <c r="AF125" s="738"/>
      <c r="AG125" s="738"/>
      <c r="AH125" s="738"/>
      <c r="AI125" s="738"/>
      <c r="AJ125" s="738"/>
      <c r="AK125" s="738"/>
      <c r="AL125" s="738"/>
    </row>
    <row r="126">
      <c r="A126" s="738"/>
      <c r="B126" s="738"/>
      <c r="C126" s="738"/>
      <c r="D126" s="738"/>
      <c r="E126" s="738"/>
      <c r="F126" s="738"/>
      <c r="G126" s="738"/>
      <c r="H126" s="738"/>
      <c r="I126" s="738"/>
      <c r="J126" s="738"/>
      <c r="K126" s="738"/>
      <c r="L126" s="738"/>
      <c r="M126" s="738"/>
      <c r="N126" s="738"/>
      <c r="O126" s="738"/>
      <c r="P126" s="738"/>
      <c r="Q126" s="738"/>
      <c r="R126" s="738"/>
      <c r="S126" s="738"/>
      <c r="T126" s="738"/>
      <c r="U126" s="738"/>
      <c r="V126" s="738"/>
      <c r="W126" s="738"/>
      <c r="X126" s="738"/>
      <c r="Y126" s="738"/>
      <c r="Z126" s="738"/>
      <c r="AA126" s="738"/>
      <c r="AB126" s="738"/>
      <c r="AC126" s="738"/>
      <c r="AD126" s="738"/>
      <c r="AE126" s="738"/>
      <c r="AF126" s="738"/>
      <c r="AG126" s="738"/>
      <c r="AH126" s="738"/>
      <c r="AI126" s="738"/>
      <c r="AJ126" s="738"/>
      <c r="AK126" s="738"/>
      <c r="AL126" s="738"/>
    </row>
    <row r="127">
      <c r="A127" s="738"/>
      <c r="B127" s="738"/>
      <c r="C127" s="738"/>
      <c r="D127" s="738"/>
      <c r="E127" s="738"/>
      <c r="F127" s="738"/>
      <c r="G127" s="738"/>
      <c r="H127" s="738"/>
      <c r="I127" s="738"/>
      <c r="J127" s="738"/>
      <c r="K127" s="738"/>
      <c r="L127" s="738"/>
      <c r="M127" s="738"/>
      <c r="N127" s="738"/>
      <c r="O127" s="738"/>
      <c r="P127" s="738"/>
      <c r="Q127" s="738"/>
      <c r="R127" s="738"/>
      <c r="S127" s="738"/>
      <c r="T127" s="738"/>
      <c r="U127" s="738"/>
      <c r="V127" s="738"/>
      <c r="W127" s="738"/>
      <c r="X127" s="738"/>
      <c r="Y127" s="738"/>
      <c r="Z127" s="738"/>
      <c r="AA127" s="738"/>
      <c r="AB127" s="738"/>
      <c r="AC127" s="738"/>
      <c r="AD127" s="738"/>
      <c r="AE127" s="738"/>
      <c r="AF127" s="738"/>
      <c r="AG127" s="738"/>
      <c r="AH127" s="738"/>
      <c r="AI127" s="738"/>
      <c r="AJ127" s="738"/>
      <c r="AK127" s="738"/>
      <c r="AL127" s="738"/>
    </row>
    <row r="128">
      <c r="A128" s="738"/>
      <c r="B128" s="738"/>
      <c r="C128" s="738"/>
      <c r="D128" s="738"/>
      <c r="E128" s="738"/>
      <c r="F128" s="738"/>
      <c r="G128" s="738"/>
      <c r="H128" s="738"/>
      <c r="I128" s="738"/>
      <c r="J128" s="738"/>
      <c r="K128" s="738"/>
      <c r="L128" s="738"/>
      <c r="M128" s="738"/>
      <c r="N128" s="738"/>
      <c r="O128" s="738"/>
      <c r="P128" s="738"/>
      <c r="Q128" s="738"/>
      <c r="R128" s="738"/>
      <c r="S128" s="738"/>
      <c r="T128" s="738"/>
      <c r="U128" s="738"/>
      <c r="V128" s="738"/>
      <c r="W128" s="738"/>
      <c r="X128" s="738"/>
      <c r="Y128" s="738"/>
      <c r="Z128" s="738"/>
      <c r="AA128" s="738"/>
      <c r="AB128" s="738"/>
      <c r="AC128" s="738"/>
      <c r="AD128" s="738"/>
      <c r="AE128" s="738"/>
      <c r="AF128" s="738"/>
      <c r="AG128" s="738"/>
      <c r="AH128" s="738"/>
      <c r="AI128" s="738"/>
      <c r="AJ128" s="738"/>
      <c r="AK128" s="738"/>
      <c r="AL128" s="738"/>
    </row>
    <row r="129">
      <c r="A129" s="738"/>
      <c r="B129" s="738"/>
      <c r="C129" s="738"/>
      <c r="D129" s="738"/>
      <c r="E129" s="738"/>
      <c r="F129" s="738"/>
      <c r="G129" s="738"/>
      <c r="H129" s="738"/>
      <c r="I129" s="738"/>
      <c r="J129" s="738"/>
      <c r="K129" s="738"/>
      <c r="L129" s="738"/>
      <c r="M129" s="738"/>
      <c r="N129" s="738"/>
      <c r="O129" s="738"/>
      <c r="P129" s="738"/>
      <c r="Q129" s="738"/>
      <c r="R129" s="738"/>
      <c r="S129" s="738"/>
      <c r="T129" s="738"/>
      <c r="U129" s="738"/>
      <c r="V129" s="738"/>
      <c r="W129" s="738"/>
      <c r="X129" s="738"/>
      <c r="Y129" s="738"/>
      <c r="Z129" s="738"/>
      <c r="AA129" s="738"/>
      <c r="AB129" s="738"/>
      <c r="AC129" s="738"/>
      <c r="AD129" s="738"/>
      <c r="AE129" s="738"/>
      <c r="AF129" s="738"/>
      <c r="AG129" s="738"/>
      <c r="AH129" s="738"/>
      <c r="AI129" s="738"/>
      <c r="AJ129" s="738"/>
      <c r="AK129" s="738"/>
      <c r="AL129" s="738"/>
    </row>
    <row r="130">
      <c r="A130" s="738"/>
      <c r="B130" s="738"/>
      <c r="C130" s="738"/>
      <c r="D130" s="738"/>
      <c r="E130" s="738"/>
      <c r="F130" s="738"/>
      <c r="G130" s="738"/>
      <c r="H130" s="738"/>
      <c r="I130" s="738"/>
      <c r="J130" s="738"/>
      <c r="K130" s="738"/>
      <c r="L130" s="738"/>
      <c r="M130" s="738"/>
      <c r="N130" s="738"/>
      <c r="O130" s="738"/>
      <c r="P130" s="738"/>
      <c r="Q130" s="738"/>
      <c r="R130" s="738"/>
      <c r="S130" s="738"/>
      <c r="T130" s="738"/>
      <c r="U130" s="738"/>
      <c r="V130" s="738"/>
      <c r="W130" s="738"/>
      <c r="X130" s="738"/>
      <c r="Y130" s="738"/>
      <c r="Z130" s="738"/>
      <c r="AA130" s="738"/>
      <c r="AB130" s="738"/>
      <c r="AC130" s="738"/>
      <c r="AD130" s="738"/>
      <c r="AE130" s="738"/>
      <c r="AF130" s="738"/>
      <c r="AG130" s="738"/>
      <c r="AH130" s="738"/>
      <c r="AI130" s="738"/>
      <c r="AJ130" s="738"/>
      <c r="AK130" s="738"/>
      <c r="AL130" s="738"/>
    </row>
    <row r="131">
      <c r="A131" s="738"/>
      <c r="B131" s="738"/>
      <c r="C131" s="738"/>
      <c r="D131" s="738"/>
      <c r="E131" s="738"/>
      <c r="F131" s="738"/>
      <c r="G131" s="738"/>
      <c r="H131" s="738"/>
      <c r="I131" s="738"/>
      <c r="J131" s="738"/>
      <c r="K131" s="738"/>
      <c r="L131" s="738"/>
      <c r="M131" s="738"/>
      <c r="N131" s="738"/>
      <c r="O131" s="738"/>
      <c r="P131" s="738"/>
      <c r="Q131" s="738"/>
      <c r="R131" s="738"/>
      <c r="S131" s="738"/>
      <c r="T131" s="738"/>
      <c r="U131" s="738"/>
      <c r="V131" s="738"/>
      <c r="W131" s="738"/>
      <c r="X131" s="738"/>
      <c r="Y131" s="738"/>
      <c r="Z131" s="738"/>
      <c r="AA131" s="738"/>
      <c r="AB131" s="738"/>
      <c r="AC131" s="738"/>
      <c r="AD131" s="738"/>
      <c r="AE131" s="738"/>
      <c r="AF131" s="738"/>
      <c r="AG131" s="738"/>
      <c r="AH131" s="738"/>
      <c r="AI131" s="738"/>
      <c r="AJ131" s="738"/>
      <c r="AK131" s="738"/>
      <c r="AL131" s="738"/>
    </row>
    <row r="132">
      <c r="A132" s="738"/>
      <c r="B132" s="738"/>
      <c r="C132" s="738"/>
      <c r="D132" s="738"/>
      <c r="E132" s="738"/>
      <c r="F132" s="738"/>
      <c r="G132" s="738"/>
      <c r="H132" s="738"/>
      <c r="I132" s="738"/>
      <c r="J132" s="738"/>
      <c r="K132" s="738"/>
      <c r="L132" s="738"/>
      <c r="M132" s="738"/>
      <c r="N132" s="738"/>
      <c r="O132" s="738"/>
      <c r="P132" s="738"/>
      <c r="Q132" s="738"/>
      <c r="R132" s="738"/>
      <c r="S132" s="738"/>
      <c r="T132" s="738"/>
      <c r="U132" s="738"/>
      <c r="V132" s="738"/>
      <c r="W132" s="738"/>
      <c r="X132" s="738"/>
      <c r="Y132" s="738"/>
      <c r="Z132" s="738"/>
      <c r="AA132" s="738"/>
      <c r="AB132" s="738"/>
      <c r="AC132" s="738"/>
      <c r="AD132" s="738"/>
      <c r="AE132" s="738"/>
      <c r="AF132" s="738"/>
      <c r="AG132" s="738"/>
      <c r="AH132" s="738"/>
      <c r="AI132" s="738"/>
      <c r="AJ132" s="738"/>
      <c r="AK132" s="738"/>
      <c r="AL132" s="738"/>
    </row>
    <row r="133">
      <c r="A133" s="738"/>
      <c r="B133" s="738"/>
      <c r="C133" s="738"/>
      <c r="D133" s="738"/>
      <c r="E133" s="738"/>
      <c r="F133" s="738"/>
      <c r="G133" s="738"/>
      <c r="H133" s="738"/>
      <c r="I133" s="738"/>
      <c r="J133" s="738"/>
      <c r="K133" s="738"/>
      <c r="L133" s="738"/>
      <c r="M133" s="738"/>
      <c r="N133" s="738"/>
      <c r="O133" s="738"/>
      <c r="P133" s="738"/>
      <c r="Q133" s="738"/>
      <c r="R133" s="738"/>
      <c r="S133" s="738"/>
      <c r="T133" s="738"/>
      <c r="U133" s="738"/>
      <c r="V133" s="738"/>
      <c r="W133" s="738"/>
      <c r="X133" s="738"/>
      <c r="Y133" s="738"/>
      <c r="Z133" s="738"/>
      <c r="AA133" s="738"/>
      <c r="AB133" s="738"/>
      <c r="AC133" s="738"/>
      <c r="AD133" s="738"/>
      <c r="AE133" s="738"/>
      <c r="AF133" s="738"/>
      <c r="AG133" s="738"/>
      <c r="AH133" s="738"/>
      <c r="AI133" s="738"/>
      <c r="AJ133" s="738"/>
      <c r="AK133" s="738"/>
      <c r="AL133" s="738"/>
    </row>
    <row r="134">
      <c r="A134" s="738"/>
      <c r="B134" s="738"/>
      <c r="C134" s="738"/>
      <c r="D134" s="738"/>
      <c r="E134" s="738"/>
      <c r="F134" s="738"/>
      <c r="G134" s="738"/>
      <c r="H134" s="738"/>
      <c r="I134" s="738"/>
      <c r="J134" s="738"/>
      <c r="K134" s="738"/>
      <c r="L134" s="738"/>
      <c r="M134" s="738"/>
      <c r="N134" s="738"/>
      <c r="O134" s="738"/>
      <c r="P134" s="738"/>
      <c r="Q134" s="738"/>
      <c r="R134" s="738"/>
      <c r="S134" s="738"/>
      <c r="T134" s="738"/>
      <c r="U134" s="738"/>
      <c r="V134" s="738"/>
      <c r="W134" s="738"/>
      <c r="X134" s="738"/>
      <c r="Y134" s="738"/>
      <c r="Z134" s="738"/>
      <c r="AA134" s="738"/>
      <c r="AB134" s="738"/>
      <c r="AC134" s="738"/>
      <c r="AD134" s="738"/>
      <c r="AE134" s="738"/>
      <c r="AF134" s="738"/>
      <c r="AG134" s="738"/>
      <c r="AH134" s="738"/>
      <c r="AI134" s="738"/>
      <c r="AJ134" s="738"/>
      <c r="AK134" s="738"/>
      <c r="AL134" s="738"/>
    </row>
    <row r="135">
      <c r="A135" s="738"/>
      <c r="B135" s="738"/>
      <c r="C135" s="738"/>
      <c r="D135" s="738"/>
      <c r="E135" s="738"/>
      <c r="F135" s="738"/>
      <c r="G135" s="738"/>
      <c r="H135" s="738"/>
      <c r="I135" s="738"/>
      <c r="J135" s="738"/>
      <c r="K135" s="738"/>
      <c r="L135" s="738"/>
      <c r="M135" s="738"/>
      <c r="N135" s="738"/>
      <c r="O135" s="738"/>
      <c r="P135" s="738"/>
      <c r="Q135" s="738"/>
      <c r="R135" s="738"/>
      <c r="S135" s="738"/>
      <c r="T135" s="738"/>
      <c r="U135" s="738"/>
      <c r="V135" s="738"/>
      <c r="W135" s="738"/>
      <c r="X135" s="738"/>
      <c r="Y135" s="738"/>
      <c r="Z135" s="738"/>
      <c r="AA135" s="738"/>
      <c r="AB135" s="738"/>
      <c r="AC135" s="738"/>
      <c r="AD135" s="738"/>
      <c r="AE135" s="738"/>
      <c r="AF135" s="738"/>
      <c r="AG135" s="738"/>
      <c r="AH135" s="738"/>
      <c r="AI135" s="738"/>
      <c r="AJ135" s="738"/>
      <c r="AK135" s="738"/>
      <c r="AL135" s="738"/>
    </row>
    <row r="136">
      <c r="A136" s="738"/>
      <c r="B136" s="738"/>
      <c r="C136" s="738"/>
      <c r="D136" s="738"/>
      <c r="E136" s="738"/>
      <c r="F136" s="738"/>
      <c r="G136" s="738"/>
      <c r="H136" s="738"/>
      <c r="I136" s="738"/>
      <c r="J136" s="738"/>
      <c r="K136" s="738"/>
      <c r="L136" s="738"/>
      <c r="M136" s="738"/>
      <c r="N136" s="738"/>
      <c r="O136" s="738"/>
      <c r="P136" s="738"/>
      <c r="Q136" s="738"/>
      <c r="R136" s="738"/>
      <c r="S136" s="738"/>
      <c r="T136" s="738"/>
      <c r="U136" s="738"/>
      <c r="V136" s="738"/>
      <c r="W136" s="738"/>
      <c r="X136" s="738"/>
      <c r="Y136" s="738"/>
      <c r="Z136" s="738"/>
      <c r="AA136" s="738"/>
      <c r="AB136" s="738"/>
      <c r="AC136" s="738"/>
      <c r="AD136" s="738"/>
      <c r="AE136" s="738"/>
      <c r="AF136" s="738"/>
      <c r="AG136" s="738"/>
      <c r="AH136" s="738"/>
      <c r="AI136" s="738"/>
      <c r="AJ136" s="738"/>
      <c r="AK136" s="738"/>
      <c r="AL136" s="738"/>
    </row>
    <row r="137">
      <c r="A137" s="738"/>
      <c r="B137" s="738"/>
      <c r="C137" s="738"/>
      <c r="D137" s="738"/>
      <c r="E137" s="738"/>
      <c r="F137" s="738"/>
      <c r="G137" s="738"/>
      <c r="H137" s="738"/>
      <c r="I137" s="738"/>
      <c r="J137" s="738"/>
      <c r="K137" s="738"/>
      <c r="L137" s="738"/>
      <c r="M137" s="738"/>
      <c r="N137" s="738"/>
      <c r="O137" s="738"/>
      <c r="P137" s="738"/>
      <c r="Q137" s="738"/>
      <c r="R137" s="738"/>
      <c r="S137" s="738"/>
      <c r="T137" s="738"/>
      <c r="U137" s="738"/>
      <c r="V137" s="738"/>
      <c r="W137" s="738"/>
      <c r="X137" s="738"/>
      <c r="Y137" s="738"/>
      <c r="Z137" s="738"/>
      <c r="AA137" s="738"/>
      <c r="AB137" s="738"/>
      <c r="AC137" s="738"/>
      <c r="AD137" s="738"/>
      <c r="AE137" s="738"/>
      <c r="AF137" s="738"/>
      <c r="AG137" s="738"/>
      <c r="AH137" s="738"/>
      <c r="AI137" s="738"/>
      <c r="AJ137" s="738"/>
      <c r="AK137" s="738"/>
      <c r="AL137" s="738"/>
    </row>
    <row r="138">
      <c r="A138" s="738"/>
      <c r="B138" s="738"/>
      <c r="C138" s="738"/>
      <c r="D138" s="738"/>
      <c r="E138" s="738"/>
      <c r="F138" s="738"/>
      <c r="G138" s="738"/>
      <c r="H138" s="738"/>
      <c r="I138" s="738"/>
      <c r="J138" s="738"/>
      <c r="K138" s="738"/>
      <c r="L138" s="738"/>
      <c r="M138" s="738"/>
      <c r="N138" s="738"/>
      <c r="O138" s="738"/>
      <c r="P138" s="738"/>
      <c r="Q138" s="738"/>
      <c r="R138" s="738"/>
      <c r="S138" s="738"/>
      <c r="T138" s="738"/>
      <c r="U138" s="738"/>
      <c r="V138" s="738"/>
      <c r="W138" s="738"/>
      <c r="X138" s="738"/>
      <c r="Y138" s="738"/>
      <c r="Z138" s="738"/>
      <c r="AA138" s="738"/>
      <c r="AB138" s="738"/>
      <c r="AC138" s="738"/>
      <c r="AD138" s="738"/>
      <c r="AE138" s="738"/>
      <c r="AF138" s="738"/>
      <c r="AG138" s="738"/>
      <c r="AH138" s="738"/>
      <c r="AI138" s="738"/>
      <c r="AJ138" s="738"/>
      <c r="AK138" s="738"/>
      <c r="AL138" s="738"/>
    </row>
    <row r="139">
      <c r="A139" s="738"/>
      <c r="B139" s="738"/>
      <c r="C139" s="738"/>
      <c r="D139" s="738"/>
      <c r="E139" s="738"/>
      <c r="F139" s="738"/>
      <c r="G139" s="738"/>
      <c r="H139" s="738"/>
      <c r="I139" s="738"/>
      <c r="J139" s="738"/>
      <c r="K139" s="738"/>
      <c r="L139" s="738"/>
      <c r="M139" s="738"/>
      <c r="N139" s="738"/>
      <c r="O139" s="738"/>
      <c r="P139" s="738"/>
      <c r="Q139" s="738"/>
      <c r="R139" s="738"/>
      <c r="S139" s="738"/>
      <c r="T139" s="738"/>
      <c r="U139" s="738"/>
      <c r="V139" s="738"/>
      <c r="W139" s="738"/>
      <c r="X139" s="738"/>
      <c r="Y139" s="738"/>
      <c r="Z139" s="738"/>
      <c r="AA139" s="738"/>
      <c r="AB139" s="738"/>
      <c r="AC139" s="738"/>
      <c r="AD139" s="738"/>
      <c r="AE139" s="738"/>
      <c r="AF139" s="738"/>
      <c r="AG139" s="738"/>
      <c r="AH139" s="738"/>
      <c r="AI139" s="738"/>
      <c r="AJ139" s="738"/>
      <c r="AK139" s="738"/>
      <c r="AL139" s="738"/>
    </row>
    <row r="140">
      <c r="A140" s="738"/>
      <c r="B140" s="738"/>
      <c r="C140" s="738"/>
      <c r="D140" s="738"/>
      <c r="E140" s="738"/>
      <c r="F140" s="738"/>
      <c r="G140" s="738"/>
      <c r="H140" s="738"/>
      <c r="I140" s="738"/>
      <c r="J140" s="738"/>
      <c r="K140" s="738"/>
      <c r="L140" s="738"/>
      <c r="M140" s="738"/>
      <c r="N140" s="738"/>
      <c r="O140" s="738"/>
      <c r="P140" s="738"/>
      <c r="Q140" s="738"/>
      <c r="R140" s="738"/>
      <c r="S140" s="738"/>
      <c r="T140" s="738"/>
      <c r="U140" s="738"/>
      <c r="V140" s="738"/>
      <c r="W140" s="738"/>
      <c r="X140" s="738"/>
      <c r="Y140" s="738"/>
      <c r="Z140" s="738"/>
      <c r="AA140" s="738"/>
      <c r="AB140" s="738"/>
      <c r="AC140" s="738"/>
      <c r="AD140" s="738"/>
      <c r="AE140" s="738"/>
      <c r="AF140" s="738"/>
      <c r="AG140" s="738"/>
      <c r="AH140" s="738"/>
      <c r="AI140" s="738"/>
      <c r="AJ140" s="738"/>
      <c r="AK140" s="738"/>
      <c r="AL140" s="738"/>
    </row>
    <row r="141">
      <c r="A141" s="738"/>
      <c r="B141" s="738"/>
      <c r="C141" s="738"/>
      <c r="D141" s="738"/>
      <c r="E141" s="738"/>
      <c r="F141" s="738"/>
      <c r="G141" s="738"/>
      <c r="H141" s="738"/>
      <c r="I141" s="738"/>
      <c r="J141" s="738"/>
      <c r="K141" s="738"/>
      <c r="L141" s="738"/>
      <c r="M141" s="738"/>
      <c r="N141" s="738"/>
      <c r="O141" s="738"/>
      <c r="P141" s="738"/>
      <c r="Q141" s="738"/>
      <c r="R141" s="738"/>
      <c r="S141" s="738"/>
      <c r="T141" s="738"/>
      <c r="U141" s="738"/>
      <c r="V141" s="738"/>
      <c r="W141" s="738"/>
      <c r="X141" s="738"/>
      <c r="Y141" s="738"/>
      <c r="Z141" s="738"/>
      <c r="AA141" s="738"/>
      <c r="AB141" s="738"/>
      <c r="AC141" s="738"/>
      <c r="AD141" s="738"/>
      <c r="AE141" s="738"/>
      <c r="AF141" s="738"/>
      <c r="AG141" s="738"/>
      <c r="AH141" s="738"/>
      <c r="AI141" s="738"/>
      <c r="AJ141" s="738"/>
      <c r="AK141" s="738"/>
      <c r="AL141" s="738"/>
    </row>
    <row r="142">
      <c r="A142" s="738"/>
      <c r="B142" s="738"/>
      <c r="C142" s="738"/>
      <c r="D142" s="738"/>
      <c r="E142" s="738"/>
      <c r="F142" s="738"/>
      <c r="G142" s="738"/>
      <c r="H142" s="738"/>
      <c r="I142" s="738"/>
      <c r="J142" s="738"/>
      <c r="K142" s="738"/>
      <c r="L142" s="738"/>
      <c r="M142" s="738"/>
      <c r="N142" s="738"/>
      <c r="O142" s="738"/>
      <c r="P142" s="738"/>
      <c r="Q142" s="738"/>
      <c r="R142" s="738"/>
      <c r="S142" s="738"/>
      <c r="T142" s="738"/>
      <c r="U142" s="738"/>
      <c r="V142" s="738"/>
      <c r="W142" s="738"/>
      <c r="X142" s="738"/>
      <c r="Y142" s="738"/>
      <c r="Z142" s="738"/>
      <c r="AA142" s="738"/>
      <c r="AB142" s="738"/>
      <c r="AC142" s="738"/>
      <c r="AD142" s="738"/>
      <c r="AE142" s="738"/>
      <c r="AF142" s="738"/>
      <c r="AG142" s="738"/>
      <c r="AH142" s="738"/>
      <c r="AI142" s="738"/>
      <c r="AJ142" s="738"/>
      <c r="AK142" s="738"/>
      <c r="AL142" s="738"/>
    </row>
    <row r="143">
      <c r="A143" s="738"/>
      <c r="B143" s="738"/>
      <c r="C143" s="738"/>
      <c r="D143" s="738"/>
      <c r="E143" s="738"/>
      <c r="F143" s="738"/>
      <c r="G143" s="738"/>
      <c r="H143" s="738"/>
      <c r="I143" s="738"/>
      <c r="J143" s="738"/>
      <c r="K143" s="738"/>
      <c r="L143" s="738"/>
      <c r="M143" s="738"/>
      <c r="N143" s="738"/>
      <c r="O143" s="738"/>
      <c r="P143" s="738"/>
      <c r="Q143" s="738"/>
      <c r="R143" s="738"/>
      <c r="S143" s="738"/>
      <c r="T143" s="738"/>
      <c r="U143" s="738"/>
      <c r="V143" s="738"/>
      <c r="W143" s="738"/>
      <c r="X143" s="738"/>
      <c r="Y143" s="738"/>
      <c r="Z143" s="738"/>
      <c r="AA143" s="738"/>
      <c r="AB143" s="738"/>
      <c r="AC143" s="738"/>
      <c r="AD143" s="738"/>
      <c r="AE143" s="738"/>
      <c r="AF143" s="738"/>
      <c r="AG143" s="738"/>
      <c r="AH143" s="738"/>
      <c r="AI143" s="738"/>
      <c r="AJ143" s="738"/>
      <c r="AK143" s="738"/>
      <c r="AL143" s="738"/>
    </row>
    <row r="144">
      <c r="A144" s="738"/>
      <c r="B144" s="738"/>
      <c r="C144" s="738"/>
      <c r="D144" s="738"/>
      <c r="E144" s="738"/>
      <c r="F144" s="738"/>
      <c r="G144" s="738"/>
      <c r="H144" s="738"/>
      <c r="I144" s="738"/>
      <c r="J144" s="738"/>
      <c r="K144" s="738"/>
      <c r="L144" s="738"/>
      <c r="M144" s="738"/>
      <c r="N144" s="738"/>
      <c r="O144" s="738"/>
      <c r="P144" s="738"/>
      <c r="Q144" s="738"/>
      <c r="R144" s="738"/>
      <c r="S144" s="738"/>
      <c r="T144" s="738"/>
      <c r="U144" s="738"/>
      <c r="V144" s="738"/>
      <c r="W144" s="738"/>
      <c r="X144" s="738"/>
      <c r="Y144" s="738"/>
      <c r="Z144" s="738"/>
      <c r="AA144" s="738"/>
      <c r="AB144" s="738"/>
      <c r="AC144" s="738"/>
      <c r="AD144" s="738"/>
      <c r="AE144" s="738"/>
      <c r="AF144" s="738"/>
      <c r="AG144" s="738"/>
      <c r="AH144" s="738"/>
      <c r="AI144" s="738"/>
      <c r="AJ144" s="738"/>
      <c r="AK144" s="738"/>
      <c r="AL144" s="738"/>
    </row>
    <row r="145">
      <c r="A145" s="738"/>
      <c r="B145" s="738"/>
      <c r="C145" s="738"/>
      <c r="D145" s="738"/>
      <c r="E145" s="738"/>
      <c r="F145" s="738"/>
      <c r="G145" s="738"/>
      <c r="H145" s="738"/>
      <c r="I145" s="738"/>
      <c r="J145" s="738"/>
      <c r="K145" s="738"/>
      <c r="L145" s="738"/>
      <c r="M145" s="738"/>
      <c r="N145" s="738"/>
      <c r="O145" s="738"/>
      <c r="P145" s="738"/>
      <c r="Q145" s="738"/>
      <c r="R145" s="738"/>
      <c r="S145" s="738"/>
      <c r="T145" s="738"/>
      <c r="U145" s="738"/>
      <c r="V145" s="738"/>
      <c r="W145" s="738"/>
      <c r="X145" s="738"/>
      <c r="Y145" s="738"/>
      <c r="Z145" s="738"/>
      <c r="AA145" s="738"/>
      <c r="AB145" s="738"/>
      <c r="AC145" s="738"/>
      <c r="AD145" s="738"/>
      <c r="AE145" s="738"/>
      <c r="AF145" s="738"/>
      <c r="AG145" s="738"/>
      <c r="AH145" s="738"/>
      <c r="AI145" s="738"/>
      <c r="AJ145" s="738"/>
      <c r="AK145" s="738"/>
      <c r="AL145" s="738"/>
    </row>
    <row r="146">
      <c r="A146" s="738"/>
      <c r="B146" s="738"/>
      <c r="C146" s="738"/>
      <c r="D146" s="738"/>
      <c r="E146" s="738"/>
      <c r="F146" s="738"/>
      <c r="G146" s="738"/>
      <c r="H146" s="738"/>
      <c r="I146" s="738"/>
      <c r="J146" s="738"/>
      <c r="K146" s="738"/>
      <c r="L146" s="738"/>
      <c r="M146" s="738"/>
      <c r="N146" s="738"/>
      <c r="O146" s="738"/>
      <c r="P146" s="738"/>
      <c r="Q146" s="738"/>
      <c r="R146" s="738"/>
      <c r="S146" s="738"/>
      <c r="T146" s="738"/>
      <c r="U146" s="738"/>
      <c r="V146" s="738"/>
      <c r="W146" s="738"/>
      <c r="X146" s="738"/>
      <c r="Y146" s="738"/>
      <c r="Z146" s="738"/>
      <c r="AA146" s="738"/>
      <c r="AB146" s="738"/>
      <c r="AC146" s="738"/>
      <c r="AD146" s="738"/>
      <c r="AE146" s="738"/>
      <c r="AF146" s="738"/>
      <c r="AG146" s="738"/>
      <c r="AH146" s="738"/>
      <c r="AI146" s="738"/>
      <c r="AJ146" s="738"/>
      <c r="AK146" s="738"/>
      <c r="AL146" s="738"/>
    </row>
    <row r="147">
      <c r="A147" s="738"/>
      <c r="B147" s="738"/>
      <c r="C147" s="738"/>
      <c r="D147" s="738"/>
      <c r="E147" s="738"/>
      <c r="F147" s="738"/>
      <c r="G147" s="738"/>
      <c r="H147" s="738"/>
      <c r="I147" s="738"/>
      <c r="J147" s="738"/>
      <c r="K147" s="738"/>
      <c r="L147" s="738"/>
      <c r="M147" s="738"/>
      <c r="N147" s="738"/>
      <c r="O147" s="738"/>
      <c r="P147" s="738"/>
      <c r="Q147" s="738"/>
      <c r="R147" s="738"/>
      <c r="S147" s="738"/>
      <c r="T147" s="738"/>
      <c r="U147" s="738"/>
      <c r="V147" s="738"/>
      <c r="W147" s="738"/>
      <c r="X147" s="738"/>
      <c r="Y147" s="738"/>
      <c r="Z147" s="738"/>
      <c r="AA147" s="738"/>
      <c r="AB147" s="738"/>
      <c r="AC147" s="738"/>
      <c r="AD147" s="738"/>
      <c r="AE147" s="738"/>
      <c r="AF147" s="738"/>
      <c r="AG147" s="738"/>
      <c r="AH147" s="738"/>
      <c r="AI147" s="738"/>
      <c r="AJ147" s="738"/>
      <c r="AK147" s="738"/>
      <c r="AL147" s="738"/>
    </row>
    <row r="148">
      <c r="A148" s="738"/>
      <c r="B148" s="738"/>
      <c r="C148" s="738"/>
      <c r="D148" s="738"/>
      <c r="E148" s="738"/>
      <c r="F148" s="738"/>
      <c r="G148" s="738"/>
      <c r="H148" s="738"/>
      <c r="I148" s="738"/>
      <c r="J148" s="738"/>
      <c r="K148" s="738"/>
      <c r="L148" s="738"/>
      <c r="M148" s="738"/>
      <c r="N148" s="738"/>
      <c r="O148" s="738"/>
      <c r="P148" s="738"/>
      <c r="Q148" s="738"/>
      <c r="R148" s="738"/>
      <c r="S148" s="738"/>
      <c r="T148" s="738"/>
      <c r="U148" s="738"/>
      <c r="V148" s="738"/>
      <c r="W148" s="738"/>
      <c r="X148" s="738"/>
      <c r="Y148" s="738"/>
      <c r="Z148" s="738"/>
      <c r="AA148" s="738"/>
      <c r="AB148" s="738"/>
      <c r="AC148" s="738"/>
      <c r="AD148" s="738"/>
      <c r="AE148" s="738"/>
      <c r="AF148" s="738"/>
      <c r="AG148" s="738"/>
      <c r="AH148" s="738"/>
      <c r="AI148" s="738"/>
      <c r="AJ148" s="738"/>
      <c r="AK148" s="738"/>
      <c r="AL148" s="738"/>
    </row>
    <row r="149">
      <c r="A149" s="738"/>
      <c r="B149" s="738"/>
      <c r="C149" s="738"/>
      <c r="D149" s="738"/>
      <c r="E149" s="738"/>
      <c r="F149" s="738"/>
      <c r="G149" s="738"/>
      <c r="H149" s="738"/>
      <c r="I149" s="738"/>
      <c r="J149" s="738"/>
      <c r="K149" s="738"/>
      <c r="L149" s="738"/>
      <c r="M149" s="738"/>
      <c r="N149" s="738"/>
      <c r="O149" s="738"/>
      <c r="P149" s="738"/>
      <c r="Q149" s="738"/>
      <c r="R149" s="738"/>
      <c r="S149" s="738"/>
      <c r="T149" s="738"/>
      <c r="U149" s="738"/>
      <c r="V149" s="738"/>
      <c r="W149" s="738"/>
      <c r="X149" s="738"/>
      <c r="Y149" s="738"/>
      <c r="Z149" s="738"/>
      <c r="AA149" s="738"/>
      <c r="AB149" s="738"/>
      <c r="AC149" s="738"/>
      <c r="AD149" s="738"/>
      <c r="AE149" s="738"/>
      <c r="AF149" s="738"/>
      <c r="AG149" s="738"/>
      <c r="AH149" s="738"/>
      <c r="AI149" s="738"/>
      <c r="AJ149" s="738"/>
      <c r="AK149" s="738"/>
      <c r="AL149" s="738"/>
    </row>
    <row r="150">
      <c r="A150" s="738"/>
      <c r="B150" s="738"/>
      <c r="C150" s="738"/>
      <c r="D150" s="738"/>
      <c r="E150" s="738"/>
      <c r="F150" s="738"/>
      <c r="G150" s="738"/>
      <c r="H150" s="738"/>
      <c r="I150" s="738"/>
      <c r="J150" s="738"/>
      <c r="K150" s="738"/>
      <c r="L150" s="738"/>
      <c r="M150" s="738"/>
      <c r="N150" s="738"/>
      <c r="O150" s="738"/>
      <c r="P150" s="738"/>
      <c r="Q150" s="738"/>
      <c r="R150" s="738"/>
      <c r="S150" s="738"/>
      <c r="T150" s="738"/>
      <c r="U150" s="738"/>
      <c r="V150" s="738"/>
      <c r="W150" s="738"/>
      <c r="X150" s="738"/>
      <c r="Y150" s="738"/>
      <c r="Z150" s="738"/>
      <c r="AA150" s="738"/>
      <c r="AB150" s="738"/>
      <c r="AC150" s="738"/>
      <c r="AD150" s="738"/>
      <c r="AE150" s="738"/>
      <c r="AF150" s="738"/>
      <c r="AG150" s="738"/>
      <c r="AH150" s="738"/>
      <c r="AI150" s="738"/>
      <c r="AJ150" s="738"/>
      <c r="AK150" s="738"/>
      <c r="AL150" s="738"/>
    </row>
    <row r="151">
      <c r="A151" s="738"/>
      <c r="B151" s="738"/>
      <c r="C151" s="738"/>
      <c r="D151" s="738"/>
      <c r="E151" s="738"/>
      <c r="F151" s="738"/>
      <c r="G151" s="738"/>
      <c r="H151" s="738"/>
      <c r="I151" s="738"/>
      <c r="J151" s="738"/>
      <c r="K151" s="738"/>
      <c r="L151" s="738"/>
      <c r="M151" s="738"/>
      <c r="N151" s="738"/>
      <c r="O151" s="738"/>
      <c r="P151" s="738"/>
      <c r="Q151" s="738"/>
      <c r="R151" s="738"/>
      <c r="S151" s="738"/>
      <c r="T151" s="738"/>
      <c r="U151" s="738"/>
      <c r="V151" s="738"/>
      <c r="W151" s="738"/>
      <c r="X151" s="738"/>
      <c r="Y151" s="738"/>
      <c r="Z151" s="738"/>
      <c r="AA151" s="738"/>
      <c r="AB151" s="738"/>
      <c r="AC151" s="738"/>
      <c r="AD151" s="738"/>
      <c r="AE151" s="738"/>
      <c r="AF151" s="738"/>
      <c r="AG151" s="738"/>
      <c r="AH151" s="738"/>
      <c r="AI151" s="738"/>
      <c r="AJ151" s="738"/>
      <c r="AK151" s="738"/>
      <c r="AL151" s="738"/>
    </row>
    <row r="152">
      <c r="A152" s="738"/>
      <c r="B152" s="738"/>
      <c r="C152" s="738"/>
      <c r="D152" s="738"/>
      <c r="E152" s="738"/>
      <c r="F152" s="738"/>
      <c r="G152" s="738"/>
      <c r="H152" s="738"/>
      <c r="I152" s="738"/>
      <c r="J152" s="738"/>
      <c r="K152" s="738"/>
      <c r="L152" s="738"/>
      <c r="M152" s="738"/>
      <c r="N152" s="738"/>
      <c r="O152" s="738"/>
      <c r="P152" s="738"/>
      <c r="Q152" s="738"/>
      <c r="R152" s="738"/>
      <c r="S152" s="738"/>
      <c r="T152" s="738"/>
      <c r="U152" s="738"/>
      <c r="V152" s="738"/>
      <c r="W152" s="738"/>
      <c r="X152" s="738"/>
      <c r="Y152" s="738"/>
      <c r="Z152" s="738"/>
      <c r="AA152" s="738"/>
      <c r="AB152" s="738"/>
      <c r="AC152" s="738"/>
      <c r="AD152" s="738"/>
      <c r="AE152" s="738"/>
      <c r="AF152" s="738"/>
      <c r="AG152" s="738"/>
      <c r="AH152" s="738"/>
      <c r="AI152" s="738"/>
      <c r="AJ152" s="738"/>
      <c r="AK152" s="738"/>
      <c r="AL152" s="738"/>
    </row>
    <row r="153">
      <c r="A153" s="738"/>
      <c r="B153" s="738"/>
      <c r="C153" s="738"/>
      <c r="D153" s="738"/>
      <c r="E153" s="738"/>
      <c r="F153" s="738"/>
      <c r="G153" s="738"/>
      <c r="H153" s="738"/>
      <c r="I153" s="738"/>
      <c r="J153" s="738"/>
      <c r="K153" s="738"/>
      <c r="L153" s="738"/>
      <c r="M153" s="738"/>
      <c r="N153" s="738"/>
      <c r="O153" s="738"/>
      <c r="P153" s="738"/>
      <c r="Q153" s="738"/>
      <c r="R153" s="738"/>
      <c r="S153" s="738"/>
      <c r="T153" s="738"/>
      <c r="U153" s="738"/>
      <c r="V153" s="738"/>
      <c r="W153" s="738"/>
      <c r="X153" s="738"/>
      <c r="Y153" s="738"/>
      <c r="Z153" s="738"/>
      <c r="AA153" s="738"/>
      <c r="AB153" s="738"/>
      <c r="AC153" s="738"/>
      <c r="AD153" s="738"/>
      <c r="AE153" s="738"/>
      <c r="AF153" s="738"/>
      <c r="AG153" s="738"/>
      <c r="AH153" s="738"/>
      <c r="AI153" s="738"/>
      <c r="AJ153" s="738"/>
      <c r="AK153" s="738"/>
      <c r="AL153" s="738"/>
    </row>
    <row r="154">
      <c r="A154" s="738"/>
      <c r="B154" s="738"/>
      <c r="C154" s="738"/>
      <c r="D154" s="738"/>
      <c r="E154" s="738"/>
      <c r="F154" s="738"/>
      <c r="G154" s="738"/>
      <c r="H154" s="738"/>
      <c r="I154" s="738"/>
      <c r="J154" s="738"/>
      <c r="K154" s="738"/>
      <c r="L154" s="738"/>
      <c r="M154" s="738"/>
      <c r="N154" s="738"/>
      <c r="O154" s="738"/>
      <c r="P154" s="738"/>
      <c r="Q154" s="738"/>
      <c r="R154" s="738"/>
      <c r="S154" s="738"/>
      <c r="T154" s="738"/>
      <c r="U154" s="738"/>
      <c r="V154" s="738"/>
      <c r="W154" s="738"/>
      <c r="X154" s="738"/>
      <c r="Y154" s="738"/>
      <c r="Z154" s="738"/>
      <c r="AA154" s="738"/>
      <c r="AB154" s="738"/>
      <c r="AC154" s="738"/>
      <c r="AD154" s="738"/>
      <c r="AE154" s="738"/>
      <c r="AF154" s="738"/>
      <c r="AG154" s="738"/>
      <c r="AH154" s="738"/>
      <c r="AI154" s="738"/>
      <c r="AJ154" s="738"/>
      <c r="AK154" s="738"/>
      <c r="AL154" s="738"/>
    </row>
    <row r="155">
      <c r="A155" s="738"/>
      <c r="B155" s="738"/>
      <c r="C155" s="738"/>
      <c r="D155" s="738"/>
      <c r="E155" s="738"/>
      <c r="F155" s="738"/>
      <c r="G155" s="738"/>
      <c r="H155" s="738"/>
      <c r="I155" s="738"/>
      <c r="J155" s="738"/>
      <c r="K155" s="738"/>
      <c r="L155" s="738"/>
      <c r="M155" s="738"/>
      <c r="N155" s="738"/>
      <c r="O155" s="738"/>
      <c r="P155" s="738"/>
      <c r="Q155" s="738"/>
      <c r="R155" s="738"/>
      <c r="S155" s="738"/>
      <c r="T155" s="738"/>
      <c r="U155" s="738"/>
      <c r="V155" s="738"/>
      <c r="W155" s="738"/>
      <c r="X155" s="738"/>
      <c r="Y155" s="738"/>
      <c r="Z155" s="738"/>
      <c r="AA155" s="738"/>
      <c r="AB155" s="738"/>
      <c r="AC155" s="738"/>
      <c r="AD155" s="738"/>
      <c r="AE155" s="738"/>
      <c r="AF155" s="738"/>
      <c r="AG155" s="738"/>
      <c r="AH155" s="738"/>
      <c r="AI155" s="738"/>
      <c r="AJ155" s="738"/>
      <c r="AK155" s="738"/>
      <c r="AL155" s="738"/>
    </row>
    <row r="156">
      <c r="A156" s="738"/>
      <c r="B156" s="738"/>
      <c r="C156" s="738"/>
      <c r="D156" s="738"/>
      <c r="E156" s="738"/>
      <c r="F156" s="738"/>
      <c r="G156" s="738"/>
      <c r="H156" s="738"/>
      <c r="I156" s="738"/>
      <c r="J156" s="738"/>
      <c r="K156" s="738"/>
      <c r="L156" s="738"/>
      <c r="M156" s="738"/>
      <c r="N156" s="738"/>
      <c r="O156" s="738"/>
      <c r="P156" s="738"/>
      <c r="Q156" s="738"/>
      <c r="R156" s="738"/>
      <c r="S156" s="738"/>
      <c r="T156" s="738"/>
      <c r="U156" s="738"/>
      <c r="V156" s="738"/>
      <c r="W156" s="738"/>
      <c r="X156" s="738"/>
      <c r="Y156" s="738"/>
      <c r="Z156" s="738"/>
      <c r="AA156" s="738"/>
      <c r="AB156" s="738"/>
      <c r="AC156" s="738"/>
      <c r="AD156" s="738"/>
      <c r="AE156" s="738"/>
      <c r="AF156" s="738"/>
      <c r="AG156" s="738"/>
      <c r="AH156" s="738"/>
      <c r="AI156" s="738"/>
      <c r="AJ156" s="738"/>
      <c r="AK156" s="738"/>
      <c r="AL156" s="738"/>
    </row>
    <row r="157">
      <c r="A157" s="738"/>
      <c r="B157" s="738"/>
      <c r="C157" s="738"/>
      <c r="D157" s="738"/>
      <c r="E157" s="738"/>
      <c r="F157" s="738"/>
      <c r="G157" s="738"/>
      <c r="H157" s="738"/>
      <c r="I157" s="738"/>
      <c r="J157" s="738"/>
      <c r="K157" s="738"/>
      <c r="L157" s="738"/>
      <c r="M157" s="738"/>
      <c r="N157" s="738"/>
      <c r="O157" s="738"/>
      <c r="P157" s="738"/>
      <c r="Q157" s="738"/>
      <c r="R157" s="738"/>
      <c r="S157" s="738"/>
      <c r="T157" s="738"/>
      <c r="U157" s="738"/>
      <c r="V157" s="738"/>
      <c r="W157" s="738"/>
      <c r="X157" s="738"/>
      <c r="Y157" s="738"/>
      <c r="Z157" s="738"/>
      <c r="AA157" s="738"/>
      <c r="AB157" s="738"/>
      <c r="AC157" s="738"/>
      <c r="AD157" s="738"/>
      <c r="AE157" s="738"/>
      <c r="AF157" s="738"/>
      <c r="AG157" s="738"/>
      <c r="AH157" s="738"/>
      <c r="AI157" s="738"/>
      <c r="AJ157" s="738"/>
      <c r="AK157" s="738"/>
      <c r="AL157" s="738"/>
    </row>
    <row r="158">
      <c r="A158" s="738"/>
      <c r="B158" s="738"/>
      <c r="C158" s="738"/>
      <c r="D158" s="738"/>
      <c r="E158" s="738"/>
      <c r="F158" s="738"/>
      <c r="G158" s="738"/>
      <c r="H158" s="738"/>
      <c r="I158" s="738"/>
      <c r="J158" s="738"/>
      <c r="K158" s="738"/>
      <c r="L158" s="738"/>
      <c r="M158" s="738"/>
      <c r="N158" s="738"/>
      <c r="O158" s="738"/>
      <c r="P158" s="738"/>
      <c r="Q158" s="738"/>
      <c r="R158" s="738"/>
      <c r="S158" s="738"/>
      <c r="T158" s="738"/>
      <c r="U158" s="738"/>
      <c r="V158" s="738"/>
      <c r="W158" s="738"/>
      <c r="X158" s="738"/>
      <c r="Y158" s="738"/>
      <c r="Z158" s="738"/>
      <c r="AA158" s="738"/>
      <c r="AB158" s="738"/>
      <c r="AC158" s="738"/>
      <c r="AD158" s="738"/>
      <c r="AE158" s="738"/>
      <c r="AF158" s="738"/>
      <c r="AG158" s="738"/>
      <c r="AH158" s="738"/>
      <c r="AI158" s="738"/>
      <c r="AJ158" s="738"/>
      <c r="AK158" s="738"/>
      <c r="AL158" s="738"/>
    </row>
    <row r="159">
      <c r="A159" s="738"/>
      <c r="B159" s="738"/>
      <c r="C159" s="738"/>
      <c r="D159" s="738"/>
      <c r="E159" s="738"/>
      <c r="F159" s="738"/>
      <c r="G159" s="738"/>
      <c r="H159" s="738"/>
      <c r="I159" s="738"/>
      <c r="J159" s="738"/>
      <c r="K159" s="738"/>
      <c r="L159" s="738"/>
      <c r="M159" s="738"/>
      <c r="N159" s="738"/>
      <c r="O159" s="738"/>
      <c r="P159" s="738"/>
      <c r="Q159" s="738"/>
      <c r="R159" s="738"/>
      <c r="S159" s="738"/>
      <c r="T159" s="738"/>
      <c r="U159" s="738"/>
      <c r="V159" s="738"/>
      <c r="W159" s="738"/>
      <c r="X159" s="738"/>
      <c r="Y159" s="738"/>
      <c r="Z159" s="738"/>
      <c r="AA159" s="738"/>
      <c r="AB159" s="738"/>
      <c r="AC159" s="738"/>
      <c r="AD159" s="738"/>
      <c r="AE159" s="738"/>
      <c r="AF159" s="738"/>
      <c r="AG159" s="738"/>
      <c r="AH159" s="738"/>
      <c r="AI159" s="738"/>
      <c r="AJ159" s="738"/>
      <c r="AK159" s="738"/>
      <c r="AL159" s="738"/>
    </row>
    <row r="160">
      <c r="A160" s="738"/>
      <c r="B160" s="738"/>
      <c r="C160" s="738"/>
      <c r="D160" s="738"/>
      <c r="E160" s="738"/>
      <c r="F160" s="738"/>
      <c r="G160" s="738"/>
      <c r="H160" s="738"/>
      <c r="I160" s="738"/>
      <c r="J160" s="738"/>
      <c r="K160" s="738"/>
      <c r="L160" s="738"/>
      <c r="M160" s="738"/>
      <c r="N160" s="738"/>
      <c r="O160" s="738"/>
      <c r="P160" s="738"/>
      <c r="Q160" s="738"/>
      <c r="R160" s="738"/>
      <c r="S160" s="738"/>
      <c r="T160" s="738"/>
      <c r="U160" s="738"/>
      <c r="V160" s="738"/>
      <c r="W160" s="738"/>
      <c r="X160" s="738"/>
      <c r="Y160" s="738"/>
      <c r="Z160" s="738"/>
      <c r="AA160" s="738"/>
      <c r="AB160" s="738"/>
      <c r="AC160" s="738"/>
      <c r="AD160" s="738"/>
      <c r="AE160" s="738"/>
      <c r="AF160" s="738"/>
      <c r="AG160" s="738"/>
      <c r="AH160" s="738"/>
      <c r="AI160" s="738"/>
      <c r="AJ160" s="738"/>
      <c r="AK160" s="738"/>
      <c r="AL160" s="738"/>
    </row>
    <row r="161">
      <c r="A161" s="738"/>
      <c r="B161" s="738"/>
      <c r="C161" s="738"/>
      <c r="D161" s="738"/>
      <c r="E161" s="738"/>
      <c r="F161" s="738"/>
      <c r="G161" s="738"/>
      <c r="H161" s="738"/>
      <c r="I161" s="738"/>
      <c r="J161" s="738"/>
      <c r="K161" s="738"/>
      <c r="L161" s="738"/>
      <c r="M161" s="738"/>
      <c r="N161" s="738"/>
      <c r="O161" s="738"/>
      <c r="P161" s="738"/>
      <c r="Q161" s="738"/>
      <c r="R161" s="738"/>
      <c r="S161" s="738"/>
      <c r="T161" s="738"/>
      <c r="U161" s="738"/>
      <c r="V161" s="738"/>
      <c r="W161" s="738"/>
      <c r="X161" s="738"/>
      <c r="Y161" s="738"/>
      <c r="Z161" s="738"/>
      <c r="AA161" s="738"/>
      <c r="AB161" s="738"/>
      <c r="AC161" s="738"/>
      <c r="AD161" s="738"/>
      <c r="AE161" s="738"/>
      <c r="AF161" s="738"/>
      <c r="AG161" s="738"/>
      <c r="AH161" s="738"/>
      <c r="AI161" s="738"/>
      <c r="AJ161" s="738"/>
      <c r="AK161" s="738"/>
      <c r="AL161" s="738"/>
    </row>
    <row r="162">
      <c r="A162" s="738"/>
      <c r="B162" s="738"/>
      <c r="C162" s="738"/>
      <c r="D162" s="738"/>
      <c r="E162" s="738"/>
      <c r="F162" s="738"/>
      <c r="G162" s="738"/>
      <c r="H162" s="738"/>
      <c r="I162" s="738"/>
      <c r="J162" s="738"/>
      <c r="K162" s="738"/>
      <c r="L162" s="738"/>
      <c r="M162" s="738"/>
      <c r="N162" s="738"/>
      <c r="O162" s="738"/>
      <c r="P162" s="738"/>
      <c r="Q162" s="738"/>
      <c r="R162" s="738"/>
      <c r="S162" s="738"/>
      <c r="T162" s="738"/>
      <c r="U162" s="738"/>
      <c r="V162" s="738"/>
      <c r="W162" s="738"/>
      <c r="X162" s="738"/>
      <c r="Y162" s="738"/>
      <c r="Z162" s="738"/>
      <c r="AA162" s="738"/>
      <c r="AB162" s="738"/>
      <c r="AC162" s="738"/>
      <c r="AD162" s="738"/>
      <c r="AE162" s="738"/>
      <c r="AF162" s="738"/>
      <c r="AG162" s="738"/>
      <c r="AH162" s="738"/>
      <c r="AI162" s="738"/>
      <c r="AJ162" s="738"/>
      <c r="AK162" s="738"/>
      <c r="AL162" s="738"/>
    </row>
    <row r="163">
      <c r="A163" s="738"/>
      <c r="B163" s="738"/>
      <c r="C163" s="738"/>
      <c r="D163" s="738"/>
      <c r="E163" s="738"/>
      <c r="F163" s="738"/>
      <c r="G163" s="738"/>
      <c r="H163" s="738"/>
      <c r="I163" s="738"/>
      <c r="J163" s="738"/>
      <c r="K163" s="738"/>
      <c r="L163" s="738"/>
      <c r="M163" s="738"/>
      <c r="N163" s="738"/>
      <c r="O163" s="738"/>
      <c r="P163" s="738"/>
      <c r="Q163" s="738"/>
      <c r="R163" s="738"/>
      <c r="S163" s="738"/>
      <c r="T163" s="738"/>
      <c r="U163" s="738"/>
      <c r="V163" s="738"/>
      <c r="W163" s="738"/>
      <c r="X163" s="738"/>
      <c r="Y163" s="738"/>
      <c r="Z163" s="738"/>
      <c r="AA163" s="738"/>
      <c r="AB163" s="738"/>
      <c r="AC163" s="738"/>
      <c r="AD163" s="738"/>
      <c r="AE163" s="738"/>
      <c r="AF163" s="738"/>
      <c r="AG163" s="738"/>
      <c r="AH163" s="738"/>
      <c r="AI163" s="738"/>
      <c r="AJ163" s="738"/>
      <c r="AK163" s="738"/>
      <c r="AL163" s="738"/>
    </row>
    <row r="164">
      <c r="A164" s="738"/>
      <c r="B164" s="738"/>
      <c r="C164" s="738"/>
      <c r="D164" s="738"/>
      <c r="E164" s="738"/>
      <c r="F164" s="738"/>
      <c r="G164" s="738"/>
      <c r="H164" s="738"/>
      <c r="I164" s="738"/>
      <c r="J164" s="738"/>
      <c r="K164" s="738"/>
      <c r="L164" s="738"/>
      <c r="M164" s="738"/>
      <c r="N164" s="738"/>
      <c r="O164" s="738"/>
      <c r="P164" s="738"/>
      <c r="Q164" s="738"/>
      <c r="R164" s="738"/>
      <c r="S164" s="738"/>
      <c r="T164" s="738"/>
      <c r="U164" s="738"/>
      <c r="V164" s="738"/>
      <c r="W164" s="738"/>
      <c r="X164" s="738"/>
      <c r="Y164" s="738"/>
      <c r="Z164" s="738"/>
      <c r="AA164" s="738"/>
      <c r="AB164" s="738"/>
      <c r="AC164" s="738"/>
      <c r="AD164" s="738"/>
      <c r="AE164" s="738"/>
      <c r="AF164" s="738"/>
      <c r="AG164" s="738"/>
      <c r="AH164" s="738"/>
      <c r="AI164" s="738"/>
      <c r="AJ164" s="738"/>
      <c r="AK164" s="738"/>
      <c r="AL164" s="738"/>
    </row>
    <row r="165">
      <c r="A165" s="738"/>
      <c r="B165" s="738"/>
      <c r="C165" s="738"/>
      <c r="D165" s="738"/>
      <c r="E165" s="738"/>
      <c r="F165" s="738"/>
      <c r="G165" s="738"/>
      <c r="H165" s="738"/>
      <c r="I165" s="738"/>
      <c r="J165" s="738"/>
      <c r="K165" s="738"/>
      <c r="L165" s="738"/>
      <c r="M165" s="738"/>
      <c r="N165" s="738"/>
      <c r="O165" s="738"/>
      <c r="P165" s="738"/>
      <c r="Q165" s="738"/>
      <c r="R165" s="738"/>
      <c r="S165" s="738"/>
      <c r="T165" s="738"/>
      <c r="U165" s="738"/>
      <c r="V165" s="738"/>
      <c r="W165" s="738"/>
      <c r="X165" s="738"/>
      <c r="Y165" s="738"/>
      <c r="Z165" s="738"/>
      <c r="AA165" s="738"/>
      <c r="AB165" s="738"/>
      <c r="AC165" s="738"/>
      <c r="AD165" s="738"/>
      <c r="AE165" s="738"/>
      <c r="AF165" s="738"/>
      <c r="AG165" s="738"/>
      <c r="AH165" s="738"/>
      <c r="AI165" s="738"/>
      <c r="AJ165" s="738"/>
      <c r="AK165" s="738"/>
      <c r="AL165" s="738"/>
    </row>
    <row r="166">
      <c r="A166" s="738"/>
      <c r="B166" s="738"/>
      <c r="C166" s="738"/>
      <c r="D166" s="738"/>
      <c r="E166" s="738"/>
      <c r="F166" s="738"/>
      <c r="G166" s="738"/>
      <c r="H166" s="738"/>
      <c r="I166" s="738"/>
      <c r="J166" s="738"/>
      <c r="K166" s="738"/>
      <c r="L166" s="738"/>
      <c r="M166" s="738"/>
      <c r="N166" s="738"/>
      <c r="O166" s="738"/>
      <c r="P166" s="738"/>
      <c r="Q166" s="738"/>
      <c r="R166" s="738"/>
      <c r="S166" s="738"/>
      <c r="T166" s="738"/>
      <c r="U166" s="738"/>
      <c r="V166" s="738"/>
      <c r="W166" s="738"/>
      <c r="X166" s="738"/>
      <c r="Y166" s="738"/>
      <c r="Z166" s="738"/>
      <c r="AA166" s="738"/>
      <c r="AB166" s="738"/>
      <c r="AC166" s="738"/>
      <c r="AD166" s="738"/>
      <c r="AE166" s="738"/>
      <c r="AF166" s="738"/>
      <c r="AG166" s="738"/>
      <c r="AH166" s="738"/>
      <c r="AI166" s="738"/>
      <c r="AJ166" s="738"/>
      <c r="AK166" s="738"/>
      <c r="AL166" s="738"/>
    </row>
    <row r="167">
      <c r="A167" s="738"/>
      <c r="B167" s="738"/>
      <c r="C167" s="738"/>
      <c r="D167" s="738"/>
      <c r="E167" s="738"/>
      <c r="F167" s="738"/>
      <c r="G167" s="738"/>
      <c r="H167" s="738"/>
      <c r="I167" s="738"/>
      <c r="J167" s="738"/>
      <c r="K167" s="738"/>
      <c r="L167" s="738"/>
      <c r="M167" s="738"/>
      <c r="N167" s="738"/>
      <c r="O167" s="738"/>
      <c r="P167" s="738"/>
      <c r="Q167" s="738"/>
      <c r="R167" s="738"/>
      <c r="S167" s="738"/>
      <c r="T167" s="738"/>
      <c r="U167" s="738"/>
      <c r="V167" s="738"/>
      <c r="W167" s="738"/>
      <c r="X167" s="738"/>
      <c r="Y167" s="738"/>
      <c r="Z167" s="738"/>
      <c r="AA167" s="738"/>
      <c r="AB167" s="738"/>
      <c r="AC167" s="738"/>
      <c r="AD167" s="738"/>
      <c r="AE167" s="738"/>
      <c r="AF167" s="738"/>
      <c r="AG167" s="738"/>
      <c r="AH167" s="738"/>
      <c r="AI167" s="738"/>
      <c r="AJ167" s="738"/>
      <c r="AK167" s="738"/>
      <c r="AL167" s="738"/>
    </row>
    <row r="168">
      <c r="A168" s="738"/>
      <c r="B168" s="738"/>
      <c r="C168" s="738"/>
      <c r="D168" s="738"/>
      <c r="E168" s="738"/>
      <c r="F168" s="738"/>
      <c r="G168" s="738"/>
      <c r="H168" s="738"/>
      <c r="I168" s="738"/>
      <c r="J168" s="738"/>
      <c r="K168" s="738"/>
      <c r="L168" s="738"/>
      <c r="M168" s="738"/>
      <c r="N168" s="738"/>
      <c r="O168" s="738"/>
      <c r="P168" s="738"/>
      <c r="Q168" s="738"/>
      <c r="R168" s="738"/>
      <c r="S168" s="738"/>
      <c r="T168" s="738"/>
      <c r="U168" s="738"/>
      <c r="V168" s="738"/>
      <c r="W168" s="738"/>
      <c r="X168" s="738"/>
      <c r="Y168" s="738"/>
      <c r="Z168" s="738"/>
      <c r="AA168" s="738"/>
      <c r="AB168" s="738"/>
      <c r="AC168" s="738"/>
      <c r="AD168" s="738"/>
      <c r="AE168" s="738"/>
      <c r="AF168" s="738"/>
      <c r="AG168" s="738"/>
      <c r="AH168" s="738"/>
      <c r="AI168" s="738"/>
      <c r="AJ168" s="738"/>
      <c r="AK168" s="738"/>
      <c r="AL168" s="738"/>
    </row>
    <row r="169">
      <c r="A169" s="738"/>
      <c r="B169" s="738"/>
      <c r="C169" s="738"/>
      <c r="D169" s="738"/>
      <c r="E169" s="738"/>
      <c r="F169" s="738"/>
      <c r="G169" s="738"/>
      <c r="H169" s="738"/>
      <c r="I169" s="738"/>
      <c r="J169" s="738"/>
      <c r="K169" s="738"/>
      <c r="L169" s="738"/>
      <c r="M169" s="738"/>
      <c r="N169" s="738"/>
      <c r="O169" s="738"/>
      <c r="P169" s="738"/>
      <c r="Q169" s="738"/>
      <c r="R169" s="738"/>
      <c r="S169" s="738"/>
      <c r="T169" s="738"/>
      <c r="U169" s="738"/>
      <c r="V169" s="738"/>
      <c r="W169" s="738"/>
      <c r="X169" s="738"/>
      <c r="Y169" s="738"/>
      <c r="Z169" s="738"/>
      <c r="AA169" s="738"/>
      <c r="AB169" s="738"/>
      <c r="AC169" s="738"/>
      <c r="AD169" s="738"/>
      <c r="AE169" s="738"/>
      <c r="AF169" s="738"/>
      <c r="AG169" s="738"/>
      <c r="AH169" s="738"/>
      <c r="AI169" s="738"/>
      <c r="AJ169" s="738"/>
      <c r="AK169" s="738"/>
      <c r="AL169" s="738"/>
    </row>
    <row r="170">
      <c r="A170" s="738"/>
      <c r="B170" s="738"/>
      <c r="C170" s="738"/>
      <c r="D170" s="738"/>
      <c r="E170" s="738"/>
      <c r="F170" s="738"/>
      <c r="G170" s="738"/>
      <c r="H170" s="738"/>
      <c r="I170" s="738"/>
      <c r="J170" s="738"/>
      <c r="K170" s="738"/>
      <c r="L170" s="738"/>
      <c r="M170" s="738"/>
      <c r="N170" s="738"/>
      <c r="O170" s="738"/>
      <c r="P170" s="738"/>
      <c r="Q170" s="738"/>
      <c r="R170" s="738"/>
      <c r="S170" s="738"/>
      <c r="T170" s="738"/>
      <c r="U170" s="738"/>
      <c r="V170" s="738"/>
      <c r="W170" s="738"/>
      <c r="X170" s="738"/>
      <c r="Y170" s="738"/>
      <c r="Z170" s="738"/>
      <c r="AA170" s="738"/>
      <c r="AB170" s="738"/>
      <c r="AC170" s="738"/>
      <c r="AD170" s="738"/>
      <c r="AE170" s="738"/>
      <c r="AF170" s="738"/>
      <c r="AG170" s="738"/>
      <c r="AH170" s="738"/>
      <c r="AI170" s="738"/>
      <c r="AJ170" s="738"/>
      <c r="AK170" s="738"/>
      <c r="AL170" s="738"/>
    </row>
    <row r="171">
      <c r="A171" s="738"/>
      <c r="B171" s="738"/>
      <c r="C171" s="738"/>
      <c r="D171" s="738"/>
      <c r="E171" s="738"/>
      <c r="F171" s="738"/>
      <c r="G171" s="738"/>
      <c r="H171" s="738"/>
      <c r="I171" s="738"/>
      <c r="J171" s="738"/>
      <c r="K171" s="738"/>
      <c r="L171" s="738"/>
      <c r="M171" s="738"/>
      <c r="N171" s="738"/>
      <c r="O171" s="738"/>
      <c r="P171" s="738"/>
      <c r="Q171" s="738"/>
      <c r="R171" s="738"/>
      <c r="S171" s="738"/>
      <c r="T171" s="738"/>
      <c r="U171" s="738"/>
      <c r="V171" s="738"/>
      <c r="W171" s="738"/>
      <c r="X171" s="738"/>
      <c r="Y171" s="738"/>
      <c r="Z171" s="738"/>
      <c r="AA171" s="738"/>
      <c r="AB171" s="738"/>
      <c r="AC171" s="738"/>
      <c r="AD171" s="738"/>
      <c r="AE171" s="738"/>
      <c r="AF171" s="738"/>
      <c r="AG171" s="738"/>
      <c r="AH171" s="738"/>
      <c r="AI171" s="738"/>
      <c r="AJ171" s="738"/>
      <c r="AK171" s="738"/>
      <c r="AL171" s="738"/>
    </row>
    <row r="172">
      <c r="A172" s="738"/>
      <c r="B172" s="738"/>
      <c r="C172" s="738"/>
      <c r="D172" s="738"/>
      <c r="E172" s="738"/>
      <c r="F172" s="738"/>
      <c r="G172" s="738"/>
      <c r="H172" s="738"/>
      <c r="I172" s="738"/>
      <c r="J172" s="738"/>
      <c r="K172" s="738"/>
      <c r="L172" s="738"/>
      <c r="M172" s="738"/>
      <c r="N172" s="738"/>
      <c r="O172" s="738"/>
      <c r="P172" s="738"/>
      <c r="Q172" s="738"/>
      <c r="R172" s="738"/>
      <c r="S172" s="738"/>
      <c r="T172" s="738"/>
      <c r="U172" s="738"/>
      <c r="V172" s="738"/>
      <c r="W172" s="738"/>
      <c r="X172" s="738"/>
      <c r="Y172" s="738"/>
      <c r="Z172" s="738"/>
      <c r="AA172" s="738"/>
      <c r="AB172" s="738"/>
      <c r="AC172" s="738"/>
      <c r="AD172" s="738"/>
      <c r="AE172" s="738"/>
      <c r="AF172" s="738"/>
      <c r="AG172" s="738"/>
      <c r="AH172" s="738"/>
      <c r="AI172" s="738"/>
      <c r="AJ172" s="738"/>
      <c r="AK172" s="738"/>
      <c r="AL172" s="738"/>
    </row>
    <row r="173">
      <c r="A173" s="738"/>
      <c r="B173" s="738"/>
      <c r="C173" s="738"/>
      <c r="D173" s="738"/>
      <c r="E173" s="738"/>
      <c r="F173" s="738"/>
      <c r="G173" s="738"/>
      <c r="H173" s="738"/>
      <c r="I173" s="738"/>
      <c r="J173" s="738"/>
      <c r="K173" s="738"/>
      <c r="L173" s="738"/>
      <c r="M173" s="738"/>
      <c r="N173" s="738"/>
      <c r="O173" s="738"/>
      <c r="P173" s="738"/>
      <c r="Q173" s="738"/>
      <c r="R173" s="738"/>
      <c r="S173" s="738"/>
      <c r="T173" s="738"/>
      <c r="U173" s="738"/>
      <c r="V173" s="738"/>
      <c r="W173" s="738"/>
      <c r="X173" s="738"/>
      <c r="Y173" s="738"/>
      <c r="Z173" s="738"/>
      <c r="AA173" s="738"/>
      <c r="AB173" s="738"/>
      <c r="AC173" s="738"/>
      <c r="AD173" s="738"/>
      <c r="AE173" s="738"/>
      <c r="AF173" s="738"/>
      <c r="AG173" s="738"/>
      <c r="AH173" s="738"/>
      <c r="AI173" s="738"/>
      <c r="AJ173" s="738"/>
      <c r="AK173" s="738"/>
      <c r="AL173" s="738"/>
    </row>
    <row r="174">
      <c r="A174" s="738"/>
      <c r="B174" s="738"/>
      <c r="C174" s="738"/>
      <c r="D174" s="738"/>
      <c r="E174" s="738"/>
      <c r="F174" s="738"/>
      <c r="G174" s="738"/>
      <c r="H174" s="738"/>
      <c r="I174" s="738"/>
      <c r="J174" s="738"/>
      <c r="K174" s="738"/>
      <c r="L174" s="738"/>
      <c r="M174" s="738"/>
      <c r="N174" s="738"/>
      <c r="O174" s="738"/>
      <c r="P174" s="738"/>
      <c r="Q174" s="738"/>
      <c r="R174" s="738"/>
      <c r="S174" s="738"/>
      <c r="T174" s="738"/>
      <c r="U174" s="738"/>
      <c r="V174" s="738"/>
      <c r="W174" s="738"/>
      <c r="X174" s="738"/>
      <c r="Y174" s="738"/>
      <c r="Z174" s="738"/>
      <c r="AA174" s="738"/>
      <c r="AB174" s="738"/>
      <c r="AC174" s="738"/>
      <c r="AD174" s="738"/>
      <c r="AE174" s="738"/>
      <c r="AF174" s="738"/>
      <c r="AG174" s="738"/>
      <c r="AH174" s="738"/>
      <c r="AI174" s="738"/>
      <c r="AJ174" s="738"/>
      <c r="AK174" s="738"/>
      <c r="AL174" s="738"/>
    </row>
    <row r="175">
      <c r="A175" s="738"/>
      <c r="B175" s="738"/>
      <c r="C175" s="738"/>
      <c r="D175" s="738"/>
      <c r="E175" s="738"/>
      <c r="F175" s="738"/>
      <c r="G175" s="738"/>
      <c r="H175" s="738"/>
      <c r="I175" s="738"/>
      <c r="J175" s="738"/>
      <c r="K175" s="738"/>
      <c r="L175" s="738"/>
      <c r="M175" s="738"/>
      <c r="N175" s="738"/>
      <c r="O175" s="738"/>
      <c r="P175" s="738"/>
      <c r="Q175" s="738"/>
      <c r="R175" s="738"/>
      <c r="S175" s="738"/>
      <c r="T175" s="738"/>
      <c r="U175" s="738"/>
      <c r="V175" s="738"/>
      <c r="W175" s="738"/>
      <c r="X175" s="738"/>
      <c r="Y175" s="738"/>
      <c r="Z175" s="738"/>
      <c r="AA175" s="738"/>
      <c r="AB175" s="738"/>
      <c r="AC175" s="738"/>
      <c r="AD175" s="738"/>
      <c r="AE175" s="738"/>
      <c r="AF175" s="738"/>
      <c r="AG175" s="738"/>
      <c r="AH175" s="738"/>
      <c r="AI175" s="738"/>
      <c r="AJ175" s="738"/>
      <c r="AK175" s="738"/>
      <c r="AL175" s="738"/>
    </row>
    <row r="176">
      <c r="A176" s="738"/>
      <c r="B176" s="738"/>
      <c r="C176" s="738"/>
      <c r="D176" s="738"/>
      <c r="E176" s="738"/>
      <c r="F176" s="738"/>
      <c r="G176" s="738"/>
      <c r="H176" s="738"/>
      <c r="I176" s="738"/>
      <c r="J176" s="738"/>
      <c r="K176" s="738"/>
      <c r="L176" s="738"/>
      <c r="M176" s="738"/>
      <c r="N176" s="738"/>
      <c r="O176" s="738"/>
      <c r="P176" s="738"/>
      <c r="Q176" s="738"/>
      <c r="R176" s="738"/>
      <c r="S176" s="738"/>
      <c r="T176" s="738"/>
      <c r="U176" s="738"/>
      <c r="V176" s="738"/>
      <c r="W176" s="738"/>
      <c r="X176" s="738"/>
      <c r="Y176" s="738"/>
      <c r="Z176" s="738"/>
      <c r="AA176" s="738"/>
      <c r="AB176" s="738"/>
      <c r="AC176" s="738"/>
      <c r="AD176" s="738"/>
      <c r="AE176" s="738"/>
      <c r="AF176" s="738"/>
      <c r="AG176" s="738"/>
      <c r="AH176" s="738"/>
      <c r="AI176" s="738"/>
      <c r="AJ176" s="738"/>
      <c r="AK176" s="738"/>
      <c r="AL176" s="738"/>
    </row>
    <row r="177">
      <c r="A177" s="738"/>
      <c r="B177" s="738"/>
      <c r="C177" s="738"/>
      <c r="D177" s="738"/>
      <c r="E177" s="738"/>
      <c r="F177" s="738"/>
      <c r="G177" s="738"/>
      <c r="H177" s="738"/>
      <c r="I177" s="738"/>
      <c r="J177" s="738"/>
      <c r="K177" s="738"/>
      <c r="L177" s="738"/>
      <c r="M177" s="738"/>
      <c r="N177" s="738"/>
      <c r="O177" s="738"/>
      <c r="P177" s="738"/>
      <c r="Q177" s="738"/>
      <c r="R177" s="738"/>
      <c r="S177" s="738"/>
      <c r="T177" s="738"/>
      <c r="U177" s="738"/>
      <c r="V177" s="738"/>
      <c r="W177" s="738"/>
      <c r="X177" s="738"/>
      <c r="Y177" s="738"/>
      <c r="Z177" s="738"/>
      <c r="AA177" s="738"/>
      <c r="AB177" s="738"/>
      <c r="AC177" s="738"/>
      <c r="AD177" s="738"/>
      <c r="AE177" s="738"/>
      <c r="AF177" s="738"/>
      <c r="AG177" s="738"/>
      <c r="AH177" s="738"/>
      <c r="AI177" s="738"/>
      <c r="AJ177" s="738"/>
      <c r="AK177" s="738"/>
      <c r="AL177" s="738"/>
    </row>
    <row r="178">
      <c r="A178" s="738"/>
      <c r="B178" s="738"/>
      <c r="C178" s="738"/>
      <c r="D178" s="738"/>
      <c r="E178" s="738"/>
      <c r="F178" s="738"/>
      <c r="G178" s="738"/>
      <c r="H178" s="738"/>
      <c r="I178" s="738"/>
      <c r="J178" s="738"/>
      <c r="K178" s="738"/>
      <c r="L178" s="738"/>
      <c r="M178" s="738"/>
      <c r="N178" s="738"/>
      <c r="O178" s="738"/>
      <c r="P178" s="738"/>
      <c r="Q178" s="738"/>
      <c r="R178" s="738"/>
      <c r="S178" s="738"/>
      <c r="T178" s="738"/>
      <c r="U178" s="738"/>
      <c r="V178" s="738"/>
      <c r="W178" s="738"/>
      <c r="X178" s="738"/>
      <c r="Y178" s="738"/>
      <c r="Z178" s="738"/>
      <c r="AA178" s="738"/>
      <c r="AB178" s="738"/>
      <c r="AC178" s="738"/>
      <c r="AD178" s="738"/>
      <c r="AE178" s="738"/>
      <c r="AF178" s="738"/>
      <c r="AG178" s="738"/>
      <c r="AH178" s="738"/>
      <c r="AI178" s="738"/>
      <c r="AJ178" s="738"/>
      <c r="AK178" s="738"/>
      <c r="AL178" s="738"/>
    </row>
    <row r="179">
      <c r="A179" s="738"/>
      <c r="B179" s="738"/>
      <c r="C179" s="738"/>
      <c r="D179" s="738"/>
      <c r="E179" s="738"/>
      <c r="F179" s="738"/>
      <c r="G179" s="738"/>
      <c r="H179" s="738"/>
      <c r="I179" s="738"/>
      <c r="J179" s="738"/>
      <c r="K179" s="738"/>
      <c r="L179" s="738"/>
      <c r="M179" s="738"/>
      <c r="N179" s="738"/>
      <c r="O179" s="738"/>
      <c r="P179" s="738"/>
      <c r="Q179" s="738"/>
      <c r="R179" s="738"/>
      <c r="S179" s="738"/>
      <c r="T179" s="738"/>
      <c r="U179" s="738"/>
      <c r="V179" s="738"/>
      <c r="W179" s="738"/>
      <c r="X179" s="738"/>
      <c r="Y179" s="738"/>
      <c r="Z179" s="738"/>
      <c r="AA179" s="738"/>
      <c r="AB179" s="738"/>
      <c r="AC179" s="738"/>
      <c r="AD179" s="738"/>
      <c r="AE179" s="738"/>
      <c r="AF179" s="738"/>
      <c r="AG179" s="738"/>
      <c r="AH179" s="738"/>
      <c r="AI179" s="738"/>
      <c r="AJ179" s="738"/>
      <c r="AK179" s="738"/>
      <c r="AL179" s="738"/>
    </row>
    <row r="180">
      <c r="A180" s="738"/>
      <c r="B180" s="738"/>
      <c r="C180" s="738"/>
      <c r="D180" s="738"/>
      <c r="E180" s="738"/>
      <c r="F180" s="738"/>
      <c r="G180" s="738"/>
      <c r="H180" s="738"/>
      <c r="I180" s="738"/>
      <c r="J180" s="738"/>
      <c r="K180" s="738"/>
      <c r="L180" s="738"/>
      <c r="M180" s="738"/>
      <c r="N180" s="738"/>
      <c r="O180" s="738"/>
      <c r="P180" s="738"/>
      <c r="Q180" s="738"/>
      <c r="R180" s="738"/>
      <c r="S180" s="738"/>
      <c r="T180" s="738"/>
      <c r="U180" s="738"/>
      <c r="V180" s="738"/>
      <c r="W180" s="738"/>
      <c r="X180" s="738"/>
      <c r="Y180" s="738"/>
      <c r="Z180" s="738"/>
      <c r="AA180" s="738"/>
      <c r="AB180" s="738"/>
      <c r="AC180" s="738"/>
      <c r="AD180" s="738"/>
      <c r="AE180" s="738"/>
      <c r="AF180" s="738"/>
      <c r="AG180" s="738"/>
      <c r="AH180" s="738"/>
      <c r="AI180" s="738"/>
      <c r="AJ180" s="738"/>
      <c r="AK180" s="738"/>
      <c r="AL180" s="738"/>
    </row>
    <row r="181">
      <c r="A181" s="738"/>
      <c r="B181" s="738"/>
      <c r="C181" s="738"/>
      <c r="D181" s="738"/>
      <c r="E181" s="738"/>
      <c r="F181" s="738"/>
      <c r="G181" s="738"/>
      <c r="H181" s="738"/>
      <c r="I181" s="738"/>
      <c r="J181" s="738"/>
      <c r="K181" s="738"/>
      <c r="L181" s="738"/>
      <c r="M181" s="738"/>
      <c r="N181" s="738"/>
      <c r="O181" s="738"/>
      <c r="P181" s="738"/>
      <c r="Q181" s="738"/>
      <c r="R181" s="738"/>
      <c r="S181" s="738"/>
      <c r="T181" s="738"/>
      <c r="U181" s="738"/>
      <c r="V181" s="738"/>
      <c r="W181" s="738"/>
      <c r="X181" s="738"/>
      <c r="Y181" s="738"/>
      <c r="Z181" s="738"/>
      <c r="AA181" s="738"/>
      <c r="AB181" s="738"/>
      <c r="AC181" s="738"/>
      <c r="AD181" s="738"/>
      <c r="AE181" s="738"/>
      <c r="AF181" s="738"/>
      <c r="AG181" s="738"/>
      <c r="AH181" s="738"/>
      <c r="AI181" s="738"/>
      <c r="AJ181" s="738"/>
      <c r="AK181" s="738"/>
      <c r="AL181" s="738"/>
    </row>
    <row r="182">
      <c r="A182" s="738"/>
      <c r="B182" s="738"/>
      <c r="C182" s="738"/>
      <c r="D182" s="738"/>
      <c r="E182" s="738"/>
      <c r="F182" s="738"/>
      <c r="G182" s="738"/>
      <c r="H182" s="738"/>
      <c r="I182" s="738"/>
      <c r="J182" s="738"/>
      <c r="K182" s="738"/>
      <c r="L182" s="738"/>
      <c r="M182" s="738"/>
      <c r="N182" s="738"/>
      <c r="O182" s="738"/>
      <c r="P182" s="738"/>
      <c r="Q182" s="738"/>
      <c r="R182" s="738"/>
      <c r="S182" s="738"/>
      <c r="T182" s="738"/>
      <c r="U182" s="738"/>
      <c r="V182" s="738"/>
      <c r="W182" s="738"/>
      <c r="X182" s="738"/>
      <c r="Y182" s="738"/>
      <c r="Z182" s="738"/>
      <c r="AA182" s="738"/>
      <c r="AB182" s="738"/>
      <c r="AC182" s="738"/>
      <c r="AD182" s="738"/>
      <c r="AE182" s="738"/>
      <c r="AF182" s="738"/>
      <c r="AG182" s="738"/>
      <c r="AH182" s="738"/>
      <c r="AI182" s="738"/>
      <c r="AJ182" s="738"/>
      <c r="AK182" s="738"/>
      <c r="AL182" s="738"/>
    </row>
    <row r="183">
      <c r="A183" s="738"/>
      <c r="B183" s="738"/>
      <c r="C183" s="738"/>
      <c r="D183" s="738"/>
      <c r="E183" s="738"/>
      <c r="F183" s="738"/>
      <c r="G183" s="738"/>
      <c r="H183" s="738"/>
      <c r="I183" s="738"/>
      <c r="J183" s="738"/>
      <c r="K183" s="738"/>
      <c r="L183" s="738"/>
      <c r="M183" s="738"/>
      <c r="N183" s="738"/>
      <c r="O183" s="738"/>
      <c r="P183" s="738"/>
      <c r="Q183" s="738"/>
      <c r="R183" s="738"/>
      <c r="S183" s="738"/>
      <c r="T183" s="738"/>
      <c r="U183" s="738"/>
      <c r="V183" s="738"/>
      <c r="W183" s="738"/>
      <c r="X183" s="738"/>
      <c r="Y183" s="738"/>
      <c r="Z183" s="738"/>
      <c r="AA183" s="738"/>
      <c r="AB183" s="738"/>
      <c r="AC183" s="738"/>
      <c r="AD183" s="738"/>
      <c r="AE183" s="738"/>
      <c r="AF183" s="738"/>
      <c r="AG183" s="738"/>
      <c r="AH183" s="738"/>
      <c r="AI183" s="738"/>
      <c r="AJ183" s="738"/>
      <c r="AK183" s="738"/>
      <c r="AL183" s="738"/>
    </row>
    <row r="184">
      <c r="A184" s="738"/>
      <c r="B184" s="738"/>
      <c r="C184" s="738"/>
      <c r="D184" s="738"/>
      <c r="E184" s="738"/>
      <c r="F184" s="738"/>
      <c r="G184" s="738"/>
      <c r="H184" s="738"/>
      <c r="I184" s="738"/>
      <c r="J184" s="738"/>
      <c r="K184" s="738"/>
      <c r="L184" s="738"/>
      <c r="M184" s="738"/>
      <c r="N184" s="738"/>
      <c r="O184" s="738"/>
      <c r="P184" s="738"/>
      <c r="Q184" s="738"/>
      <c r="R184" s="738"/>
      <c r="S184" s="738"/>
      <c r="T184" s="738"/>
      <c r="U184" s="738"/>
      <c r="V184" s="738"/>
      <c r="W184" s="738"/>
      <c r="X184" s="738"/>
      <c r="Y184" s="738"/>
      <c r="Z184" s="738"/>
      <c r="AA184" s="738"/>
      <c r="AB184" s="738"/>
      <c r="AC184" s="738"/>
      <c r="AD184" s="738"/>
      <c r="AE184" s="738"/>
      <c r="AF184" s="738"/>
      <c r="AG184" s="738"/>
      <c r="AH184" s="738"/>
      <c r="AI184" s="738"/>
      <c r="AJ184" s="738"/>
      <c r="AK184" s="738"/>
      <c r="AL184" s="738"/>
    </row>
    <row r="185">
      <c r="A185" s="738"/>
      <c r="B185" s="738"/>
      <c r="C185" s="738"/>
      <c r="D185" s="738"/>
      <c r="E185" s="738"/>
      <c r="F185" s="738"/>
      <c r="G185" s="738"/>
      <c r="H185" s="738"/>
      <c r="I185" s="738"/>
      <c r="J185" s="738"/>
      <c r="K185" s="738"/>
      <c r="L185" s="738"/>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row>
    <row r="186">
      <c r="A186" s="738"/>
      <c r="B186" s="738"/>
      <c r="C186" s="738"/>
      <c r="D186" s="738"/>
      <c r="E186" s="738"/>
      <c r="F186" s="738"/>
      <c r="G186" s="738"/>
      <c r="H186" s="738"/>
      <c r="I186" s="738"/>
      <c r="J186" s="738"/>
      <c r="K186" s="738"/>
      <c r="L186" s="738"/>
      <c r="M186" s="738"/>
      <c r="N186" s="738"/>
      <c r="O186" s="738"/>
      <c r="P186" s="738"/>
      <c r="Q186" s="738"/>
      <c r="R186" s="738"/>
      <c r="S186" s="738"/>
      <c r="T186" s="738"/>
      <c r="U186" s="738"/>
      <c r="V186" s="738"/>
      <c r="W186" s="738"/>
      <c r="X186" s="738"/>
      <c r="Y186" s="738"/>
      <c r="Z186" s="738"/>
      <c r="AA186" s="738"/>
      <c r="AB186" s="738"/>
      <c r="AC186" s="738"/>
      <c r="AD186" s="738"/>
      <c r="AE186" s="738"/>
      <c r="AF186" s="738"/>
      <c r="AG186" s="738"/>
      <c r="AH186" s="738"/>
      <c r="AI186" s="738"/>
      <c r="AJ186" s="738"/>
      <c r="AK186" s="738"/>
      <c r="AL186" s="738"/>
    </row>
    <row r="187">
      <c r="A187" s="738"/>
      <c r="B187" s="738"/>
      <c r="C187" s="738"/>
      <c r="D187" s="738"/>
      <c r="E187" s="738"/>
      <c r="F187" s="738"/>
      <c r="G187" s="738"/>
      <c r="H187" s="738"/>
      <c r="I187" s="738"/>
      <c r="J187" s="738"/>
      <c r="K187" s="738"/>
      <c r="L187" s="738"/>
      <c r="M187" s="738"/>
      <c r="N187" s="738"/>
      <c r="O187" s="738"/>
      <c r="P187" s="738"/>
      <c r="Q187" s="738"/>
      <c r="R187" s="738"/>
      <c r="S187" s="738"/>
      <c r="T187" s="738"/>
      <c r="U187" s="738"/>
      <c r="V187" s="738"/>
      <c r="W187" s="738"/>
      <c r="X187" s="738"/>
      <c r="Y187" s="738"/>
      <c r="Z187" s="738"/>
      <c r="AA187" s="738"/>
      <c r="AB187" s="738"/>
      <c r="AC187" s="738"/>
      <c r="AD187" s="738"/>
      <c r="AE187" s="738"/>
      <c r="AF187" s="738"/>
      <c r="AG187" s="738"/>
      <c r="AH187" s="738"/>
      <c r="AI187" s="738"/>
      <c r="AJ187" s="738"/>
      <c r="AK187" s="738"/>
      <c r="AL187" s="738"/>
    </row>
    <row r="188">
      <c r="A188" s="738"/>
      <c r="B188" s="738"/>
      <c r="C188" s="738"/>
      <c r="D188" s="738"/>
      <c r="E188" s="738"/>
      <c r="F188" s="738"/>
      <c r="G188" s="738"/>
      <c r="H188" s="738"/>
      <c r="I188" s="738"/>
      <c r="J188" s="738"/>
      <c r="K188" s="738"/>
      <c r="L188" s="738"/>
      <c r="M188" s="738"/>
      <c r="N188" s="738"/>
      <c r="O188" s="738"/>
      <c r="P188" s="738"/>
      <c r="Q188" s="738"/>
      <c r="R188" s="738"/>
      <c r="S188" s="738"/>
      <c r="T188" s="738"/>
      <c r="U188" s="738"/>
      <c r="V188" s="738"/>
      <c r="W188" s="738"/>
      <c r="X188" s="738"/>
      <c r="Y188" s="738"/>
      <c r="Z188" s="738"/>
      <c r="AA188" s="738"/>
      <c r="AB188" s="738"/>
      <c r="AC188" s="738"/>
      <c r="AD188" s="738"/>
      <c r="AE188" s="738"/>
      <c r="AF188" s="738"/>
      <c r="AG188" s="738"/>
      <c r="AH188" s="738"/>
      <c r="AI188" s="738"/>
      <c r="AJ188" s="738"/>
      <c r="AK188" s="738"/>
      <c r="AL188" s="738"/>
    </row>
    <row r="189">
      <c r="A189" s="738"/>
      <c r="B189" s="738"/>
      <c r="C189" s="738"/>
      <c r="D189" s="738"/>
      <c r="E189" s="738"/>
      <c r="F189" s="738"/>
      <c r="G189" s="738"/>
      <c r="H189" s="738"/>
      <c r="I189" s="738"/>
      <c r="J189" s="738"/>
      <c r="K189" s="738"/>
      <c r="L189" s="738"/>
      <c r="M189" s="738"/>
      <c r="N189" s="738"/>
      <c r="O189" s="738"/>
      <c r="P189" s="738"/>
      <c r="Q189" s="738"/>
      <c r="R189" s="738"/>
      <c r="S189" s="738"/>
      <c r="T189" s="738"/>
      <c r="U189" s="738"/>
      <c r="V189" s="738"/>
      <c r="W189" s="738"/>
      <c r="X189" s="738"/>
      <c r="Y189" s="738"/>
      <c r="Z189" s="738"/>
      <c r="AA189" s="738"/>
      <c r="AB189" s="738"/>
      <c r="AC189" s="738"/>
      <c r="AD189" s="738"/>
      <c r="AE189" s="738"/>
      <c r="AF189" s="738"/>
      <c r="AG189" s="738"/>
      <c r="AH189" s="738"/>
      <c r="AI189" s="738"/>
      <c r="AJ189" s="738"/>
      <c r="AK189" s="738"/>
      <c r="AL189" s="738"/>
    </row>
    <row r="190">
      <c r="A190" s="738"/>
      <c r="B190" s="738"/>
      <c r="C190" s="738"/>
      <c r="D190" s="738"/>
      <c r="E190" s="738"/>
      <c r="F190" s="738"/>
      <c r="G190" s="738"/>
      <c r="H190" s="738"/>
      <c r="I190" s="738"/>
      <c r="J190" s="738"/>
      <c r="K190" s="738"/>
      <c r="L190" s="738"/>
      <c r="M190" s="738"/>
      <c r="N190" s="738"/>
      <c r="O190" s="738"/>
      <c r="P190" s="738"/>
      <c r="Q190" s="738"/>
      <c r="R190" s="738"/>
      <c r="S190" s="738"/>
      <c r="T190" s="738"/>
      <c r="U190" s="738"/>
      <c r="V190" s="738"/>
      <c r="W190" s="738"/>
      <c r="X190" s="738"/>
      <c r="Y190" s="738"/>
      <c r="Z190" s="738"/>
      <c r="AA190" s="738"/>
      <c r="AB190" s="738"/>
      <c r="AC190" s="738"/>
      <c r="AD190" s="738"/>
      <c r="AE190" s="738"/>
      <c r="AF190" s="738"/>
      <c r="AG190" s="738"/>
      <c r="AH190" s="738"/>
      <c r="AI190" s="738"/>
      <c r="AJ190" s="738"/>
      <c r="AK190" s="738"/>
      <c r="AL190" s="738"/>
    </row>
    <row r="191">
      <c r="A191" s="738"/>
      <c r="B191" s="738"/>
      <c r="C191" s="738"/>
      <c r="D191" s="738"/>
      <c r="E191" s="738"/>
      <c r="F191" s="738"/>
      <c r="G191" s="738"/>
      <c r="H191" s="738"/>
      <c r="I191" s="738"/>
      <c r="J191" s="738"/>
      <c r="K191" s="738"/>
      <c r="L191" s="738"/>
      <c r="M191" s="738"/>
      <c r="N191" s="738"/>
      <c r="O191" s="738"/>
      <c r="P191" s="738"/>
      <c r="Q191" s="738"/>
      <c r="R191" s="738"/>
      <c r="S191" s="738"/>
      <c r="T191" s="738"/>
      <c r="U191" s="738"/>
      <c r="V191" s="738"/>
      <c r="W191" s="738"/>
      <c r="X191" s="738"/>
      <c r="Y191" s="738"/>
      <c r="Z191" s="738"/>
      <c r="AA191" s="738"/>
      <c r="AB191" s="738"/>
      <c r="AC191" s="738"/>
      <c r="AD191" s="738"/>
      <c r="AE191" s="738"/>
      <c r="AF191" s="738"/>
      <c r="AG191" s="738"/>
      <c r="AH191" s="738"/>
      <c r="AI191" s="738"/>
      <c r="AJ191" s="738"/>
      <c r="AK191" s="738"/>
      <c r="AL191" s="738"/>
    </row>
    <row r="192">
      <c r="A192" s="738"/>
      <c r="B192" s="738"/>
      <c r="C192" s="738"/>
      <c r="D192" s="738"/>
      <c r="E192" s="738"/>
      <c r="F192" s="738"/>
      <c r="G192" s="738"/>
      <c r="H192" s="738"/>
      <c r="I192" s="738"/>
      <c r="J192" s="738"/>
      <c r="K192" s="738"/>
      <c r="L192" s="738"/>
      <c r="M192" s="738"/>
      <c r="N192" s="738"/>
      <c r="O192" s="738"/>
      <c r="P192" s="738"/>
      <c r="Q192" s="738"/>
      <c r="R192" s="738"/>
      <c r="S192" s="738"/>
      <c r="T192" s="738"/>
      <c r="U192" s="738"/>
      <c r="V192" s="738"/>
      <c r="W192" s="738"/>
      <c r="X192" s="738"/>
      <c r="Y192" s="738"/>
      <c r="Z192" s="738"/>
      <c r="AA192" s="738"/>
      <c r="AB192" s="738"/>
      <c r="AC192" s="738"/>
      <c r="AD192" s="738"/>
      <c r="AE192" s="738"/>
      <c r="AF192" s="738"/>
      <c r="AG192" s="738"/>
      <c r="AH192" s="738"/>
      <c r="AI192" s="738"/>
      <c r="AJ192" s="738"/>
      <c r="AK192" s="738"/>
      <c r="AL192" s="738"/>
    </row>
    <row r="193">
      <c r="A193" s="738"/>
      <c r="B193" s="738"/>
      <c r="C193" s="738"/>
      <c r="D193" s="738"/>
      <c r="E193" s="738"/>
      <c r="F193" s="738"/>
      <c r="G193" s="738"/>
      <c r="H193" s="738"/>
      <c r="I193" s="738"/>
      <c r="J193" s="738"/>
      <c r="K193" s="738"/>
      <c r="L193" s="738"/>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row>
    <row r="194">
      <c r="A194" s="738"/>
      <c r="B194" s="738"/>
      <c r="C194" s="738"/>
      <c r="D194" s="738"/>
      <c r="E194" s="738"/>
      <c r="F194" s="738"/>
      <c r="G194" s="738"/>
      <c r="H194" s="738"/>
      <c r="I194" s="738"/>
      <c r="J194" s="738"/>
      <c r="K194" s="738"/>
      <c r="L194" s="738"/>
      <c r="M194" s="738"/>
      <c r="N194" s="738"/>
      <c r="O194" s="738"/>
      <c r="P194" s="738"/>
      <c r="Q194" s="738"/>
      <c r="R194" s="738"/>
      <c r="S194" s="738"/>
      <c r="T194" s="738"/>
      <c r="U194" s="738"/>
      <c r="V194" s="738"/>
      <c r="W194" s="738"/>
      <c r="X194" s="738"/>
      <c r="Y194" s="738"/>
      <c r="Z194" s="738"/>
      <c r="AA194" s="738"/>
      <c r="AB194" s="738"/>
      <c r="AC194" s="738"/>
      <c r="AD194" s="738"/>
      <c r="AE194" s="738"/>
      <c r="AF194" s="738"/>
      <c r="AG194" s="738"/>
      <c r="AH194" s="738"/>
      <c r="AI194" s="738"/>
      <c r="AJ194" s="738"/>
      <c r="AK194" s="738"/>
      <c r="AL194" s="738"/>
    </row>
    <row r="195">
      <c r="A195" s="738"/>
      <c r="B195" s="738"/>
      <c r="C195" s="738"/>
      <c r="D195" s="738"/>
      <c r="E195" s="738"/>
      <c r="F195" s="738"/>
      <c r="G195" s="738"/>
      <c r="H195" s="738"/>
      <c r="I195" s="738"/>
      <c r="J195" s="738"/>
      <c r="K195" s="738"/>
      <c r="L195" s="738"/>
      <c r="M195" s="738"/>
      <c r="N195" s="738"/>
      <c r="O195" s="738"/>
      <c r="P195" s="738"/>
      <c r="Q195" s="738"/>
      <c r="R195" s="738"/>
      <c r="S195" s="738"/>
      <c r="T195" s="738"/>
      <c r="U195" s="738"/>
      <c r="V195" s="738"/>
      <c r="W195" s="738"/>
      <c r="X195" s="738"/>
      <c r="Y195" s="738"/>
      <c r="Z195" s="738"/>
      <c r="AA195" s="738"/>
      <c r="AB195" s="738"/>
      <c r="AC195" s="738"/>
      <c r="AD195" s="738"/>
      <c r="AE195" s="738"/>
      <c r="AF195" s="738"/>
      <c r="AG195" s="738"/>
      <c r="AH195" s="738"/>
      <c r="AI195" s="738"/>
      <c r="AJ195" s="738"/>
      <c r="AK195" s="738"/>
      <c r="AL195" s="738"/>
    </row>
    <row r="196">
      <c r="A196" s="738"/>
      <c r="B196" s="738"/>
      <c r="C196" s="738"/>
      <c r="D196" s="738"/>
      <c r="E196" s="738"/>
      <c r="F196" s="738"/>
      <c r="G196" s="738"/>
      <c r="H196" s="738"/>
      <c r="I196" s="738"/>
      <c r="J196" s="738"/>
      <c r="K196" s="738"/>
      <c r="L196" s="738"/>
      <c r="M196" s="738"/>
      <c r="N196" s="738"/>
      <c r="O196" s="738"/>
      <c r="P196" s="738"/>
      <c r="Q196" s="738"/>
      <c r="R196" s="738"/>
      <c r="S196" s="738"/>
      <c r="T196" s="738"/>
      <c r="U196" s="738"/>
      <c r="V196" s="738"/>
      <c r="W196" s="738"/>
      <c r="X196" s="738"/>
      <c r="Y196" s="738"/>
      <c r="Z196" s="738"/>
      <c r="AA196" s="738"/>
      <c r="AB196" s="738"/>
      <c r="AC196" s="738"/>
      <c r="AD196" s="738"/>
      <c r="AE196" s="738"/>
      <c r="AF196" s="738"/>
      <c r="AG196" s="738"/>
      <c r="AH196" s="738"/>
      <c r="AI196" s="738"/>
      <c r="AJ196" s="738"/>
      <c r="AK196" s="738"/>
      <c r="AL196" s="738"/>
    </row>
    <row r="197">
      <c r="A197" s="738"/>
      <c r="B197" s="738"/>
      <c r="C197" s="738"/>
      <c r="D197" s="738"/>
      <c r="E197" s="738"/>
      <c r="F197" s="738"/>
      <c r="G197" s="738"/>
      <c r="H197" s="738"/>
      <c r="I197" s="738"/>
      <c r="J197" s="738"/>
      <c r="K197" s="738"/>
      <c r="L197" s="738"/>
      <c r="M197" s="738"/>
      <c r="N197" s="738"/>
      <c r="O197" s="738"/>
      <c r="P197" s="738"/>
      <c r="Q197" s="738"/>
      <c r="R197" s="738"/>
      <c r="S197" s="738"/>
      <c r="T197" s="738"/>
      <c r="U197" s="738"/>
      <c r="V197" s="738"/>
      <c r="W197" s="738"/>
      <c r="X197" s="738"/>
      <c r="Y197" s="738"/>
      <c r="Z197" s="738"/>
      <c r="AA197" s="738"/>
      <c r="AB197" s="738"/>
      <c r="AC197" s="738"/>
      <c r="AD197" s="738"/>
      <c r="AE197" s="738"/>
      <c r="AF197" s="738"/>
      <c r="AG197" s="738"/>
      <c r="AH197" s="738"/>
      <c r="AI197" s="738"/>
      <c r="AJ197" s="738"/>
      <c r="AK197" s="738"/>
      <c r="AL197" s="738"/>
    </row>
    <row r="198">
      <c r="A198" s="738"/>
      <c r="B198" s="738"/>
      <c r="C198" s="738"/>
      <c r="D198" s="738"/>
      <c r="E198" s="738"/>
      <c r="F198" s="738"/>
      <c r="G198" s="738"/>
      <c r="H198" s="738"/>
      <c r="I198" s="738"/>
      <c r="J198" s="738"/>
      <c r="K198" s="738"/>
      <c r="L198" s="738"/>
      <c r="M198" s="738"/>
      <c r="N198" s="738"/>
      <c r="O198" s="738"/>
      <c r="P198" s="738"/>
      <c r="Q198" s="738"/>
      <c r="R198" s="738"/>
      <c r="S198" s="738"/>
      <c r="T198" s="738"/>
      <c r="U198" s="738"/>
      <c r="V198" s="738"/>
      <c r="W198" s="738"/>
      <c r="X198" s="738"/>
      <c r="Y198" s="738"/>
      <c r="Z198" s="738"/>
      <c r="AA198" s="738"/>
      <c r="AB198" s="738"/>
      <c r="AC198" s="738"/>
      <c r="AD198" s="738"/>
      <c r="AE198" s="738"/>
      <c r="AF198" s="738"/>
      <c r="AG198" s="738"/>
      <c r="AH198" s="738"/>
      <c r="AI198" s="738"/>
      <c r="AJ198" s="738"/>
      <c r="AK198" s="738"/>
      <c r="AL198" s="738"/>
    </row>
    <row r="199">
      <c r="A199" s="738"/>
      <c r="B199" s="738"/>
      <c r="C199" s="738"/>
      <c r="D199" s="738"/>
      <c r="E199" s="738"/>
      <c r="F199" s="738"/>
      <c r="G199" s="738"/>
      <c r="H199" s="738"/>
      <c r="I199" s="738"/>
      <c r="J199" s="738"/>
      <c r="K199" s="738"/>
      <c r="L199" s="738"/>
      <c r="M199" s="738"/>
      <c r="N199" s="738"/>
      <c r="O199" s="738"/>
      <c r="P199" s="738"/>
      <c r="Q199" s="738"/>
      <c r="R199" s="738"/>
      <c r="S199" s="738"/>
      <c r="T199" s="738"/>
      <c r="U199" s="738"/>
      <c r="V199" s="738"/>
      <c r="W199" s="738"/>
      <c r="X199" s="738"/>
      <c r="Y199" s="738"/>
      <c r="Z199" s="738"/>
      <c r="AA199" s="738"/>
      <c r="AB199" s="738"/>
      <c r="AC199" s="738"/>
      <c r="AD199" s="738"/>
      <c r="AE199" s="738"/>
      <c r="AF199" s="738"/>
      <c r="AG199" s="738"/>
      <c r="AH199" s="738"/>
      <c r="AI199" s="738"/>
      <c r="AJ199" s="738"/>
      <c r="AK199" s="738"/>
      <c r="AL199" s="738"/>
    </row>
    <row r="200">
      <c r="A200" s="738"/>
      <c r="B200" s="738"/>
      <c r="C200" s="738"/>
      <c r="D200" s="738"/>
      <c r="E200" s="738"/>
      <c r="F200" s="738"/>
      <c r="G200" s="738"/>
      <c r="H200" s="738"/>
      <c r="I200" s="738"/>
      <c r="J200" s="738"/>
      <c r="K200" s="738"/>
      <c r="L200" s="738"/>
      <c r="M200" s="738"/>
      <c r="N200" s="738"/>
      <c r="O200" s="738"/>
      <c r="P200" s="738"/>
      <c r="Q200" s="738"/>
      <c r="R200" s="738"/>
      <c r="S200" s="738"/>
      <c r="T200" s="738"/>
      <c r="U200" s="738"/>
      <c r="V200" s="738"/>
      <c r="W200" s="738"/>
      <c r="X200" s="738"/>
      <c r="Y200" s="738"/>
      <c r="Z200" s="738"/>
      <c r="AA200" s="738"/>
      <c r="AB200" s="738"/>
      <c r="AC200" s="738"/>
      <c r="AD200" s="738"/>
      <c r="AE200" s="738"/>
      <c r="AF200" s="738"/>
      <c r="AG200" s="738"/>
      <c r="AH200" s="738"/>
      <c r="AI200" s="738"/>
      <c r="AJ200" s="738"/>
      <c r="AK200" s="738"/>
      <c r="AL200" s="738"/>
    </row>
    <row r="201">
      <c r="A201" s="738"/>
      <c r="B201" s="738"/>
      <c r="C201" s="738"/>
      <c r="D201" s="738"/>
      <c r="E201" s="738"/>
      <c r="F201" s="738"/>
      <c r="G201" s="738"/>
      <c r="H201" s="738"/>
      <c r="I201" s="738"/>
      <c r="J201" s="738"/>
      <c r="K201" s="738"/>
      <c r="L201" s="738"/>
      <c r="M201" s="738"/>
      <c r="N201" s="738"/>
      <c r="O201" s="738"/>
      <c r="P201" s="738"/>
      <c r="Q201" s="738"/>
      <c r="R201" s="738"/>
      <c r="S201" s="738"/>
      <c r="T201" s="738"/>
      <c r="U201" s="738"/>
      <c r="V201" s="738"/>
      <c r="W201" s="738"/>
      <c r="X201" s="738"/>
      <c r="Y201" s="738"/>
      <c r="Z201" s="738"/>
      <c r="AA201" s="738"/>
      <c r="AB201" s="738"/>
      <c r="AC201" s="738"/>
      <c r="AD201" s="738"/>
      <c r="AE201" s="738"/>
      <c r="AF201" s="738"/>
      <c r="AG201" s="738"/>
      <c r="AH201" s="738"/>
      <c r="AI201" s="738"/>
      <c r="AJ201" s="738"/>
      <c r="AK201" s="738"/>
      <c r="AL201" s="738"/>
    </row>
    <row r="202">
      <c r="A202" s="738"/>
      <c r="B202" s="738"/>
      <c r="C202" s="738"/>
      <c r="D202" s="738"/>
      <c r="E202" s="738"/>
      <c r="F202" s="738"/>
      <c r="G202" s="738"/>
      <c r="H202" s="738"/>
      <c r="I202" s="738"/>
      <c r="J202" s="738"/>
      <c r="K202" s="738"/>
      <c r="L202" s="738"/>
      <c r="M202" s="738"/>
      <c r="N202" s="738"/>
      <c r="O202" s="738"/>
      <c r="P202" s="738"/>
      <c r="Q202" s="738"/>
      <c r="R202" s="738"/>
      <c r="S202" s="738"/>
      <c r="T202" s="738"/>
      <c r="U202" s="738"/>
      <c r="V202" s="738"/>
      <c r="W202" s="738"/>
      <c r="X202" s="738"/>
      <c r="Y202" s="738"/>
      <c r="Z202" s="738"/>
      <c r="AA202" s="738"/>
      <c r="AB202" s="738"/>
      <c r="AC202" s="738"/>
      <c r="AD202" s="738"/>
      <c r="AE202" s="738"/>
      <c r="AF202" s="738"/>
      <c r="AG202" s="738"/>
      <c r="AH202" s="738"/>
      <c r="AI202" s="738"/>
      <c r="AJ202" s="738"/>
      <c r="AK202" s="738"/>
      <c r="AL202" s="738"/>
    </row>
    <row r="203">
      <c r="A203" s="738"/>
      <c r="B203" s="738"/>
      <c r="C203" s="738"/>
      <c r="D203" s="738"/>
      <c r="E203" s="738"/>
      <c r="F203" s="738"/>
      <c r="G203" s="738"/>
      <c r="H203" s="738"/>
      <c r="I203" s="738"/>
      <c r="J203" s="738"/>
      <c r="K203" s="738"/>
      <c r="L203" s="738"/>
      <c r="M203" s="738"/>
      <c r="N203" s="738"/>
      <c r="O203" s="738"/>
      <c r="P203" s="738"/>
      <c r="Q203" s="738"/>
      <c r="R203" s="738"/>
      <c r="S203" s="738"/>
      <c r="T203" s="738"/>
      <c r="U203" s="738"/>
      <c r="V203" s="738"/>
      <c r="W203" s="738"/>
      <c r="X203" s="738"/>
      <c r="Y203" s="738"/>
      <c r="Z203" s="738"/>
      <c r="AA203" s="738"/>
      <c r="AB203" s="738"/>
      <c r="AC203" s="738"/>
      <c r="AD203" s="738"/>
      <c r="AE203" s="738"/>
      <c r="AF203" s="738"/>
      <c r="AG203" s="738"/>
      <c r="AH203" s="738"/>
      <c r="AI203" s="738"/>
      <c r="AJ203" s="738"/>
      <c r="AK203" s="738"/>
      <c r="AL203" s="738"/>
    </row>
    <row r="204">
      <c r="A204" s="738"/>
      <c r="B204" s="738"/>
      <c r="C204" s="738"/>
      <c r="D204" s="738"/>
      <c r="E204" s="738"/>
      <c r="F204" s="738"/>
      <c r="G204" s="738"/>
      <c r="H204" s="738"/>
      <c r="I204" s="738"/>
      <c r="J204" s="738"/>
      <c r="K204" s="738"/>
      <c r="L204" s="738"/>
      <c r="M204" s="738"/>
      <c r="N204" s="738"/>
      <c r="O204" s="738"/>
      <c r="P204" s="738"/>
      <c r="Q204" s="738"/>
      <c r="R204" s="738"/>
      <c r="S204" s="738"/>
      <c r="T204" s="738"/>
      <c r="U204" s="738"/>
      <c r="V204" s="738"/>
      <c r="W204" s="738"/>
      <c r="X204" s="738"/>
      <c r="Y204" s="738"/>
      <c r="Z204" s="738"/>
      <c r="AA204" s="738"/>
      <c r="AB204" s="738"/>
      <c r="AC204" s="738"/>
      <c r="AD204" s="738"/>
      <c r="AE204" s="738"/>
      <c r="AF204" s="738"/>
      <c r="AG204" s="738"/>
      <c r="AH204" s="738"/>
      <c r="AI204" s="738"/>
      <c r="AJ204" s="738"/>
      <c r="AK204" s="738"/>
      <c r="AL204" s="738"/>
    </row>
    <row r="205">
      <c r="A205" s="738"/>
      <c r="B205" s="738"/>
      <c r="C205" s="738"/>
      <c r="D205" s="738"/>
      <c r="E205" s="738"/>
      <c r="F205" s="738"/>
      <c r="G205" s="738"/>
      <c r="H205" s="738"/>
      <c r="I205" s="738"/>
      <c r="J205" s="738"/>
      <c r="K205" s="738"/>
      <c r="L205" s="738"/>
      <c r="M205" s="738"/>
      <c r="N205" s="738"/>
      <c r="O205" s="738"/>
      <c r="P205" s="738"/>
      <c r="Q205" s="738"/>
      <c r="R205" s="738"/>
      <c r="S205" s="738"/>
      <c r="T205" s="738"/>
      <c r="U205" s="738"/>
      <c r="V205" s="738"/>
      <c r="W205" s="738"/>
      <c r="X205" s="738"/>
      <c r="Y205" s="738"/>
      <c r="Z205" s="738"/>
      <c r="AA205" s="738"/>
      <c r="AB205" s="738"/>
      <c r="AC205" s="738"/>
      <c r="AD205" s="738"/>
      <c r="AE205" s="738"/>
      <c r="AF205" s="738"/>
      <c r="AG205" s="738"/>
      <c r="AH205" s="738"/>
      <c r="AI205" s="738"/>
      <c r="AJ205" s="738"/>
      <c r="AK205" s="738"/>
      <c r="AL205" s="738"/>
    </row>
    <row r="206">
      <c r="A206" s="738"/>
      <c r="B206" s="738"/>
      <c r="C206" s="738"/>
      <c r="D206" s="738"/>
      <c r="E206" s="738"/>
      <c r="F206" s="738"/>
      <c r="G206" s="738"/>
      <c r="H206" s="738"/>
      <c r="I206" s="738"/>
      <c r="J206" s="738"/>
      <c r="K206" s="738"/>
      <c r="L206" s="738"/>
      <c r="M206" s="738"/>
      <c r="N206" s="738"/>
      <c r="O206" s="738"/>
      <c r="P206" s="738"/>
      <c r="Q206" s="738"/>
      <c r="R206" s="738"/>
      <c r="S206" s="738"/>
      <c r="T206" s="738"/>
      <c r="U206" s="738"/>
      <c r="V206" s="738"/>
      <c r="W206" s="738"/>
      <c r="X206" s="738"/>
      <c r="Y206" s="738"/>
      <c r="Z206" s="738"/>
      <c r="AA206" s="738"/>
      <c r="AB206" s="738"/>
      <c r="AC206" s="738"/>
      <c r="AD206" s="738"/>
      <c r="AE206" s="738"/>
      <c r="AF206" s="738"/>
      <c r="AG206" s="738"/>
      <c r="AH206" s="738"/>
      <c r="AI206" s="738"/>
      <c r="AJ206" s="738"/>
      <c r="AK206" s="738"/>
      <c r="AL206" s="738"/>
    </row>
    <row r="207">
      <c r="A207" s="738"/>
      <c r="B207" s="738"/>
      <c r="C207" s="738"/>
      <c r="D207" s="738"/>
      <c r="E207" s="738"/>
      <c r="F207" s="738"/>
      <c r="G207" s="738"/>
      <c r="H207" s="738"/>
      <c r="I207" s="738"/>
      <c r="J207" s="738"/>
      <c r="K207" s="738"/>
      <c r="L207" s="738"/>
      <c r="M207" s="738"/>
      <c r="N207" s="738"/>
      <c r="O207" s="738"/>
      <c r="P207" s="738"/>
      <c r="Q207" s="738"/>
      <c r="R207" s="738"/>
      <c r="S207" s="738"/>
      <c r="T207" s="738"/>
      <c r="U207" s="738"/>
      <c r="V207" s="738"/>
      <c r="W207" s="738"/>
      <c r="X207" s="738"/>
      <c r="Y207" s="738"/>
      <c r="Z207" s="738"/>
      <c r="AA207" s="738"/>
      <c r="AB207" s="738"/>
      <c r="AC207" s="738"/>
      <c r="AD207" s="738"/>
      <c r="AE207" s="738"/>
      <c r="AF207" s="738"/>
      <c r="AG207" s="738"/>
      <c r="AH207" s="738"/>
      <c r="AI207" s="738"/>
      <c r="AJ207" s="738"/>
      <c r="AK207" s="738"/>
      <c r="AL207" s="738"/>
    </row>
    <row r="208">
      <c r="A208" s="738"/>
      <c r="B208" s="738"/>
      <c r="C208" s="738"/>
      <c r="D208" s="738"/>
      <c r="E208" s="738"/>
      <c r="F208" s="738"/>
      <c r="G208" s="738"/>
      <c r="H208" s="738"/>
      <c r="I208" s="738"/>
      <c r="J208" s="738"/>
      <c r="K208" s="738"/>
      <c r="L208" s="738"/>
      <c r="M208" s="738"/>
      <c r="N208" s="738"/>
      <c r="O208" s="738"/>
      <c r="P208" s="738"/>
      <c r="Q208" s="738"/>
      <c r="R208" s="738"/>
      <c r="S208" s="738"/>
      <c r="T208" s="738"/>
      <c r="U208" s="738"/>
      <c r="V208" s="738"/>
      <c r="W208" s="738"/>
      <c r="X208" s="738"/>
      <c r="Y208" s="738"/>
      <c r="Z208" s="738"/>
      <c r="AA208" s="738"/>
      <c r="AB208" s="738"/>
      <c r="AC208" s="738"/>
      <c r="AD208" s="738"/>
      <c r="AE208" s="738"/>
      <c r="AF208" s="738"/>
      <c r="AG208" s="738"/>
      <c r="AH208" s="738"/>
      <c r="AI208" s="738"/>
      <c r="AJ208" s="738"/>
      <c r="AK208" s="738"/>
      <c r="AL208" s="738"/>
    </row>
    <row r="209">
      <c r="A209" s="738"/>
      <c r="B209" s="738"/>
      <c r="C209" s="738"/>
      <c r="D209" s="738"/>
      <c r="E209" s="738"/>
      <c r="F209" s="738"/>
      <c r="G209" s="738"/>
      <c r="H209" s="738"/>
      <c r="I209" s="738"/>
      <c r="J209" s="738"/>
      <c r="K209" s="738"/>
      <c r="L209" s="738"/>
      <c r="M209" s="738"/>
      <c r="N209" s="738"/>
      <c r="O209" s="738"/>
      <c r="P209" s="738"/>
      <c r="Q209" s="738"/>
      <c r="R209" s="738"/>
      <c r="S209" s="738"/>
      <c r="T209" s="738"/>
      <c r="U209" s="738"/>
      <c r="V209" s="738"/>
      <c r="W209" s="738"/>
      <c r="X209" s="738"/>
      <c r="Y209" s="738"/>
      <c r="Z209" s="738"/>
      <c r="AA209" s="738"/>
      <c r="AB209" s="738"/>
      <c r="AC209" s="738"/>
      <c r="AD209" s="738"/>
      <c r="AE209" s="738"/>
      <c r="AF209" s="738"/>
      <c r="AG209" s="738"/>
      <c r="AH209" s="738"/>
      <c r="AI209" s="738"/>
      <c r="AJ209" s="738"/>
      <c r="AK209" s="738"/>
      <c r="AL209" s="738"/>
    </row>
    <row r="210">
      <c r="A210" s="738"/>
      <c r="B210" s="738"/>
      <c r="C210" s="738"/>
      <c r="D210" s="738"/>
      <c r="E210" s="738"/>
      <c r="F210" s="738"/>
      <c r="G210" s="738"/>
      <c r="H210" s="738"/>
      <c r="I210" s="738"/>
      <c r="J210" s="738"/>
      <c r="K210" s="738"/>
      <c r="L210" s="738"/>
      <c r="M210" s="738"/>
      <c r="N210" s="738"/>
      <c r="O210" s="738"/>
      <c r="P210" s="738"/>
      <c r="Q210" s="738"/>
      <c r="R210" s="738"/>
      <c r="S210" s="738"/>
      <c r="T210" s="738"/>
      <c r="U210" s="738"/>
      <c r="V210" s="738"/>
      <c r="W210" s="738"/>
      <c r="X210" s="738"/>
      <c r="Y210" s="738"/>
      <c r="Z210" s="738"/>
      <c r="AA210" s="738"/>
      <c r="AB210" s="738"/>
      <c r="AC210" s="738"/>
      <c r="AD210" s="738"/>
      <c r="AE210" s="738"/>
      <c r="AF210" s="738"/>
      <c r="AG210" s="738"/>
      <c r="AH210" s="738"/>
      <c r="AI210" s="738"/>
      <c r="AJ210" s="738"/>
      <c r="AK210" s="738"/>
      <c r="AL210" s="738"/>
    </row>
    <row r="211">
      <c r="A211" s="738"/>
      <c r="B211" s="738"/>
      <c r="C211" s="738"/>
      <c r="D211" s="738"/>
      <c r="E211" s="738"/>
      <c r="F211" s="738"/>
      <c r="G211" s="738"/>
      <c r="H211" s="738"/>
      <c r="I211" s="738"/>
      <c r="J211" s="738"/>
      <c r="K211" s="738"/>
      <c r="L211" s="738"/>
      <c r="M211" s="738"/>
      <c r="N211" s="738"/>
      <c r="O211" s="738"/>
      <c r="P211" s="738"/>
      <c r="Q211" s="738"/>
      <c r="R211" s="738"/>
      <c r="S211" s="738"/>
      <c r="T211" s="738"/>
      <c r="U211" s="738"/>
      <c r="V211" s="738"/>
      <c r="W211" s="738"/>
      <c r="X211" s="738"/>
      <c r="Y211" s="738"/>
      <c r="Z211" s="738"/>
      <c r="AA211" s="738"/>
      <c r="AB211" s="738"/>
      <c r="AC211" s="738"/>
      <c r="AD211" s="738"/>
      <c r="AE211" s="738"/>
      <c r="AF211" s="738"/>
      <c r="AG211" s="738"/>
      <c r="AH211" s="738"/>
      <c r="AI211" s="738"/>
      <c r="AJ211" s="738"/>
      <c r="AK211" s="738"/>
      <c r="AL211" s="738"/>
    </row>
    <row r="212">
      <c r="A212" s="738"/>
      <c r="B212" s="738"/>
      <c r="C212" s="738"/>
      <c r="D212" s="738"/>
      <c r="E212" s="738"/>
      <c r="F212" s="738"/>
      <c r="G212" s="738"/>
      <c r="H212" s="738"/>
      <c r="I212" s="738"/>
      <c r="J212" s="738"/>
      <c r="K212" s="738"/>
      <c r="L212" s="738"/>
      <c r="M212" s="738"/>
      <c r="N212" s="738"/>
      <c r="O212" s="738"/>
      <c r="P212" s="738"/>
      <c r="Q212" s="738"/>
      <c r="R212" s="738"/>
      <c r="S212" s="738"/>
      <c r="T212" s="738"/>
      <c r="U212" s="738"/>
      <c r="V212" s="738"/>
      <c r="W212" s="738"/>
      <c r="X212" s="738"/>
      <c r="Y212" s="738"/>
      <c r="Z212" s="738"/>
      <c r="AA212" s="738"/>
      <c r="AB212" s="738"/>
      <c r="AC212" s="738"/>
      <c r="AD212" s="738"/>
      <c r="AE212" s="738"/>
      <c r="AF212" s="738"/>
      <c r="AG212" s="738"/>
      <c r="AH212" s="738"/>
      <c r="AI212" s="738"/>
      <c r="AJ212" s="738"/>
      <c r="AK212" s="738"/>
      <c r="AL212" s="738"/>
    </row>
    <row r="213">
      <c r="A213" s="738"/>
      <c r="B213" s="738"/>
      <c r="C213" s="738"/>
      <c r="D213" s="738"/>
      <c r="E213" s="738"/>
      <c r="F213" s="738"/>
      <c r="G213" s="738"/>
      <c r="H213" s="738"/>
      <c r="I213" s="738"/>
      <c r="J213" s="738"/>
      <c r="K213" s="738"/>
      <c r="L213" s="738"/>
      <c r="M213" s="738"/>
      <c r="N213" s="738"/>
      <c r="O213" s="738"/>
      <c r="P213" s="738"/>
      <c r="Q213" s="738"/>
      <c r="R213" s="738"/>
      <c r="S213" s="738"/>
      <c r="T213" s="738"/>
      <c r="U213" s="738"/>
      <c r="V213" s="738"/>
      <c r="W213" s="738"/>
      <c r="X213" s="738"/>
      <c r="Y213" s="738"/>
      <c r="Z213" s="738"/>
      <c r="AA213" s="738"/>
      <c r="AB213" s="738"/>
      <c r="AC213" s="738"/>
      <c r="AD213" s="738"/>
      <c r="AE213" s="738"/>
      <c r="AF213" s="738"/>
      <c r="AG213" s="738"/>
      <c r="AH213" s="738"/>
      <c r="AI213" s="738"/>
      <c r="AJ213" s="738"/>
      <c r="AK213" s="738"/>
      <c r="AL213" s="738"/>
    </row>
    <row r="214">
      <c r="A214" s="738"/>
      <c r="B214" s="738"/>
      <c r="C214" s="738"/>
      <c r="D214" s="738"/>
      <c r="E214" s="738"/>
      <c r="F214" s="738"/>
      <c r="G214" s="738"/>
      <c r="H214" s="738"/>
      <c r="I214" s="738"/>
      <c r="J214" s="738"/>
      <c r="K214" s="738"/>
      <c r="L214" s="738"/>
      <c r="M214" s="738"/>
      <c r="N214" s="738"/>
      <c r="O214" s="738"/>
      <c r="P214" s="738"/>
      <c r="Q214" s="738"/>
      <c r="R214" s="738"/>
      <c r="S214" s="738"/>
      <c r="T214" s="738"/>
      <c r="U214" s="738"/>
      <c r="V214" s="738"/>
      <c r="W214" s="738"/>
      <c r="X214" s="738"/>
      <c r="Y214" s="738"/>
      <c r="Z214" s="738"/>
      <c r="AA214" s="738"/>
      <c r="AB214" s="738"/>
      <c r="AC214" s="738"/>
      <c r="AD214" s="738"/>
      <c r="AE214" s="738"/>
      <c r="AF214" s="738"/>
      <c r="AG214" s="738"/>
      <c r="AH214" s="738"/>
      <c r="AI214" s="738"/>
      <c r="AJ214" s="738"/>
      <c r="AK214" s="738"/>
      <c r="AL214" s="738"/>
    </row>
    <row r="215">
      <c r="A215" s="738"/>
      <c r="B215" s="738"/>
      <c r="C215" s="738"/>
      <c r="D215" s="738"/>
      <c r="E215" s="738"/>
      <c r="F215" s="738"/>
      <c r="G215" s="738"/>
      <c r="H215" s="738"/>
      <c r="I215" s="738"/>
      <c r="J215" s="738"/>
      <c r="K215" s="738"/>
      <c r="L215" s="738"/>
      <c r="M215" s="738"/>
      <c r="N215" s="738"/>
      <c r="O215" s="738"/>
      <c r="P215" s="738"/>
      <c r="Q215" s="738"/>
      <c r="R215" s="738"/>
      <c r="S215" s="738"/>
      <c r="T215" s="738"/>
      <c r="U215" s="738"/>
      <c r="V215" s="738"/>
      <c r="W215" s="738"/>
      <c r="X215" s="738"/>
      <c r="Y215" s="738"/>
      <c r="Z215" s="738"/>
      <c r="AA215" s="738"/>
      <c r="AB215" s="738"/>
      <c r="AC215" s="738"/>
      <c r="AD215" s="738"/>
      <c r="AE215" s="738"/>
      <c r="AF215" s="738"/>
      <c r="AG215" s="738"/>
      <c r="AH215" s="738"/>
      <c r="AI215" s="738"/>
      <c r="AJ215" s="738"/>
      <c r="AK215" s="738"/>
      <c r="AL215" s="738"/>
    </row>
    <row r="216">
      <c r="A216" s="738"/>
      <c r="B216" s="738"/>
      <c r="C216" s="738"/>
      <c r="D216" s="738"/>
      <c r="E216" s="738"/>
      <c r="F216" s="738"/>
      <c r="G216" s="738"/>
      <c r="H216" s="738"/>
      <c r="I216" s="738"/>
      <c r="J216" s="738"/>
      <c r="K216" s="738"/>
      <c r="L216" s="738"/>
      <c r="M216" s="738"/>
      <c r="N216" s="738"/>
      <c r="O216" s="738"/>
      <c r="P216" s="738"/>
      <c r="Q216" s="738"/>
      <c r="R216" s="738"/>
      <c r="S216" s="738"/>
      <c r="T216" s="738"/>
      <c r="U216" s="738"/>
      <c r="V216" s="738"/>
      <c r="W216" s="738"/>
      <c r="X216" s="738"/>
      <c r="Y216" s="738"/>
      <c r="Z216" s="738"/>
      <c r="AA216" s="738"/>
      <c r="AB216" s="738"/>
      <c r="AC216" s="738"/>
      <c r="AD216" s="738"/>
      <c r="AE216" s="738"/>
      <c r="AF216" s="738"/>
      <c r="AG216" s="738"/>
      <c r="AH216" s="738"/>
      <c r="AI216" s="738"/>
      <c r="AJ216" s="738"/>
      <c r="AK216" s="738"/>
      <c r="AL216" s="738"/>
    </row>
    <row r="217">
      <c r="A217" s="738"/>
      <c r="B217" s="738"/>
      <c r="C217" s="738"/>
      <c r="D217" s="738"/>
      <c r="E217" s="738"/>
      <c r="F217" s="738"/>
      <c r="G217" s="738"/>
      <c r="H217" s="738"/>
      <c r="I217" s="738"/>
      <c r="J217" s="738"/>
      <c r="K217" s="738"/>
      <c r="L217" s="738"/>
      <c r="M217" s="738"/>
      <c r="N217" s="738"/>
      <c r="O217" s="738"/>
      <c r="P217" s="738"/>
      <c r="Q217" s="738"/>
      <c r="R217" s="738"/>
      <c r="S217" s="738"/>
      <c r="T217" s="738"/>
      <c r="U217" s="738"/>
      <c r="V217" s="738"/>
      <c r="W217" s="738"/>
      <c r="X217" s="738"/>
      <c r="Y217" s="738"/>
      <c r="Z217" s="738"/>
      <c r="AA217" s="738"/>
      <c r="AB217" s="738"/>
      <c r="AC217" s="738"/>
      <c r="AD217" s="738"/>
      <c r="AE217" s="738"/>
      <c r="AF217" s="738"/>
      <c r="AG217" s="738"/>
      <c r="AH217" s="738"/>
      <c r="AI217" s="738"/>
      <c r="AJ217" s="738"/>
      <c r="AK217" s="738"/>
      <c r="AL217" s="738"/>
    </row>
    <row r="218">
      <c r="A218" s="738"/>
      <c r="B218" s="738"/>
      <c r="C218" s="738"/>
      <c r="D218" s="738"/>
      <c r="E218" s="738"/>
      <c r="F218" s="738"/>
      <c r="G218" s="738"/>
      <c r="H218" s="738"/>
      <c r="I218" s="738"/>
      <c r="J218" s="738"/>
      <c r="K218" s="738"/>
      <c r="L218" s="738"/>
      <c r="M218" s="738"/>
      <c r="N218" s="738"/>
      <c r="O218" s="738"/>
      <c r="P218" s="738"/>
      <c r="Q218" s="738"/>
      <c r="R218" s="738"/>
      <c r="S218" s="738"/>
      <c r="T218" s="738"/>
      <c r="U218" s="738"/>
      <c r="V218" s="738"/>
      <c r="W218" s="738"/>
      <c r="X218" s="738"/>
      <c r="Y218" s="738"/>
      <c r="Z218" s="738"/>
      <c r="AA218" s="738"/>
      <c r="AB218" s="738"/>
      <c r="AC218" s="738"/>
      <c r="AD218" s="738"/>
      <c r="AE218" s="738"/>
      <c r="AF218" s="738"/>
      <c r="AG218" s="738"/>
      <c r="AH218" s="738"/>
      <c r="AI218" s="738"/>
      <c r="AJ218" s="738"/>
      <c r="AK218" s="738"/>
      <c r="AL218" s="738"/>
    </row>
    <row r="219">
      <c r="A219" s="738"/>
      <c r="B219" s="738"/>
      <c r="C219" s="738"/>
      <c r="D219" s="738"/>
      <c r="E219" s="738"/>
      <c r="F219" s="738"/>
      <c r="G219" s="738"/>
      <c r="H219" s="738"/>
      <c r="I219" s="738"/>
      <c r="J219" s="738"/>
      <c r="K219" s="738"/>
      <c r="L219" s="738"/>
      <c r="M219" s="738"/>
      <c r="N219" s="738"/>
      <c r="O219" s="738"/>
      <c r="P219" s="738"/>
      <c r="Q219" s="738"/>
      <c r="R219" s="738"/>
      <c r="S219" s="738"/>
      <c r="T219" s="738"/>
      <c r="U219" s="738"/>
      <c r="V219" s="738"/>
      <c r="W219" s="738"/>
      <c r="X219" s="738"/>
      <c r="Y219" s="738"/>
      <c r="Z219" s="738"/>
      <c r="AA219" s="738"/>
      <c r="AB219" s="738"/>
      <c r="AC219" s="738"/>
      <c r="AD219" s="738"/>
      <c r="AE219" s="738"/>
      <c r="AF219" s="738"/>
      <c r="AG219" s="738"/>
      <c r="AH219" s="738"/>
      <c r="AI219" s="738"/>
      <c r="AJ219" s="738"/>
      <c r="AK219" s="738"/>
      <c r="AL219" s="738"/>
    </row>
    <row r="220">
      <c r="A220" s="738"/>
      <c r="B220" s="738"/>
      <c r="C220" s="738"/>
      <c r="D220" s="738"/>
      <c r="E220" s="738"/>
      <c r="F220" s="738"/>
      <c r="G220" s="738"/>
      <c r="H220" s="738"/>
      <c r="I220" s="738"/>
      <c r="J220" s="738"/>
      <c r="K220" s="738"/>
      <c r="L220" s="738"/>
      <c r="M220" s="738"/>
      <c r="N220" s="738"/>
      <c r="O220" s="738"/>
      <c r="P220" s="738"/>
      <c r="Q220" s="738"/>
      <c r="R220" s="738"/>
      <c r="S220" s="738"/>
      <c r="T220" s="738"/>
      <c r="U220" s="738"/>
      <c r="V220" s="738"/>
      <c r="W220" s="738"/>
      <c r="X220" s="738"/>
      <c r="Y220" s="738"/>
      <c r="Z220" s="738"/>
      <c r="AA220" s="738"/>
      <c r="AB220" s="738"/>
      <c r="AC220" s="738"/>
      <c r="AD220" s="738"/>
      <c r="AE220" s="738"/>
      <c r="AF220" s="738"/>
      <c r="AG220" s="738"/>
      <c r="AH220" s="738"/>
      <c r="AI220" s="738"/>
      <c r="AJ220" s="738"/>
      <c r="AK220" s="738"/>
      <c r="AL220" s="738"/>
    </row>
    <row r="221">
      <c r="A221" s="738"/>
      <c r="B221" s="738"/>
      <c r="C221" s="738"/>
      <c r="D221" s="738"/>
      <c r="E221" s="738"/>
      <c r="F221" s="738"/>
      <c r="G221" s="738"/>
      <c r="H221" s="738"/>
      <c r="I221" s="738"/>
      <c r="J221" s="738"/>
      <c r="K221" s="738"/>
      <c r="L221" s="738"/>
      <c r="M221" s="738"/>
      <c r="N221" s="738"/>
      <c r="O221" s="738"/>
      <c r="P221" s="738"/>
      <c r="Q221" s="738"/>
      <c r="R221" s="738"/>
      <c r="S221" s="738"/>
      <c r="T221" s="738"/>
      <c r="U221" s="738"/>
      <c r="V221" s="738"/>
      <c r="W221" s="738"/>
      <c r="X221" s="738"/>
      <c r="Y221" s="738"/>
      <c r="Z221" s="738"/>
      <c r="AA221" s="738"/>
      <c r="AB221" s="738"/>
      <c r="AC221" s="738"/>
      <c r="AD221" s="738"/>
      <c r="AE221" s="738"/>
      <c r="AF221" s="738"/>
      <c r="AG221" s="738"/>
      <c r="AH221" s="738"/>
      <c r="AI221" s="738"/>
      <c r="AJ221" s="738"/>
      <c r="AK221" s="738"/>
      <c r="AL221" s="738"/>
    </row>
    <row r="222">
      <c r="A222" s="738"/>
      <c r="B222" s="738"/>
      <c r="C222" s="738"/>
      <c r="D222" s="738"/>
      <c r="E222" s="738"/>
      <c r="F222" s="738"/>
      <c r="G222" s="738"/>
      <c r="H222" s="738"/>
      <c r="I222" s="738"/>
      <c r="J222" s="738"/>
      <c r="K222" s="738"/>
      <c r="L222" s="738"/>
      <c r="M222" s="738"/>
      <c r="N222" s="738"/>
      <c r="O222" s="738"/>
      <c r="P222" s="738"/>
      <c r="Q222" s="738"/>
      <c r="R222" s="738"/>
      <c r="S222" s="738"/>
      <c r="T222" s="738"/>
      <c r="U222" s="738"/>
      <c r="V222" s="738"/>
      <c r="W222" s="738"/>
      <c r="X222" s="738"/>
      <c r="Y222" s="738"/>
      <c r="Z222" s="738"/>
      <c r="AA222" s="738"/>
      <c r="AB222" s="738"/>
      <c r="AC222" s="738"/>
      <c r="AD222" s="738"/>
      <c r="AE222" s="738"/>
      <c r="AF222" s="738"/>
      <c r="AG222" s="738"/>
      <c r="AH222" s="738"/>
      <c r="AI222" s="738"/>
      <c r="AJ222" s="738"/>
      <c r="AK222" s="738"/>
      <c r="AL222" s="738"/>
    </row>
    <row r="223">
      <c r="A223" s="738"/>
      <c r="B223" s="738"/>
      <c r="C223" s="738"/>
      <c r="D223" s="738"/>
      <c r="E223" s="738"/>
      <c r="F223" s="738"/>
      <c r="G223" s="738"/>
      <c r="H223" s="738"/>
      <c r="I223" s="738"/>
      <c r="J223" s="738"/>
      <c r="K223" s="738"/>
      <c r="L223" s="738"/>
      <c r="M223" s="738"/>
      <c r="N223" s="738"/>
      <c r="O223" s="738"/>
      <c r="P223" s="738"/>
      <c r="Q223" s="738"/>
      <c r="R223" s="738"/>
      <c r="S223" s="738"/>
      <c r="T223" s="738"/>
      <c r="U223" s="738"/>
      <c r="V223" s="738"/>
      <c r="W223" s="738"/>
      <c r="X223" s="738"/>
      <c r="Y223" s="738"/>
      <c r="Z223" s="738"/>
      <c r="AA223" s="738"/>
      <c r="AB223" s="738"/>
      <c r="AC223" s="738"/>
      <c r="AD223" s="738"/>
      <c r="AE223" s="738"/>
      <c r="AF223" s="738"/>
      <c r="AG223" s="738"/>
      <c r="AH223" s="738"/>
      <c r="AI223" s="738"/>
      <c r="AJ223" s="738"/>
      <c r="AK223" s="738"/>
      <c r="AL223" s="738"/>
    </row>
    <row r="224">
      <c r="A224" s="738"/>
      <c r="B224" s="738"/>
      <c r="C224" s="738"/>
      <c r="D224" s="738"/>
      <c r="E224" s="738"/>
      <c r="F224" s="738"/>
      <c r="G224" s="738"/>
      <c r="H224" s="738"/>
      <c r="I224" s="738"/>
      <c r="J224" s="738"/>
      <c r="K224" s="738"/>
      <c r="L224" s="738"/>
      <c r="M224" s="738"/>
      <c r="N224" s="738"/>
      <c r="O224" s="738"/>
      <c r="P224" s="738"/>
      <c r="Q224" s="738"/>
      <c r="R224" s="738"/>
      <c r="S224" s="738"/>
      <c r="T224" s="738"/>
      <c r="U224" s="738"/>
      <c r="V224" s="738"/>
      <c r="W224" s="738"/>
      <c r="X224" s="738"/>
      <c r="Y224" s="738"/>
      <c r="Z224" s="738"/>
      <c r="AA224" s="738"/>
      <c r="AB224" s="738"/>
      <c r="AC224" s="738"/>
      <c r="AD224" s="738"/>
      <c r="AE224" s="738"/>
      <c r="AF224" s="738"/>
      <c r="AG224" s="738"/>
      <c r="AH224" s="738"/>
      <c r="AI224" s="738"/>
      <c r="AJ224" s="738"/>
      <c r="AK224" s="738"/>
      <c r="AL224" s="738"/>
    </row>
    <row r="225">
      <c r="A225" s="738"/>
      <c r="B225" s="738"/>
      <c r="C225" s="738"/>
      <c r="D225" s="738"/>
      <c r="E225" s="738"/>
      <c r="F225" s="738"/>
      <c r="G225" s="738"/>
      <c r="H225" s="738"/>
      <c r="I225" s="738"/>
      <c r="J225" s="738"/>
      <c r="K225" s="738"/>
      <c r="L225" s="738"/>
      <c r="M225" s="738"/>
      <c r="N225" s="738"/>
      <c r="O225" s="738"/>
      <c r="P225" s="738"/>
      <c r="Q225" s="738"/>
      <c r="R225" s="738"/>
      <c r="S225" s="738"/>
      <c r="T225" s="738"/>
      <c r="U225" s="738"/>
      <c r="V225" s="738"/>
      <c r="W225" s="738"/>
      <c r="X225" s="738"/>
      <c r="Y225" s="738"/>
      <c r="Z225" s="738"/>
      <c r="AA225" s="738"/>
      <c r="AB225" s="738"/>
      <c r="AC225" s="738"/>
      <c r="AD225" s="738"/>
      <c r="AE225" s="738"/>
      <c r="AF225" s="738"/>
      <c r="AG225" s="738"/>
      <c r="AH225" s="738"/>
      <c r="AI225" s="738"/>
      <c r="AJ225" s="738"/>
      <c r="AK225" s="738"/>
      <c r="AL225" s="738"/>
    </row>
    <row r="226">
      <c r="A226" s="738"/>
      <c r="B226" s="738"/>
      <c r="C226" s="738"/>
      <c r="D226" s="738"/>
      <c r="E226" s="738"/>
      <c r="F226" s="738"/>
      <c r="G226" s="738"/>
      <c r="H226" s="738"/>
      <c r="I226" s="738"/>
      <c r="J226" s="738"/>
      <c r="K226" s="738"/>
      <c r="L226" s="738"/>
      <c r="M226" s="738"/>
      <c r="N226" s="738"/>
      <c r="O226" s="738"/>
      <c r="P226" s="738"/>
      <c r="Q226" s="738"/>
      <c r="R226" s="738"/>
      <c r="S226" s="738"/>
      <c r="T226" s="738"/>
      <c r="U226" s="738"/>
      <c r="V226" s="738"/>
      <c r="W226" s="738"/>
      <c r="X226" s="738"/>
      <c r="Y226" s="738"/>
      <c r="Z226" s="738"/>
      <c r="AA226" s="738"/>
      <c r="AB226" s="738"/>
      <c r="AC226" s="738"/>
      <c r="AD226" s="738"/>
      <c r="AE226" s="738"/>
      <c r="AF226" s="738"/>
      <c r="AG226" s="738"/>
      <c r="AH226" s="738"/>
      <c r="AI226" s="738"/>
      <c r="AJ226" s="738"/>
      <c r="AK226" s="738"/>
      <c r="AL226" s="738"/>
    </row>
    <row r="227">
      <c r="A227" s="738"/>
      <c r="B227" s="738"/>
      <c r="C227" s="738"/>
      <c r="D227" s="738"/>
      <c r="E227" s="738"/>
      <c r="F227" s="738"/>
      <c r="G227" s="738"/>
      <c r="H227" s="738"/>
      <c r="I227" s="738"/>
      <c r="J227" s="738"/>
      <c r="K227" s="738"/>
      <c r="L227" s="738"/>
      <c r="M227" s="738"/>
      <c r="N227" s="738"/>
      <c r="O227" s="738"/>
      <c r="P227" s="738"/>
      <c r="Q227" s="738"/>
      <c r="R227" s="738"/>
      <c r="S227" s="738"/>
      <c r="T227" s="738"/>
      <c r="U227" s="738"/>
      <c r="V227" s="738"/>
      <c r="W227" s="738"/>
      <c r="X227" s="738"/>
      <c r="Y227" s="738"/>
      <c r="Z227" s="738"/>
      <c r="AA227" s="738"/>
      <c r="AB227" s="738"/>
      <c r="AC227" s="738"/>
      <c r="AD227" s="738"/>
      <c r="AE227" s="738"/>
      <c r="AF227" s="738"/>
      <c r="AG227" s="738"/>
      <c r="AH227" s="738"/>
      <c r="AI227" s="738"/>
      <c r="AJ227" s="738"/>
      <c r="AK227" s="738"/>
      <c r="AL227" s="738"/>
    </row>
    <row r="228">
      <c r="A228" s="738"/>
      <c r="B228" s="738"/>
      <c r="C228" s="738"/>
      <c r="D228" s="738"/>
      <c r="E228" s="738"/>
      <c r="F228" s="738"/>
      <c r="G228" s="738"/>
      <c r="H228" s="738"/>
      <c r="I228" s="738"/>
      <c r="J228" s="738"/>
      <c r="K228" s="738"/>
      <c r="L228" s="738"/>
      <c r="M228" s="738"/>
      <c r="N228" s="738"/>
      <c r="O228" s="738"/>
      <c r="P228" s="738"/>
      <c r="Q228" s="738"/>
      <c r="R228" s="738"/>
      <c r="S228" s="738"/>
      <c r="T228" s="738"/>
      <c r="U228" s="738"/>
      <c r="V228" s="738"/>
      <c r="W228" s="738"/>
      <c r="X228" s="738"/>
      <c r="Y228" s="738"/>
      <c r="Z228" s="738"/>
      <c r="AA228" s="738"/>
      <c r="AB228" s="738"/>
      <c r="AC228" s="738"/>
      <c r="AD228" s="738"/>
      <c r="AE228" s="738"/>
      <c r="AF228" s="738"/>
      <c r="AG228" s="738"/>
      <c r="AH228" s="738"/>
      <c r="AI228" s="738"/>
      <c r="AJ228" s="738"/>
      <c r="AK228" s="738"/>
      <c r="AL228" s="738"/>
    </row>
    <row r="229">
      <c r="A229" s="738"/>
      <c r="B229" s="738"/>
      <c r="C229" s="738"/>
      <c r="D229" s="738"/>
      <c r="E229" s="738"/>
      <c r="F229" s="738"/>
      <c r="G229" s="738"/>
      <c r="H229" s="738"/>
      <c r="I229" s="738"/>
      <c r="J229" s="738"/>
      <c r="K229" s="738"/>
      <c r="L229" s="738"/>
      <c r="M229" s="738"/>
      <c r="N229" s="738"/>
      <c r="O229" s="738"/>
      <c r="P229" s="738"/>
      <c r="Q229" s="738"/>
      <c r="R229" s="738"/>
      <c r="S229" s="738"/>
      <c r="T229" s="738"/>
      <c r="U229" s="738"/>
      <c r="V229" s="738"/>
      <c r="W229" s="738"/>
      <c r="X229" s="738"/>
      <c r="Y229" s="738"/>
      <c r="Z229" s="738"/>
      <c r="AA229" s="738"/>
      <c r="AB229" s="738"/>
      <c r="AC229" s="738"/>
      <c r="AD229" s="738"/>
      <c r="AE229" s="738"/>
      <c r="AF229" s="738"/>
      <c r="AG229" s="738"/>
      <c r="AH229" s="738"/>
      <c r="AI229" s="738"/>
      <c r="AJ229" s="738"/>
      <c r="AK229" s="738"/>
      <c r="AL229" s="738"/>
    </row>
    <row r="230">
      <c r="A230" s="738"/>
      <c r="B230" s="738"/>
      <c r="C230" s="738"/>
      <c r="D230" s="738"/>
      <c r="E230" s="738"/>
      <c r="F230" s="738"/>
      <c r="G230" s="738"/>
      <c r="H230" s="738"/>
      <c r="I230" s="738"/>
      <c r="J230" s="738"/>
      <c r="K230" s="738"/>
      <c r="L230" s="738"/>
      <c r="M230" s="738"/>
      <c r="N230" s="738"/>
      <c r="O230" s="738"/>
      <c r="P230" s="738"/>
      <c r="Q230" s="738"/>
      <c r="R230" s="738"/>
      <c r="S230" s="738"/>
      <c r="T230" s="738"/>
      <c r="U230" s="738"/>
      <c r="V230" s="738"/>
      <c r="W230" s="738"/>
      <c r="X230" s="738"/>
      <c r="Y230" s="738"/>
      <c r="Z230" s="738"/>
      <c r="AA230" s="738"/>
      <c r="AB230" s="738"/>
      <c r="AC230" s="738"/>
      <c r="AD230" s="738"/>
      <c r="AE230" s="738"/>
      <c r="AF230" s="738"/>
      <c r="AG230" s="738"/>
      <c r="AH230" s="738"/>
      <c r="AI230" s="738"/>
      <c r="AJ230" s="738"/>
      <c r="AK230" s="738"/>
      <c r="AL230" s="738"/>
    </row>
    <row r="231">
      <c r="A231" s="738"/>
      <c r="B231" s="738"/>
      <c r="C231" s="738"/>
      <c r="D231" s="738"/>
      <c r="E231" s="738"/>
      <c r="F231" s="738"/>
      <c r="G231" s="738"/>
      <c r="H231" s="738"/>
      <c r="I231" s="738"/>
      <c r="J231" s="738"/>
      <c r="K231" s="738"/>
      <c r="L231" s="738"/>
      <c r="M231" s="738"/>
      <c r="N231" s="738"/>
      <c r="O231" s="738"/>
      <c r="P231" s="738"/>
      <c r="Q231" s="738"/>
      <c r="R231" s="738"/>
      <c r="S231" s="738"/>
      <c r="T231" s="738"/>
      <c r="U231" s="738"/>
      <c r="V231" s="738"/>
      <c r="W231" s="738"/>
      <c r="X231" s="738"/>
      <c r="Y231" s="738"/>
      <c r="Z231" s="738"/>
      <c r="AA231" s="738"/>
      <c r="AB231" s="738"/>
      <c r="AC231" s="738"/>
      <c r="AD231" s="738"/>
      <c r="AE231" s="738"/>
      <c r="AF231" s="738"/>
      <c r="AG231" s="738"/>
      <c r="AH231" s="738"/>
      <c r="AI231" s="738"/>
      <c r="AJ231" s="738"/>
      <c r="AK231" s="738"/>
      <c r="AL231" s="738"/>
    </row>
    <row r="232">
      <c r="A232" s="738"/>
      <c r="B232" s="738"/>
      <c r="C232" s="738"/>
      <c r="D232" s="738"/>
      <c r="E232" s="738"/>
      <c r="F232" s="738"/>
      <c r="G232" s="738"/>
      <c r="H232" s="738"/>
      <c r="I232" s="738"/>
      <c r="J232" s="738"/>
      <c r="K232" s="738"/>
      <c r="L232" s="738"/>
      <c r="M232" s="738"/>
      <c r="N232" s="738"/>
      <c r="O232" s="738"/>
      <c r="P232" s="738"/>
      <c r="Q232" s="738"/>
      <c r="R232" s="738"/>
      <c r="S232" s="738"/>
      <c r="T232" s="738"/>
      <c r="U232" s="738"/>
      <c r="V232" s="738"/>
      <c r="W232" s="738"/>
      <c r="X232" s="738"/>
      <c r="Y232" s="738"/>
      <c r="Z232" s="738"/>
      <c r="AA232" s="738"/>
      <c r="AB232" s="738"/>
      <c r="AC232" s="738"/>
      <c r="AD232" s="738"/>
      <c r="AE232" s="738"/>
      <c r="AF232" s="738"/>
      <c r="AG232" s="738"/>
      <c r="AH232" s="738"/>
      <c r="AI232" s="738"/>
      <c r="AJ232" s="738"/>
      <c r="AK232" s="738"/>
      <c r="AL232" s="738"/>
    </row>
    <row r="233">
      <c r="A233" s="738"/>
      <c r="B233" s="738"/>
      <c r="C233" s="738"/>
      <c r="D233" s="738"/>
      <c r="E233" s="738"/>
      <c r="F233" s="738"/>
      <c r="G233" s="738"/>
      <c r="H233" s="738"/>
      <c r="I233" s="738"/>
      <c r="J233" s="738"/>
      <c r="K233" s="738"/>
      <c r="L233" s="738"/>
      <c r="M233" s="738"/>
      <c r="N233" s="738"/>
      <c r="O233" s="738"/>
      <c r="P233" s="738"/>
      <c r="Q233" s="738"/>
      <c r="R233" s="738"/>
      <c r="S233" s="738"/>
      <c r="T233" s="738"/>
      <c r="U233" s="738"/>
      <c r="V233" s="738"/>
      <c r="W233" s="738"/>
      <c r="X233" s="738"/>
      <c r="Y233" s="738"/>
      <c r="Z233" s="738"/>
      <c r="AA233" s="738"/>
      <c r="AB233" s="738"/>
      <c r="AC233" s="738"/>
      <c r="AD233" s="738"/>
      <c r="AE233" s="738"/>
      <c r="AF233" s="738"/>
      <c r="AG233" s="738"/>
      <c r="AH233" s="738"/>
      <c r="AI233" s="738"/>
      <c r="AJ233" s="738"/>
      <c r="AK233" s="738"/>
      <c r="AL233" s="738"/>
    </row>
    <row r="234">
      <c r="A234" s="738"/>
      <c r="B234" s="738"/>
      <c r="C234" s="738"/>
      <c r="D234" s="738"/>
      <c r="E234" s="738"/>
      <c r="F234" s="738"/>
      <c r="G234" s="738"/>
      <c r="H234" s="738"/>
      <c r="I234" s="738"/>
      <c r="J234" s="738"/>
      <c r="K234" s="738"/>
      <c r="L234" s="738"/>
      <c r="M234" s="738"/>
      <c r="N234" s="738"/>
      <c r="O234" s="738"/>
      <c r="P234" s="738"/>
      <c r="Q234" s="738"/>
      <c r="R234" s="738"/>
      <c r="S234" s="738"/>
      <c r="T234" s="738"/>
      <c r="U234" s="738"/>
      <c r="V234" s="738"/>
      <c r="W234" s="738"/>
      <c r="X234" s="738"/>
      <c r="Y234" s="738"/>
      <c r="Z234" s="738"/>
      <c r="AA234" s="738"/>
      <c r="AB234" s="738"/>
      <c r="AC234" s="738"/>
      <c r="AD234" s="738"/>
      <c r="AE234" s="738"/>
      <c r="AF234" s="738"/>
      <c r="AG234" s="738"/>
      <c r="AH234" s="738"/>
      <c r="AI234" s="738"/>
      <c r="AJ234" s="738"/>
      <c r="AK234" s="738"/>
      <c r="AL234" s="738"/>
    </row>
    <row r="235">
      <c r="A235" s="738"/>
      <c r="B235" s="738"/>
      <c r="C235" s="738"/>
      <c r="D235" s="738"/>
      <c r="E235" s="738"/>
      <c r="F235" s="738"/>
      <c r="G235" s="738"/>
      <c r="H235" s="738"/>
      <c r="I235" s="738"/>
      <c r="J235" s="738"/>
      <c r="K235" s="738"/>
      <c r="L235" s="738"/>
      <c r="M235" s="738"/>
      <c r="N235" s="738"/>
      <c r="O235" s="738"/>
      <c r="P235" s="738"/>
      <c r="Q235" s="738"/>
      <c r="R235" s="738"/>
      <c r="S235" s="738"/>
      <c r="T235" s="738"/>
      <c r="U235" s="738"/>
      <c r="V235" s="738"/>
      <c r="W235" s="738"/>
      <c r="X235" s="738"/>
      <c r="Y235" s="738"/>
      <c r="Z235" s="738"/>
      <c r="AA235" s="738"/>
      <c r="AB235" s="738"/>
      <c r="AC235" s="738"/>
      <c r="AD235" s="738"/>
      <c r="AE235" s="738"/>
      <c r="AF235" s="738"/>
      <c r="AG235" s="738"/>
      <c r="AH235" s="738"/>
      <c r="AI235" s="738"/>
      <c r="AJ235" s="738"/>
      <c r="AK235" s="738"/>
      <c r="AL235" s="738"/>
    </row>
    <row r="236">
      <c r="A236" s="738"/>
      <c r="B236" s="738"/>
      <c r="C236" s="738"/>
      <c r="D236" s="738"/>
      <c r="E236" s="738"/>
      <c r="F236" s="738"/>
      <c r="G236" s="738"/>
      <c r="H236" s="738"/>
      <c r="I236" s="738"/>
      <c r="J236" s="738"/>
      <c r="K236" s="738"/>
      <c r="L236" s="738"/>
      <c r="M236" s="738"/>
      <c r="N236" s="738"/>
      <c r="O236" s="738"/>
      <c r="P236" s="738"/>
      <c r="Q236" s="738"/>
      <c r="R236" s="738"/>
      <c r="S236" s="738"/>
      <c r="T236" s="738"/>
      <c r="U236" s="738"/>
      <c r="V236" s="738"/>
      <c r="W236" s="738"/>
      <c r="X236" s="738"/>
      <c r="Y236" s="738"/>
      <c r="Z236" s="738"/>
      <c r="AA236" s="738"/>
      <c r="AB236" s="738"/>
      <c r="AC236" s="738"/>
      <c r="AD236" s="738"/>
      <c r="AE236" s="738"/>
      <c r="AF236" s="738"/>
      <c r="AG236" s="738"/>
      <c r="AH236" s="738"/>
      <c r="AI236" s="738"/>
      <c r="AJ236" s="738"/>
      <c r="AK236" s="738"/>
      <c r="AL236" s="738"/>
    </row>
    <row r="237">
      <c r="A237" s="738"/>
      <c r="B237" s="738"/>
      <c r="C237" s="738"/>
      <c r="D237" s="738"/>
      <c r="E237" s="738"/>
      <c r="F237" s="738"/>
      <c r="G237" s="738"/>
      <c r="H237" s="738"/>
      <c r="I237" s="738"/>
      <c r="J237" s="738"/>
      <c r="K237" s="738"/>
      <c r="L237" s="738"/>
      <c r="M237" s="738"/>
      <c r="N237" s="738"/>
      <c r="O237" s="738"/>
      <c r="P237" s="738"/>
      <c r="Q237" s="738"/>
      <c r="R237" s="738"/>
      <c r="S237" s="738"/>
      <c r="T237" s="738"/>
      <c r="U237" s="738"/>
      <c r="V237" s="738"/>
      <c r="W237" s="738"/>
      <c r="X237" s="738"/>
      <c r="Y237" s="738"/>
      <c r="Z237" s="738"/>
      <c r="AA237" s="738"/>
      <c r="AB237" s="738"/>
      <c r="AC237" s="738"/>
      <c r="AD237" s="738"/>
      <c r="AE237" s="738"/>
      <c r="AF237" s="738"/>
      <c r="AG237" s="738"/>
      <c r="AH237" s="738"/>
      <c r="AI237" s="738"/>
      <c r="AJ237" s="738"/>
      <c r="AK237" s="738"/>
      <c r="AL237" s="738"/>
    </row>
    <row r="238">
      <c r="A238" s="738"/>
      <c r="B238" s="738"/>
      <c r="C238" s="738"/>
      <c r="D238" s="738"/>
      <c r="E238" s="738"/>
      <c r="F238" s="738"/>
      <c r="G238" s="738"/>
      <c r="H238" s="738"/>
      <c r="I238" s="738"/>
      <c r="J238" s="738"/>
      <c r="K238" s="738"/>
      <c r="L238" s="738"/>
      <c r="M238" s="738"/>
      <c r="N238" s="738"/>
      <c r="O238" s="738"/>
      <c r="P238" s="738"/>
      <c r="Q238" s="738"/>
      <c r="R238" s="738"/>
      <c r="S238" s="738"/>
      <c r="T238" s="738"/>
      <c r="U238" s="738"/>
      <c r="V238" s="738"/>
      <c r="W238" s="738"/>
      <c r="X238" s="738"/>
      <c r="Y238" s="738"/>
      <c r="Z238" s="738"/>
      <c r="AA238" s="738"/>
      <c r="AB238" s="738"/>
      <c r="AC238" s="738"/>
      <c r="AD238" s="738"/>
      <c r="AE238" s="738"/>
      <c r="AF238" s="738"/>
      <c r="AG238" s="738"/>
      <c r="AH238" s="738"/>
      <c r="AI238" s="738"/>
      <c r="AJ238" s="738"/>
      <c r="AK238" s="738"/>
      <c r="AL238" s="738"/>
    </row>
    <row r="239">
      <c r="A239" s="738"/>
      <c r="B239" s="738"/>
      <c r="C239" s="738"/>
      <c r="D239" s="738"/>
      <c r="E239" s="738"/>
      <c r="F239" s="738"/>
      <c r="G239" s="738"/>
      <c r="H239" s="738"/>
      <c r="I239" s="738"/>
      <c r="J239" s="738"/>
      <c r="K239" s="738"/>
      <c r="L239" s="738"/>
      <c r="M239" s="738"/>
      <c r="N239" s="738"/>
      <c r="O239" s="738"/>
      <c r="P239" s="738"/>
      <c r="Q239" s="738"/>
      <c r="R239" s="738"/>
      <c r="S239" s="738"/>
      <c r="T239" s="738"/>
      <c r="U239" s="738"/>
      <c r="V239" s="738"/>
      <c r="W239" s="738"/>
      <c r="X239" s="738"/>
      <c r="Y239" s="738"/>
      <c r="Z239" s="738"/>
      <c r="AA239" s="738"/>
      <c r="AB239" s="738"/>
      <c r="AC239" s="738"/>
      <c r="AD239" s="738"/>
      <c r="AE239" s="738"/>
      <c r="AF239" s="738"/>
      <c r="AG239" s="738"/>
      <c r="AH239" s="738"/>
      <c r="AI239" s="738"/>
      <c r="AJ239" s="738"/>
      <c r="AK239" s="738"/>
      <c r="AL239" s="738"/>
    </row>
    <row r="240">
      <c r="A240" s="738"/>
      <c r="B240" s="738"/>
      <c r="C240" s="738"/>
      <c r="D240" s="738"/>
      <c r="E240" s="738"/>
      <c r="F240" s="738"/>
      <c r="G240" s="738"/>
      <c r="H240" s="738"/>
      <c r="I240" s="738"/>
      <c r="J240" s="738"/>
      <c r="K240" s="738"/>
      <c r="L240" s="738"/>
      <c r="M240" s="738"/>
      <c r="N240" s="738"/>
      <c r="O240" s="738"/>
      <c r="P240" s="738"/>
      <c r="Q240" s="738"/>
      <c r="R240" s="738"/>
      <c r="S240" s="738"/>
      <c r="T240" s="738"/>
      <c r="U240" s="738"/>
      <c r="V240" s="738"/>
      <c r="W240" s="738"/>
      <c r="X240" s="738"/>
      <c r="Y240" s="738"/>
      <c r="Z240" s="738"/>
      <c r="AA240" s="738"/>
      <c r="AB240" s="738"/>
      <c r="AC240" s="738"/>
      <c r="AD240" s="738"/>
      <c r="AE240" s="738"/>
      <c r="AF240" s="738"/>
      <c r="AG240" s="738"/>
      <c r="AH240" s="738"/>
      <c r="AI240" s="738"/>
      <c r="AJ240" s="738"/>
      <c r="AK240" s="738"/>
      <c r="AL240" s="738"/>
    </row>
    <row r="241">
      <c r="A241" s="738"/>
      <c r="B241" s="738"/>
      <c r="C241" s="738"/>
      <c r="D241" s="738"/>
      <c r="E241" s="738"/>
      <c r="F241" s="738"/>
      <c r="G241" s="738"/>
      <c r="H241" s="738"/>
      <c r="I241" s="738"/>
      <c r="J241" s="738"/>
      <c r="K241" s="738"/>
      <c r="L241" s="738"/>
      <c r="M241" s="738"/>
      <c r="N241" s="738"/>
      <c r="O241" s="738"/>
      <c r="P241" s="738"/>
      <c r="Q241" s="738"/>
      <c r="R241" s="738"/>
      <c r="S241" s="738"/>
      <c r="T241" s="738"/>
      <c r="U241" s="738"/>
      <c r="V241" s="738"/>
      <c r="W241" s="738"/>
      <c r="X241" s="738"/>
      <c r="Y241" s="738"/>
      <c r="Z241" s="738"/>
      <c r="AA241" s="738"/>
      <c r="AB241" s="738"/>
      <c r="AC241" s="738"/>
      <c r="AD241" s="738"/>
      <c r="AE241" s="738"/>
      <c r="AF241" s="738"/>
      <c r="AG241" s="738"/>
      <c r="AH241" s="738"/>
      <c r="AI241" s="738"/>
      <c r="AJ241" s="738"/>
      <c r="AK241" s="738"/>
      <c r="AL241" s="738"/>
    </row>
    <row r="242">
      <c r="A242" s="738"/>
      <c r="B242" s="738"/>
      <c r="C242" s="738"/>
      <c r="D242" s="738"/>
      <c r="E242" s="738"/>
      <c r="F242" s="738"/>
      <c r="G242" s="738"/>
      <c r="H242" s="738"/>
      <c r="I242" s="738"/>
      <c r="J242" s="738"/>
      <c r="K242" s="738"/>
      <c r="L242" s="738"/>
      <c r="M242" s="738"/>
      <c r="N242" s="738"/>
      <c r="O242" s="738"/>
      <c r="P242" s="738"/>
      <c r="Q242" s="738"/>
      <c r="R242" s="738"/>
      <c r="S242" s="738"/>
      <c r="T242" s="738"/>
      <c r="U242" s="738"/>
      <c r="V242" s="738"/>
      <c r="W242" s="738"/>
      <c r="X242" s="738"/>
      <c r="Y242" s="738"/>
      <c r="Z242" s="738"/>
      <c r="AA242" s="738"/>
      <c r="AB242" s="738"/>
      <c r="AC242" s="738"/>
      <c r="AD242" s="738"/>
      <c r="AE242" s="738"/>
      <c r="AF242" s="738"/>
      <c r="AG242" s="738"/>
      <c r="AH242" s="738"/>
      <c r="AI242" s="738"/>
      <c r="AJ242" s="738"/>
      <c r="AK242" s="738"/>
      <c r="AL242" s="738"/>
    </row>
    <row r="243">
      <c r="A243" s="738"/>
      <c r="B243" s="738"/>
      <c r="C243" s="738"/>
      <c r="D243" s="738"/>
      <c r="E243" s="738"/>
      <c r="F243" s="738"/>
      <c r="G243" s="738"/>
      <c r="H243" s="738"/>
      <c r="I243" s="738"/>
      <c r="J243" s="738"/>
      <c r="K243" s="738"/>
      <c r="L243" s="738"/>
      <c r="M243" s="738"/>
      <c r="N243" s="738"/>
      <c r="O243" s="738"/>
      <c r="P243" s="738"/>
      <c r="Q243" s="738"/>
      <c r="R243" s="738"/>
      <c r="S243" s="738"/>
      <c r="T243" s="738"/>
      <c r="U243" s="738"/>
      <c r="V243" s="738"/>
      <c r="W243" s="738"/>
      <c r="X243" s="738"/>
      <c r="Y243" s="738"/>
      <c r="Z243" s="738"/>
      <c r="AA243" s="738"/>
      <c r="AB243" s="738"/>
      <c r="AC243" s="738"/>
      <c r="AD243" s="738"/>
      <c r="AE243" s="738"/>
      <c r="AF243" s="738"/>
      <c r="AG243" s="738"/>
      <c r="AH243" s="738"/>
      <c r="AI243" s="738"/>
      <c r="AJ243" s="738"/>
      <c r="AK243" s="738"/>
      <c r="AL243" s="738"/>
    </row>
    <row r="244">
      <c r="A244" s="738"/>
      <c r="B244" s="738"/>
      <c r="C244" s="738"/>
      <c r="D244" s="738"/>
      <c r="E244" s="738"/>
      <c r="F244" s="738"/>
      <c r="G244" s="738"/>
      <c r="H244" s="738"/>
      <c r="I244" s="738"/>
      <c r="J244" s="738"/>
      <c r="K244" s="738"/>
      <c r="L244" s="738"/>
      <c r="M244" s="738"/>
      <c r="N244" s="738"/>
      <c r="O244" s="738"/>
      <c r="P244" s="738"/>
      <c r="Q244" s="738"/>
      <c r="R244" s="738"/>
      <c r="S244" s="738"/>
      <c r="T244" s="738"/>
      <c r="U244" s="738"/>
      <c r="V244" s="738"/>
      <c r="W244" s="738"/>
      <c r="X244" s="738"/>
      <c r="Y244" s="738"/>
      <c r="Z244" s="738"/>
      <c r="AA244" s="738"/>
      <c r="AB244" s="738"/>
      <c r="AC244" s="738"/>
      <c r="AD244" s="738"/>
      <c r="AE244" s="738"/>
      <c r="AF244" s="738"/>
      <c r="AG244" s="738"/>
      <c r="AH244" s="738"/>
      <c r="AI244" s="738"/>
      <c r="AJ244" s="738"/>
      <c r="AK244" s="738"/>
      <c r="AL244" s="738"/>
    </row>
    <row r="245">
      <c r="A245" s="738"/>
      <c r="B245" s="738"/>
      <c r="C245" s="738"/>
      <c r="D245" s="738"/>
      <c r="E245" s="738"/>
      <c r="F245" s="738"/>
      <c r="G245" s="738"/>
      <c r="H245" s="738"/>
      <c r="I245" s="738"/>
      <c r="J245" s="738"/>
      <c r="K245" s="738"/>
      <c r="L245" s="738"/>
      <c r="M245" s="738"/>
      <c r="N245" s="738"/>
      <c r="O245" s="738"/>
      <c r="P245" s="738"/>
      <c r="Q245" s="738"/>
      <c r="R245" s="738"/>
      <c r="S245" s="738"/>
      <c r="T245" s="738"/>
      <c r="U245" s="738"/>
      <c r="V245" s="738"/>
      <c r="W245" s="738"/>
      <c r="X245" s="738"/>
      <c r="Y245" s="738"/>
      <c r="Z245" s="738"/>
      <c r="AA245" s="738"/>
      <c r="AB245" s="738"/>
      <c r="AC245" s="738"/>
      <c r="AD245" s="738"/>
      <c r="AE245" s="738"/>
      <c r="AF245" s="738"/>
      <c r="AG245" s="738"/>
      <c r="AH245" s="738"/>
      <c r="AI245" s="738"/>
      <c r="AJ245" s="738"/>
      <c r="AK245" s="738"/>
      <c r="AL245" s="738"/>
    </row>
    <row r="246">
      <c r="A246" s="738"/>
      <c r="B246" s="738"/>
      <c r="C246" s="738"/>
      <c r="D246" s="738"/>
      <c r="E246" s="738"/>
      <c r="F246" s="738"/>
      <c r="G246" s="738"/>
      <c r="H246" s="738"/>
      <c r="I246" s="738"/>
      <c r="J246" s="738"/>
      <c r="K246" s="738"/>
      <c r="L246" s="738"/>
      <c r="M246" s="738"/>
      <c r="N246" s="738"/>
      <c r="O246" s="738"/>
      <c r="P246" s="738"/>
      <c r="Q246" s="738"/>
      <c r="R246" s="738"/>
      <c r="S246" s="738"/>
      <c r="T246" s="738"/>
      <c r="U246" s="738"/>
      <c r="V246" s="738"/>
      <c r="W246" s="738"/>
      <c r="X246" s="738"/>
      <c r="Y246" s="738"/>
      <c r="Z246" s="738"/>
      <c r="AA246" s="738"/>
      <c r="AB246" s="738"/>
      <c r="AC246" s="738"/>
      <c r="AD246" s="738"/>
      <c r="AE246" s="738"/>
      <c r="AF246" s="738"/>
      <c r="AG246" s="738"/>
      <c r="AH246" s="738"/>
      <c r="AI246" s="738"/>
      <c r="AJ246" s="738"/>
      <c r="AK246" s="738"/>
      <c r="AL246" s="738"/>
    </row>
    <row r="247">
      <c r="A247" s="738"/>
      <c r="B247" s="738"/>
      <c r="C247" s="738"/>
      <c r="D247" s="738"/>
      <c r="E247" s="738"/>
      <c r="F247" s="738"/>
      <c r="G247" s="738"/>
      <c r="H247" s="738"/>
      <c r="I247" s="738"/>
      <c r="J247" s="738"/>
      <c r="K247" s="738"/>
      <c r="L247" s="738"/>
      <c r="M247" s="738"/>
      <c r="N247" s="738"/>
      <c r="O247" s="738"/>
      <c r="P247" s="738"/>
      <c r="Q247" s="738"/>
      <c r="R247" s="738"/>
      <c r="S247" s="738"/>
      <c r="T247" s="738"/>
      <c r="U247" s="738"/>
      <c r="V247" s="738"/>
      <c r="W247" s="738"/>
      <c r="X247" s="738"/>
      <c r="Y247" s="738"/>
      <c r="Z247" s="738"/>
      <c r="AA247" s="738"/>
      <c r="AB247" s="738"/>
      <c r="AC247" s="738"/>
      <c r="AD247" s="738"/>
      <c r="AE247" s="738"/>
      <c r="AF247" s="738"/>
      <c r="AG247" s="738"/>
      <c r="AH247" s="738"/>
      <c r="AI247" s="738"/>
      <c r="AJ247" s="738"/>
      <c r="AK247" s="738"/>
      <c r="AL247" s="738"/>
    </row>
    <row r="248">
      <c r="A248" s="738"/>
      <c r="B248" s="738"/>
      <c r="C248" s="738"/>
      <c r="D248" s="738"/>
      <c r="E248" s="738"/>
      <c r="F248" s="738"/>
      <c r="G248" s="738"/>
      <c r="H248" s="738"/>
      <c r="I248" s="738"/>
      <c r="J248" s="738"/>
      <c r="K248" s="738"/>
      <c r="L248" s="738"/>
      <c r="M248" s="738"/>
      <c r="N248" s="738"/>
      <c r="O248" s="738"/>
      <c r="P248" s="738"/>
      <c r="Q248" s="738"/>
      <c r="R248" s="738"/>
      <c r="S248" s="738"/>
      <c r="T248" s="738"/>
      <c r="U248" s="738"/>
      <c r="V248" s="738"/>
      <c r="W248" s="738"/>
      <c r="X248" s="738"/>
      <c r="Y248" s="738"/>
      <c r="Z248" s="738"/>
      <c r="AA248" s="738"/>
      <c r="AB248" s="738"/>
      <c r="AC248" s="738"/>
      <c r="AD248" s="738"/>
      <c r="AE248" s="738"/>
      <c r="AF248" s="738"/>
      <c r="AG248" s="738"/>
      <c r="AH248" s="738"/>
      <c r="AI248" s="738"/>
      <c r="AJ248" s="738"/>
      <c r="AK248" s="738"/>
      <c r="AL248" s="738"/>
    </row>
    <row r="249">
      <c r="A249" s="738"/>
      <c r="B249" s="738"/>
      <c r="C249" s="738"/>
      <c r="D249" s="738"/>
      <c r="E249" s="738"/>
      <c r="F249" s="738"/>
      <c r="G249" s="738"/>
      <c r="H249" s="738"/>
      <c r="I249" s="738"/>
      <c r="J249" s="738"/>
      <c r="K249" s="738"/>
      <c r="L249" s="738"/>
      <c r="M249" s="738"/>
      <c r="N249" s="738"/>
      <c r="O249" s="738"/>
      <c r="P249" s="738"/>
      <c r="Q249" s="738"/>
      <c r="R249" s="738"/>
      <c r="S249" s="738"/>
      <c r="T249" s="738"/>
      <c r="U249" s="738"/>
      <c r="V249" s="738"/>
      <c r="W249" s="738"/>
      <c r="X249" s="738"/>
      <c r="Y249" s="738"/>
      <c r="Z249" s="738"/>
      <c r="AA249" s="738"/>
      <c r="AB249" s="738"/>
      <c r="AC249" s="738"/>
      <c r="AD249" s="738"/>
      <c r="AE249" s="738"/>
      <c r="AF249" s="738"/>
      <c r="AG249" s="738"/>
      <c r="AH249" s="738"/>
      <c r="AI249" s="738"/>
      <c r="AJ249" s="738"/>
      <c r="AK249" s="738"/>
      <c r="AL249" s="738"/>
    </row>
    <row r="250">
      <c r="A250" s="738"/>
      <c r="B250" s="738"/>
      <c r="C250" s="738"/>
      <c r="D250" s="738"/>
      <c r="E250" s="738"/>
      <c r="F250" s="738"/>
      <c r="G250" s="738"/>
      <c r="H250" s="738"/>
      <c r="I250" s="738"/>
      <c r="J250" s="738"/>
      <c r="K250" s="738"/>
      <c r="L250" s="738"/>
      <c r="M250" s="738"/>
      <c r="N250" s="738"/>
      <c r="O250" s="738"/>
      <c r="P250" s="738"/>
      <c r="Q250" s="738"/>
      <c r="R250" s="738"/>
      <c r="S250" s="738"/>
      <c r="T250" s="738"/>
      <c r="U250" s="738"/>
      <c r="V250" s="738"/>
      <c r="W250" s="738"/>
      <c r="X250" s="738"/>
      <c r="Y250" s="738"/>
      <c r="Z250" s="738"/>
      <c r="AA250" s="738"/>
      <c r="AB250" s="738"/>
      <c r="AC250" s="738"/>
      <c r="AD250" s="738"/>
      <c r="AE250" s="738"/>
      <c r="AF250" s="738"/>
      <c r="AG250" s="738"/>
      <c r="AH250" s="738"/>
      <c r="AI250" s="738"/>
      <c r="AJ250" s="738"/>
      <c r="AK250" s="738"/>
      <c r="AL250" s="738"/>
    </row>
    <row r="251">
      <c r="A251" s="738"/>
      <c r="B251" s="738"/>
      <c r="C251" s="738"/>
      <c r="D251" s="738"/>
      <c r="E251" s="738"/>
      <c r="F251" s="738"/>
      <c r="G251" s="738"/>
      <c r="H251" s="738"/>
      <c r="I251" s="738"/>
      <c r="J251" s="738"/>
      <c r="K251" s="738"/>
      <c r="L251" s="738"/>
      <c r="M251" s="738"/>
      <c r="N251" s="738"/>
      <c r="O251" s="738"/>
      <c r="P251" s="738"/>
      <c r="Q251" s="738"/>
      <c r="R251" s="738"/>
      <c r="S251" s="738"/>
      <c r="T251" s="738"/>
      <c r="U251" s="738"/>
      <c r="V251" s="738"/>
      <c r="W251" s="738"/>
      <c r="X251" s="738"/>
      <c r="Y251" s="738"/>
      <c r="Z251" s="738"/>
      <c r="AA251" s="738"/>
      <c r="AB251" s="738"/>
      <c r="AC251" s="738"/>
      <c r="AD251" s="738"/>
      <c r="AE251" s="738"/>
      <c r="AF251" s="738"/>
      <c r="AG251" s="738"/>
      <c r="AH251" s="738"/>
      <c r="AI251" s="738"/>
      <c r="AJ251" s="738"/>
      <c r="AK251" s="738"/>
      <c r="AL251" s="738"/>
    </row>
    <row r="252">
      <c r="A252" s="738"/>
      <c r="B252" s="738"/>
      <c r="C252" s="738"/>
      <c r="D252" s="738"/>
      <c r="E252" s="738"/>
      <c r="F252" s="738"/>
      <c r="G252" s="738"/>
      <c r="H252" s="738"/>
      <c r="I252" s="738"/>
      <c r="J252" s="738"/>
      <c r="K252" s="738"/>
      <c r="L252" s="738"/>
      <c r="M252" s="738"/>
      <c r="N252" s="738"/>
      <c r="O252" s="738"/>
      <c r="P252" s="738"/>
      <c r="Q252" s="738"/>
      <c r="R252" s="738"/>
      <c r="S252" s="738"/>
      <c r="T252" s="738"/>
      <c r="U252" s="738"/>
      <c r="V252" s="738"/>
      <c r="W252" s="738"/>
      <c r="X252" s="738"/>
      <c r="Y252" s="738"/>
      <c r="Z252" s="738"/>
      <c r="AA252" s="738"/>
      <c r="AB252" s="738"/>
      <c r="AC252" s="738"/>
      <c r="AD252" s="738"/>
      <c r="AE252" s="738"/>
      <c r="AF252" s="738"/>
      <c r="AG252" s="738"/>
      <c r="AH252" s="738"/>
      <c r="AI252" s="738"/>
      <c r="AJ252" s="738"/>
      <c r="AK252" s="738"/>
      <c r="AL252" s="738"/>
    </row>
    <row r="253">
      <c r="A253" s="738"/>
      <c r="B253" s="738"/>
      <c r="C253" s="738"/>
      <c r="D253" s="738"/>
      <c r="E253" s="738"/>
      <c r="F253" s="738"/>
      <c r="G253" s="738"/>
      <c r="H253" s="738"/>
      <c r="I253" s="738"/>
      <c r="J253" s="738"/>
      <c r="K253" s="738"/>
      <c r="L253" s="738"/>
      <c r="M253" s="738"/>
      <c r="N253" s="738"/>
      <c r="O253" s="738"/>
      <c r="P253" s="738"/>
      <c r="Q253" s="738"/>
      <c r="R253" s="738"/>
      <c r="S253" s="738"/>
      <c r="T253" s="738"/>
      <c r="U253" s="738"/>
      <c r="V253" s="738"/>
      <c r="W253" s="738"/>
      <c r="X253" s="738"/>
      <c r="Y253" s="738"/>
      <c r="Z253" s="738"/>
      <c r="AA253" s="738"/>
      <c r="AB253" s="738"/>
      <c r="AC253" s="738"/>
      <c r="AD253" s="738"/>
      <c r="AE253" s="738"/>
      <c r="AF253" s="738"/>
      <c r="AG253" s="738"/>
      <c r="AH253" s="738"/>
      <c r="AI253" s="738"/>
      <c r="AJ253" s="738"/>
      <c r="AK253" s="738"/>
      <c r="AL253" s="738"/>
    </row>
    <row r="254">
      <c r="A254" s="738"/>
      <c r="B254" s="738"/>
      <c r="C254" s="738"/>
      <c r="D254" s="738"/>
      <c r="E254" s="738"/>
      <c r="F254" s="738"/>
      <c r="G254" s="738"/>
      <c r="H254" s="738"/>
      <c r="I254" s="738"/>
      <c r="J254" s="738"/>
      <c r="K254" s="738"/>
      <c r="L254" s="738"/>
      <c r="M254" s="738"/>
      <c r="N254" s="738"/>
      <c r="O254" s="738"/>
      <c r="P254" s="738"/>
      <c r="Q254" s="738"/>
      <c r="R254" s="738"/>
      <c r="S254" s="738"/>
      <c r="T254" s="738"/>
      <c r="U254" s="738"/>
      <c r="V254" s="738"/>
      <c r="W254" s="738"/>
      <c r="X254" s="738"/>
      <c r="Y254" s="738"/>
      <c r="Z254" s="738"/>
      <c r="AA254" s="738"/>
      <c r="AB254" s="738"/>
      <c r="AC254" s="738"/>
      <c r="AD254" s="738"/>
      <c r="AE254" s="738"/>
      <c r="AF254" s="738"/>
      <c r="AG254" s="738"/>
      <c r="AH254" s="738"/>
      <c r="AI254" s="738"/>
      <c r="AJ254" s="738"/>
      <c r="AK254" s="738"/>
      <c r="AL254" s="738"/>
    </row>
    <row r="255">
      <c r="A255" s="738"/>
      <c r="B255" s="738"/>
      <c r="C255" s="738"/>
      <c r="D255" s="738"/>
      <c r="E255" s="738"/>
      <c r="F255" s="738"/>
      <c r="G255" s="738"/>
      <c r="H255" s="738"/>
      <c r="I255" s="738"/>
      <c r="J255" s="738"/>
      <c r="K255" s="738"/>
      <c r="L255" s="738"/>
      <c r="M255" s="738"/>
      <c r="N255" s="738"/>
      <c r="O255" s="738"/>
      <c r="P255" s="738"/>
      <c r="Q255" s="738"/>
      <c r="R255" s="738"/>
      <c r="S255" s="738"/>
      <c r="T255" s="738"/>
      <c r="U255" s="738"/>
      <c r="V255" s="738"/>
      <c r="W255" s="738"/>
      <c r="X255" s="738"/>
      <c r="Y255" s="738"/>
      <c r="Z255" s="738"/>
      <c r="AA255" s="738"/>
      <c r="AB255" s="738"/>
      <c r="AC255" s="738"/>
      <c r="AD255" s="738"/>
      <c r="AE255" s="738"/>
      <c r="AF255" s="738"/>
      <c r="AG255" s="738"/>
      <c r="AH255" s="738"/>
      <c r="AI255" s="738"/>
      <c r="AJ255" s="738"/>
      <c r="AK255" s="738"/>
      <c r="AL255" s="738"/>
    </row>
    <row r="256">
      <c r="A256" s="738"/>
      <c r="B256" s="738"/>
      <c r="C256" s="738"/>
      <c r="D256" s="738"/>
      <c r="E256" s="738"/>
      <c r="F256" s="738"/>
      <c r="G256" s="738"/>
      <c r="H256" s="738"/>
      <c r="I256" s="738"/>
      <c r="J256" s="738"/>
      <c r="K256" s="738"/>
      <c r="L256" s="738"/>
      <c r="M256" s="738"/>
      <c r="N256" s="738"/>
      <c r="O256" s="738"/>
      <c r="P256" s="738"/>
      <c r="Q256" s="738"/>
      <c r="R256" s="738"/>
      <c r="S256" s="738"/>
      <c r="T256" s="738"/>
      <c r="U256" s="738"/>
      <c r="V256" s="738"/>
      <c r="W256" s="738"/>
      <c r="X256" s="738"/>
      <c r="Y256" s="738"/>
      <c r="Z256" s="738"/>
      <c r="AA256" s="738"/>
      <c r="AB256" s="738"/>
      <c r="AC256" s="738"/>
      <c r="AD256" s="738"/>
      <c r="AE256" s="738"/>
      <c r="AF256" s="738"/>
      <c r="AG256" s="738"/>
      <c r="AH256" s="738"/>
      <c r="AI256" s="738"/>
      <c r="AJ256" s="738"/>
      <c r="AK256" s="738"/>
      <c r="AL256" s="738"/>
    </row>
    <row r="257">
      <c r="A257" s="738"/>
      <c r="B257" s="738"/>
      <c r="C257" s="738"/>
      <c r="D257" s="738"/>
      <c r="E257" s="738"/>
      <c r="F257" s="738"/>
      <c r="G257" s="738"/>
      <c r="H257" s="738"/>
      <c r="I257" s="738"/>
      <c r="J257" s="738"/>
      <c r="K257" s="738"/>
      <c r="L257" s="738"/>
      <c r="M257" s="738"/>
      <c r="N257" s="738"/>
      <c r="O257" s="738"/>
      <c r="P257" s="738"/>
      <c r="Q257" s="738"/>
      <c r="R257" s="738"/>
      <c r="S257" s="738"/>
      <c r="T257" s="738"/>
      <c r="U257" s="738"/>
      <c r="V257" s="738"/>
      <c r="W257" s="738"/>
      <c r="X257" s="738"/>
      <c r="Y257" s="738"/>
      <c r="Z257" s="738"/>
      <c r="AA257" s="738"/>
      <c r="AB257" s="738"/>
      <c r="AC257" s="738"/>
      <c r="AD257" s="738"/>
      <c r="AE257" s="738"/>
      <c r="AF257" s="738"/>
      <c r="AG257" s="738"/>
      <c r="AH257" s="738"/>
      <c r="AI257" s="738"/>
      <c r="AJ257" s="738"/>
      <c r="AK257" s="738"/>
      <c r="AL257" s="738"/>
    </row>
    <row r="258">
      <c r="A258" s="738"/>
      <c r="B258" s="738"/>
      <c r="C258" s="738"/>
      <c r="D258" s="738"/>
      <c r="E258" s="738"/>
      <c r="F258" s="738"/>
      <c r="G258" s="738"/>
      <c r="H258" s="738"/>
      <c r="I258" s="738"/>
      <c r="J258" s="738"/>
      <c r="K258" s="738"/>
      <c r="L258" s="738"/>
      <c r="M258" s="738"/>
      <c r="N258" s="738"/>
      <c r="O258" s="738"/>
      <c r="P258" s="738"/>
      <c r="Q258" s="738"/>
      <c r="R258" s="738"/>
      <c r="S258" s="738"/>
      <c r="T258" s="738"/>
      <c r="U258" s="738"/>
      <c r="V258" s="738"/>
      <c r="W258" s="738"/>
      <c r="X258" s="738"/>
      <c r="Y258" s="738"/>
      <c r="Z258" s="738"/>
      <c r="AA258" s="738"/>
      <c r="AB258" s="738"/>
      <c r="AC258" s="738"/>
      <c r="AD258" s="738"/>
      <c r="AE258" s="738"/>
      <c r="AF258" s="738"/>
      <c r="AG258" s="738"/>
      <c r="AH258" s="738"/>
      <c r="AI258" s="738"/>
      <c r="AJ258" s="738"/>
      <c r="AK258" s="738"/>
      <c r="AL258" s="738"/>
    </row>
    <row r="259">
      <c r="A259" s="738"/>
      <c r="B259" s="738"/>
      <c r="C259" s="738"/>
      <c r="D259" s="738"/>
      <c r="E259" s="738"/>
      <c r="F259" s="738"/>
      <c r="G259" s="738"/>
      <c r="H259" s="738"/>
      <c r="I259" s="738"/>
      <c r="J259" s="738"/>
      <c r="K259" s="738"/>
      <c r="L259" s="738"/>
      <c r="M259" s="738"/>
      <c r="N259" s="738"/>
      <c r="O259" s="738"/>
      <c r="P259" s="738"/>
      <c r="Q259" s="738"/>
      <c r="R259" s="738"/>
      <c r="S259" s="738"/>
      <c r="T259" s="738"/>
      <c r="U259" s="738"/>
      <c r="V259" s="738"/>
      <c r="W259" s="738"/>
      <c r="X259" s="738"/>
      <c r="Y259" s="738"/>
      <c r="Z259" s="738"/>
      <c r="AA259" s="738"/>
      <c r="AB259" s="738"/>
      <c r="AC259" s="738"/>
      <c r="AD259" s="738"/>
      <c r="AE259" s="738"/>
      <c r="AF259" s="738"/>
      <c r="AG259" s="738"/>
      <c r="AH259" s="738"/>
      <c r="AI259" s="738"/>
      <c r="AJ259" s="738"/>
      <c r="AK259" s="738"/>
      <c r="AL259" s="738"/>
    </row>
    <row r="260">
      <c r="A260" s="738"/>
      <c r="B260" s="738"/>
      <c r="C260" s="738"/>
      <c r="D260" s="738"/>
      <c r="E260" s="738"/>
      <c r="F260" s="738"/>
      <c r="G260" s="738"/>
      <c r="H260" s="738"/>
      <c r="I260" s="738"/>
      <c r="J260" s="738"/>
      <c r="K260" s="738"/>
      <c r="L260" s="738"/>
      <c r="M260" s="738"/>
      <c r="N260" s="738"/>
      <c r="O260" s="738"/>
      <c r="P260" s="738"/>
      <c r="Q260" s="738"/>
      <c r="R260" s="738"/>
      <c r="S260" s="738"/>
      <c r="T260" s="738"/>
      <c r="U260" s="738"/>
      <c r="V260" s="738"/>
      <c r="W260" s="738"/>
      <c r="X260" s="738"/>
      <c r="Y260" s="738"/>
      <c r="Z260" s="738"/>
      <c r="AA260" s="738"/>
      <c r="AB260" s="738"/>
      <c r="AC260" s="738"/>
      <c r="AD260" s="738"/>
      <c r="AE260" s="738"/>
      <c r="AF260" s="738"/>
      <c r="AG260" s="738"/>
      <c r="AH260" s="738"/>
      <c r="AI260" s="738"/>
      <c r="AJ260" s="738"/>
      <c r="AK260" s="738"/>
      <c r="AL260" s="738"/>
    </row>
    <row r="261">
      <c r="A261" s="738"/>
      <c r="B261" s="738"/>
      <c r="C261" s="738"/>
      <c r="D261" s="738"/>
      <c r="E261" s="738"/>
      <c r="F261" s="738"/>
      <c r="G261" s="738"/>
      <c r="H261" s="738"/>
      <c r="I261" s="738"/>
      <c r="J261" s="738"/>
      <c r="K261" s="738"/>
      <c r="L261" s="738"/>
      <c r="M261" s="738"/>
      <c r="N261" s="738"/>
      <c r="O261" s="738"/>
      <c r="P261" s="738"/>
      <c r="Q261" s="738"/>
      <c r="R261" s="738"/>
      <c r="S261" s="738"/>
      <c r="T261" s="738"/>
      <c r="U261" s="738"/>
      <c r="V261" s="738"/>
      <c r="W261" s="738"/>
      <c r="X261" s="738"/>
      <c r="Y261" s="738"/>
      <c r="Z261" s="738"/>
      <c r="AA261" s="738"/>
      <c r="AB261" s="738"/>
      <c r="AC261" s="738"/>
      <c r="AD261" s="738"/>
      <c r="AE261" s="738"/>
      <c r="AF261" s="738"/>
      <c r="AG261" s="738"/>
      <c r="AH261" s="738"/>
      <c r="AI261" s="738"/>
      <c r="AJ261" s="738"/>
      <c r="AK261" s="738"/>
      <c r="AL261" s="738"/>
    </row>
    <row r="262">
      <c r="A262" s="738"/>
      <c r="B262" s="738"/>
      <c r="C262" s="738"/>
      <c r="D262" s="738"/>
      <c r="E262" s="738"/>
      <c r="F262" s="738"/>
      <c r="G262" s="738"/>
      <c r="H262" s="738"/>
      <c r="I262" s="738"/>
      <c r="J262" s="738"/>
      <c r="K262" s="738"/>
      <c r="L262" s="738"/>
      <c r="M262" s="738"/>
      <c r="N262" s="738"/>
      <c r="O262" s="738"/>
      <c r="P262" s="738"/>
      <c r="Q262" s="738"/>
      <c r="R262" s="738"/>
      <c r="S262" s="738"/>
      <c r="T262" s="738"/>
      <c r="U262" s="738"/>
      <c r="V262" s="738"/>
      <c r="W262" s="738"/>
      <c r="X262" s="738"/>
      <c r="Y262" s="738"/>
      <c r="Z262" s="738"/>
      <c r="AA262" s="738"/>
      <c r="AB262" s="738"/>
      <c r="AC262" s="738"/>
      <c r="AD262" s="738"/>
      <c r="AE262" s="738"/>
      <c r="AF262" s="738"/>
      <c r="AG262" s="738"/>
      <c r="AH262" s="738"/>
      <c r="AI262" s="738"/>
      <c r="AJ262" s="738"/>
      <c r="AK262" s="738"/>
      <c r="AL262" s="738"/>
    </row>
    <row r="263">
      <c r="A263" s="738"/>
      <c r="B263" s="738"/>
      <c r="C263" s="738"/>
      <c r="D263" s="738"/>
      <c r="E263" s="738"/>
      <c r="F263" s="738"/>
      <c r="G263" s="738"/>
      <c r="H263" s="738"/>
      <c r="I263" s="738"/>
      <c r="J263" s="738"/>
      <c r="K263" s="738"/>
      <c r="L263" s="738"/>
      <c r="M263" s="738"/>
      <c r="N263" s="738"/>
      <c r="O263" s="738"/>
      <c r="P263" s="738"/>
      <c r="Q263" s="738"/>
      <c r="R263" s="738"/>
      <c r="S263" s="738"/>
      <c r="T263" s="738"/>
      <c r="U263" s="738"/>
      <c r="V263" s="738"/>
      <c r="W263" s="738"/>
      <c r="X263" s="738"/>
      <c r="Y263" s="738"/>
      <c r="Z263" s="738"/>
      <c r="AA263" s="738"/>
      <c r="AB263" s="738"/>
      <c r="AC263" s="738"/>
      <c r="AD263" s="738"/>
      <c r="AE263" s="738"/>
      <c r="AF263" s="738"/>
      <c r="AG263" s="738"/>
      <c r="AH263" s="738"/>
      <c r="AI263" s="738"/>
      <c r="AJ263" s="738"/>
      <c r="AK263" s="738"/>
      <c r="AL263" s="738"/>
    </row>
    <row r="264">
      <c r="A264" s="738"/>
      <c r="B264" s="738"/>
      <c r="C264" s="738"/>
      <c r="D264" s="738"/>
      <c r="E264" s="738"/>
      <c r="F264" s="738"/>
      <c r="G264" s="738"/>
      <c r="H264" s="738"/>
      <c r="I264" s="738"/>
      <c r="J264" s="738"/>
      <c r="K264" s="738"/>
      <c r="L264" s="738"/>
      <c r="M264" s="738"/>
      <c r="N264" s="738"/>
      <c r="O264" s="738"/>
      <c r="P264" s="738"/>
      <c r="Q264" s="738"/>
      <c r="R264" s="738"/>
      <c r="S264" s="738"/>
      <c r="T264" s="738"/>
      <c r="U264" s="738"/>
      <c r="V264" s="738"/>
      <c r="W264" s="738"/>
      <c r="X264" s="738"/>
      <c r="Y264" s="738"/>
      <c r="Z264" s="738"/>
      <c r="AA264" s="738"/>
      <c r="AB264" s="738"/>
      <c r="AC264" s="738"/>
      <c r="AD264" s="738"/>
      <c r="AE264" s="738"/>
      <c r="AF264" s="738"/>
      <c r="AG264" s="738"/>
      <c r="AH264" s="738"/>
      <c r="AI264" s="738"/>
      <c r="AJ264" s="738"/>
      <c r="AK264" s="738"/>
      <c r="AL264" s="738"/>
    </row>
    <row r="265">
      <c r="A265" s="738"/>
      <c r="B265" s="738"/>
      <c r="C265" s="738"/>
      <c r="D265" s="738"/>
      <c r="E265" s="738"/>
      <c r="F265" s="738"/>
      <c r="G265" s="738"/>
      <c r="H265" s="738"/>
      <c r="I265" s="738"/>
      <c r="J265" s="738"/>
      <c r="K265" s="738"/>
      <c r="L265" s="738"/>
      <c r="M265" s="738"/>
      <c r="N265" s="738"/>
      <c r="O265" s="738"/>
      <c r="P265" s="738"/>
      <c r="Q265" s="738"/>
      <c r="R265" s="738"/>
      <c r="S265" s="738"/>
      <c r="T265" s="738"/>
      <c r="U265" s="738"/>
      <c r="V265" s="738"/>
      <c r="W265" s="738"/>
      <c r="X265" s="738"/>
      <c r="Y265" s="738"/>
      <c r="Z265" s="738"/>
      <c r="AA265" s="738"/>
      <c r="AB265" s="738"/>
      <c r="AC265" s="738"/>
      <c r="AD265" s="738"/>
      <c r="AE265" s="738"/>
      <c r="AF265" s="738"/>
      <c r="AG265" s="738"/>
      <c r="AH265" s="738"/>
      <c r="AI265" s="738"/>
      <c r="AJ265" s="738"/>
      <c r="AK265" s="738"/>
      <c r="AL265" s="738"/>
    </row>
    <row r="266">
      <c r="A266" s="738"/>
      <c r="B266" s="738"/>
      <c r="C266" s="738"/>
      <c r="D266" s="738"/>
      <c r="E266" s="738"/>
      <c r="F266" s="738"/>
      <c r="G266" s="738"/>
      <c r="H266" s="738"/>
      <c r="I266" s="738"/>
      <c r="J266" s="738"/>
      <c r="K266" s="738"/>
      <c r="L266" s="738"/>
      <c r="M266" s="738"/>
      <c r="N266" s="738"/>
      <c r="O266" s="738"/>
      <c r="P266" s="738"/>
      <c r="Q266" s="738"/>
      <c r="R266" s="738"/>
      <c r="S266" s="738"/>
      <c r="T266" s="738"/>
      <c r="U266" s="738"/>
      <c r="V266" s="738"/>
      <c r="W266" s="738"/>
      <c r="X266" s="738"/>
      <c r="Y266" s="738"/>
      <c r="Z266" s="738"/>
      <c r="AA266" s="738"/>
      <c r="AB266" s="738"/>
      <c r="AC266" s="738"/>
      <c r="AD266" s="738"/>
      <c r="AE266" s="738"/>
      <c r="AF266" s="738"/>
      <c r="AG266" s="738"/>
      <c r="AH266" s="738"/>
      <c r="AI266" s="738"/>
      <c r="AJ266" s="738"/>
      <c r="AK266" s="738"/>
      <c r="AL266" s="738"/>
    </row>
    <row r="267">
      <c r="A267" s="738"/>
      <c r="B267" s="738"/>
      <c r="C267" s="738"/>
      <c r="D267" s="738"/>
      <c r="E267" s="738"/>
      <c r="F267" s="738"/>
      <c r="G267" s="738"/>
      <c r="H267" s="738"/>
      <c r="I267" s="738"/>
      <c r="J267" s="738"/>
      <c r="K267" s="738"/>
      <c r="L267" s="738"/>
      <c r="M267" s="738"/>
      <c r="N267" s="738"/>
      <c r="O267" s="738"/>
      <c r="P267" s="738"/>
      <c r="Q267" s="738"/>
      <c r="R267" s="738"/>
      <c r="S267" s="738"/>
      <c r="T267" s="738"/>
      <c r="U267" s="738"/>
      <c r="V267" s="738"/>
      <c r="W267" s="738"/>
      <c r="X267" s="738"/>
      <c r="Y267" s="738"/>
      <c r="Z267" s="738"/>
      <c r="AA267" s="738"/>
      <c r="AB267" s="738"/>
      <c r="AC267" s="738"/>
      <c r="AD267" s="738"/>
      <c r="AE267" s="738"/>
      <c r="AF267" s="738"/>
      <c r="AG267" s="738"/>
      <c r="AH267" s="738"/>
      <c r="AI267" s="738"/>
      <c r="AJ267" s="738"/>
      <c r="AK267" s="738"/>
      <c r="AL267" s="738"/>
    </row>
    <row r="268">
      <c r="A268" s="738"/>
      <c r="B268" s="738"/>
      <c r="C268" s="738"/>
      <c r="D268" s="738"/>
      <c r="E268" s="738"/>
      <c r="F268" s="738"/>
      <c r="G268" s="738"/>
      <c r="H268" s="738"/>
      <c r="I268" s="738"/>
      <c r="J268" s="738"/>
      <c r="K268" s="738"/>
      <c r="L268" s="738"/>
      <c r="M268" s="738"/>
      <c r="N268" s="738"/>
      <c r="O268" s="738"/>
      <c r="P268" s="738"/>
      <c r="Q268" s="738"/>
      <c r="R268" s="738"/>
      <c r="S268" s="738"/>
      <c r="T268" s="738"/>
      <c r="U268" s="738"/>
      <c r="V268" s="738"/>
      <c r="W268" s="738"/>
      <c r="X268" s="738"/>
      <c r="Y268" s="738"/>
      <c r="Z268" s="738"/>
      <c r="AA268" s="738"/>
      <c r="AB268" s="738"/>
      <c r="AC268" s="738"/>
      <c r="AD268" s="738"/>
      <c r="AE268" s="738"/>
      <c r="AF268" s="738"/>
      <c r="AG268" s="738"/>
      <c r="AH268" s="738"/>
      <c r="AI268" s="738"/>
      <c r="AJ268" s="738"/>
      <c r="AK268" s="738"/>
      <c r="AL268" s="738"/>
    </row>
    <row r="269">
      <c r="A269" s="738"/>
      <c r="B269" s="738"/>
      <c r="C269" s="738"/>
      <c r="D269" s="738"/>
      <c r="E269" s="738"/>
      <c r="F269" s="738"/>
      <c r="G269" s="738"/>
      <c r="H269" s="738"/>
      <c r="I269" s="738"/>
      <c r="J269" s="738"/>
      <c r="K269" s="738"/>
      <c r="L269" s="738"/>
      <c r="M269" s="738"/>
      <c r="N269" s="738"/>
      <c r="O269" s="738"/>
      <c r="P269" s="738"/>
      <c r="Q269" s="738"/>
      <c r="R269" s="738"/>
      <c r="S269" s="738"/>
      <c r="T269" s="738"/>
      <c r="U269" s="738"/>
      <c r="V269" s="738"/>
      <c r="W269" s="738"/>
      <c r="X269" s="738"/>
      <c r="Y269" s="738"/>
      <c r="Z269" s="738"/>
      <c r="AA269" s="738"/>
      <c r="AB269" s="738"/>
      <c r="AC269" s="738"/>
      <c r="AD269" s="738"/>
      <c r="AE269" s="738"/>
      <c r="AF269" s="738"/>
      <c r="AG269" s="738"/>
      <c r="AH269" s="738"/>
      <c r="AI269" s="738"/>
      <c r="AJ269" s="738"/>
      <c r="AK269" s="738"/>
      <c r="AL269" s="738"/>
    </row>
    <row r="270">
      <c r="A270" s="738"/>
      <c r="B270" s="738"/>
      <c r="C270" s="738"/>
      <c r="D270" s="738"/>
      <c r="E270" s="738"/>
      <c r="F270" s="738"/>
      <c r="G270" s="738"/>
      <c r="H270" s="738"/>
      <c r="I270" s="738"/>
      <c r="J270" s="738"/>
      <c r="K270" s="738"/>
      <c r="L270" s="738"/>
      <c r="M270" s="738"/>
      <c r="N270" s="738"/>
      <c r="O270" s="738"/>
      <c r="P270" s="738"/>
      <c r="Q270" s="738"/>
      <c r="R270" s="738"/>
      <c r="S270" s="738"/>
      <c r="T270" s="738"/>
      <c r="U270" s="738"/>
      <c r="V270" s="738"/>
      <c r="W270" s="738"/>
      <c r="X270" s="738"/>
      <c r="Y270" s="738"/>
      <c r="Z270" s="738"/>
      <c r="AA270" s="738"/>
      <c r="AB270" s="738"/>
      <c r="AC270" s="738"/>
      <c r="AD270" s="738"/>
      <c r="AE270" s="738"/>
      <c r="AF270" s="738"/>
      <c r="AG270" s="738"/>
      <c r="AH270" s="738"/>
      <c r="AI270" s="738"/>
      <c r="AJ270" s="738"/>
      <c r="AK270" s="738"/>
      <c r="AL270" s="738"/>
    </row>
    <row r="271">
      <c r="A271" s="738"/>
      <c r="B271" s="738"/>
      <c r="C271" s="738"/>
      <c r="D271" s="738"/>
      <c r="E271" s="738"/>
      <c r="F271" s="738"/>
      <c r="G271" s="738"/>
      <c r="H271" s="738"/>
      <c r="I271" s="738"/>
      <c r="J271" s="738"/>
      <c r="K271" s="738"/>
      <c r="L271" s="738"/>
      <c r="M271" s="738"/>
      <c r="N271" s="738"/>
      <c r="O271" s="738"/>
      <c r="P271" s="738"/>
      <c r="Q271" s="738"/>
      <c r="R271" s="738"/>
      <c r="S271" s="738"/>
      <c r="T271" s="738"/>
      <c r="U271" s="738"/>
      <c r="V271" s="738"/>
      <c r="W271" s="738"/>
      <c r="X271" s="738"/>
      <c r="Y271" s="738"/>
      <c r="Z271" s="738"/>
      <c r="AA271" s="738"/>
      <c r="AB271" s="738"/>
      <c r="AC271" s="738"/>
      <c r="AD271" s="738"/>
      <c r="AE271" s="738"/>
      <c r="AF271" s="738"/>
      <c r="AG271" s="738"/>
      <c r="AH271" s="738"/>
      <c r="AI271" s="738"/>
      <c r="AJ271" s="738"/>
      <c r="AK271" s="738"/>
      <c r="AL271" s="738"/>
    </row>
    <row r="272">
      <c r="A272" s="738"/>
      <c r="B272" s="738"/>
      <c r="C272" s="738"/>
      <c r="D272" s="738"/>
      <c r="E272" s="738"/>
      <c r="F272" s="738"/>
      <c r="G272" s="738"/>
      <c r="H272" s="738"/>
      <c r="I272" s="738"/>
      <c r="J272" s="738"/>
      <c r="K272" s="738"/>
      <c r="L272" s="738"/>
      <c r="M272" s="738"/>
      <c r="N272" s="738"/>
      <c r="O272" s="738"/>
      <c r="P272" s="738"/>
      <c r="Q272" s="738"/>
      <c r="R272" s="738"/>
      <c r="S272" s="738"/>
      <c r="T272" s="738"/>
      <c r="U272" s="738"/>
      <c r="V272" s="738"/>
      <c r="W272" s="738"/>
      <c r="X272" s="738"/>
      <c r="Y272" s="738"/>
      <c r="Z272" s="738"/>
      <c r="AA272" s="738"/>
      <c r="AB272" s="738"/>
      <c r="AC272" s="738"/>
      <c r="AD272" s="738"/>
      <c r="AE272" s="738"/>
      <c r="AF272" s="738"/>
      <c r="AG272" s="738"/>
      <c r="AH272" s="738"/>
      <c r="AI272" s="738"/>
      <c r="AJ272" s="738"/>
      <c r="AK272" s="738"/>
      <c r="AL272" s="738"/>
    </row>
    <row r="273">
      <c r="A273" s="738"/>
      <c r="B273" s="738"/>
      <c r="C273" s="738"/>
      <c r="D273" s="738"/>
      <c r="E273" s="738"/>
      <c r="F273" s="738"/>
      <c r="G273" s="738"/>
      <c r="H273" s="738"/>
      <c r="I273" s="738"/>
      <c r="J273" s="738"/>
      <c r="K273" s="738"/>
      <c r="L273" s="738"/>
      <c r="M273" s="738"/>
      <c r="N273" s="738"/>
      <c r="O273" s="738"/>
      <c r="P273" s="738"/>
      <c r="Q273" s="738"/>
      <c r="R273" s="738"/>
      <c r="S273" s="738"/>
      <c r="T273" s="738"/>
      <c r="U273" s="738"/>
      <c r="V273" s="738"/>
      <c r="W273" s="738"/>
      <c r="X273" s="738"/>
      <c r="Y273" s="738"/>
      <c r="Z273" s="738"/>
      <c r="AA273" s="738"/>
      <c r="AB273" s="738"/>
      <c r="AC273" s="738"/>
      <c r="AD273" s="738"/>
      <c r="AE273" s="738"/>
      <c r="AF273" s="738"/>
      <c r="AG273" s="738"/>
      <c r="AH273" s="738"/>
      <c r="AI273" s="738"/>
      <c r="AJ273" s="738"/>
      <c r="AK273" s="738"/>
      <c r="AL273" s="738"/>
    </row>
    <row r="274">
      <c r="A274" s="738"/>
      <c r="B274" s="738"/>
      <c r="C274" s="738"/>
      <c r="D274" s="738"/>
      <c r="E274" s="738"/>
      <c r="F274" s="738"/>
      <c r="G274" s="738"/>
      <c r="H274" s="738"/>
      <c r="I274" s="738"/>
      <c r="J274" s="738"/>
      <c r="K274" s="738"/>
      <c r="L274" s="738"/>
      <c r="M274" s="738"/>
      <c r="N274" s="738"/>
      <c r="O274" s="738"/>
      <c r="P274" s="738"/>
      <c r="Q274" s="738"/>
      <c r="R274" s="738"/>
      <c r="S274" s="738"/>
      <c r="T274" s="738"/>
      <c r="U274" s="738"/>
      <c r="V274" s="738"/>
      <c r="W274" s="738"/>
      <c r="X274" s="738"/>
      <c r="Y274" s="738"/>
      <c r="Z274" s="738"/>
      <c r="AA274" s="738"/>
      <c r="AB274" s="738"/>
      <c r="AC274" s="738"/>
      <c r="AD274" s="738"/>
      <c r="AE274" s="738"/>
      <c r="AF274" s="738"/>
      <c r="AG274" s="738"/>
      <c r="AH274" s="738"/>
      <c r="AI274" s="738"/>
      <c r="AJ274" s="738"/>
      <c r="AK274" s="738"/>
      <c r="AL274" s="738"/>
    </row>
    <row r="275">
      <c r="A275" s="738"/>
      <c r="B275" s="738"/>
      <c r="C275" s="738"/>
      <c r="D275" s="738"/>
      <c r="E275" s="738"/>
      <c r="F275" s="738"/>
      <c r="G275" s="738"/>
      <c r="H275" s="738"/>
      <c r="I275" s="738"/>
      <c r="J275" s="738"/>
      <c r="K275" s="738"/>
      <c r="L275" s="738"/>
      <c r="M275" s="738"/>
      <c r="N275" s="738"/>
      <c r="O275" s="738"/>
      <c r="P275" s="738"/>
      <c r="Q275" s="738"/>
      <c r="R275" s="738"/>
      <c r="S275" s="738"/>
      <c r="T275" s="738"/>
      <c r="U275" s="738"/>
      <c r="V275" s="738"/>
      <c r="W275" s="738"/>
      <c r="X275" s="738"/>
      <c r="Y275" s="738"/>
      <c r="Z275" s="738"/>
      <c r="AA275" s="738"/>
      <c r="AB275" s="738"/>
      <c r="AC275" s="738"/>
      <c r="AD275" s="738"/>
      <c r="AE275" s="738"/>
      <c r="AF275" s="738"/>
      <c r="AG275" s="738"/>
      <c r="AH275" s="738"/>
      <c r="AI275" s="738"/>
      <c r="AJ275" s="738"/>
      <c r="AK275" s="738"/>
      <c r="AL275" s="738"/>
    </row>
    <row r="276">
      <c r="A276" s="738"/>
      <c r="B276" s="738"/>
      <c r="C276" s="738"/>
      <c r="D276" s="738"/>
      <c r="E276" s="738"/>
      <c r="F276" s="738"/>
      <c r="G276" s="738"/>
      <c r="H276" s="738"/>
      <c r="I276" s="738"/>
      <c r="J276" s="738"/>
      <c r="K276" s="738"/>
      <c r="L276" s="738"/>
      <c r="M276" s="738"/>
      <c r="N276" s="738"/>
      <c r="O276" s="738"/>
      <c r="P276" s="738"/>
      <c r="Q276" s="738"/>
      <c r="R276" s="738"/>
      <c r="S276" s="738"/>
      <c r="T276" s="738"/>
      <c r="U276" s="738"/>
      <c r="V276" s="738"/>
      <c r="W276" s="738"/>
      <c r="X276" s="738"/>
      <c r="Y276" s="738"/>
      <c r="Z276" s="738"/>
      <c r="AA276" s="738"/>
      <c r="AB276" s="738"/>
      <c r="AC276" s="738"/>
      <c r="AD276" s="738"/>
      <c r="AE276" s="738"/>
      <c r="AF276" s="738"/>
      <c r="AG276" s="738"/>
      <c r="AH276" s="738"/>
      <c r="AI276" s="738"/>
      <c r="AJ276" s="738"/>
      <c r="AK276" s="738"/>
      <c r="AL276" s="738"/>
    </row>
    <row r="277">
      <c r="A277" s="738"/>
      <c r="B277" s="738"/>
      <c r="C277" s="738"/>
      <c r="D277" s="738"/>
      <c r="E277" s="738"/>
      <c r="F277" s="738"/>
      <c r="G277" s="738"/>
      <c r="H277" s="738"/>
      <c r="I277" s="738"/>
      <c r="J277" s="738"/>
      <c r="K277" s="738"/>
      <c r="L277" s="738"/>
      <c r="M277" s="738"/>
      <c r="N277" s="738"/>
      <c r="O277" s="738"/>
      <c r="P277" s="738"/>
      <c r="Q277" s="738"/>
      <c r="R277" s="738"/>
      <c r="S277" s="738"/>
      <c r="T277" s="738"/>
      <c r="U277" s="738"/>
      <c r="V277" s="738"/>
      <c r="W277" s="738"/>
      <c r="X277" s="738"/>
      <c r="Y277" s="738"/>
      <c r="Z277" s="738"/>
      <c r="AA277" s="738"/>
      <c r="AB277" s="738"/>
      <c r="AC277" s="738"/>
      <c r="AD277" s="738"/>
      <c r="AE277" s="738"/>
      <c r="AF277" s="738"/>
      <c r="AG277" s="738"/>
      <c r="AH277" s="738"/>
      <c r="AI277" s="738"/>
      <c r="AJ277" s="738"/>
      <c r="AK277" s="738"/>
      <c r="AL277" s="738"/>
    </row>
    <row r="278">
      <c r="A278" s="738"/>
      <c r="B278" s="738"/>
      <c r="C278" s="738"/>
      <c r="D278" s="738"/>
      <c r="E278" s="738"/>
      <c r="F278" s="738"/>
      <c r="G278" s="738"/>
      <c r="H278" s="738"/>
      <c r="I278" s="738"/>
      <c r="J278" s="738"/>
      <c r="K278" s="738"/>
      <c r="L278" s="738"/>
      <c r="M278" s="738"/>
      <c r="N278" s="738"/>
      <c r="O278" s="738"/>
      <c r="P278" s="738"/>
      <c r="Q278" s="738"/>
      <c r="R278" s="738"/>
      <c r="S278" s="738"/>
      <c r="T278" s="738"/>
      <c r="U278" s="738"/>
      <c r="V278" s="738"/>
      <c r="W278" s="738"/>
      <c r="X278" s="738"/>
      <c r="Y278" s="738"/>
      <c r="Z278" s="738"/>
      <c r="AA278" s="738"/>
      <c r="AB278" s="738"/>
      <c r="AC278" s="738"/>
      <c r="AD278" s="738"/>
      <c r="AE278" s="738"/>
      <c r="AF278" s="738"/>
      <c r="AG278" s="738"/>
      <c r="AH278" s="738"/>
      <c r="AI278" s="738"/>
      <c r="AJ278" s="738"/>
      <c r="AK278" s="738"/>
      <c r="AL278" s="738"/>
    </row>
    <row r="279">
      <c r="A279" s="738"/>
      <c r="B279" s="738"/>
      <c r="C279" s="738"/>
      <c r="D279" s="738"/>
      <c r="E279" s="738"/>
      <c r="F279" s="738"/>
      <c r="G279" s="738"/>
      <c r="H279" s="738"/>
      <c r="I279" s="738"/>
      <c r="J279" s="738"/>
      <c r="K279" s="738"/>
      <c r="L279" s="738"/>
      <c r="M279" s="738"/>
      <c r="N279" s="738"/>
      <c r="O279" s="738"/>
      <c r="P279" s="738"/>
      <c r="Q279" s="738"/>
      <c r="R279" s="738"/>
      <c r="S279" s="738"/>
      <c r="T279" s="738"/>
      <c r="U279" s="738"/>
      <c r="V279" s="738"/>
      <c r="W279" s="738"/>
      <c r="X279" s="738"/>
      <c r="Y279" s="738"/>
      <c r="Z279" s="738"/>
      <c r="AA279" s="738"/>
      <c r="AB279" s="738"/>
      <c r="AC279" s="738"/>
      <c r="AD279" s="738"/>
      <c r="AE279" s="738"/>
      <c r="AF279" s="738"/>
      <c r="AG279" s="738"/>
      <c r="AH279" s="738"/>
      <c r="AI279" s="738"/>
      <c r="AJ279" s="738"/>
      <c r="AK279" s="738"/>
      <c r="AL279" s="738"/>
    </row>
    <row r="280">
      <c r="A280" s="738"/>
      <c r="B280" s="738"/>
      <c r="C280" s="738"/>
      <c r="D280" s="738"/>
      <c r="E280" s="738"/>
      <c r="F280" s="738"/>
      <c r="G280" s="738"/>
      <c r="H280" s="738"/>
      <c r="I280" s="738"/>
      <c r="J280" s="738"/>
      <c r="K280" s="738"/>
      <c r="L280" s="738"/>
      <c r="M280" s="738"/>
      <c r="N280" s="738"/>
      <c r="O280" s="738"/>
      <c r="P280" s="738"/>
      <c r="Q280" s="738"/>
      <c r="R280" s="738"/>
      <c r="S280" s="738"/>
      <c r="T280" s="738"/>
      <c r="U280" s="738"/>
      <c r="V280" s="738"/>
      <c r="W280" s="738"/>
      <c r="X280" s="738"/>
      <c r="Y280" s="738"/>
      <c r="Z280" s="738"/>
      <c r="AA280" s="738"/>
      <c r="AB280" s="738"/>
      <c r="AC280" s="738"/>
      <c r="AD280" s="738"/>
      <c r="AE280" s="738"/>
      <c r="AF280" s="738"/>
      <c r="AG280" s="738"/>
      <c r="AH280" s="738"/>
      <c r="AI280" s="738"/>
      <c r="AJ280" s="738"/>
      <c r="AK280" s="738"/>
      <c r="AL280" s="738"/>
    </row>
    <row r="281">
      <c r="A281" s="738"/>
      <c r="B281" s="738"/>
      <c r="C281" s="738"/>
      <c r="D281" s="738"/>
      <c r="E281" s="738"/>
      <c r="F281" s="738"/>
      <c r="G281" s="738"/>
      <c r="H281" s="738"/>
      <c r="I281" s="738"/>
      <c r="J281" s="738"/>
      <c r="K281" s="738"/>
      <c r="L281" s="738"/>
      <c r="M281" s="738"/>
      <c r="N281" s="738"/>
      <c r="O281" s="738"/>
      <c r="P281" s="738"/>
      <c r="Q281" s="738"/>
      <c r="R281" s="738"/>
      <c r="S281" s="738"/>
      <c r="T281" s="738"/>
      <c r="U281" s="738"/>
      <c r="V281" s="738"/>
      <c r="W281" s="738"/>
      <c r="X281" s="738"/>
      <c r="Y281" s="738"/>
      <c r="Z281" s="738"/>
      <c r="AA281" s="738"/>
      <c r="AB281" s="738"/>
      <c r="AC281" s="738"/>
      <c r="AD281" s="738"/>
      <c r="AE281" s="738"/>
      <c r="AF281" s="738"/>
      <c r="AG281" s="738"/>
      <c r="AH281" s="738"/>
      <c r="AI281" s="738"/>
      <c r="AJ281" s="738"/>
      <c r="AK281" s="738"/>
      <c r="AL281" s="738"/>
    </row>
    <row r="282">
      <c r="A282" s="738"/>
      <c r="B282" s="738"/>
      <c r="C282" s="738"/>
      <c r="D282" s="738"/>
      <c r="E282" s="738"/>
      <c r="F282" s="738"/>
      <c r="G282" s="738"/>
      <c r="H282" s="738"/>
      <c r="I282" s="738"/>
      <c r="J282" s="738"/>
      <c r="K282" s="738"/>
      <c r="L282" s="738"/>
      <c r="M282" s="738"/>
      <c r="N282" s="738"/>
      <c r="O282" s="738"/>
      <c r="P282" s="738"/>
      <c r="Q282" s="738"/>
      <c r="R282" s="738"/>
      <c r="S282" s="738"/>
      <c r="T282" s="738"/>
      <c r="U282" s="738"/>
      <c r="V282" s="738"/>
      <c r="W282" s="738"/>
      <c r="X282" s="738"/>
      <c r="Y282" s="738"/>
      <c r="Z282" s="738"/>
      <c r="AA282" s="738"/>
      <c r="AB282" s="738"/>
      <c r="AC282" s="738"/>
      <c r="AD282" s="738"/>
      <c r="AE282" s="738"/>
      <c r="AF282" s="738"/>
      <c r="AG282" s="738"/>
      <c r="AH282" s="738"/>
      <c r="AI282" s="738"/>
      <c r="AJ282" s="738"/>
      <c r="AK282" s="738"/>
      <c r="AL282" s="738"/>
    </row>
    <row r="283">
      <c r="A283" s="738"/>
      <c r="B283" s="738"/>
      <c r="C283" s="738"/>
      <c r="D283" s="738"/>
      <c r="E283" s="738"/>
      <c r="F283" s="738"/>
      <c r="G283" s="738"/>
      <c r="H283" s="738"/>
      <c r="I283" s="738"/>
      <c r="J283" s="738"/>
      <c r="K283" s="738"/>
      <c r="L283" s="738"/>
      <c r="M283" s="738"/>
      <c r="N283" s="738"/>
      <c r="O283" s="738"/>
      <c r="P283" s="738"/>
      <c r="Q283" s="738"/>
      <c r="R283" s="738"/>
      <c r="S283" s="738"/>
      <c r="T283" s="738"/>
      <c r="U283" s="738"/>
      <c r="V283" s="738"/>
      <c r="W283" s="738"/>
      <c r="X283" s="738"/>
      <c r="Y283" s="738"/>
      <c r="Z283" s="738"/>
      <c r="AA283" s="738"/>
      <c r="AB283" s="738"/>
      <c r="AC283" s="738"/>
      <c r="AD283" s="738"/>
      <c r="AE283" s="738"/>
      <c r="AF283" s="738"/>
      <c r="AG283" s="738"/>
      <c r="AH283" s="738"/>
      <c r="AI283" s="738"/>
      <c r="AJ283" s="738"/>
      <c r="AK283" s="738"/>
      <c r="AL283" s="738"/>
    </row>
    <row r="284">
      <c r="A284" s="738"/>
      <c r="B284" s="738"/>
      <c r="C284" s="738"/>
      <c r="D284" s="738"/>
      <c r="E284" s="738"/>
      <c r="F284" s="738"/>
      <c r="G284" s="738"/>
      <c r="H284" s="738"/>
      <c r="I284" s="738"/>
      <c r="J284" s="738"/>
      <c r="K284" s="738"/>
      <c r="L284" s="738"/>
      <c r="M284" s="738"/>
      <c r="N284" s="738"/>
      <c r="O284" s="738"/>
      <c r="P284" s="738"/>
      <c r="Q284" s="738"/>
      <c r="R284" s="738"/>
      <c r="S284" s="738"/>
      <c r="T284" s="738"/>
      <c r="U284" s="738"/>
      <c r="V284" s="738"/>
      <c r="W284" s="738"/>
      <c r="X284" s="738"/>
      <c r="Y284" s="738"/>
      <c r="Z284" s="738"/>
      <c r="AA284" s="738"/>
      <c r="AB284" s="738"/>
      <c r="AC284" s="738"/>
      <c r="AD284" s="738"/>
      <c r="AE284" s="738"/>
      <c r="AF284" s="738"/>
      <c r="AG284" s="738"/>
      <c r="AH284" s="738"/>
      <c r="AI284" s="738"/>
      <c r="AJ284" s="738"/>
      <c r="AK284" s="738"/>
      <c r="AL284" s="738"/>
    </row>
    <row r="285">
      <c r="A285" s="738"/>
      <c r="B285" s="738"/>
      <c r="C285" s="738"/>
      <c r="D285" s="738"/>
      <c r="E285" s="738"/>
      <c r="F285" s="738"/>
      <c r="G285" s="738"/>
      <c r="H285" s="738"/>
      <c r="I285" s="738"/>
      <c r="J285" s="738"/>
      <c r="K285" s="738"/>
      <c r="L285" s="738"/>
      <c r="M285" s="738"/>
      <c r="N285" s="738"/>
      <c r="O285" s="738"/>
      <c r="P285" s="738"/>
      <c r="Q285" s="738"/>
      <c r="R285" s="738"/>
      <c r="S285" s="738"/>
      <c r="T285" s="738"/>
      <c r="U285" s="738"/>
      <c r="V285" s="738"/>
      <c r="W285" s="738"/>
      <c r="X285" s="738"/>
      <c r="Y285" s="738"/>
      <c r="Z285" s="738"/>
      <c r="AA285" s="738"/>
      <c r="AB285" s="738"/>
      <c r="AC285" s="738"/>
      <c r="AD285" s="738"/>
      <c r="AE285" s="738"/>
      <c r="AF285" s="738"/>
      <c r="AG285" s="738"/>
      <c r="AH285" s="738"/>
      <c r="AI285" s="738"/>
      <c r="AJ285" s="738"/>
      <c r="AK285" s="738"/>
      <c r="AL285" s="738"/>
    </row>
    <row r="286">
      <c r="A286" s="738"/>
      <c r="B286" s="738"/>
      <c r="C286" s="738"/>
      <c r="D286" s="738"/>
      <c r="E286" s="738"/>
      <c r="F286" s="738"/>
      <c r="G286" s="738"/>
      <c r="H286" s="738"/>
      <c r="I286" s="738"/>
      <c r="J286" s="738"/>
      <c r="K286" s="738"/>
      <c r="L286" s="738"/>
      <c r="M286" s="738"/>
      <c r="N286" s="738"/>
      <c r="O286" s="738"/>
      <c r="P286" s="738"/>
      <c r="Q286" s="738"/>
      <c r="R286" s="738"/>
      <c r="S286" s="738"/>
      <c r="T286" s="738"/>
      <c r="U286" s="738"/>
      <c r="V286" s="738"/>
      <c r="W286" s="738"/>
      <c r="X286" s="738"/>
      <c r="Y286" s="738"/>
      <c r="Z286" s="738"/>
      <c r="AA286" s="738"/>
      <c r="AB286" s="738"/>
      <c r="AC286" s="738"/>
      <c r="AD286" s="738"/>
      <c r="AE286" s="738"/>
      <c r="AF286" s="738"/>
      <c r="AG286" s="738"/>
      <c r="AH286" s="738"/>
      <c r="AI286" s="738"/>
      <c r="AJ286" s="738"/>
      <c r="AK286" s="738"/>
      <c r="AL286" s="738"/>
    </row>
    <row r="287">
      <c r="A287" s="738"/>
      <c r="B287" s="738"/>
      <c r="C287" s="738"/>
      <c r="D287" s="738"/>
      <c r="E287" s="738"/>
      <c r="F287" s="738"/>
      <c r="G287" s="738"/>
      <c r="H287" s="738"/>
      <c r="I287" s="738"/>
      <c r="J287" s="738"/>
      <c r="K287" s="738"/>
      <c r="L287" s="738"/>
      <c r="M287" s="738"/>
      <c r="N287" s="738"/>
      <c r="O287" s="738"/>
      <c r="P287" s="738"/>
      <c r="Q287" s="738"/>
      <c r="R287" s="738"/>
      <c r="S287" s="738"/>
      <c r="T287" s="738"/>
      <c r="U287" s="738"/>
      <c r="V287" s="738"/>
      <c r="W287" s="738"/>
      <c r="X287" s="738"/>
      <c r="Y287" s="738"/>
      <c r="Z287" s="738"/>
      <c r="AA287" s="738"/>
      <c r="AB287" s="738"/>
      <c r="AC287" s="738"/>
      <c r="AD287" s="738"/>
      <c r="AE287" s="738"/>
      <c r="AF287" s="738"/>
      <c r="AG287" s="738"/>
      <c r="AH287" s="738"/>
      <c r="AI287" s="738"/>
      <c r="AJ287" s="738"/>
      <c r="AK287" s="738"/>
      <c r="AL287" s="738"/>
    </row>
    <row r="288">
      <c r="A288" s="738"/>
      <c r="B288" s="738"/>
      <c r="C288" s="738"/>
      <c r="D288" s="738"/>
      <c r="E288" s="738"/>
      <c r="F288" s="738"/>
      <c r="G288" s="738"/>
      <c r="H288" s="738"/>
      <c r="I288" s="738"/>
      <c r="J288" s="738"/>
      <c r="K288" s="738"/>
      <c r="L288" s="738"/>
      <c r="M288" s="738"/>
      <c r="N288" s="738"/>
      <c r="O288" s="738"/>
      <c r="P288" s="738"/>
      <c r="Q288" s="738"/>
      <c r="R288" s="738"/>
      <c r="S288" s="738"/>
      <c r="T288" s="738"/>
      <c r="U288" s="738"/>
      <c r="V288" s="738"/>
      <c r="W288" s="738"/>
      <c r="X288" s="738"/>
      <c r="Y288" s="738"/>
      <c r="Z288" s="738"/>
      <c r="AA288" s="738"/>
      <c r="AB288" s="738"/>
      <c r="AC288" s="738"/>
      <c r="AD288" s="738"/>
      <c r="AE288" s="738"/>
      <c r="AF288" s="738"/>
      <c r="AG288" s="738"/>
      <c r="AH288" s="738"/>
      <c r="AI288" s="738"/>
      <c r="AJ288" s="738"/>
      <c r="AK288" s="738"/>
      <c r="AL288" s="738"/>
    </row>
    <row r="289">
      <c r="A289" s="738"/>
      <c r="B289" s="738"/>
      <c r="C289" s="738"/>
      <c r="D289" s="738"/>
      <c r="E289" s="738"/>
      <c r="F289" s="738"/>
      <c r="G289" s="738"/>
      <c r="H289" s="738"/>
      <c r="I289" s="738"/>
      <c r="J289" s="738"/>
      <c r="K289" s="738"/>
      <c r="L289" s="738"/>
      <c r="M289" s="738"/>
      <c r="N289" s="738"/>
      <c r="O289" s="738"/>
      <c r="P289" s="738"/>
      <c r="Q289" s="738"/>
      <c r="R289" s="738"/>
      <c r="S289" s="738"/>
      <c r="T289" s="738"/>
      <c r="U289" s="738"/>
      <c r="V289" s="738"/>
      <c r="W289" s="738"/>
      <c r="X289" s="738"/>
      <c r="Y289" s="738"/>
      <c r="Z289" s="738"/>
      <c r="AA289" s="738"/>
      <c r="AB289" s="738"/>
      <c r="AC289" s="738"/>
      <c r="AD289" s="738"/>
      <c r="AE289" s="738"/>
      <c r="AF289" s="738"/>
      <c r="AG289" s="738"/>
      <c r="AH289" s="738"/>
      <c r="AI289" s="738"/>
      <c r="AJ289" s="738"/>
      <c r="AK289" s="738"/>
      <c r="AL289" s="738"/>
    </row>
    <row r="290">
      <c r="A290" s="738"/>
      <c r="B290" s="738"/>
      <c r="C290" s="738"/>
      <c r="D290" s="738"/>
      <c r="E290" s="738"/>
      <c r="F290" s="738"/>
      <c r="G290" s="738"/>
      <c r="H290" s="738"/>
      <c r="I290" s="738"/>
      <c r="J290" s="738"/>
      <c r="K290" s="738"/>
      <c r="L290" s="738"/>
      <c r="M290" s="738"/>
      <c r="N290" s="738"/>
      <c r="O290" s="738"/>
      <c r="P290" s="738"/>
      <c r="Q290" s="738"/>
      <c r="R290" s="738"/>
      <c r="S290" s="738"/>
      <c r="T290" s="738"/>
      <c r="U290" s="738"/>
      <c r="V290" s="738"/>
      <c r="W290" s="738"/>
      <c r="X290" s="738"/>
      <c r="Y290" s="738"/>
      <c r="Z290" s="738"/>
      <c r="AA290" s="738"/>
      <c r="AB290" s="738"/>
      <c r="AC290" s="738"/>
      <c r="AD290" s="738"/>
      <c r="AE290" s="738"/>
      <c r="AF290" s="738"/>
      <c r="AG290" s="738"/>
      <c r="AH290" s="738"/>
      <c r="AI290" s="738"/>
      <c r="AJ290" s="738"/>
      <c r="AK290" s="738"/>
      <c r="AL290" s="738"/>
    </row>
    <row r="291">
      <c r="A291" s="738"/>
      <c r="B291" s="738"/>
      <c r="C291" s="738"/>
      <c r="D291" s="738"/>
      <c r="E291" s="738"/>
      <c r="F291" s="738"/>
      <c r="G291" s="738"/>
      <c r="H291" s="738"/>
      <c r="I291" s="738"/>
      <c r="J291" s="738"/>
      <c r="K291" s="738"/>
      <c r="L291" s="738"/>
      <c r="M291" s="738"/>
      <c r="N291" s="738"/>
      <c r="O291" s="738"/>
      <c r="P291" s="738"/>
      <c r="Q291" s="738"/>
      <c r="R291" s="738"/>
      <c r="S291" s="738"/>
      <c r="T291" s="738"/>
      <c r="U291" s="738"/>
      <c r="V291" s="738"/>
      <c r="W291" s="738"/>
      <c r="X291" s="738"/>
      <c r="Y291" s="738"/>
      <c r="Z291" s="738"/>
      <c r="AA291" s="738"/>
      <c r="AB291" s="738"/>
      <c r="AC291" s="738"/>
      <c r="AD291" s="738"/>
      <c r="AE291" s="738"/>
      <c r="AF291" s="738"/>
      <c r="AG291" s="738"/>
      <c r="AH291" s="738"/>
      <c r="AI291" s="738"/>
      <c r="AJ291" s="738"/>
      <c r="AK291" s="738"/>
      <c r="AL291" s="738"/>
    </row>
    <row r="292">
      <c r="A292" s="738"/>
      <c r="B292" s="738"/>
      <c r="C292" s="738"/>
      <c r="D292" s="738"/>
      <c r="E292" s="738"/>
      <c r="F292" s="738"/>
      <c r="G292" s="738"/>
      <c r="H292" s="738"/>
      <c r="I292" s="738"/>
      <c r="J292" s="738"/>
      <c r="K292" s="738"/>
      <c r="L292" s="738"/>
      <c r="M292" s="738"/>
      <c r="N292" s="738"/>
      <c r="O292" s="738"/>
      <c r="P292" s="738"/>
      <c r="Q292" s="738"/>
      <c r="R292" s="738"/>
      <c r="S292" s="738"/>
      <c r="T292" s="738"/>
      <c r="U292" s="738"/>
      <c r="V292" s="738"/>
      <c r="W292" s="738"/>
      <c r="X292" s="738"/>
      <c r="Y292" s="738"/>
      <c r="Z292" s="738"/>
      <c r="AA292" s="738"/>
      <c r="AB292" s="738"/>
      <c r="AC292" s="738"/>
      <c r="AD292" s="738"/>
      <c r="AE292" s="738"/>
      <c r="AF292" s="738"/>
      <c r="AG292" s="738"/>
      <c r="AH292" s="738"/>
      <c r="AI292" s="738"/>
      <c r="AJ292" s="738"/>
      <c r="AK292" s="738"/>
      <c r="AL292" s="738"/>
    </row>
    <row r="293">
      <c r="A293" s="738"/>
      <c r="B293" s="738"/>
      <c r="C293" s="738"/>
      <c r="D293" s="738"/>
      <c r="E293" s="738"/>
      <c r="F293" s="738"/>
      <c r="G293" s="738"/>
      <c r="H293" s="738"/>
      <c r="I293" s="738"/>
      <c r="J293" s="738"/>
      <c r="K293" s="738"/>
      <c r="L293" s="738"/>
      <c r="M293" s="738"/>
      <c r="N293" s="738"/>
      <c r="O293" s="738"/>
      <c r="P293" s="738"/>
      <c r="Q293" s="738"/>
      <c r="R293" s="738"/>
      <c r="S293" s="738"/>
      <c r="T293" s="738"/>
      <c r="U293" s="738"/>
      <c r="V293" s="738"/>
      <c r="W293" s="738"/>
      <c r="X293" s="738"/>
      <c r="Y293" s="738"/>
      <c r="Z293" s="738"/>
      <c r="AA293" s="738"/>
      <c r="AB293" s="738"/>
      <c r="AC293" s="738"/>
      <c r="AD293" s="738"/>
      <c r="AE293" s="738"/>
      <c r="AF293" s="738"/>
      <c r="AG293" s="738"/>
      <c r="AH293" s="738"/>
      <c r="AI293" s="738"/>
      <c r="AJ293" s="738"/>
      <c r="AK293" s="738"/>
      <c r="AL293" s="738"/>
    </row>
    <row r="294">
      <c r="A294" s="738"/>
      <c r="B294" s="738"/>
      <c r="C294" s="738"/>
      <c r="D294" s="738"/>
      <c r="E294" s="738"/>
      <c r="F294" s="738"/>
      <c r="G294" s="738"/>
      <c r="H294" s="738"/>
      <c r="I294" s="738"/>
      <c r="J294" s="738"/>
      <c r="K294" s="738"/>
      <c r="L294" s="738"/>
      <c r="M294" s="738"/>
      <c r="N294" s="738"/>
      <c r="O294" s="738"/>
      <c r="P294" s="738"/>
      <c r="Q294" s="738"/>
      <c r="R294" s="738"/>
      <c r="S294" s="738"/>
      <c r="T294" s="738"/>
      <c r="U294" s="738"/>
      <c r="V294" s="738"/>
      <c r="W294" s="738"/>
      <c r="X294" s="738"/>
      <c r="Y294" s="738"/>
      <c r="Z294" s="738"/>
      <c r="AA294" s="738"/>
      <c r="AB294" s="738"/>
      <c r="AC294" s="738"/>
      <c r="AD294" s="738"/>
      <c r="AE294" s="738"/>
      <c r="AF294" s="738"/>
      <c r="AG294" s="738"/>
      <c r="AH294" s="738"/>
      <c r="AI294" s="738"/>
      <c r="AJ294" s="738"/>
      <c r="AK294" s="738"/>
      <c r="AL294" s="738"/>
    </row>
    <row r="295">
      <c r="A295" s="738"/>
      <c r="B295" s="738"/>
      <c r="C295" s="738"/>
      <c r="D295" s="738"/>
      <c r="E295" s="738"/>
      <c r="F295" s="738"/>
      <c r="G295" s="738"/>
      <c r="H295" s="738"/>
      <c r="I295" s="738"/>
      <c r="J295" s="738"/>
      <c r="K295" s="738"/>
      <c r="L295" s="738"/>
      <c r="M295" s="738"/>
      <c r="N295" s="738"/>
      <c r="O295" s="738"/>
      <c r="P295" s="738"/>
      <c r="Q295" s="738"/>
      <c r="R295" s="738"/>
      <c r="S295" s="738"/>
      <c r="T295" s="738"/>
      <c r="U295" s="738"/>
      <c r="V295" s="738"/>
      <c r="W295" s="738"/>
      <c r="X295" s="738"/>
      <c r="Y295" s="738"/>
      <c r="Z295" s="738"/>
      <c r="AA295" s="738"/>
      <c r="AB295" s="738"/>
      <c r="AC295" s="738"/>
      <c r="AD295" s="738"/>
      <c r="AE295" s="738"/>
      <c r="AF295" s="738"/>
      <c r="AG295" s="738"/>
      <c r="AH295" s="738"/>
      <c r="AI295" s="738"/>
      <c r="AJ295" s="738"/>
      <c r="AK295" s="738"/>
      <c r="AL295" s="738"/>
    </row>
    <row r="296">
      <c r="A296" s="738"/>
      <c r="B296" s="738"/>
      <c r="C296" s="738"/>
      <c r="D296" s="738"/>
      <c r="E296" s="738"/>
      <c r="F296" s="738"/>
      <c r="G296" s="738"/>
      <c r="H296" s="738"/>
      <c r="I296" s="738"/>
      <c r="J296" s="738"/>
      <c r="K296" s="738"/>
      <c r="L296" s="738"/>
      <c r="M296" s="738"/>
      <c r="N296" s="738"/>
      <c r="O296" s="738"/>
      <c r="P296" s="738"/>
      <c r="Q296" s="738"/>
      <c r="R296" s="738"/>
      <c r="S296" s="738"/>
      <c r="T296" s="738"/>
      <c r="U296" s="738"/>
      <c r="V296" s="738"/>
      <c r="W296" s="738"/>
      <c r="X296" s="738"/>
      <c r="Y296" s="738"/>
      <c r="Z296" s="738"/>
      <c r="AA296" s="738"/>
      <c r="AB296" s="738"/>
      <c r="AC296" s="738"/>
      <c r="AD296" s="738"/>
      <c r="AE296" s="738"/>
      <c r="AF296" s="738"/>
      <c r="AG296" s="738"/>
      <c r="AH296" s="738"/>
      <c r="AI296" s="738"/>
      <c r="AJ296" s="738"/>
      <c r="AK296" s="738"/>
      <c r="AL296" s="738"/>
    </row>
    <row r="297">
      <c r="A297" s="738"/>
      <c r="B297" s="738"/>
      <c r="C297" s="738"/>
      <c r="D297" s="738"/>
      <c r="E297" s="738"/>
      <c r="F297" s="738"/>
      <c r="G297" s="738"/>
      <c r="H297" s="738"/>
      <c r="I297" s="738"/>
      <c r="J297" s="738"/>
      <c r="K297" s="738"/>
      <c r="L297" s="738"/>
      <c r="M297" s="738"/>
      <c r="N297" s="738"/>
      <c r="O297" s="738"/>
      <c r="P297" s="738"/>
      <c r="Q297" s="738"/>
      <c r="R297" s="738"/>
      <c r="S297" s="738"/>
      <c r="T297" s="738"/>
      <c r="U297" s="738"/>
      <c r="V297" s="738"/>
      <c r="W297" s="738"/>
      <c r="X297" s="738"/>
      <c r="Y297" s="738"/>
      <c r="Z297" s="738"/>
      <c r="AA297" s="738"/>
      <c r="AB297" s="738"/>
      <c r="AC297" s="738"/>
      <c r="AD297" s="738"/>
      <c r="AE297" s="738"/>
      <c r="AF297" s="738"/>
      <c r="AG297" s="738"/>
      <c r="AH297" s="738"/>
      <c r="AI297" s="738"/>
      <c r="AJ297" s="738"/>
      <c r="AK297" s="738"/>
      <c r="AL297" s="738"/>
    </row>
    <row r="298">
      <c r="A298" s="738"/>
      <c r="B298" s="738"/>
      <c r="C298" s="738"/>
      <c r="D298" s="738"/>
      <c r="E298" s="738"/>
      <c r="F298" s="738"/>
      <c r="G298" s="738"/>
      <c r="H298" s="738"/>
      <c r="I298" s="738"/>
      <c r="J298" s="738"/>
      <c r="K298" s="738"/>
      <c r="L298" s="738"/>
      <c r="M298" s="738"/>
      <c r="N298" s="738"/>
      <c r="O298" s="738"/>
      <c r="P298" s="738"/>
      <c r="Q298" s="738"/>
      <c r="R298" s="738"/>
      <c r="S298" s="738"/>
      <c r="T298" s="738"/>
      <c r="U298" s="738"/>
      <c r="V298" s="738"/>
      <c r="W298" s="738"/>
      <c r="X298" s="738"/>
      <c r="Y298" s="738"/>
      <c r="Z298" s="738"/>
      <c r="AA298" s="738"/>
      <c r="AB298" s="738"/>
      <c r="AC298" s="738"/>
      <c r="AD298" s="738"/>
      <c r="AE298" s="738"/>
      <c r="AF298" s="738"/>
      <c r="AG298" s="738"/>
      <c r="AH298" s="738"/>
      <c r="AI298" s="738"/>
      <c r="AJ298" s="738"/>
      <c r="AK298" s="738"/>
      <c r="AL298" s="738"/>
    </row>
    <row r="299">
      <c r="A299" s="738"/>
      <c r="B299" s="738"/>
      <c r="C299" s="738"/>
      <c r="D299" s="738"/>
      <c r="E299" s="738"/>
      <c r="F299" s="738"/>
      <c r="G299" s="738"/>
      <c r="H299" s="738"/>
      <c r="I299" s="738"/>
      <c r="J299" s="738"/>
      <c r="K299" s="738"/>
      <c r="L299" s="738"/>
      <c r="M299" s="738"/>
      <c r="N299" s="738"/>
      <c r="O299" s="738"/>
      <c r="P299" s="738"/>
      <c r="Q299" s="738"/>
      <c r="R299" s="738"/>
      <c r="S299" s="738"/>
      <c r="T299" s="738"/>
      <c r="U299" s="738"/>
      <c r="V299" s="738"/>
      <c r="W299" s="738"/>
      <c r="X299" s="738"/>
      <c r="Y299" s="738"/>
      <c r="Z299" s="738"/>
      <c r="AA299" s="738"/>
      <c r="AB299" s="738"/>
      <c r="AC299" s="738"/>
      <c r="AD299" s="738"/>
      <c r="AE299" s="738"/>
      <c r="AF299" s="738"/>
      <c r="AG299" s="738"/>
      <c r="AH299" s="738"/>
      <c r="AI299" s="738"/>
      <c r="AJ299" s="738"/>
      <c r="AK299" s="738"/>
      <c r="AL299" s="738"/>
    </row>
    <row r="300">
      <c r="A300" s="738"/>
      <c r="B300" s="738"/>
      <c r="C300" s="738"/>
      <c r="D300" s="738"/>
      <c r="E300" s="738"/>
      <c r="F300" s="738"/>
      <c r="G300" s="738"/>
      <c r="H300" s="738"/>
      <c r="I300" s="738"/>
      <c r="J300" s="738"/>
      <c r="K300" s="738"/>
      <c r="L300" s="738"/>
      <c r="M300" s="738"/>
      <c r="N300" s="738"/>
      <c r="O300" s="738"/>
      <c r="P300" s="738"/>
      <c r="Q300" s="738"/>
      <c r="R300" s="738"/>
      <c r="S300" s="738"/>
      <c r="T300" s="738"/>
      <c r="U300" s="738"/>
      <c r="V300" s="738"/>
      <c r="W300" s="738"/>
      <c r="X300" s="738"/>
      <c r="Y300" s="738"/>
      <c r="Z300" s="738"/>
      <c r="AA300" s="738"/>
      <c r="AB300" s="738"/>
      <c r="AC300" s="738"/>
      <c r="AD300" s="738"/>
      <c r="AE300" s="738"/>
      <c r="AF300" s="738"/>
      <c r="AG300" s="738"/>
      <c r="AH300" s="738"/>
      <c r="AI300" s="738"/>
      <c r="AJ300" s="738"/>
      <c r="AK300" s="738"/>
      <c r="AL300" s="738"/>
    </row>
    <row r="301">
      <c r="A301" s="738"/>
      <c r="B301" s="738"/>
      <c r="C301" s="738"/>
      <c r="D301" s="738"/>
      <c r="E301" s="738"/>
      <c r="F301" s="738"/>
      <c r="G301" s="738"/>
      <c r="H301" s="738"/>
      <c r="I301" s="738"/>
      <c r="J301" s="738"/>
      <c r="K301" s="738"/>
      <c r="L301" s="738"/>
      <c r="M301" s="738"/>
      <c r="N301" s="738"/>
      <c r="O301" s="738"/>
      <c r="P301" s="738"/>
      <c r="Q301" s="738"/>
      <c r="R301" s="738"/>
      <c r="S301" s="738"/>
      <c r="T301" s="738"/>
      <c r="U301" s="738"/>
      <c r="V301" s="738"/>
      <c r="W301" s="738"/>
      <c r="X301" s="738"/>
      <c r="Y301" s="738"/>
      <c r="Z301" s="738"/>
      <c r="AA301" s="738"/>
      <c r="AB301" s="738"/>
      <c r="AC301" s="738"/>
      <c r="AD301" s="738"/>
      <c r="AE301" s="738"/>
      <c r="AF301" s="738"/>
      <c r="AG301" s="738"/>
      <c r="AH301" s="738"/>
      <c r="AI301" s="738"/>
      <c r="AJ301" s="738"/>
      <c r="AK301" s="738"/>
      <c r="AL301" s="738"/>
    </row>
    <row r="302">
      <c r="A302" s="738"/>
      <c r="B302" s="738"/>
      <c r="C302" s="738"/>
      <c r="D302" s="738"/>
      <c r="E302" s="738"/>
      <c r="F302" s="738"/>
      <c r="G302" s="738"/>
      <c r="H302" s="738"/>
      <c r="I302" s="738"/>
      <c r="J302" s="738"/>
      <c r="K302" s="738"/>
      <c r="L302" s="738"/>
      <c r="M302" s="738"/>
      <c r="N302" s="738"/>
      <c r="O302" s="738"/>
      <c r="P302" s="738"/>
      <c r="Q302" s="738"/>
      <c r="R302" s="738"/>
      <c r="S302" s="738"/>
      <c r="T302" s="738"/>
      <c r="U302" s="738"/>
      <c r="V302" s="738"/>
      <c r="W302" s="738"/>
      <c r="X302" s="738"/>
      <c r="Y302" s="738"/>
      <c r="Z302" s="738"/>
      <c r="AA302" s="738"/>
      <c r="AB302" s="738"/>
      <c r="AC302" s="738"/>
      <c r="AD302" s="738"/>
      <c r="AE302" s="738"/>
      <c r="AF302" s="738"/>
      <c r="AG302" s="738"/>
      <c r="AH302" s="738"/>
      <c r="AI302" s="738"/>
      <c r="AJ302" s="738"/>
      <c r="AK302" s="738"/>
      <c r="AL302" s="738"/>
    </row>
    <row r="303">
      <c r="A303" s="738"/>
      <c r="B303" s="738"/>
      <c r="C303" s="738"/>
      <c r="D303" s="738"/>
      <c r="E303" s="738"/>
      <c r="F303" s="738"/>
      <c r="G303" s="738"/>
      <c r="H303" s="738"/>
      <c r="I303" s="738"/>
      <c r="J303" s="738"/>
      <c r="K303" s="738"/>
      <c r="L303" s="738"/>
      <c r="M303" s="738"/>
      <c r="N303" s="738"/>
      <c r="O303" s="738"/>
      <c r="P303" s="738"/>
      <c r="Q303" s="738"/>
      <c r="R303" s="738"/>
      <c r="S303" s="738"/>
      <c r="T303" s="738"/>
      <c r="U303" s="738"/>
      <c r="V303" s="738"/>
      <c r="W303" s="738"/>
      <c r="X303" s="738"/>
      <c r="Y303" s="738"/>
      <c r="Z303" s="738"/>
      <c r="AA303" s="738"/>
      <c r="AB303" s="738"/>
      <c r="AC303" s="738"/>
      <c r="AD303" s="738"/>
      <c r="AE303" s="738"/>
      <c r="AF303" s="738"/>
      <c r="AG303" s="738"/>
      <c r="AH303" s="738"/>
      <c r="AI303" s="738"/>
      <c r="AJ303" s="738"/>
      <c r="AK303" s="738"/>
      <c r="AL303" s="738"/>
    </row>
    <row r="304">
      <c r="A304" s="738"/>
      <c r="B304" s="738"/>
      <c r="C304" s="738"/>
      <c r="D304" s="738"/>
      <c r="E304" s="738"/>
      <c r="F304" s="738"/>
      <c r="G304" s="738"/>
      <c r="H304" s="738"/>
      <c r="I304" s="738"/>
      <c r="J304" s="738"/>
      <c r="K304" s="738"/>
      <c r="L304" s="738"/>
      <c r="M304" s="738"/>
      <c r="N304" s="738"/>
      <c r="O304" s="738"/>
      <c r="P304" s="738"/>
      <c r="Q304" s="738"/>
      <c r="R304" s="738"/>
      <c r="S304" s="738"/>
      <c r="T304" s="738"/>
      <c r="U304" s="738"/>
      <c r="V304" s="738"/>
      <c r="W304" s="738"/>
      <c r="X304" s="738"/>
      <c r="Y304" s="738"/>
      <c r="Z304" s="738"/>
      <c r="AA304" s="738"/>
      <c r="AB304" s="738"/>
      <c r="AC304" s="738"/>
      <c r="AD304" s="738"/>
      <c r="AE304" s="738"/>
      <c r="AF304" s="738"/>
      <c r="AG304" s="738"/>
      <c r="AH304" s="738"/>
      <c r="AI304" s="738"/>
      <c r="AJ304" s="738"/>
      <c r="AK304" s="738"/>
      <c r="AL304" s="738"/>
    </row>
    <row r="305">
      <c r="A305" s="738"/>
      <c r="B305" s="738"/>
      <c r="C305" s="738"/>
      <c r="D305" s="738"/>
      <c r="E305" s="738"/>
      <c r="F305" s="738"/>
      <c r="G305" s="738"/>
      <c r="H305" s="738"/>
      <c r="I305" s="738"/>
      <c r="J305" s="738"/>
      <c r="K305" s="738"/>
      <c r="L305" s="738"/>
      <c r="M305" s="738"/>
      <c r="N305" s="738"/>
      <c r="O305" s="738"/>
      <c r="P305" s="738"/>
      <c r="Q305" s="738"/>
      <c r="R305" s="738"/>
      <c r="S305" s="738"/>
      <c r="T305" s="738"/>
      <c r="U305" s="738"/>
      <c r="V305" s="738"/>
      <c r="W305" s="738"/>
      <c r="X305" s="738"/>
      <c r="Y305" s="738"/>
      <c r="Z305" s="738"/>
      <c r="AA305" s="738"/>
      <c r="AB305" s="738"/>
      <c r="AC305" s="738"/>
      <c r="AD305" s="738"/>
      <c r="AE305" s="738"/>
      <c r="AF305" s="738"/>
      <c r="AG305" s="738"/>
      <c r="AH305" s="738"/>
      <c r="AI305" s="738"/>
      <c r="AJ305" s="738"/>
      <c r="AK305" s="738"/>
      <c r="AL305" s="738"/>
    </row>
    <row r="306">
      <c r="A306" s="738"/>
      <c r="B306" s="738"/>
      <c r="C306" s="738"/>
      <c r="D306" s="738"/>
      <c r="E306" s="738"/>
      <c r="F306" s="738"/>
      <c r="G306" s="738"/>
      <c r="H306" s="738"/>
      <c r="I306" s="738"/>
      <c r="J306" s="738"/>
      <c r="K306" s="738"/>
      <c r="L306" s="738"/>
      <c r="M306" s="738"/>
      <c r="N306" s="738"/>
      <c r="O306" s="738"/>
      <c r="P306" s="738"/>
      <c r="Q306" s="738"/>
      <c r="R306" s="738"/>
      <c r="S306" s="738"/>
      <c r="T306" s="738"/>
      <c r="U306" s="738"/>
      <c r="V306" s="738"/>
      <c r="W306" s="738"/>
      <c r="X306" s="738"/>
      <c r="Y306" s="738"/>
      <c r="Z306" s="738"/>
      <c r="AA306" s="738"/>
      <c r="AB306" s="738"/>
      <c r="AC306" s="738"/>
      <c r="AD306" s="738"/>
      <c r="AE306" s="738"/>
      <c r="AF306" s="738"/>
      <c r="AG306" s="738"/>
      <c r="AH306" s="738"/>
      <c r="AI306" s="738"/>
      <c r="AJ306" s="738"/>
      <c r="AK306" s="738"/>
      <c r="AL306" s="738"/>
    </row>
    <row r="307">
      <c r="A307" s="738"/>
      <c r="B307" s="738"/>
      <c r="C307" s="738"/>
      <c r="D307" s="738"/>
      <c r="E307" s="738"/>
      <c r="F307" s="738"/>
      <c r="G307" s="738"/>
      <c r="H307" s="738"/>
      <c r="I307" s="738"/>
      <c r="J307" s="738"/>
      <c r="K307" s="738"/>
      <c r="L307" s="738"/>
      <c r="M307" s="738"/>
      <c r="N307" s="738"/>
      <c r="O307" s="738"/>
      <c r="P307" s="738"/>
      <c r="Q307" s="738"/>
      <c r="R307" s="738"/>
      <c r="S307" s="738"/>
      <c r="T307" s="738"/>
      <c r="U307" s="738"/>
      <c r="V307" s="738"/>
      <c r="W307" s="738"/>
      <c r="X307" s="738"/>
      <c r="Y307" s="738"/>
      <c r="Z307" s="738"/>
      <c r="AA307" s="738"/>
      <c r="AB307" s="738"/>
      <c r="AC307" s="738"/>
      <c r="AD307" s="738"/>
      <c r="AE307" s="738"/>
      <c r="AF307" s="738"/>
      <c r="AG307" s="738"/>
      <c r="AH307" s="738"/>
      <c r="AI307" s="738"/>
      <c r="AJ307" s="738"/>
      <c r="AK307" s="738"/>
      <c r="AL307" s="738"/>
    </row>
    <row r="308">
      <c r="A308" s="738"/>
      <c r="B308" s="738"/>
      <c r="C308" s="738"/>
      <c r="D308" s="738"/>
      <c r="E308" s="738"/>
      <c r="F308" s="738"/>
      <c r="G308" s="738"/>
      <c r="H308" s="738"/>
      <c r="I308" s="738"/>
      <c r="J308" s="738"/>
      <c r="K308" s="738"/>
      <c r="L308" s="738"/>
      <c r="M308" s="738"/>
      <c r="N308" s="738"/>
      <c r="O308" s="738"/>
      <c r="P308" s="738"/>
      <c r="Q308" s="738"/>
      <c r="R308" s="738"/>
      <c r="S308" s="738"/>
      <c r="T308" s="738"/>
      <c r="U308" s="738"/>
      <c r="V308" s="738"/>
      <c r="W308" s="738"/>
      <c r="X308" s="738"/>
      <c r="Y308" s="738"/>
      <c r="Z308" s="738"/>
      <c r="AA308" s="738"/>
      <c r="AB308" s="738"/>
      <c r="AC308" s="738"/>
      <c r="AD308" s="738"/>
      <c r="AE308" s="738"/>
      <c r="AF308" s="738"/>
      <c r="AG308" s="738"/>
      <c r="AH308" s="738"/>
      <c r="AI308" s="738"/>
      <c r="AJ308" s="738"/>
      <c r="AK308" s="738"/>
      <c r="AL308" s="738"/>
    </row>
    <row r="309">
      <c r="A309" s="738"/>
      <c r="B309" s="738"/>
      <c r="C309" s="738"/>
      <c r="D309" s="738"/>
      <c r="E309" s="738"/>
      <c r="F309" s="738"/>
      <c r="G309" s="738"/>
      <c r="H309" s="738"/>
      <c r="I309" s="738"/>
      <c r="J309" s="738"/>
      <c r="K309" s="738"/>
      <c r="L309" s="738"/>
      <c r="M309" s="738"/>
      <c r="N309" s="738"/>
      <c r="O309" s="738"/>
      <c r="P309" s="738"/>
      <c r="Q309" s="738"/>
      <c r="R309" s="738"/>
      <c r="S309" s="738"/>
      <c r="T309" s="738"/>
      <c r="U309" s="738"/>
      <c r="V309" s="738"/>
      <c r="W309" s="738"/>
      <c r="X309" s="738"/>
      <c r="Y309" s="738"/>
      <c r="Z309" s="738"/>
      <c r="AA309" s="738"/>
      <c r="AB309" s="738"/>
      <c r="AC309" s="738"/>
      <c r="AD309" s="738"/>
      <c r="AE309" s="738"/>
      <c r="AF309" s="738"/>
      <c r="AG309" s="738"/>
      <c r="AH309" s="738"/>
      <c r="AI309" s="738"/>
      <c r="AJ309" s="738"/>
      <c r="AK309" s="738"/>
      <c r="AL309" s="738"/>
    </row>
    <row r="310">
      <c r="A310" s="738"/>
      <c r="B310" s="738"/>
      <c r="C310" s="738"/>
      <c r="D310" s="738"/>
      <c r="E310" s="738"/>
      <c r="F310" s="738"/>
      <c r="G310" s="738"/>
      <c r="H310" s="738"/>
      <c r="I310" s="738"/>
      <c r="J310" s="738"/>
      <c r="K310" s="738"/>
      <c r="L310" s="738"/>
      <c r="M310" s="738"/>
      <c r="N310" s="738"/>
      <c r="O310" s="738"/>
      <c r="P310" s="738"/>
      <c r="Q310" s="738"/>
      <c r="R310" s="738"/>
      <c r="S310" s="738"/>
      <c r="T310" s="738"/>
      <c r="U310" s="738"/>
      <c r="V310" s="738"/>
      <c r="W310" s="738"/>
      <c r="X310" s="738"/>
      <c r="Y310" s="738"/>
      <c r="Z310" s="738"/>
      <c r="AA310" s="738"/>
      <c r="AB310" s="738"/>
      <c r="AC310" s="738"/>
      <c r="AD310" s="738"/>
      <c r="AE310" s="738"/>
      <c r="AF310" s="738"/>
      <c r="AG310" s="738"/>
      <c r="AH310" s="738"/>
      <c r="AI310" s="738"/>
      <c r="AJ310" s="738"/>
      <c r="AK310" s="738"/>
      <c r="AL310" s="738"/>
    </row>
    <row r="311">
      <c r="A311" s="738"/>
      <c r="B311" s="738"/>
      <c r="C311" s="738"/>
      <c r="D311" s="738"/>
      <c r="E311" s="738"/>
      <c r="F311" s="738"/>
      <c r="G311" s="738"/>
      <c r="H311" s="738"/>
      <c r="I311" s="738"/>
      <c r="J311" s="738"/>
      <c r="K311" s="738"/>
      <c r="L311" s="738"/>
      <c r="M311" s="738"/>
      <c r="N311" s="738"/>
      <c r="O311" s="738"/>
      <c r="P311" s="738"/>
      <c r="Q311" s="738"/>
      <c r="R311" s="738"/>
      <c r="S311" s="738"/>
      <c r="T311" s="738"/>
      <c r="U311" s="738"/>
      <c r="V311" s="738"/>
      <c r="W311" s="738"/>
      <c r="X311" s="738"/>
      <c r="Y311" s="738"/>
      <c r="Z311" s="738"/>
      <c r="AA311" s="738"/>
      <c r="AB311" s="738"/>
      <c r="AC311" s="738"/>
      <c r="AD311" s="738"/>
      <c r="AE311" s="738"/>
      <c r="AF311" s="738"/>
      <c r="AG311" s="738"/>
      <c r="AH311" s="738"/>
      <c r="AI311" s="738"/>
      <c r="AJ311" s="738"/>
      <c r="AK311" s="738"/>
      <c r="AL311" s="738"/>
    </row>
    <row r="312">
      <c r="A312" s="738"/>
      <c r="B312" s="738"/>
      <c r="C312" s="738"/>
      <c r="D312" s="738"/>
      <c r="E312" s="738"/>
      <c r="F312" s="738"/>
      <c r="G312" s="738"/>
      <c r="H312" s="738"/>
      <c r="I312" s="738"/>
      <c r="J312" s="738"/>
      <c r="K312" s="738"/>
      <c r="L312" s="738"/>
      <c r="M312" s="738"/>
      <c r="N312" s="738"/>
      <c r="O312" s="738"/>
      <c r="P312" s="738"/>
      <c r="Q312" s="738"/>
      <c r="R312" s="738"/>
      <c r="S312" s="738"/>
      <c r="T312" s="738"/>
      <c r="U312" s="738"/>
      <c r="V312" s="738"/>
      <c r="W312" s="738"/>
      <c r="X312" s="738"/>
      <c r="Y312" s="738"/>
      <c r="Z312" s="738"/>
      <c r="AA312" s="738"/>
      <c r="AB312" s="738"/>
      <c r="AC312" s="738"/>
      <c r="AD312" s="738"/>
      <c r="AE312" s="738"/>
      <c r="AF312" s="738"/>
      <c r="AG312" s="738"/>
      <c r="AH312" s="738"/>
      <c r="AI312" s="738"/>
      <c r="AJ312" s="738"/>
      <c r="AK312" s="738"/>
      <c r="AL312" s="738"/>
    </row>
    <row r="313">
      <c r="A313" s="738"/>
      <c r="B313" s="738"/>
      <c r="C313" s="738"/>
      <c r="D313" s="738"/>
      <c r="E313" s="738"/>
      <c r="F313" s="738"/>
      <c r="G313" s="738"/>
      <c r="H313" s="738"/>
      <c r="I313" s="738"/>
      <c r="J313" s="738"/>
      <c r="K313" s="738"/>
      <c r="L313" s="738"/>
      <c r="M313" s="738"/>
      <c r="N313" s="738"/>
      <c r="O313" s="738"/>
      <c r="P313" s="738"/>
      <c r="Q313" s="738"/>
      <c r="R313" s="738"/>
      <c r="S313" s="738"/>
      <c r="T313" s="738"/>
      <c r="U313" s="738"/>
      <c r="V313" s="738"/>
      <c r="W313" s="738"/>
      <c r="X313" s="738"/>
      <c r="Y313" s="738"/>
      <c r="Z313" s="738"/>
      <c r="AA313" s="738"/>
      <c r="AB313" s="738"/>
      <c r="AC313" s="738"/>
      <c r="AD313" s="738"/>
      <c r="AE313" s="738"/>
      <c r="AF313" s="738"/>
      <c r="AG313" s="738"/>
      <c r="AH313" s="738"/>
      <c r="AI313" s="738"/>
      <c r="AJ313" s="738"/>
      <c r="AK313" s="738"/>
      <c r="AL313" s="738"/>
    </row>
    <row r="314">
      <c r="A314" s="738"/>
      <c r="B314" s="738"/>
      <c r="C314" s="738"/>
      <c r="D314" s="738"/>
      <c r="E314" s="738"/>
      <c r="F314" s="738"/>
      <c r="G314" s="738"/>
      <c r="H314" s="738"/>
      <c r="I314" s="738"/>
      <c r="J314" s="738"/>
      <c r="K314" s="738"/>
      <c r="L314" s="738"/>
      <c r="M314" s="738"/>
      <c r="N314" s="738"/>
      <c r="O314" s="738"/>
      <c r="P314" s="738"/>
      <c r="Q314" s="738"/>
      <c r="R314" s="738"/>
      <c r="S314" s="738"/>
      <c r="T314" s="738"/>
      <c r="U314" s="738"/>
      <c r="V314" s="738"/>
      <c r="W314" s="738"/>
      <c r="X314" s="738"/>
      <c r="Y314" s="738"/>
      <c r="Z314" s="738"/>
      <c r="AA314" s="738"/>
      <c r="AB314" s="738"/>
      <c r="AC314" s="738"/>
      <c r="AD314" s="738"/>
      <c r="AE314" s="738"/>
      <c r="AF314" s="738"/>
      <c r="AG314" s="738"/>
      <c r="AH314" s="738"/>
      <c r="AI314" s="738"/>
      <c r="AJ314" s="738"/>
      <c r="AK314" s="738"/>
      <c r="AL314" s="738"/>
    </row>
    <row r="315">
      <c r="A315" s="738"/>
      <c r="B315" s="738"/>
      <c r="C315" s="738"/>
      <c r="D315" s="738"/>
      <c r="E315" s="738"/>
      <c r="F315" s="738"/>
      <c r="G315" s="738"/>
      <c r="H315" s="738"/>
      <c r="I315" s="738"/>
      <c r="J315" s="738"/>
      <c r="K315" s="738"/>
      <c r="L315" s="738"/>
      <c r="M315" s="738"/>
      <c r="N315" s="738"/>
      <c r="O315" s="738"/>
      <c r="P315" s="738"/>
      <c r="Q315" s="738"/>
      <c r="R315" s="738"/>
      <c r="S315" s="738"/>
      <c r="T315" s="738"/>
      <c r="U315" s="738"/>
      <c r="V315" s="738"/>
      <c r="W315" s="738"/>
      <c r="X315" s="738"/>
      <c r="Y315" s="738"/>
      <c r="Z315" s="738"/>
      <c r="AA315" s="738"/>
      <c r="AB315" s="738"/>
      <c r="AC315" s="738"/>
      <c r="AD315" s="738"/>
      <c r="AE315" s="738"/>
      <c r="AF315" s="738"/>
      <c r="AG315" s="738"/>
      <c r="AH315" s="738"/>
      <c r="AI315" s="738"/>
      <c r="AJ315" s="738"/>
      <c r="AK315" s="738"/>
      <c r="AL315" s="738"/>
    </row>
    <row r="316">
      <c r="A316" s="738"/>
      <c r="B316" s="738"/>
      <c r="C316" s="738"/>
      <c r="D316" s="738"/>
      <c r="E316" s="738"/>
      <c r="F316" s="738"/>
      <c r="G316" s="738"/>
      <c r="H316" s="738"/>
      <c r="I316" s="738"/>
      <c r="J316" s="738"/>
      <c r="K316" s="738"/>
      <c r="L316" s="738"/>
      <c r="M316" s="738"/>
      <c r="N316" s="738"/>
      <c r="O316" s="738"/>
      <c r="P316" s="738"/>
      <c r="Q316" s="738"/>
      <c r="R316" s="738"/>
      <c r="S316" s="738"/>
      <c r="T316" s="738"/>
      <c r="U316" s="738"/>
      <c r="V316" s="738"/>
      <c r="W316" s="738"/>
      <c r="X316" s="738"/>
      <c r="Y316" s="738"/>
      <c r="Z316" s="738"/>
      <c r="AA316" s="738"/>
      <c r="AB316" s="738"/>
      <c r="AC316" s="738"/>
      <c r="AD316" s="738"/>
      <c r="AE316" s="738"/>
      <c r="AF316" s="738"/>
      <c r="AG316" s="738"/>
      <c r="AH316" s="738"/>
      <c r="AI316" s="738"/>
      <c r="AJ316" s="738"/>
      <c r="AK316" s="738"/>
      <c r="AL316" s="738"/>
    </row>
    <row r="317">
      <c r="A317" s="738"/>
      <c r="B317" s="738"/>
      <c r="C317" s="738"/>
      <c r="D317" s="738"/>
      <c r="E317" s="738"/>
      <c r="F317" s="738"/>
      <c r="G317" s="738"/>
      <c r="H317" s="738"/>
      <c r="I317" s="738"/>
      <c r="J317" s="738"/>
      <c r="K317" s="738"/>
      <c r="L317" s="738"/>
      <c r="M317" s="738"/>
      <c r="N317" s="738"/>
      <c r="O317" s="738"/>
      <c r="P317" s="738"/>
      <c r="Q317" s="738"/>
      <c r="R317" s="738"/>
      <c r="S317" s="738"/>
      <c r="T317" s="738"/>
      <c r="U317" s="738"/>
      <c r="V317" s="738"/>
      <c r="W317" s="738"/>
      <c r="X317" s="738"/>
      <c r="Y317" s="738"/>
      <c r="Z317" s="738"/>
      <c r="AA317" s="738"/>
      <c r="AB317" s="738"/>
      <c r="AC317" s="738"/>
      <c r="AD317" s="738"/>
      <c r="AE317" s="738"/>
      <c r="AF317" s="738"/>
      <c r="AG317" s="738"/>
      <c r="AH317" s="738"/>
      <c r="AI317" s="738"/>
      <c r="AJ317" s="738"/>
      <c r="AK317" s="738"/>
      <c r="AL317" s="738"/>
    </row>
    <row r="318">
      <c r="A318" s="738"/>
      <c r="B318" s="738"/>
      <c r="C318" s="738"/>
      <c r="D318" s="738"/>
      <c r="E318" s="738"/>
      <c r="F318" s="738"/>
      <c r="G318" s="738"/>
      <c r="H318" s="738"/>
      <c r="I318" s="738"/>
      <c r="J318" s="738"/>
      <c r="K318" s="738"/>
      <c r="L318" s="738"/>
      <c r="M318" s="738"/>
      <c r="N318" s="738"/>
      <c r="O318" s="738"/>
      <c r="P318" s="738"/>
      <c r="Q318" s="738"/>
      <c r="R318" s="738"/>
      <c r="S318" s="738"/>
      <c r="T318" s="738"/>
      <c r="U318" s="738"/>
      <c r="V318" s="738"/>
      <c r="W318" s="738"/>
      <c r="X318" s="738"/>
      <c r="Y318" s="738"/>
      <c r="Z318" s="738"/>
      <c r="AA318" s="738"/>
      <c r="AB318" s="738"/>
      <c r="AC318" s="738"/>
      <c r="AD318" s="738"/>
      <c r="AE318" s="738"/>
      <c r="AF318" s="738"/>
      <c r="AG318" s="738"/>
      <c r="AH318" s="738"/>
      <c r="AI318" s="738"/>
      <c r="AJ318" s="738"/>
      <c r="AK318" s="738"/>
      <c r="AL318" s="738"/>
    </row>
    <row r="319">
      <c r="A319" s="738"/>
      <c r="B319" s="738"/>
      <c r="C319" s="738"/>
      <c r="D319" s="738"/>
      <c r="E319" s="738"/>
      <c r="F319" s="738"/>
      <c r="G319" s="738"/>
      <c r="H319" s="738"/>
      <c r="I319" s="738"/>
      <c r="J319" s="738"/>
      <c r="K319" s="738"/>
      <c r="L319" s="738"/>
      <c r="M319" s="738"/>
      <c r="N319" s="738"/>
      <c r="O319" s="738"/>
      <c r="P319" s="738"/>
      <c r="Q319" s="738"/>
      <c r="R319" s="738"/>
      <c r="S319" s="738"/>
      <c r="T319" s="738"/>
      <c r="U319" s="738"/>
      <c r="V319" s="738"/>
      <c r="W319" s="738"/>
      <c r="X319" s="738"/>
      <c r="Y319" s="738"/>
      <c r="Z319" s="738"/>
      <c r="AA319" s="738"/>
      <c r="AB319" s="738"/>
      <c r="AC319" s="738"/>
      <c r="AD319" s="738"/>
      <c r="AE319" s="738"/>
      <c r="AF319" s="738"/>
      <c r="AG319" s="738"/>
      <c r="AH319" s="738"/>
      <c r="AI319" s="738"/>
      <c r="AJ319" s="738"/>
      <c r="AK319" s="738"/>
      <c r="AL319" s="738"/>
    </row>
    <row r="320">
      <c r="A320" s="738"/>
      <c r="B320" s="738"/>
      <c r="C320" s="738"/>
      <c r="D320" s="738"/>
      <c r="E320" s="738"/>
      <c r="F320" s="738"/>
      <c r="G320" s="738"/>
      <c r="H320" s="738"/>
      <c r="I320" s="738"/>
      <c r="J320" s="738"/>
      <c r="K320" s="738"/>
      <c r="L320" s="738"/>
      <c r="M320" s="738"/>
      <c r="N320" s="738"/>
      <c r="O320" s="738"/>
      <c r="P320" s="738"/>
      <c r="Q320" s="738"/>
      <c r="R320" s="738"/>
      <c r="S320" s="738"/>
      <c r="T320" s="738"/>
      <c r="U320" s="738"/>
      <c r="V320" s="738"/>
      <c r="W320" s="738"/>
      <c r="X320" s="738"/>
      <c r="Y320" s="738"/>
      <c r="Z320" s="738"/>
      <c r="AA320" s="738"/>
      <c r="AB320" s="738"/>
      <c r="AC320" s="738"/>
      <c r="AD320" s="738"/>
      <c r="AE320" s="738"/>
      <c r="AF320" s="738"/>
      <c r="AG320" s="738"/>
      <c r="AH320" s="738"/>
      <c r="AI320" s="738"/>
      <c r="AJ320" s="738"/>
      <c r="AK320" s="738"/>
      <c r="AL320" s="738"/>
    </row>
    <row r="321">
      <c r="A321" s="738"/>
      <c r="B321" s="738"/>
      <c r="C321" s="738"/>
      <c r="D321" s="738"/>
      <c r="E321" s="738"/>
      <c r="F321" s="738"/>
      <c r="G321" s="738"/>
      <c r="H321" s="738"/>
      <c r="I321" s="738"/>
      <c r="J321" s="738"/>
      <c r="K321" s="738"/>
      <c r="L321" s="738"/>
      <c r="M321" s="738"/>
      <c r="N321" s="738"/>
      <c r="O321" s="738"/>
      <c r="P321" s="738"/>
      <c r="Q321" s="738"/>
      <c r="R321" s="738"/>
      <c r="S321" s="738"/>
      <c r="T321" s="738"/>
      <c r="U321" s="738"/>
      <c r="V321" s="738"/>
      <c r="W321" s="738"/>
      <c r="X321" s="738"/>
      <c r="Y321" s="738"/>
      <c r="Z321" s="738"/>
      <c r="AA321" s="738"/>
      <c r="AB321" s="738"/>
      <c r="AC321" s="738"/>
      <c r="AD321" s="738"/>
      <c r="AE321" s="738"/>
      <c r="AF321" s="738"/>
      <c r="AG321" s="738"/>
      <c r="AH321" s="738"/>
      <c r="AI321" s="738"/>
      <c r="AJ321" s="738"/>
      <c r="AK321" s="738"/>
      <c r="AL321" s="738"/>
    </row>
    <row r="322">
      <c r="A322" s="738"/>
      <c r="B322" s="738"/>
      <c r="C322" s="738"/>
      <c r="D322" s="738"/>
      <c r="E322" s="738"/>
      <c r="F322" s="738"/>
      <c r="G322" s="738"/>
      <c r="H322" s="738"/>
      <c r="I322" s="738"/>
      <c r="J322" s="738"/>
      <c r="K322" s="738"/>
      <c r="L322" s="738"/>
      <c r="M322" s="738"/>
      <c r="N322" s="738"/>
      <c r="O322" s="738"/>
      <c r="P322" s="738"/>
      <c r="Q322" s="738"/>
      <c r="R322" s="738"/>
      <c r="S322" s="738"/>
      <c r="T322" s="738"/>
      <c r="U322" s="738"/>
      <c r="V322" s="738"/>
      <c r="W322" s="738"/>
      <c r="X322" s="738"/>
      <c r="Y322" s="738"/>
      <c r="Z322" s="738"/>
      <c r="AA322" s="738"/>
      <c r="AB322" s="738"/>
      <c r="AC322" s="738"/>
      <c r="AD322" s="738"/>
      <c r="AE322" s="738"/>
      <c r="AF322" s="738"/>
      <c r="AG322" s="738"/>
      <c r="AH322" s="738"/>
      <c r="AI322" s="738"/>
      <c r="AJ322" s="738"/>
      <c r="AK322" s="738"/>
      <c r="AL322" s="738"/>
    </row>
    <row r="323">
      <c r="A323" s="738"/>
      <c r="B323" s="738"/>
      <c r="C323" s="738"/>
      <c r="D323" s="738"/>
      <c r="E323" s="738"/>
      <c r="F323" s="738"/>
      <c r="G323" s="738"/>
      <c r="H323" s="738"/>
      <c r="I323" s="738"/>
      <c r="J323" s="738"/>
      <c r="K323" s="738"/>
      <c r="L323" s="738"/>
      <c r="M323" s="738"/>
      <c r="N323" s="738"/>
      <c r="O323" s="738"/>
      <c r="P323" s="738"/>
      <c r="Q323" s="738"/>
      <c r="R323" s="738"/>
      <c r="S323" s="738"/>
      <c r="T323" s="738"/>
      <c r="U323" s="738"/>
      <c r="V323" s="738"/>
      <c r="W323" s="738"/>
      <c r="X323" s="738"/>
      <c r="Y323" s="738"/>
      <c r="Z323" s="738"/>
      <c r="AA323" s="738"/>
      <c r="AB323" s="738"/>
      <c r="AC323" s="738"/>
      <c r="AD323" s="738"/>
      <c r="AE323" s="738"/>
      <c r="AF323" s="738"/>
      <c r="AG323" s="738"/>
      <c r="AH323" s="738"/>
      <c r="AI323" s="738"/>
      <c r="AJ323" s="738"/>
      <c r="AK323" s="738"/>
      <c r="AL323" s="738"/>
    </row>
    <row r="324">
      <c r="A324" s="738"/>
      <c r="B324" s="738"/>
      <c r="C324" s="738"/>
      <c r="D324" s="738"/>
      <c r="E324" s="738"/>
      <c r="F324" s="738"/>
      <c r="G324" s="738"/>
      <c r="H324" s="738"/>
      <c r="I324" s="738"/>
      <c r="J324" s="738"/>
      <c r="K324" s="738"/>
      <c r="L324" s="738"/>
      <c r="M324" s="738"/>
      <c r="N324" s="738"/>
      <c r="O324" s="738"/>
      <c r="P324" s="738"/>
      <c r="Q324" s="738"/>
      <c r="R324" s="738"/>
      <c r="S324" s="738"/>
      <c r="T324" s="738"/>
      <c r="U324" s="738"/>
      <c r="V324" s="738"/>
      <c r="W324" s="738"/>
      <c r="X324" s="738"/>
      <c r="Y324" s="738"/>
      <c r="Z324" s="738"/>
      <c r="AA324" s="738"/>
      <c r="AB324" s="738"/>
      <c r="AC324" s="738"/>
      <c r="AD324" s="738"/>
      <c r="AE324" s="738"/>
      <c r="AF324" s="738"/>
      <c r="AG324" s="738"/>
      <c r="AH324" s="738"/>
      <c r="AI324" s="738"/>
      <c r="AJ324" s="738"/>
      <c r="AK324" s="738"/>
      <c r="AL324" s="738"/>
    </row>
    <row r="325">
      <c r="A325" s="738"/>
      <c r="B325" s="738"/>
      <c r="C325" s="738"/>
      <c r="D325" s="738"/>
      <c r="E325" s="738"/>
      <c r="F325" s="738"/>
      <c r="G325" s="738"/>
      <c r="H325" s="738"/>
      <c r="I325" s="738"/>
      <c r="J325" s="738"/>
      <c r="K325" s="738"/>
      <c r="L325" s="738"/>
      <c r="M325" s="738"/>
      <c r="N325" s="738"/>
      <c r="O325" s="738"/>
      <c r="P325" s="738"/>
      <c r="Q325" s="738"/>
      <c r="R325" s="738"/>
      <c r="S325" s="738"/>
      <c r="T325" s="738"/>
      <c r="U325" s="738"/>
      <c r="V325" s="738"/>
      <c r="W325" s="738"/>
      <c r="X325" s="738"/>
      <c r="Y325" s="738"/>
      <c r="Z325" s="738"/>
      <c r="AA325" s="738"/>
      <c r="AB325" s="738"/>
      <c r="AC325" s="738"/>
      <c r="AD325" s="738"/>
      <c r="AE325" s="738"/>
      <c r="AF325" s="738"/>
      <c r="AG325" s="738"/>
      <c r="AH325" s="738"/>
      <c r="AI325" s="738"/>
      <c r="AJ325" s="738"/>
      <c r="AK325" s="738"/>
      <c r="AL325" s="738"/>
    </row>
    <row r="326">
      <c r="A326" s="738"/>
      <c r="B326" s="738"/>
      <c r="C326" s="738"/>
      <c r="D326" s="738"/>
      <c r="E326" s="738"/>
      <c r="F326" s="738"/>
      <c r="G326" s="738"/>
      <c r="H326" s="738"/>
      <c r="I326" s="738"/>
      <c r="J326" s="738"/>
      <c r="K326" s="738"/>
      <c r="L326" s="738"/>
      <c r="M326" s="738"/>
      <c r="N326" s="738"/>
      <c r="O326" s="738"/>
      <c r="P326" s="738"/>
      <c r="Q326" s="738"/>
      <c r="R326" s="738"/>
      <c r="S326" s="738"/>
      <c r="T326" s="738"/>
      <c r="U326" s="738"/>
      <c r="V326" s="738"/>
      <c r="W326" s="738"/>
      <c r="X326" s="738"/>
      <c r="Y326" s="738"/>
      <c r="Z326" s="738"/>
      <c r="AA326" s="738"/>
      <c r="AB326" s="738"/>
      <c r="AC326" s="738"/>
      <c r="AD326" s="738"/>
      <c r="AE326" s="738"/>
      <c r="AF326" s="738"/>
      <c r="AG326" s="738"/>
      <c r="AH326" s="738"/>
      <c r="AI326" s="738"/>
      <c r="AJ326" s="738"/>
      <c r="AK326" s="738"/>
      <c r="AL326" s="738"/>
    </row>
    <row r="327">
      <c r="A327" s="738"/>
      <c r="B327" s="738"/>
      <c r="C327" s="738"/>
      <c r="D327" s="738"/>
      <c r="E327" s="738"/>
      <c r="F327" s="738"/>
      <c r="G327" s="738"/>
      <c r="H327" s="738"/>
      <c r="I327" s="738"/>
      <c r="J327" s="738"/>
      <c r="K327" s="738"/>
      <c r="L327" s="738"/>
      <c r="M327" s="738"/>
      <c r="N327" s="738"/>
      <c r="O327" s="738"/>
      <c r="P327" s="738"/>
      <c r="Q327" s="738"/>
      <c r="R327" s="738"/>
      <c r="S327" s="738"/>
      <c r="T327" s="738"/>
      <c r="U327" s="738"/>
      <c r="V327" s="738"/>
      <c r="W327" s="738"/>
      <c r="X327" s="738"/>
      <c r="Y327" s="738"/>
      <c r="Z327" s="738"/>
      <c r="AA327" s="738"/>
      <c r="AB327" s="738"/>
      <c r="AC327" s="738"/>
      <c r="AD327" s="738"/>
      <c r="AE327" s="738"/>
      <c r="AF327" s="738"/>
      <c r="AG327" s="738"/>
      <c r="AH327" s="738"/>
      <c r="AI327" s="738"/>
      <c r="AJ327" s="738"/>
      <c r="AK327" s="738"/>
      <c r="AL327" s="738"/>
    </row>
    <row r="328">
      <c r="A328" s="738"/>
      <c r="B328" s="738"/>
      <c r="C328" s="738"/>
      <c r="D328" s="738"/>
      <c r="E328" s="738"/>
      <c r="F328" s="738"/>
      <c r="G328" s="738"/>
      <c r="H328" s="738"/>
      <c r="I328" s="738"/>
      <c r="J328" s="738"/>
      <c r="K328" s="738"/>
      <c r="L328" s="738"/>
      <c r="M328" s="738"/>
      <c r="N328" s="738"/>
      <c r="O328" s="738"/>
      <c r="P328" s="738"/>
      <c r="Q328" s="738"/>
      <c r="R328" s="738"/>
      <c r="S328" s="738"/>
      <c r="T328" s="738"/>
      <c r="U328" s="738"/>
      <c r="V328" s="738"/>
      <c r="W328" s="738"/>
      <c r="X328" s="738"/>
      <c r="Y328" s="738"/>
      <c r="Z328" s="738"/>
      <c r="AA328" s="738"/>
      <c r="AB328" s="738"/>
      <c r="AC328" s="738"/>
      <c r="AD328" s="738"/>
      <c r="AE328" s="738"/>
      <c r="AF328" s="738"/>
      <c r="AG328" s="738"/>
      <c r="AH328" s="738"/>
      <c r="AI328" s="738"/>
      <c r="AJ328" s="738"/>
      <c r="AK328" s="738"/>
      <c r="AL328" s="738"/>
    </row>
    <row r="329">
      <c r="A329" s="738"/>
      <c r="B329" s="738"/>
      <c r="C329" s="738"/>
      <c r="D329" s="738"/>
      <c r="E329" s="738"/>
      <c r="F329" s="738"/>
      <c r="G329" s="738"/>
      <c r="H329" s="738"/>
      <c r="I329" s="738"/>
      <c r="J329" s="738"/>
      <c r="K329" s="738"/>
      <c r="L329" s="738"/>
      <c r="M329" s="738"/>
      <c r="N329" s="738"/>
      <c r="O329" s="738"/>
      <c r="P329" s="738"/>
      <c r="Q329" s="738"/>
      <c r="R329" s="738"/>
      <c r="S329" s="738"/>
      <c r="T329" s="738"/>
      <c r="U329" s="738"/>
      <c r="V329" s="738"/>
      <c r="W329" s="738"/>
      <c r="X329" s="738"/>
      <c r="Y329" s="738"/>
      <c r="Z329" s="738"/>
      <c r="AA329" s="738"/>
      <c r="AB329" s="738"/>
      <c r="AC329" s="738"/>
      <c r="AD329" s="738"/>
      <c r="AE329" s="738"/>
      <c r="AF329" s="738"/>
      <c r="AG329" s="738"/>
      <c r="AH329" s="738"/>
      <c r="AI329" s="738"/>
      <c r="AJ329" s="738"/>
      <c r="AK329" s="738"/>
      <c r="AL329" s="738"/>
    </row>
    <row r="330">
      <c r="A330" s="738"/>
      <c r="B330" s="738"/>
      <c r="C330" s="738"/>
      <c r="D330" s="738"/>
      <c r="E330" s="738"/>
      <c r="F330" s="738"/>
      <c r="G330" s="738"/>
      <c r="H330" s="738"/>
      <c r="I330" s="738"/>
      <c r="J330" s="738"/>
      <c r="K330" s="738"/>
      <c r="L330" s="738"/>
      <c r="M330" s="738"/>
      <c r="N330" s="738"/>
      <c r="O330" s="738"/>
      <c r="P330" s="738"/>
      <c r="Q330" s="738"/>
      <c r="R330" s="738"/>
      <c r="S330" s="738"/>
      <c r="T330" s="738"/>
      <c r="U330" s="738"/>
      <c r="V330" s="738"/>
      <c r="W330" s="738"/>
      <c r="X330" s="738"/>
      <c r="Y330" s="738"/>
      <c r="Z330" s="738"/>
      <c r="AA330" s="738"/>
      <c r="AB330" s="738"/>
      <c r="AC330" s="738"/>
      <c r="AD330" s="738"/>
      <c r="AE330" s="738"/>
      <c r="AF330" s="738"/>
      <c r="AG330" s="738"/>
      <c r="AH330" s="738"/>
      <c r="AI330" s="738"/>
      <c r="AJ330" s="738"/>
      <c r="AK330" s="738"/>
      <c r="AL330" s="738"/>
    </row>
    <row r="331">
      <c r="A331" s="738"/>
      <c r="B331" s="738"/>
      <c r="C331" s="738"/>
      <c r="D331" s="738"/>
      <c r="E331" s="738"/>
      <c r="F331" s="738"/>
      <c r="G331" s="738"/>
      <c r="H331" s="738"/>
      <c r="I331" s="738"/>
      <c r="J331" s="738"/>
      <c r="K331" s="738"/>
      <c r="L331" s="738"/>
      <c r="M331" s="738"/>
      <c r="N331" s="738"/>
      <c r="O331" s="738"/>
      <c r="P331" s="738"/>
      <c r="Q331" s="738"/>
      <c r="R331" s="738"/>
      <c r="S331" s="738"/>
      <c r="T331" s="738"/>
      <c r="U331" s="738"/>
      <c r="V331" s="738"/>
      <c r="W331" s="738"/>
      <c r="X331" s="738"/>
      <c r="Y331" s="738"/>
      <c r="Z331" s="738"/>
      <c r="AA331" s="738"/>
      <c r="AB331" s="738"/>
      <c r="AC331" s="738"/>
      <c r="AD331" s="738"/>
      <c r="AE331" s="738"/>
      <c r="AF331" s="738"/>
      <c r="AG331" s="738"/>
      <c r="AH331" s="738"/>
      <c r="AI331" s="738"/>
      <c r="AJ331" s="738"/>
      <c r="AK331" s="738"/>
      <c r="AL331" s="738"/>
    </row>
    <row r="332">
      <c r="A332" s="738"/>
      <c r="B332" s="738"/>
      <c r="C332" s="738"/>
      <c r="D332" s="738"/>
      <c r="E332" s="738"/>
      <c r="F332" s="738"/>
      <c r="G332" s="738"/>
      <c r="H332" s="738"/>
      <c r="I332" s="738"/>
      <c r="J332" s="738"/>
      <c r="K332" s="738"/>
      <c r="L332" s="738"/>
      <c r="M332" s="738"/>
      <c r="N332" s="738"/>
      <c r="O332" s="738"/>
      <c r="P332" s="738"/>
      <c r="Q332" s="738"/>
      <c r="R332" s="738"/>
      <c r="S332" s="738"/>
      <c r="T332" s="738"/>
      <c r="U332" s="738"/>
      <c r="V332" s="738"/>
      <c r="W332" s="738"/>
      <c r="X332" s="738"/>
      <c r="Y332" s="738"/>
      <c r="Z332" s="738"/>
      <c r="AA332" s="738"/>
      <c r="AB332" s="738"/>
      <c r="AC332" s="738"/>
      <c r="AD332" s="738"/>
      <c r="AE332" s="738"/>
      <c r="AF332" s="738"/>
      <c r="AG332" s="738"/>
      <c r="AH332" s="738"/>
      <c r="AI332" s="738"/>
      <c r="AJ332" s="738"/>
      <c r="AK332" s="738"/>
      <c r="AL332" s="738"/>
    </row>
    <row r="333">
      <c r="A333" s="738"/>
      <c r="B333" s="738"/>
      <c r="C333" s="738"/>
      <c r="D333" s="738"/>
      <c r="E333" s="738"/>
      <c r="F333" s="738"/>
      <c r="G333" s="738"/>
      <c r="H333" s="738"/>
      <c r="I333" s="738"/>
      <c r="J333" s="738"/>
      <c r="K333" s="738"/>
      <c r="L333" s="738"/>
      <c r="M333" s="738"/>
      <c r="N333" s="738"/>
      <c r="O333" s="738"/>
      <c r="P333" s="738"/>
      <c r="Q333" s="738"/>
      <c r="R333" s="738"/>
      <c r="S333" s="738"/>
      <c r="T333" s="738"/>
      <c r="U333" s="738"/>
      <c r="V333" s="738"/>
      <c r="W333" s="738"/>
      <c r="X333" s="738"/>
      <c r="Y333" s="738"/>
      <c r="Z333" s="738"/>
      <c r="AA333" s="738"/>
      <c r="AB333" s="738"/>
      <c r="AC333" s="738"/>
      <c r="AD333" s="738"/>
      <c r="AE333" s="738"/>
      <c r="AF333" s="738"/>
      <c r="AG333" s="738"/>
      <c r="AH333" s="738"/>
      <c r="AI333" s="738"/>
      <c r="AJ333" s="738"/>
      <c r="AK333" s="738"/>
      <c r="AL333" s="738"/>
    </row>
    <row r="334">
      <c r="A334" s="738"/>
      <c r="B334" s="738"/>
      <c r="C334" s="738"/>
      <c r="D334" s="738"/>
      <c r="E334" s="738"/>
      <c r="F334" s="738"/>
      <c r="G334" s="738"/>
      <c r="H334" s="738"/>
      <c r="I334" s="738"/>
      <c r="J334" s="738"/>
      <c r="K334" s="738"/>
      <c r="L334" s="738"/>
      <c r="M334" s="738"/>
      <c r="N334" s="738"/>
      <c r="O334" s="738"/>
      <c r="P334" s="738"/>
      <c r="Q334" s="738"/>
      <c r="R334" s="738"/>
      <c r="S334" s="738"/>
      <c r="T334" s="738"/>
      <c r="U334" s="738"/>
      <c r="V334" s="738"/>
      <c r="W334" s="738"/>
      <c r="X334" s="738"/>
      <c r="Y334" s="738"/>
      <c r="Z334" s="738"/>
      <c r="AA334" s="738"/>
      <c r="AB334" s="738"/>
      <c r="AC334" s="738"/>
      <c r="AD334" s="738"/>
      <c r="AE334" s="738"/>
      <c r="AF334" s="738"/>
      <c r="AG334" s="738"/>
      <c r="AH334" s="738"/>
      <c r="AI334" s="738"/>
      <c r="AJ334" s="738"/>
      <c r="AK334" s="738"/>
      <c r="AL334" s="738"/>
    </row>
    <row r="335">
      <c r="A335" s="738"/>
      <c r="B335" s="738"/>
      <c r="C335" s="738"/>
      <c r="D335" s="738"/>
      <c r="E335" s="738"/>
      <c r="F335" s="738"/>
      <c r="G335" s="738"/>
      <c r="H335" s="738"/>
      <c r="I335" s="738"/>
      <c r="J335" s="738"/>
      <c r="K335" s="738"/>
      <c r="L335" s="738"/>
      <c r="M335" s="738"/>
      <c r="N335" s="738"/>
      <c r="O335" s="738"/>
      <c r="P335" s="738"/>
      <c r="Q335" s="738"/>
      <c r="R335" s="738"/>
      <c r="S335" s="738"/>
      <c r="T335" s="738"/>
      <c r="U335" s="738"/>
      <c r="V335" s="738"/>
      <c r="W335" s="738"/>
      <c r="X335" s="738"/>
      <c r="Y335" s="738"/>
      <c r="Z335" s="738"/>
      <c r="AA335" s="738"/>
      <c r="AB335" s="738"/>
      <c r="AC335" s="738"/>
      <c r="AD335" s="738"/>
      <c r="AE335" s="738"/>
      <c r="AF335" s="738"/>
      <c r="AG335" s="738"/>
      <c r="AH335" s="738"/>
      <c r="AI335" s="738"/>
      <c r="AJ335" s="738"/>
      <c r="AK335" s="738"/>
      <c r="AL335" s="738"/>
    </row>
    <row r="336">
      <c r="A336" s="738"/>
      <c r="B336" s="738"/>
      <c r="C336" s="738"/>
      <c r="D336" s="738"/>
      <c r="E336" s="738"/>
      <c r="F336" s="738"/>
      <c r="G336" s="738"/>
      <c r="H336" s="738"/>
      <c r="I336" s="738"/>
      <c r="J336" s="738"/>
      <c r="K336" s="738"/>
      <c r="L336" s="738"/>
      <c r="M336" s="738"/>
      <c r="N336" s="738"/>
      <c r="O336" s="738"/>
      <c r="P336" s="738"/>
      <c r="Q336" s="738"/>
      <c r="R336" s="738"/>
      <c r="S336" s="738"/>
      <c r="T336" s="738"/>
      <c r="U336" s="738"/>
      <c r="V336" s="738"/>
      <c r="W336" s="738"/>
      <c r="X336" s="738"/>
      <c r="Y336" s="738"/>
      <c r="Z336" s="738"/>
      <c r="AA336" s="738"/>
      <c r="AB336" s="738"/>
      <c r="AC336" s="738"/>
      <c r="AD336" s="738"/>
      <c r="AE336" s="738"/>
      <c r="AF336" s="738"/>
      <c r="AG336" s="738"/>
      <c r="AH336" s="738"/>
      <c r="AI336" s="738"/>
      <c r="AJ336" s="738"/>
      <c r="AK336" s="738"/>
      <c r="AL336" s="738"/>
    </row>
    <row r="337">
      <c r="A337" s="738"/>
      <c r="B337" s="738"/>
      <c r="C337" s="738"/>
      <c r="D337" s="738"/>
      <c r="E337" s="738"/>
      <c r="F337" s="738"/>
      <c r="G337" s="738"/>
      <c r="H337" s="738"/>
      <c r="I337" s="738"/>
      <c r="J337" s="738"/>
      <c r="K337" s="738"/>
      <c r="L337" s="738"/>
      <c r="M337" s="738"/>
      <c r="N337" s="738"/>
      <c r="O337" s="738"/>
      <c r="P337" s="738"/>
      <c r="Q337" s="738"/>
      <c r="R337" s="738"/>
      <c r="S337" s="738"/>
      <c r="T337" s="738"/>
      <c r="U337" s="738"/>
      <c r="V337" s="738"/>
      <c r="W337" s="738"/>
      <c r="X337" s="738"/>
      <c r="Y337" s="738"/>
      <c r="Z337" s="738"/>
      <c r="AA337" s="738"/>
      <c r="AB337" s="738"/>
      <c r="AC337" s="738"/>
      <c r="AD337" s="738"/>
      <c r="AE337" s="738"/>
      <c r="AF337" s="738"/>
      <c r="AG337" s="738"/>
      <c r="AH337" s="738"/>
      <c r="AI337" s="738"/>
      <c r="AJ337" s="738"/>
      <c r="AK337" s="738"/>
      <c r="AL337" s="738"/>
    </row>
    <row r="338">
      <c r="A338" s="738"/>
      <c r="B338" s="738"/>
      <c r="C338" s="738"/>
      <c r="D338" s="738"/>
      <c r="E338" s="738"/>
      <c r="F338" s="738"/>
      <c r="G338" s="738"/>
      <c r="H338" s="738"/>
      <c r="I338" s="738"/>
      <c r="J338" s="738"/>
      <c r="K338" s="738"/>
      <c r="L338" s="738"/>
      <c r="M338" s="738"/>
      <c r="N338" s="738"/>
      <c r="O338" s="738"/>
      <c r="P338" s="738"/>
      <c r="Q338" s="738"/>
      <c r="R338" s="738"/>
      <c r="S338" s="738"/>
      <c r="T338" s="738"/>
      <c r="U338" s="738"/>
      <c r="V338" s="738"/>
      <c r="W338" s="738"/>
      <c r="X338" s="738"/>
      <c r="Y338" s="738"/>
      <c r="Z338" s="738"/>
      <c r="AA338" s="738"/>
      <c r="AB338" s="738"/>
      <c r="AC338" s="738"/>
      <c r="AD338" s="738"/>
      <c r="AE338" s="738"/>
      <c r="AF338" s="738"/>
      <c r="AG338" s="738"/>
      <c r="AH338" s="738"/>
      <c r="AI338" s="738"/>
      <c r="AJ338" s="738"/>
      <c r="AK338" s="738"/>
      <c r="AL338" s="738"/>
    </row>
    <row r="339">
      <c r="A339" s="738"/>
      <c r="B339" s="738"/>
      <c r="C339" s="738"/>
      <c r="D339" s="738"/>
      <c r="E339" s="738"/>
      <c r="F339" s="738"/>
      <c r="G339" s="738"/>
      <c r="H339" s="738"/>
      <c r="I339" s="738"/>
      <c r="J339" s="738"/>
      <c r="K339" s="738"/>
      <c r="L339" s="738"/>
      <c r="M339" s="738"/>
      <c r="N339" s="738"/>
      <c r="O339" s="738"/>
      <c r="P339" s="738"/>
      <c r="Q339" s="738"/>
      <c r="R339" s="738"/>
      <c r="S339" s="738"/>
      <c r="T339" s="738"/>
      <c r="U339" s="738"/>
      <c r="V339" s="738"/>
      <c r="W339" s="738"/>
      <c r="X339" s="738"/>
      <c r="Y339" s="738"/>
      <c r="Z339" s="738"/>
      <c r="AA339" s="738"/>
      <c r="AB339" s="738"/>
      <c r="AC339" s="738"/>
      <c r="AD339" s="738"/>
      <c r="AE339" s="738"/>
      <c r="AF339" s="738"/>
      <c r="AG339" s="738"/>
      <c r="AH339" s="738"/>
      <c r="AI339" s="738"/>
      <c r="AJ339" s="738"/>
      <c r="AK339" s="738"/>
      <c r="AL339" s="738"/>
    </row>
    <row r="340">
      <c r="A340" s="738"/>
      <c r="B340" s="738"/>
      <c r="C340" s="738"/>
      <c r="D340" s="738"/>
      <c r="E340" s="738"/>
      <c r="F340" s="738"/>
      <c r="G340" s="738"/>
      <c r="H340" s="738"/>
      <c r="I340" s="738"/>
      <c r="J340" s="738"/>
      <c r="K340" s="738"/>
      <c r="L340" s="738"/>
      <c r="M340" s="738"/>
      <c r="N340" s="738"/>
      <c r="O340" s="738"/>
      <c r="P340" s="738"/>
      <c r="Q340" s="738"/>
      <c r="R340" s="738"/>
      <c r="S340" s="738"/>
      <c r="T340" s="738"/>
      <c r="U340" s="738"/>
      <c r="V340" s="738"/>
      <c r="W340" s="738"/>
      <c r="X340" s="738"/>
      <c r="Y340" s="738"/>
      <c r="Z340" s="738"/>
      <c r="AA340" s="738"/>
      <c r="AB340" s="738"/>
      <c r="AC340" s="738"/>
      <c r="AD340" s="738"/>
      <c r="AE340" s="738"/>
      <c r="AF340" s="738"/>
      <c r="AG340" s="738"/>
      <c r="AH340" s="738"/>
      <c r="AI340" s="738"/>
      <c r="AJ340" s="738"/>
      <c r="AK340" s="738"/>
      <c r="AL340" s="738"/>
    </row>
    <row r="341">
      <c r="A341" s="738"/>
      <c r="B341" s="738"/>
      <c r="C341" s="738"/>
      <c r="D341" s="738"/>
      <c r="E341" s="738"/>
      <c r="F341" s="738"/>
      <c r="G341" s="738"/>
      <c r="H341" s="738"/>
      <c r="I341" s="738"/>
      <c r="J341" s="738"/>
      <c r="K341" s="738"/>
      <c r="L341" s="738"/>
      <c r="M341" s="738"/>
      <c r="N341" s="738"/>
      <c r="O341" s="738"/>
      <c r="P341" s="738"/>
      <c r="Q341" s="738"/>
      <c r="R341" s="738"/>
      <c r="S341" s="738"/>
      <c r="T341" s="738"/>
      <c r="U341" s="738"/>
      <c r="V341" s="738"/>
      <c r="W341" s="738"/>
      <c r="X341" s="738"/>
      <c r="Y341" s="738"/>
      <c r="Z341" s="738"/>
      <c r="AA341" s="738"/>
      <c r="AB341" s="738"/>
      <c r="AC341" s="738"/>
      <c r="AD341" s="738"/>
      <c r="AE341" s="738"/>
      <c r="AF341" s="738"/>
      <c r="AG341" s="738"/>
      <c r="AH341" s="738"/>
      <c r="AI341" s="738"/>
      <c r="AJ341" s="738"/>
      <c r="AK341" s="738"/>
      <c r="AL341" s="738"/>
    </row>
    <row r="342">
      <c r="A342" s="738"/>
      <c r="B342" s="738"/>
      <c r="C342" s="738"/>
      <c r="D342" s="738"/>
      <c r="E342" s="738"/>
      <c r="F342" s="738"/>
      <c r="G342" s="738"/>
      <c r="H342" s="738"/>
      <c r="I342" s="738"/>
      <c r="J342" s="738"/>
      <c r="K342" s="738"/>
      <c r="L342" s="738"/>
      <c r="M342" s="738"/>
      <c r="N342" s="738"/>
      <c r="O342" s="738"/>
      <c r="P342" s="738"/>
      <c r="Q342" s="738"/>
      <c r="R342" s="738"/>
      <c r="S342" s="738"/>
      <c r="T342" s="738"/>
      <c r="U342" s="738"/>
      <c r="V342" s="738"/>
      <c r="W342" s="738"/>
      <c r="X342" s="738"/>
      <c r="Y342" s="738"/>
      <c r="Z342" s="738"/>
      <c r="AA342" s="738"/>
      <c r="AB342" s="738"/>
      <c r="AC342" s="738"/>
      <c r="AD342" s="738"/>
      <c r="AE342" s="738"/>
      <c r="AF342" s="738"/>
      <c r="AG342" s="738"/>
      <c r="AH342" s="738"/>
      <c r="AI342" s="738"/>
      <c r="AJ342" s="738"/>
      <c r="AK342" s="738"/>
      <c r="AL342" s="738"/>
    </row>
    <row r="343">
      <c r="A343" s="738"/>
      <c r="B343" s="738"/>
      <c r="C343" s="738"/>
      <c r="D343" s="738"/>
      <c r="E343" s="738"/>
      <c r="F343" s="738"/>
      <c r="G343" s="738"/>
      <c r="H343" s="738"/>
      <c r="I343" s="738"/>
      <c r="J343" s="738"/>
      <c r="K343" s="738"/>
      <c r="L343" s="738"/>
      <c r="M343" s="738"/>
      <c r="N343" s="738"/>
      <c r="O343" s="738"/>
      <c r="P343" s="738"/>
      <c r="Q343" s="738"/>
      <c r="R343" s="738"/>
      <c r="S343" s="738"/>
      <c r="T343" s="738"/>
      <c r="U343" s="738"/>
      <c r="V343" s="738"/>
      <c r="W343" s="738"/>
      <c r="X343" s="738"/>
      <c r="Y343" s="738"/>
      <c r="Z343" s="738"/>
      <c r="AA343" s="738"/>
      <c r="AB343" s="738"/>
      <c r="AC343" s="738"/>
      <c r="AD343" s="738"/>
      <c r="AE343" s="738"/>
      <c r="AF343" s="738"/>
      <c r="AG343" s="738"/>
      <c r="AH343" s="738"/>
      <c r="AI343" s="738"/>
      <c r="AJ343" s="738"/>
      <c r="AK343" s="738"/>
      <c r="AL343" s="738"/>
    </row>
    <row r="344">
      <c r="A344" s="738"/>
      <c r="B344" s="738"/>
      <c r="C344" s="738"/>
      <c r="D344" s="738"/>
      <c r="E344" s="738"/>
      <c r="F344" s="738"/>
      <c r="G344" s="738"/>
      <c r="H344" s="738"/>
      <c r="I344" s="738"/>
      <c r="J344" s="738"/>
      <c r="K344" s="738"/>
      <c r="L344" s="738"/>
      <c r="M344" s="738"/>
      <c r="N344" s="738"/>
      <c r="O344" s="738"/>
      <c r="P344" s="738"/>
      <c r="Q344" s="738"/>
      <c r="R344" s="738"/>
      <c r="S344" s="738"/>
      <c r="T344" s="738"/>
      <c r="U344" s="738"/>
      <c r="V344" s="738"/>
      <c r="W344" s="738"/>
      <c r="X344" s="738"/>
      <c r="Y344" s="738"/>
      <c r="Z344" s="738"/>
      <c r="AA344" s="738"/>
      <c r="AB344" s="738"/>
      <c r="AC344" s="738"/>
      <c r="AD344" s="738"/>
      <c r="AE344" s="738"/>
      <c r="AF344" s="738"/>
      <c r="AG344" s="738"/>
      <c r="AH344" s="738"/>
      <c r="AI344" s="738"/>
      <c r="AJ344" s="738"/>
      <c r="AK344" s="738"/>
      <c r="AL344" s="738"/>
    </row>
    <row r="345">
      <c r="A345" s="738"/>
      <c r="B345" s="738"/>
      <c r="C345" s="738"/>
      <c r="D345" s="738"/>
      <c r="E345" s="738"/>
      <c r="F345" s="738"/>
      <c r="G345" s="738"/>
      <c r="H345" s="738"/>
      <c r="I345" s="738"/>
      <c r="J345" s="738"/>
      <c r="K345" s="738"/>
      <c r="L345" s="738"/>
      <c r="M345" s="738"/>
      <c r="N345" s="738"/>
      <c r="O345" s="738"/>
      <c r="P345" s="738"/>
      <c r="Q345" s="738"/>
      <c r="R345" s="738"/>
      <c r="S345" s="738"/>
      <c r="T345" s="738"/>
      <c r="U345" s="738"/>
      <c r="V345" s="738"/>
      <c r="W345" s="738"/>
      <c r="X345" s="738"/>
      <c r="Y345" s="738"/>
      <c r="Z345" s="738"/>
      <c r="AA345" s="738"/>
      <c r="AB345" s="738"/>
      <c r="AC345" s="738"/>
      <c r="AD345" s="738"/>
      <c r="AE345" s="738"/>
      <c r="AF345" s="738"/>
      <c r="AG345" s="738"/>
      <c r="AH345" s="738"/>
      <c r="AI345" s="738"/>
      <c r="AJ345" s="738"/>
      <c r="AK345" s="738"/>
      <c r="AL345" s="738"/>
    </row>
    <row r="346">
      <c r="A346" s="738"/>
      <c r="B346" s="738"/>
      <c r="C346" s="738"/>
      <c r="D346" s="738"/>
      <c r="E346" s="738"/>
      <c r="F346" s="738"/>
      <c r="G346" s="738"/>
      <c r="H346" s="738"/>
      <c r="I346" s="738"/>
      <c r="J346" s="738"/>
      <c r="K346" s="738"/>
      <c r="L346" s="738"/>
      <c r="M346" s="738"/>
      <c r="N346" s="738"/>
      <c r="O346" s="738"/>
      <c r="P346" s="738"/>
      <c r="Q346" s="738"/>
      <c r="R346" s="738"/>
      <c r="S346" s="738"/>
      <c r="T346" s="738"/>
      <c r="U346" s="738"/>
      <c r="V346" s="738"/>
      <c r="W346" s="738"/>
      <c r="X346" s="738"/>
      <c r="Y346" s="738"/>
      <c r="Z346" s="738"/>
      <c r="AA346" s="738"/>
      <c r="AB346" s="738"/>
      <c r="AC346" s="738"/>
      <c r="AD346" s="738"/>
      <c r="AE346" s="738"/>
      <c r="AF346" s="738"/>
      <c r="AG346" s="738"/>
      <c r="AH346" s="738"/>
      <c r="AI346" s="738"/>
      <c r="AJ346" s="738"/>
      <c r="AK346" s="738"/>
      <c r="AL346" s="738"/>
    </row>
    <row r="347">
      <c r="A347" s="738"/>
      <c r="B347" s="738"/>
      <c r="C347" s="738"/>
      <c r="D347" s="738"/>
      <c r="E347" s="738"/>
      <c r="F347" s="738"/>
      <c r="G347" s="738"/>
      <c r="H347" s="738"/>
      <c r="I347" s="738"/>
      <c r="J347" s="738"/>
      <c r="K347" s="738"/>
      <c r="L347" s="738"/>
      <c r="M347" s="738"/>
      <c r="N347" s="738"/>
      <c r="O347" s="738"/>
      <c r="P347" s="738"/>
      <c r="Q347" s="738"/>
      <c r="R347" s="738"/>
      <c r="S347" s="738"/>
      <c r="T347" s="738"/>
      <c r="U347" s="738"/>
      <c r="V347" s="738"/>
      <c r="W347" s="738"/>
      <c r="X347" s="738"/>
      <c r="Y347" s="738"/>
      <c r="Z347" s="738"/>
      <c r="AA347" s="738"/>
      <c r="AB347" s="738"/>
      <c r="AC347" s="738"/>
      <c r="AD347" s="738"/>
      <c r="AE347" s="738"/>
      <c r="AF347" s="738"/>
      <c r="AG347" s="738"/>
      <c r="AH347" s="738"/>
      <c r="AI347" s="738"/>
      <c r="AJ347" s="738"/>
      <c r="AK347" s="738"/>
      <c r="AL347" s="738"/>
    </row>
    <row r="348">
      <c r="A348" s="738"/>
      <c r="B348" s="738"/>
      <c r="C348" s="738"/>
      <c r="D348" s="738"/>
      <c r="E348" s="738"/>
      <c r="F348" s="738"/>
      <c r="G348" s="738"/>
      <c r="H348" s="738"/>
      <c r="I348" s="738"/>
      <c r="J348" s="738"/>
      <c r="K348" s="738"/>
      <c r="L348" s="738"/>
      <c r="M348" s="738"/>
      <c r="N348" s="738"/>
      <c r="O348" s="738"/>
      <c r="P348" s="738"/>
      <c r="Q348" s="738"/>
      <c r="R348" s="738"/>
      <c r="S348" s="738"/>
      <c r="T348" s="738"/>
      <c r="U348" s="738"/>
      <c r="V348" s="738"/>
      <c r="W348" s="738"/>
      <c r="X348" s="738"/>
      <c r="Y348" s="738"/>
      <c r="Z348" s="738"/>
      <c r="AA348" s="738"/>
      <c r="AB348" s="738"/>
      <c r="AC348" s="738"/>
      <c r="AD348" s="738"/>
      <c r="AE348" s="738"/>
      <c r="AF348" s="738"/>
      <c r="AG348" s="738"/>
      <c r="AH348" s="738"/>
      <c r="AI348" s="738"/>
      <c r="AJ348" s="738"/>
      <c r="AK348" s="738"/>
      <c r="AL348" s="738"/>
    </row>
    <row r="349">
      <c r="A349" s="738"/>
      <c r="B349" s="738"/>
      <c r="C349" s="738"/>
      <c r="D349" s="738"/>
      <c r="E349" s="738"/>
      <c r="F349" s="738"/>
      <c r="G349" s="738"/>
      <c r="H349" s="738"/>
      <c r="I349" s="738"/>
      <c r="J349" s="738"/>
      <c r="K349" s="738"/>
      <c r="L349" s="738"/>
      <c r="M349" s="738"/>
      <c r="N349" s="738"/>
      <c r="O349" s="738"/>
      <c r="P349" s="738"/>
      <c r="Q349" s="738"/>
      <c r="R349" s="738"/>
      <c r="S349" s="738"/>
      <c r="T349" s="738"/>
      <c r="U349" s="738"/>
      <c r="V349" s="738"/>
      <c r="W349" s="738"/>
      <c r="X349" s="738"/>
      <c r="Y349" s="738"/>
      <c r="Z349" s="738"/>
      <c r="AA349" s="738"/>
      <c r="AB349" s="738"/>
      <c r="AC349" s="738"/>
      <c r="AD349" s="738"/>
      <c r="AE349" s="738"/>
      <c r="AF349" s="738"/>
      <c r="AG349" s="738"/>
      <c r="AH349" s="738"/>
      <c r="AI349" s="738"/>
      <c r="AJ349" s="738"/>
      <c r="AK349" s="738"/>
      <c r="AL349" s="738"/>
    </row>
    <row r="350">
      <c r="A350" s="738"/>
      <c r="B350" s="738"/>
      <c r="C350" s="738"/>
      <c r="D350" s="738"/>
      <c r="E350" s="738"/>
      <c r="F350" s="738"/>
      <c r="G350" s="738"/>
      <c r="H350" s="738"/>
      <c r="I350" s="738"/>
      <c r="J350" s="738"/>
      <c r="K350" s="738"/>
      <c r="L350" s="738"/>
      <c r="M350" s="738"/>
      <c r="N350" s="738"/>
      <c r="O350" s="738"/>
      <c r="P350" s="738"/>
      <c r="Q350" s="738"/>
      <c r="R350" s="738"/>
      <c r="S350" s="738"/>
      <c r="T350" s="738"/>
      <c r="U350" s="738"/>
      <c r="V350" s="738"/>
      <c r="W350" s="738"/>
      <c r="X350" s="738"/>
      <c r="Y350" s="738"/>
      <c r="Z350" s="738"/>
      <c r="AA350" s="738"/>
      <c r="AB350" s="738"/>
      <c r="AC350" s="738"/>
      <c r="AD350" s="738"/>
      <c r="AE350" s="738"/>
      <c r="AF350" s="738"/>
      <c r="AG350" s="738"/>
      <c r="AH350" s="738"/>
      <c r="AI350" s="738"/>
      <c r="AJ350" s="738"/>
      <c r="AK350" s="738"/>
      <c r="AL350" s="738"/>
    </row>
    <row r="351">
      <c r="A351" s="738"/>
      <c r="B351" s="738"/>
      <c r="C351" s="738"/>
      <c r="D351" s="738"/>
      <c r="E351" s="738"/>
      <c r="F351" s="738"/>
      <c r="G351" s="738"/>
      <c r="H351" s="738"/>
      <c r="I351" s="738"/>
      <c r="J351" s="738"/>
      <c r="K351" s="738"/>
      <c r="L351" s="738"/>
      <c r="M351" s="738"/>
      <c r="N351" s="738"/>
      <c r="O351" s="738"/>
      <c r="P351" s="738"/>
      <c r="Q351" s="738"/>
      <c r="R351" s="738"/>
      <c r="S351" s="738"/>
      <c r="T351" s="738"/>
      <c r="U351" s="738"/>
      <c r="V351" s="738"/>
      <c r="W351" s="738"/>
      <c r="X351" s="738"/>
      <c r="Y351" s="738"/>
      <c r="Z351" s="738"/>
      <c r="AA351" s="738"/>
      <c r="AB351" s="738"/>
      <c r="AC351" s="738"/>
      <c r="AD351" s="738"/>
      <c r="AE351" s="738"/>
      <c r="AF351" s="738"/>
      <c r="AG351" s="738"/>
      <c r="AH351" s="738"/>
      <c r="AI351" s="738"/>
      <c r="AJ351" s="738"/>
      <c r="AK351" s="738"/>
      <c r="AL351" s="738"/>
    </row>
    <row r="352">
      <c r="A352" s="738"/>
      <c r="B352" s="738"/>
      <c r="C352" s="738"/>
      <c r="D352" s="738"/>
      <c r="E352" s="738"/>
      <c r="F352" s="738"/>
      <c r="G352" s="738"/>
      <c r="H352" s="738"/>
      <c r="I352" s="738"/>
      <c r="J352" s="738"/>
      <c r="K352" s="738"/>
      <c r="L352" s="738"/>
      <c r="M352" s="738"/>
      <c r="N352" s="738"/>
      <c r="O352" s="738"/>
      <c r="P352" s="738"/>
      <c r="Q352" s="738"/>
      <c r="R352" s="738"/>
      <c r="S352" s="738"/>
      <c r="T352" s="738"/>
      <c r="U352" s="738"/>
      <c r="V352" s="738"/>
      <c r="W352" s="738"/>
      <c r="X352" s="738"/>
      <c r="Y352" s="738"/>
      <c r="Z352" s="738"/>
      <c r="AA352" s="738"/>
      <c r="AB352" s="738"/>
      <c r="AC352" s="738"/>
      <c r="AD352" s="738"/>
      <c r="AE352" s="738"/>
      <c r="AF352" s="738"/>
      <c r="AG352" s="738"/>
      <c r="AH352" s="738"/>
      <c r="AI352" s="738"/>
      <c r="AJ352" s="738"/>
      <c r="AK352" s="738"/>
      <c r="AL352" s="738"/>
    </row>
    <row r="353">
      <c r="A353" s="738"/>
      <c r="B353" s="738"/>
      <c r="C353" s="738"/>
      <c r="D353" s="738"/>
      <c r="E353" s="738"/>
      <c r="F353" s="738"/>
      <c r="G353" s="738"/>
      <c r="H353" s="738"/>
      <c r="I353" s="738"/>
      <c r="J353" s="738"/>
      <c r="K353" s="738"/>
      <c r="L353" s="738"/>
      <c r="M353" s="738"/>
      <c r="N353" s="738"/>
      <c r="O353" s="738"/>
      <c r="P353" s="738"/>
      <c r="Q353" s="738"/>
      <c r="R353" s="738"/>
      <c r="S353" s="738"/>
      <c r="T353" s="738"/>
      <c r="U353" s="738"/>
      <c r="V353" s="738"/>
      <c r="W353" s="738"/>
      <c r="X353" s="738"/>
      <c r="Y353" s="738"/>
      <c r="Z353" s="738"/>
      <c r="AA353" s="738"/>
      <c r="AB353" s="738"/>
      <c r="AC353" s="738"/>
      <c r="AD353" s="738"/>
      <c r="AE353" s="738"/>
      <c r="AF353" s="738"/>
      <c r="AG353" s="738"/>
      <c r="AH353" s="738"/>
      <c r="AI353" s="738"/>
      <c r="AJ353" s="738"/>
      <c r="AK353" s="738"/>
      <c r="AL353" s="738"/>
    </row>
    <row r="354">
      <c r="A354" s="738"/>
      <c r="B354" s="738"/>
      <c r="C354" s="738"/>
      <c r="D354" s="738"/>
      <c r="E354" s="738"/>
      <c r="F354" s="738"/>
      <c r="G354" s="738"/>
      <c r="H354" s="738"/>
      <c r="I354" s="738"/>
      <c r="J354" s="738"/>
      <c r="K354" s="738"/>
      <c r="L354" s="738"/>
      <c r="M354" s="738"/>
      <c r="N354" s="738"/>
      <c r="O354" s="738"/>
      <c r="P354" s="738"/>
      <c r="Q354" s="738"/>
      <c r="R354" s="738"/>
      <c r="S354" s="738"/>
      <c r="T354" s="738"/>
      <c r="U354" s="738"/>
      <c r="V354" s="738"/>
      <c r="W354" s="738"/>
      <c r="X354" s="738"/>
      <c r="Y354" s="738"/>
      <c r="Z354" s="738"/>
      <c r="AA354" s="738"/>
      <c r="AB354" s="738"/>
      <c r="AC354" s="738"/>
      <c r="AD354" s="738"/>
      <c r="AE354" s="738"/>
      <c r="AF354" s="738"/>
      <c r="AG354" s="738"/>
      <c r="AH354" s="738"/>
      <c r="AI354" s="738"/>
      <c r="AJ354" s="738"/>
      <c r="AK354" s="738"/>
      <c r="AL354" s="738"/>
    </row>
    <row r="355">
      <c r="A355" s="738"/>
      <c r="B355" s="738"/>
      <c r="C355" s="738"/>
      <c r="D355" s="738"/>
      <c r="E355" s="738"/>
      <c r="F355" s="738"/>
      <c r="G355" s="738"/>
      <c r="H355" s="738"/>
      <c r="I355" s="738"/>
      <c r="J355" s="738"/>
      <c r="K355" s="738"/>
      <c r="L355" s="738"/>
      <c r="M355" s="738"/>
      <c r="N355" s="738"/>
      <c r="O355" s="738"/>
      <c r="P355" s="738"/>
      <c r="Q355" s="738"/>
      <c r="R355" s="738"/>
      <c r="S355" s="738"/>
      <c r="T355" s="738"/>
      <c r="U355" s="738"/>
      <c r="V355" s="738"/>
      <c r="W355" s="738"/>
      <c r="X355" s="738"/>
      <c r="Y355" s="738"/>
      <c r="Z355" s="738"/>
      <c r="AA355" s="738"/>
      <c r="AB355" s="738"/>
      <c r="AC355" s="738"/>
      <c r="AD355" s="738"/>
      <c r="AE355" s="738"/>
      <c r="AF355" s="738"/>
      <c r="AG355" s="738"/>
      <c r="AH355" s="738"/>
      <c r="AI355" s="738"/>
      <c r="AJ355" s="738"/>
      <c r="AK355" s="738"/>
      <c r="AL355" s="738"/>
    </row>
    <row r="356">
      <c r="A356" s="738"/>
      <c r="B356" s="738"/>
      <c r="C356" s="738"/>
      <c r="D356" s="738"/>
      <c r="E356" s="738"/>
      <c r="F356" s="738"/>
      <c r="G356" s="738"/>
      <c r="H356" s="738"/>
      <c r="I356" s="738"/>
      <c r="J356" s="738"/>
      <c r="K356" s="738"/>
      <c r="L356" s="738"/>
      <c r="M356" s="738"/>
      <c r="N356" s="738"/>
      <c r="O356" s="738"/>
      <c r="P356" s="738"/>
      <c r="Q356" s="738"/>
      <c r="R356" s="738"/>
      <c r="S356" s="738"/>
      <c r="T356" s="738"/>
      <c r="U356" s="738"/>
      <c r="V356" s="738"/>
      <c r="W356" s="738"/>
      <c r="X356" s="738"/>
      <c r="Y356" s="738"/>
      <c r="Z356" s="738"/>
      <c r="AA356" s="738"/>
      <c r="AB356" s="738"/>
      <c r="AC356" s="738"/>
      <c r="AD356" s="738"/>
      <c r="AE356" s="738"/>
      <c r="AF356" s="738"/>
      <c r="AG356" s="738"/>
      <c r="AH356" s="738"/>
      <c r="AI356" s="738"/>
      <c r="AJ356" s="738"/>
      <c r="AK356" s="738"/>
      <c r="AL356" s="738"/>
    </row>
    <row r="357">
      <c r="A357" s="738"/>
      <c r="B357" s="738"/>
      <c r="C357" s="738"/>
      <c r="D357" s="738"/>
      <c r="E357" s="738"/>
      <c r="F357" s="738"/>
      <c r="G357" s="738"/>
      <c r="H357" s="738"/>
      <c r="I357" s="738"/>
      <c r="J357" s="738"/>
      <c r="K357" s="738"/>
      <c r="L357" s="738"/>
      <c r="M357" s="738"/>
      <c r="N357" s="738"/>
      <c r="O357" s="738"/>
      <c r="P357" s="738"/>
      <c r="Q357" s="738"/>
      <c r="R357" s="738"/>
      <c r="S357" s="738"/>
      <c r="T357" s="738"/>
      <c r="U357" s="738"/>
      <c r="V357" s="738"/>
      <c r="W357" s="738"/>
      <c r="X357" s="738"/>
      <c r="Y357" s="738"/>
      <c r="Z357" s="738"/>
      <c r="AA357" s="738"/>
      <c r="AB357" s="738"/>
      <c r="AC357" s="738"/>
      <c r="AD357" s="738"/>
      <c r="AE357" s="738"/>
      <c r="AF357" s="738"/>
      <c r="AG357" s="738"/>
      <c r="AH357" s="738"/>
      <c r="AI357" s="738"/>
      <c r="AJ357" s="738"/>
      <c r="AK357" s="738"/>
      <c r="AL357" s="738"/>
    </row>
    <row r="358">
      <c r="A358" s="738"/>
      <c r="B358" s="738"/>
      <c r="C358" s="738"/>
      <c r="D358" s="738"/>
      <c r="E358" s="738"/>
      <c r="F358" s="738"/>
      <c r="G358" s="738"/>
      <c r="H358" s="738"/>
      <c r="I358" s="738"/>
      <c r="J358" s="738"/>
      <c r="K358" s="738"/>
      <c r="L358" s="738"/>
      <c r="M358" s="738"/>
      <c r="N358" s="738"/>
      <c r="O358" s="738"/>
      <c r="P358" s="738"/>
      <c r="Q358" s="738"/>
      <c r="R358" s="738"/>
      <c r="S358" s="738"/>
      <c r="T358" s="738"/>
      <c r="U358" s="738"/>
      <c r="V358" s="738"/>
      <c r="W358" s="738"/>
      <c r="X358" s="738"/>
      <c r="Y358" s="738"/>
      <c r="Z358" s="738"/>
      <c r="AA358" s="738"/>
      <c r="AB358" s="738"/>
      <c r="AC358" s="738"/>
      <c r="AD358" s="738"/>
      <c r="AE358" s="738"/>
      <c r="AF358" s="738"/>
      <c r="AG358" s="738"/>
      <c r="AH358" s="738"/>
      <c r="AI358" s="738"/>
      <c r="AJ358" s="738"/>
      <c r="AK358" s="738"/>
      <c r="AL358" s="738"/>
    </row>
    <row r="359">
      <c r="A359" s="738"/>
      <c r="B359" s="738"/>
      <c r="C359" s="738"/>
      <c r="D359" s="738"/>
      <c r="E359" s="738"/>
      <c r="F359" s="738"/>
      <c r="G359" s="738"/>
      <c r="H359" s="738"/>
      <c r="I359" s="738"/>
      <c r="J359" s="738"/>
      <c r="K359" s="738"/>
      <c r="L359" s="738"/>
      <c r="M359" s="738"/>
      <c r="N359" s="738"/>
      <c r="O359" s="738"/>
      <c r="P359" s="738"/>
      <c r="Q359" s="738"/>
      <c r="R359" s="738"/>
      <c r="S359" s="738"/>
      <c r="T359" s="738"/>
      <c r="U359" s="738"/>
      <c r="V359" s="738"/>
      <c r="W359" s="738"/>
      <c r="X359" s="738"/>
      <c r="Y359" s="738"/>
      <c r="Z359" s="738"/>
      <c r="AA359" s="738"/>
      <c r="AB359" s="738"/>
      <c r="AC359" s="738"/>
      <c r="AD359" s="738"/>
      <c r="AE359" s="738"/>
      <c r="AF359" s="738"/>
      <c r="AG359" s="738"/>
      <c r="AH359" s="738"/>
      <c r="AI359" s="738"/>
      <c r="AJ359" s="738"/>
      <c r="AK359" s="738"/>
      <c r="AL359" s="738"/>
    </row>
    <row r="360">
      <c r="A360" s="738"/>
      <c r="B360" s="738"/>
      <c r="C360" s="738"/>
      <c r="D360" s="738"/>
      <c r="E360" s="738"/>
      <c r="F360" s="738"/>
      <c r="G360" s="738"/>
      <c r="H360" s="738"/>
      <c r="I360" s="738"/>
      <c r="J360" s="738"/>
      <c r="K360" s="738"/>
      <c r="L360" s="738"/>
      <c r="M360" s="738"/>
      <c r="N360" s="738"/>
      <c r="O360" s="738"/>
      <c r="P360" s="738"/>
      <c r="Q360" s="738"/>
      <c r="R360" s="738"/>
      <c r="S360" s="738"/>
      <c r="T360" s="738"/>
      <c r="U360" s="738"/>
      <c r="V360" s="738"/>
      <c r="W360" s="738"/>
      <c r="X360" s="738"/>
      <c r="Y360" s="738"/>
      <c r="Z360" s="738"/>
      <c r="AA360" s="738"/>
      <c r="AB360" s="738"/>
      <c r="AC360" s="738"/>
      <c r="AD360" s="738"/>
      <c r="AE360" s="738"/>
      <c r="AF360" s="738"/>
      <c r="AG360" s="738"/>
      <c r="AH360" s="738"/>
      <c r="AI360" s="738"/>
      <c r="AJ360" s="738"/>
      <c r="AK360" s="738"/>
      <c r="AL360" s="738"/>
    </row>
    <row r="361">
      <c r="A361" s="738"/>
      <c r="B361" s="738"/>
      <c r="C361" s="738"/>
      <c r="D361" s="738"/>
      <c r="E361" s="738"/>
      <c r="F361" s="738"/>
      <c r="G361" s="738"/>
      <c r="H361" s="738"/>
      <c r="I361" s="738"/>
      <c r="J361" s="738"/>
      <c r="K361" s="738"/>
      <c r="L361" s="738"/>
      <c r="M361" s="738"/>
      <c r="N361" s="738"/>
      <c r="O361" s="738"/>
      <c r="P361" s="738"/>
      <c r="Q361" s="738"/>
      <c r="R361" s="738"/>
      <c r="S361" s="738"/>
      <c r="T361" s="738"/>
      <c r="U361" s="738"/>
      <c r="V361" s="738"/>
      <c r="W361" s="738"/>
      <c r="X361" s="738"/>
      <c r="Y361" s="738"/>
      <c r="Z361" s="738"/>
      <c r="AA361" s="738"/>
      <c r="AB361" s="738"/>
      <c r="AC361" s="738"/>
      <c r="AD361" s="738"/>
      <c r="AE361" s="738"/>
      <c r="AF361" s="738"/>
      <c r="AG361" s="738"/>
      <c r="AH361" s="738"/>
      <c r="AI361" s="738"/>
      <c r="AJ361" s="738"/>
      <c r="AK361" s="738"/>
      <c r="AL361" s="738"/>
    </row>
    <row r="362">
      <c r="A362" s="738"/>
      <c r="B362" s="738"/>
      <c r="C362" s="738"/>
      <c r="D362" s="738"/>
      <c r="E362" s="738"/>
      <c r="F362" s="738"/>
      <c r="G362" s="738"/>
      <c r="H362" s="738"/>
      <c r="I362" s="738"/>
      <c r="J362" s="738"/>
      <c r="K362" s="738"/>
      <c r="L362" s="738"/>
      <c r="M362" s="738"/>
      <c r="N362" s="738"/>
      <c r="O362" s="738"/>
      <c r="P362" s="738"/>
      <c r="Q362" s="738"/>
      <c r="R362" s="738"/>
      <c r="S362" s="738"/>
      <c r="T362" s="738"/>
      <c r="U362" s="738"/>
      <c r="V362" s="738"/>
      <c r="W362" s="738"/>
      <c r="X362" s="738"/>
      <c r="Y362" s="738"/>
      <c r="Z362" s="738"/>
      <c r="AA362" s="738"/>
      <c r="AB362" s="738"/>
      <c r="AC362" s="738"/>
      <c r="AD362" s="738"/>
      <c r="AE362" s="738"/>
      <c r="AF362" s="738"/>
      <c r="AG362" s="738"/>
      <c r="AH362" s="738"/>
      <c r="AI362" s="738"/>
      <c r="AJ362" s="738"/>
      <c r="AK362" s="738"/>
      <c r="AL362" s="738"/>
    </row>
    <row r="363">
      <c r="A363" s="738"/>
      <c r="B363" s="738"/>
      <c r="C363" s="738"/>
      <c r="D363" s="738"/>
      <c r="E363" s="738"/>
      <c r="F363" s="738"/>
      <c r="G363" s="738"/>
      <c r="H363" s="738"/>
      <c r="I363" s="738"/>
      <c r="J363" s="738"/>
      <c r="K363" s="738"/>
      <c r="L363" s="738"/>
      <c r="M363" s="738"/>
      <c r="N363" s="738"/>
      <c r="O363" s="738"/>
      <c r="P363" s="738"/>
      <c r="Q363" s="738"/>
      <c r="R363" s="738"/>
      <c r="S363" s="738"/>
      <c r="T363" s="738"/>
      <c r="U363" s="738"/>
      <c r="V363" s="738"/>
      <c r="W363" s="738"/>
      <c r="X363" s="738"/>
      <c r="Y363" s="738"/>
      <c r="Z363" s="738"/>
      <c r="AA363" s="738"/>
      <c r="AB363" s="738"/>
      <c r="AC363" s="738"/>
      <c r="AD363" s="738"/>
      <c r="AE363" s="738"/>
      <c r="AF363" s="738"/>
      <c r="AG363" s="738"/>
      <c r="AH363" s="738"/>
      <c r="AI363" s="738"/>
      <c r="AJ363" s="738"/>
      <c r="AK363" s="738"/>
      <c r="AL363" s="738"/>
    </row>
    <row r="364">
      <c r="A364" s="738"/>
      <c r="B364" s="738"/>
      <c r="C364" s="738"/>
      <c r="D364" s="738"/>
      <c r="E364" s="738"/>
      <c r="F364" s="738"/>
      <c r="G364" s="738"/>
      <c r="H364" s="738"/>
      <c r="I364" s="738"/>
      <c r="J364" s="738"/>
      <c r="K364" s="738"/>
      <c r="L364" s="738"/>
      <c r="M364" s="738"/>
      <c r="N364" s="738"/>
      <c r="O364" s="738"/>
      <c r="P364" s="738"/>
      <c r="Q364" s="738"/>
      <c r="R364" s="738"/>
      <c r="S364" s="738"/>
      <c r="T364" s="738"/>
      <c r="U364" s="738"/>
      <c r="V364" s="738"/>
      <c r="W364" s="738"/>
      <c r="X364" s="738"/>
      <c r="Y364" s="738"/>
      <c r="Z364" s="738"/>
      <c r="AA364" s="738"/>
      <c r="AB364" s="738"/>
      <c r="AC364" s="738"/>
      <c r="AD364" s="738"/>
      <c r="AE364" s="738"/>
      <c r="AF364" s="738"/>
      <c r="AG364" s="738"/>
      <c r="AH364" s="738"/>
      <c r="AI364" s="738"/>
      <c r="AJ364" s="738"/>
      <c r="AK364" s="738"/>
      <c r="AL364" s="738"/>
    </row>
    <row r="365">
      <c r="A365" s="738"/>
      <c r="B365" s="738"/>
      <c r="C365" s="738"/>
      <c r="D365" s="738"/>
      <c r="E365" s="738"/>
      <c r="F365" s="738"/>
      <c r="G365" s="738"/>
      <c r="H365" s="738"/>
      <c r="I365" s="738"/>
      <c r="J365" s="738"/>
      <c r="K365" s="738"/>
      <c r="L365" s="738"/>
      <c r="M365" s="738"/>
      <c r="N365" s="738"/>
      <c r="O365" s="738"/>
      <c r="P365" s="738"/>
      <c r="Q365" s="738"/>
      <c r="R365" s="738"/>
      <c r="S365" s="738"/>
      <c r="T365" s="738"/>
      <c r="U365" s="738"/>
      <c r="V365" s="738"/>
      <c r="W365" s="738"/>
      <c r="X365" s="738"/>
      <c r="Y365" s="738"/>
      <c r="Z365" s="738"/>
      <c r="AA365" s="738"/>
      <c r="AB365" s="738"/>
      <c r="AC365" s="738"/>
      <c r="AD365" s="738"/>
      <c r="AE365" s="738"/>
      <c r="AF365" s="738"/>
      <c r="AG365" s="738"/>
      <c r="AH365" s="738"/>
      <c r="AI365" s="738"/>
      <c r="AJ365" s="738"/>
      <c r="AK365" s="738"/>
      <c r="AL365" s="738"/>
    </row>
    <row r="366">
      <c r="A366" s="738"/>
      <c r="B366" s="738"/>
      <c r="C366" s="738"/>
      <c r="D366" s="738"/>
      <c r="E366" s="738"/>
      <c r="F366" s="738"/>
      <c r="G366" s="738"/>
      <c r="H366" s="738"/>
      <c r="I366" s="738"/>
      <c r="J366" s="738"/>
      <c r="K366" s="738"/>
      <c r="L366" s="738"/>
      <c r="M366" s="738"/>
      <c r="N366" s="738"/>
      <c r="O366" s="738"/>
      <c r="P366" s="738"/>
      <c r="Q366" s="738"/>
      <c r="R366" s="738"/>
      <c r="S366" s="738"/>
      <c r="T366" s="738"/>
      <c r="U366" s="738"/>
      <c r="V366" s="738"/>
      <c r="W366" s="738"/>
      <c r="X366" s="738"/>
      <c r="Y366" s="738"/>
      <c r="Z366" s="738"/>
      <c r="AA366" s="738"/>
      <c r="AB366" s="738"/>
      <c r="AC366" s="738"/>
      <c r="AD366" s="738"/>
      <c r="AE366" s="738"/>
      <c r="AF366" s="738"/>
      <c r="AG366" s="738"/>
      <c r="AH366" s="738"/>
      <c r="AI366" s="738"/>
      <c r="AJ366" s="738"/>
      <c r="AK366" s="738"/>
      <c r="AL366" s="738"/>
    </row>
    <row r="367">
      <c r="A367" s="738"/>
      <c r="B367" s="738"/>
      <c r="C367" s="738"/>
      <c r="D367" s="738"/>
      <c r="E367" s="738"/>
      <c r="F367" s="738"/>
      <c r="G367" s="738"/>
      <c r="H367" s="738"/>
      <c r="I367" s="738"/>
      <c r="J367" s="738"/>
      <c r="K367" s="738"/>
      <c r="L367" s="738"/>
      <c r="M367" s="738"/>
      <c r="N367" s="738"/>
      <c r="O367" s="738"/>
      <c r="P367" s="738"/>
      <c r="Q367" s="738"/>
      <c r="R367" s="738"/>
      <c r="S367" s="738"/>
      <c r="T367" s="738"/>
      <c r="U367" s="738"/>
      <c r="V367" s="738"/>
      <c r="W367" s="738"/>
      <c r="X367" s="738"/>
      <c r="Y367" s="738"/>
      <c r="Z367" s="738"/>
      <c r="AA367" s="738"/>
      <c r="AB367" s="738"/>
      <c r="AC367" s="738"/>
      <c r="AD367" s="738"/>
      <c r="AE367" s="738"/>
      <c r="AF367" s="738"/>
      <c r="AG367" s="738"/>
      <c r="AH367" s="738"/>
      <c r="AI367" s="738"/>
      <c r="AJ367" s="738"/>
      <c r="AK367" s="738"/>
      <c r="AL367" s="738"/>
    </row>
    <row r="368">
      <c r="A368" s="738"/>
      <c r="B368" s="738"/>
      <c r="C368" s="738"/>
      <c r="D368" s="738"/>
      <c r="E368" s="738"/>
      <c r="F368" s="738"/>
      <c r="G368" s="738"/>
      <c r="H368" s="738"/>
      <c r="I368" s="738"/>
      <c r="J368" s="738"/>
      <c r="K368" s="738"/>
      <c r="L368" s="738"/>
      <c r="M368" s="738"/>
      <c r="N368" s="738"/>
      <c r="O368" s="738"/>
      <c r="P368" s="738"/>
      <c r="Q368" s="738"/>
      <c r="R368" s="738"/>
      <c r="S368" s="738"/>
      <c r="T368" s="738"/>
      <c r="U368" s="738"/>
      <c r="V368" s="738"/>
      <c r="W368" s="738"/>
      <c r="X368" s="738"/>
      <c r="Y368" s="738"/>
      <c r="Z368" s="738"/>
      <c r="AA368" s="738"/>
      <c r="AB368" s="738"/>
      <c r="AC368" s="738"/>
      <c r="AD368" s="738"/>
      <c r="AE368" s="738"/>
      <c r="AF368" s="738"/>
      <c r="AG368" s="738"/>
      <c r="AH368" s="738"/>
      <c r="AI368" s="738"/>
      <c r="AJ368" s="738"/>
      <c r="AK368" s="738"/>
      <c r="AL368" s="738"/>
    </row>
    <row r="369">
      <c r="A369" s="738"/>
      <c r="B369" s="738"/>
      <c r="C369" s="738"/>
      <c r="D369" s="738"/>
      <c r="E369" s="738"/>
      <c r="F369" s="738"/>
      <c r="G369" s="738"/>
      <c r="H369" s="738"/>
      <c r="I369" s="738"/>
      <c r="J369" s="738"/>
      <c r="K369" s="738"/>
      <c r="L369" s="738"/>
      <c r="M369" s="738"/>
      <c r="N369" s="738"/>
      <c r="O369" s="738"/>
      <c r="P369" s="738"/>
      <c r="Q369" s="738"/>
      <c r="R369" s="738"/>
      <c r="S369" s="738"/>
      <c r="T369" s="738"/>
      <c r="U369" s="738"/>
      <c r="V369" s="738"/>
      <c r="W369" s="738"/>
      <c r="X369" s="738"/>
      <c r="Y369" s="738"/>
      <c r="Z369" s="738"/>
      <c r="AA369" s="738"/>
      <c r="AB369" s="738"/>
      <c r="AC369" s="738"/>
      <c r="AD369" s="738"/>
      <c r="AE369" s="738"/>
      <c r="AF369" s="738"/>
      <c r="AG369" s="738"/>
      <c r="AH369" s="738"/>
      <c r="AI369" s="738"/>
      <c r="AJ369" s="738"/>
      <c r="AK369" s="738"/>
      <c r="AL369" s="738"/>
    </row>
    <row r="370">
      <c r="A370" s="738"/>
      <c r="B370" s="738"/>
      <c r="C370" s="738"/>
      <c r="D370" s="738"/>
      <c r="E370" s="738"/>
      <c r="F370" s="738"/>
      <c r="G370" s="738"/>
      <c r="H370" s="738"/>
      <c r="I370" s="738"/>
      <c r="J370" s="738"/>
      <c r="K370" s="738"/>
      <c r="L370" s="738"/>
      <c r="M370" s="738"/>
      <c r="N370" s="738"/>
      <c r="O370" s="738"/>
      <c r="P370" s="738"/>
      <c r="Q370" s="738"/>
      <c r="R370" s="738"/>
      <c r="S370" s="738"/>
      <c r="T370" s="738"/>
      <c r="U370" s="738"/>
      <c r="V370" s="738"/>
      <c r="W370" s="738"/>
      <c r="X370" s="738"/>
      <c r="Y370" s="738"/>
      <c r="Z370" s="738"/>
      <c r="AA370" s="738"/>
      <c r="AB370" s="738"/>
      <c r="AC370" s="738"/>
      <c r="AD370" s="738"/>
      <c r="AE370" s="738"/>
      <c r="AF370" s="738"/>
      <c r="AG370" s="738"/>
      <c r="AH370" s="738"/>
      <c r="AI370" s="738"/>
      <c r="AJ370" s="738"/>
      <c r="AK370" s="738"/>
      <c r="AL370" s="738"/>
    </row>
    <row r="371">
      <c r="A371" s="738"/>
      <c r="B371" s="738"/>
      <c r="C371" s="738"/>
      <c r="D371" s="738"/>
      <c r="E371" s="738"/>
      <c r="F371" s="738"/>
      <c r="G371" s="738"/>
      <c r="H371" s="738"/>
      <c r="I371" s="738"/>
      <c r="J371" s="738"/>
      <c r="K371" s="738"/>
      <c r="L371" s="738"/>
      <c r="M371" s="738"/>
      <c r="N371" s="738"/>
      <c r="O371" s="738"/>
      <c r="P371" s="738"/>
      <c r="Q371" s="738"/>
      <c r="R371" s="738"/>
      <c r="S371" s="738"/>
      <c r="T371" s="738"/>
      <c r="U371" s="738"/>
      <c r="V371" s="738"/>
      <c r="W371" s="738"/>
      <c r="X371" s="738"/>
      <c r="Y371" s="738"/>
      <c r="Z371" s="738"/>
      <c r="AA371" s="738"/>
      <c r="AB371" s="738"/>
      <c r="AC371" s="738"/>
      <c r="AD371" s="738"/>
      <c r="AE371" s="738"/>
      <c r="AF371" s="738"/>
      <c r="AG371" s="738"/>
      <c r="AH371" s="738"/>
      <c r="AI371" s="738"/>
      <c r="AJ371" s="738"/>
      <c r="AK371" s="738"/>
      <c r="AL371" s="738"/>
    </row>
    <row r="372">
      <c r="A372" s="738"/>
      <c r="B372" s="738"/>
      <c r="C372" s="738"/>
      <c r="D372" s="738"/>
      <c r="E372" s="738"/>
      <c r="F372" s="738"/>
      <c r="G372" s="738"/>
      <c r="H372" s="738"/>
      <c r="I372" s="738"/>
      <c r="J372" s="738"/>
      <c r="K372" s="738"/>
      <c r="L372" s="738"/>
      <c r="M372" s="738"/>
      <c r="N372" s="738"/>
      <c r="O372" s="738"/>
      <c r="P372" s="738"/>
      <c r="Q372" s="738"/>
      <c r="R372" s="738"/>
      <c r="S372" s="738"/>
      <c r="T372" s="738"/>
      <c r="U372" s="738"/>
      <c r="V372" s="738"/>
      <c r="W372" s="738"/>
      <c r="X372" s="738"/>
      <c r="Y372" s="738"/>
      <c r="Z372" s="738"/>
      <c r="AA372" s="738"/>
      <c r="AB372" s="738"/>
      <c r="AC372" s="738"/>
      <c r="AD372" s="738"/>
      <c r="AE372" s="738"/>
      <c r="AF372" s="738"/>
      <c r="AG372" s="738"/>
      <c r="AH372" s="738"/>
      <c r="AI372" s="738"/>
      <c r="AJ372" s="738"/>
      <c r="AK372" s="738"/>
      <c r="AL372" s="738"/>
    </row>
    <row r="373">
      <c r="A373" s="738"/>
      <c r="B373" s="738"/>
      <c r="C373" s="738"/>
      <c r="D373" s="738"/>
      <c r="E373" s="738"/>
      <c r="F373" s="738"/>
      <c r="G373" s="738"/>
      <c r="H373" s="738"/>
      <c r="I373" s="738"/>
      <c r="J373" s="738"/>
      <c r="K373" s="738"/>
      <c r="L373" s="738"/>
      <c r="M373" s="738"/>
      <c r="N373" s="738"/>
      <c r="O373" s="738"/>
      <c r="P373" s="738"/>
      <c r="Q373" s="738"/>
      <c r="R373" s="738"/>
      <c r="S373" s="738"/>
      <c r="T373" s="738"/>
      <c r="U373" s="738"/>
      <c r="V373" s="738"/>
      <c r="W373" s="738"/>
      <c r="X373" s="738"/>
      <c r="Y373" s="738"/>
      <c r="Z373" s="738"/>
      <c r="AA373" s="738"/>
      <c r="AB373" s="738"/>
      <c r="AC373" s="738"/>
      <c r="AD373" s="738"/>
      <c r="AE373" s="738"/>
      <c r="AF373" s="738"/>
      <c r="AG373" s="738"/>
      <c r="AH373" s="738"/>
      <c r="AI373" s="738"/>
      <c r="AJ373" s="738"/>
      <c r="AK373" s="738"/>
      <c r="AL373" s="738"/>
    </row>
    <row r="374">
      <c r="A374" s="738"/>
      <c r="B374" s="738"/>
      <c r="C374" s="738"/>
      <c r="D374" s="738"/>
      <c r="E374" s="738"/>
      <c r="F374" s="738"/>
      <c r="G374" s="738"/>
      <c r="H374" s="738"/>
      <c r="I374" s="738"/>
      <c r="J374" s="738"/>
      <c r="K374" s="738"/>
      <c r="L374" s="738"/>
      <c r="M374" s="738"/>
      <c r="N374" s="738"/>
      <c r="O374" s="738"/>
      <c r="P374" s="738"/>
      <c r="Q374" s="738"/>
      <c r="R374" s="738"/>
      <c r="S374" s="738"/>
      <c r="T374" s="738"/>
      <c r="U374" s="738"/>
      <c r="V374" s="738"/>
      <c r="W374" s="738"/>
      <c r="X374" s="738"/>
      <c r="Y374" s="738"/>
      <c r="Z374" s="738"/>
      <c r="AA374" s="738"/>
      <c r="AB374" s="738"/>
      <c r="AC374" s="738"/>
      <c r="AD374" s="738"/>
      <c r="AE374" s="738"/>
      <c r="AF374" s="738"/>
      <c r="AG374" s="738"/>
      <c r="AH374" s="738"/>
      <c r="AI374" s="738"/>
      <c r="AJ374" s="738"/>
      <c r="AK374" s="738"/>
      <c r="AL374" s="738"/>
    </row>
    <row r="375">
      <c r="A375" s="738"/>
      <c r="B375" s="738"/>
      <c r="C375" s="738"/>
      <c r="D375" s="738"/>
      <c r="E375" s="738"/>
      <c r="F375" s="738"/>
      <c r="G375" s="738"/>
      <c r="H375" s="738"/>
      <c r="I375" s="738"/>
      <c r="J375" s="738"/>
      <c r="K375" s="738"/>
      <c r="L375" s="738"/>
      <c r="M375" s="738"/>
      <c r="N375" s="738"/>
      <c r="O375" s="738"/>
      <c r="P375" s="738"/>
      <c r="Q375" s="738"/>
      <c r="R375" s="738"/>
      <c r="S375" s="738"/>
      <c r="T375" s="738"/>
      <c r="U375" s="738"/>
      <c r="V375" s="738"/>
      <c r="W375" s="738"/>
      <c r="X375" s="738"/>
      <c r="Y375" s="738"/>
      <c r="Z375" s="738"/>
      <c r="AA375" s="738"/>
      <c r="AB375" s="738"/>
      <c r="AC375" s="738"/>
      <c r="AD375" s="738"/>
      <c r="AE375" s="738"/>
      <c r="AF375" s="738"/>
      <c r="AG375" s="738"/>
      <c r="AH375" s="738"/>
      <c r="AI375" s="738"/>
      <c r="AJ375" s="738"/>
      <c r="AK375" s="738"/>
      <c r="AL375" s="738"/>
    </row>
    <row r="376">
      <c r="A376" s="738"/>
      <c r="B376" s="738"/>
      <c r="C376" s="738"/>
      <c r="D376" s="738"/>
      <c r="E376" s="738"/>
      <c r="F376" s="738"/>
      <c r="G376" s="738"/>
      <c r="H376" s="738"/>
      <c r="I376" s="738"/>
      <c r="J376" s="738"/>
      <c r="K376" s="738"/>
      <c r="L376" s="738"/>
      <c r="M376" s="738"/>
      <c r="N376" s="738"/>
      <c r="O376" s="738"/>
      <c r="P376" s="738"/>
      <c r="Q376" s="738"/>
      <c r="R376" s="738"/>
      <c r="S376" s="738"/>
      <c r="T376" s="738"/>
      <c r="U376" s="738"/>
      <c r="V376" s="738"/>
      <c r="W376" s="738"/>
      <c r="X376" s="738"/>
      <c r="Y376" s="738"/>
      <c r="Z376" s="738"/>
      <c r="AA376" s="738"/>
      <c r="AB376" s="738"/>
      <c r="AC376" s="738"/>
      <c r="AD376" s="738"/>
      <c r="AE376" s="738"/>
      <c r="AF376" s="738"/>
      <c r="AG376" s="738"/>
      <c r="AH376" s="738"/>
      <c r="AI376" s="738"/>
      <c r="AJ376" s="738"/>
      <c r="AK376" s="738"/>
      <c r="AL376" s="738"/>
    </row>
    <row r="377">
      <c r="A377" s="738"/>
      <c r="B377" s="738"/>
      <c r="C377" s="738"/>
      <c r="D377" s="738"/>
      <c r="E377" s="738"/>
      <c r="F377" s="738"/>
      <c r="G377" s="738"/>
      <c r="H377" s="738"/>
      <c r="I377" s="738"/>
      <c r="J377" s="738"/>
      <c r="K377" s="738"/>
      <c r="L377" s="738"/>
      <c r="M377" s="738"/>
      <c r="N377" s="738"/>
      <c r="O377" s="738"/>
      <c r="P377" s="738"/>
      <c r="Q377" s="738"/>
      <c r="R377" s="738"/>
      <c r="S377" s="738"/>
      <c r="T377" s="738"/>
      <c r="U377" s="738"/>
      <c r="V377" s="738"/>
      <c r="W377" s="738"/>
      <c r="X377" s="738"/>
      <c r="Y377" s="738"/>
      <c r="Z377" s="738"/>
      <c r="AA377" s="738"/>
      <c r="AB377" s="738"/>
      <c r="AC377" s="738"/>
      <c r="AD377" s="738"/>
      <c r="AE377" s="738"/>
      <c r="AF377" s="738"/>
      <c r="AG377" s="738"/>
      <c r="AH377" s="738"/>
      <c r="AI377" s="738"/>
      <c r="AJ377" s="738"/>
      <c r="AK377" s="738"/>
      <c r="AL377" s="738"/>
    </row>
    <row r="378">
      <c r="A378" s="738"/>
      <c r="B378" s="738"/>
      <c r="C378" s="738"/>
      <c r="D378" s="738"/>
      <c r="E378" s="738"/>
      <c r="F378" s="738"/>
      <c r="G378" s="738"/>
      <c r="H378" s="738"/>
      <c r="I378" s="738"/>
      <c r="J378" s="738"/>
      <c r="K378" s="738"/>
      <c r="L378" s="738"/>
      <c r="M378" s="738"/>
      <c r="N378" s="738"/>
      <c r="O378" s="738"/>
      <c r="P378" s="738"/>
      <c r="Q378" s="738"/>
      <c r="R378" s="738"/>
      <c r="S378" s="738"/>
      <c r="T378" s="738"/>
      <c r="U378" s="738"/>
      <c r="V378" s="738"/>
      <c r="W378" s="738"/>
      <c r="X378" s="738"/>
      <c r="Y378" s="738"/>
      <c r="Z378" s="738"/>
      <c r="AA378" s="738"/>
      <c r="AB378" s="738"/>
      <c r="AC378" s="738"/>
      <c r="AD378" s="738"/>
      <c r="AE378" s="738"/>
      <c r="AF378" s="738"/>
      <c r="AG378" s="738"/>
      <c r="AH378" s="738"/>
      <c r="AI378" s="738"/>
      <c r="AJ378" s="738"/>
      <c r="AK378" s="738"/>
      <c r="AL378" s="738"/>
    </row>
    <row r="379">
      <c r="A379" s="738"/>
      <c r="B379" s="738"/>
      <c r="C379" s="738"/>
      <c r="D379" s="738"/>
      <c r="E379" s="738"/>
      <c r="F379" s="738"/>
      <c r="G379" s="738"/>
      <c r="H379" s="738"/>
      <c r="I379" s="738"/>
      <c r="J379" s="738"/>
      <c r="K379" s="738"/>
      <c r="L379" s="738"/>
      <c r="M379" s="738"/>
      <c r="N379" s="738"/>
      <c r="O379" s="738"/>
      <c r="P379" s="738"/>
      <c r="Q379" s="738"/>
      <c r="R379" s="738"/>
      <c r="S379" s="738"/>
      <c r="T379" s="738"/>
      <c r="U379" s="738"/>
      <c r="V379" s="738"/>
      <c r="W379" s="738"/>
      <c r="X379" s="738"/>
      <c r="Y379" s="738"/>
      <c r="Z379" s="738"/>
      <c r="AA379" s="738"/>
      <c r="AB379" s="738"/>
      <c r="AC379" s="738"/>
      <c r="AD379" s="738"/>
      <c r="AE379" s="738"/>
      <c r="AF379" s="738"/>
      <c r="AG379" s="738"/>
      <c r="AH379" s="738"/>
      <c r="AI379" s="738"/>
      <c r="AJ379" s="738"/>
      <c r="AK379" s="738"/>
      <c r="AL379" s="738"/>
    </row>
    <row r="380">
      <c r="A380" s="738"/>
      <c r="B380" s="738"/>
      <c r="C380" s="738"/>
      <c r="D380" s="738"/>
      <c r="E380" s="738"/>
      <c r="F380" s="738"/>
      <c r="G380" s="738"/>
      <c r="H380" s="738"/>
      <c r="I380" s="738"/>
      <c r="J380" s="738"/>
      <c r="K380" s="738"/>
      <c r="L380" s="738"/>
      <c r="M380" s="738"/>
      <c r="N380" s="738"/>
      <c r="O380" s="738"/>
      <c r="P380" s="738"/>
      <c r="Q380" s="738"/>
      <c r="R380" s="738"/>
      <c r="S380" s="738"/>
      <c r="T380" s="738"/>
      <c r="U380" s="738"/>
      <c r="V380" s="738"/>
      <c r="W380" s="738"/>
      <c r="X380" s="738"/>
      <c r="Y380" s="738"/>
      <c r="Z380" s="738"/>
      <c r="AA380" s="738"/>
      <c r="AB380" s="738"/>
      <c r="AC380" s="738"/>
      <c r="AD380" s="738"/>
      <c r="AE380" s="738"/>
      <c r="AF380" s="738"/>
      <c r="AG380" s="738"/>
      <c r="AH380" s="738"/>
      <c r="AI380" s="738"/>
      <c r="AJ380" s="738"/>
      <c r="AK380" s="738"/>
      <c r="AL380" s="738"/>
    </row>
    <row r="381">
      <c r="A381" s="738"/>
      <c r="B381" s="738"/>
      <c r="C381" s="738"/>
      <c r="D381" s="738"/>
      <c r="E381" s="738"/>
      <c r="F381" s="738"/>
      <c r="G381" s="738"/>
      <c r="H381" s="738"/>
      <c r="I381" s="738"/>
      <c r="J381" s="738"/>
      <c r="K381" s="738"/>
      <c r="L381" s="738"/>
      <c r="M381" s="738"/>
      <c r="N381" s="738"/>
      <c r="O381" s="738"/>
      <c r="P381" s="738"/>
      <c r="Q381" s="738"/>
      <c r="R381" s="738"/>
      <c r="S381" s="738"/>
      <c r="T381" s="738"/>
      <c r="U381" s="738"/>
      <c r="V381" s="738"/>
      <c r="W381" s="738"/>
      <c r="X381" s="738"/>
      <c r="Y381" s="738"/>
      <c r="Z381" s="738"/>
      <c r="AA381" s="738"/>
      <c r="AB381" s="738"/>
      <c r="AC381" s="738"/>
      <c r="AD381" s="738"/>
      <c r="AE381" s="738"/>
      <c r="AF381" s="738"/>
      <c r="AG381" s="738"/>
      <c r="AH381" s="738"/>
      <c r="AI381" s="738"/>
      <c r="AJ381" s="738"/>
      <c r="AK381" s="738"/>
      <c r="AL381" s="738"/>
    </row>
    <row r="382">
      <c r="A382" s="738"/>
      <c r="B382" s="738"/>
      <c r="C382" s="738"/>
      <c r="D382" s="738"/>
      <c r="E382" s="738"/>
      <c r="F382" s="738"/>
      <c r="G382" s="738"/>
      <c r="H382" s="738"/>
      <c r="I382" s="738"/>
      <c r="J382" s="738"/>
      <c r="K382" s="738"/>
      <c r="L382" s="738"/>
      <c r="M382" s="738"/>
      <c r="N382" s="738"/>
      <c r="O382" s="738"/>
      <c r="P382" s="738"/>
      <c r="Q382" s="738"/>
      <c r="R382" s="738"/>
      <c r="S382" s="738"/>
      <c r="T382" s="738"/>
      <c r="U382" s="738"/>
      <c r="V382" s="738"/>
      <c r="W382" s="738"/>
      <c r="X382" s="738"/>
      <c r="Y382" s="738"/>
      <c r="Z382" s="738"/>
      <c r="AA382" s="738"/>
      <c r="AB382" s="738"/>
      <c r="AC382" s="738"/>
      <c r="AD382" s="738"/>
      <c r="AE382" s="738"/>
      <c r="AF382" s="738"/>
      <c r="AG382" s="738"/>
      <c r="AH382" s="738"/>
      <c r="AI382" s="738"/>
      <c r="AJ382" s="738"/>
      <c r="AK382" s="738"/>
      <c r="AL382" s="738"/>
    </row>
    <row r="383">
      <c r="A383" s="738"/>
      <c r="B383" s="738"/>
      <c r="C383" s="738"/>
      <c r="D383" s="738"/>
      <c r="E383" s="738"/>
      <c r="F383" s="738"/>
      <c r="G383" s="738"/>
      <c r="H383" s="738"/>
      <c r="I383" s="738"/>
      <c r="J383" s="738"/>
      <c r="K383" s="738"/>
      <c r="L383" s="738"/>
      <c r="M383" s="738"/>
      <c r="N383" s="738"/>
      <c r="O383" s="738"/>
      <c r="P383" s="738"/>
      <c r="Q383" s="738"/>
      <c r="R383" s="738"/>
      <c r="S383" s="738"/>
      <c r="T383" s="738"/>
      <c r="U383" s="738"/>
      <c r="V383" s="738"/>
      <c r="W383" s="738"/>
      <c r="X383" s="738"/>
      <c r="Y383" s="738"/>
      <c r="Z383" s="738"/>
      <c r="AA383" s="738"/>
      <c r="AB383" s="738"/>
      <c r="AC383" s="738"/>
      <c r="AD383" s="738"/>
      <c r="AE383" s="738"/>
      <c r="AF383" s="738"/>
      <c r="AG383" s="738"/>
      <c r="AH383" s="738"/>
      <c r="AI383" s="738"/>
      <c r="AJ383" s="738"/>
      <c r="AK383" s="738"/>
      <c r="AL383" s="738"/>
    </row>
    <row r="384">
      <c r="A384" s="738"/>
      <c r="B384" s="738"/>
      <c r="C384" s="738"/>
      <c r="D384" s="738"/>
      <c r="E384" s="738"/>
      <c r="F384" s="738"/>
      <c r="G384" s="738"/>
      <c r="H384" s="738"/>
      <c r="I384" s="738"/>
      <c r="J384" s="738"/>
      <c r="K384" s="738"/>
      <c r="L384" s="738"/>
      <c r="M384" s="738"/>
      <c r="N384" s="738"/>
      <c r="O384" s="738"/>
      <c r="P384" s="738"/>
      <c r="Q384" s="738"/>
      <c r="R384" s="738"/>
      <c r="S384" s="738"/>
      <c r="T384" s="738"/>
      <c r="U384" s="738"/>
      <c r="V384" s="738"/>
      <c r="W384" s="738"/>
      <c r="X384" s="738"/>
      <c r="Y384" s="738"/>
      <c r="Z384" s="738"/>
      <c r="AA384" s="738"/>
      <c r="AB384" s="738"/>
      <c r="AC384" s="738"/>
      <c r="AD384" s="738"/>
      <c r="AE384" s="738"/>
      <c r="AF384" s="738"/>
      <c r="AG384" s="738"/>
      <c r="AH384" s="738"/>
      <c r="AI384" s="738"/>
      <c r="AJ384" s="738"/>
      <c r="AK384" s="738"/>
      <c r="AL384" s="738"/>
    </row>
    <row r="385">
      <c r="A385" s="738"/>
      <c r="B385" s="738"/>
      <c r="C385" s="738"/>
      <c r="D385" s="738"/>
      <c r="E385" s="738"/>
      <c r="F385" s="738"/>
      <c r="G385" s="738"/>
      <c r="H385" s="738"/>
      <c r="I385" s="738"/>
      <c r="J385" s="738"/>
      <c r="K385" s="738"/>
      <c r="L385" s="738"/>
      <c r="M385" s="738"/>
      <c r="N385" s="738"/>
      <c r="O385" s="738"/>
      <c r="P385" s="738"/>
      <c r="Q385" s="738"/>
      <c r="R385" s="738"/>
      <c r="S385" s="738"/>
      <c r="T385" s="738"/>
      <c r="U385" s="738"/>
      <c r="V385" s="738"/>
      <c r="W385" s="738"/>
      <c r="X385" s="738"/>
      <c r="Y385" s="738"/>
      <c r="Z385" s="738"/>
      <c r="AA385" s="738"/>
      <c r="AB385" s="738"/>
      <c r="AC385" s="738"/>
      <c r="AD385" s="738"/>
      <c r="AE385" s="738"/>
      <c r="AF385" s="738"/>
      <c r="AG385" s="738"/>
      <c r="AH385" s="738"/>
      <c r="AI385" s="738"/>
      <c r="AJ385" s="738"/>
      <c r="AK385" s="738"/>
      <c r="AL385" s="738"/>
    </row>
    <row r="386">
      <c r="A386" s="738"/>
      <c r="B386" s="738"/>
      <c r="C386" s="738"/>
      <c r="D386" s="738"/>
      <c r="E386" s="738"/>
      <c r="F386" s="738"/>
      <c r="G386" s="738"/>
      <c r="H386" s="738"/>
      <c r="I386" s="738"/>
      <c r="J386" s="738"/>
      <c r="K386" s="738"/>
      <c r="L386" s="738"/>
      <c r="M386" s="738"/>
      <c r="N386" s="738"/>
      <c r="O386" s="738"/>
      <c r="P386" s="738"/>
      <c r="Q386" s="738"/>
      <c r="R386" s="738"/>
      <c r="S386" s="738"/>
      <c r="T386" s="738"/>
      <c r="U386" s="738"/>
      <c r="V386" s="738"/>
      <c r="W386" s="738"/>
      <c r="X386" s="738"/>
      <c r="Y386" s="738"/>
      <c r="Z386" s="738"/>
      <c r="AA386" s="738"/>
      <c r="AB386" s="738"/>
      <c r="AC386" s="738"/>
      <c r="AD386" s="738"/>
      <c r="AE386" s="738"/>
      <c r="AF386" s="738"/>
      <c r="AG386" s="738"/>
      <c r="AH386" s="738"/>
      <c r="AI386" s="738"/>
      <c r="AJ386" s="738"/>
      <c r="AK386" s="738"/>
      <c r="AL386" s="738"/>
    </row>
    <row r="387">
      <c r="A387" s="738"/>
      <c r="B387" s="738"/>
      <c r="C387" s="738"/>
      <c r="D387" s="738"/>
      <c r="E387" s="738"/>
      <c r="F387" s="738"/>
      <c r="G387" s="738"/>
      <c r="H387" s="738"/>
      <c r="I387" s="738"/>
      <c r="J387" s="738"/>
      <c r="K387" s="738"/>
      <c r="L387" s="738"/>
      <c r="M387" s="738"/>
      <c r="N387" s="738"/>
      <c r="O387" s="738"/>
      <c r="P387" s="738"/>
      <c r="Q387" s="738"/>
      <c r="R387" s="738"/>
      <c r="S387" s="738"/>
      <c r="T387" s="738"/>
      <c r="U387" s="738"/>
      <c r="V387" s="738"/>
      <c r="W387" s="738"/>
      <c r="X387" s="738"/>
      <c r="Y387" s="738"/>
      <c r="Z387" s="738"/>
      <c r="AA387" s="738"/>
      <c r="AB387" s="738"/>
      <c r="AC387" s="738"/>
      <c r="AD387" s="738"/>
      <c r="AE387" s="738"/>
      <c r="AF387" s="738"/>
      <c r="AG387" s="738"/>
      <c r="AH387" s="738"/>
      <c r="AI387" s="738"/>
      <c r="AJ387" s="738"/>
      <c r="AK387" s="738"/>
      <c r="AL387" s="738"/>
    </row>
    <row r="388">
      <c r="A388" s="738"/>
      <c r="B388" s="738"/>
      <c r="C388" s="738"/>
      <c r="D388" s="738"/>
      <c r="E388" s="738"/>
      <c r="F388" s="738"/>
      <c r="G388" s="738"/>
      <c r="H388" s="738"/>
      <c r="I388" s="738"/>
      <c r="J388" s="738"/>
      <c r="K388" s="738"/>
      <c r="L388" s="738"/>
      <c r="M388" s="738"/>
      <c r="N388" s="738"/>
      <c r="O388" s="738"/>
      <c r="P388" s="738"/>
      <c r="Q388" s="738"/>
      <c r="R388" s="738"/>
      <c r="S388" s="738"/>
      <c r="T388" s="738"/>
      <c r="U388" s="738"/>
      <c r="V388" s="738"/>
      <c r="W388" s="738"/>
      <c r="X388" s="738"/>
      <c r="Y388" s="738"/>
      <c r="Z388" s="738"/>
      <c r="AA388" s="738"/>
      <c r="AB388" s="738"/>
      <c r="AC388" s="738"/>
      <c r="AD388" s="738"/>
      <c r="AE388" s="738"/>
      <c r="AF388" s="738"/>
      <c r="AG388" s="738"/>
      <c r="AH388" s="738"/>
      <c r="AI388" s="738"/>
      <c r="AJ388" s="738"/>
      <c r="AK388" s="738"/>
      <c r="AL388" s="738"/>
    </row>
    <row r="389">
      <c r="A389" s="738"/>
      <c r="B389" s="738"/>
      <c r="C389" s="738"/>
      <c r="D389" s="738"/>
      <c r="E389" s="738"/>
      <c r="F389" s="738"/>
      <c r="G389" s="738"/>
      <c r="H389" s="738"/>
      <c r="I389" s="738"/>
      <c r="J389" s="738"/>
      <c r="K389" s="738"/>
      <c r="L389" s="738"/>
      <c r="M389" s="738"/>
      <c r="N389" s="738"/>
      <c r="O389" s="738"/>
      <c r="P389" s="738"/>
      <c r="Q389" s="738"/>
      <c r="R389" s="738"/>
      <c r="S389" s="738"/>
      <c r="T389" s="738"/>
      <c r="U389" s="738"/>
      <c r="V389" s="738"/>
      <c r="W389" s="738"/>
      <c r="X389" s="738"/>
      <c r="Y389" s="738"/>
      <c r="Z389" s="738"/>
      <c r="AA389" s="738"/>
      <c r="AB389" s="738"/>
      <c r="AC389" s="738"/>
      <c r="AD389" s="738"/>
      <c r="AE389" s="738"/>
      <c r="AF389" s="738"/>
      <c r="AG389" s="738"/>
      <c r="AH389" s="738"/>
      <c r="AI389" s="738"/>
      <c r="AJ389" s="738"/>
      <c r="AK389" s="738"/>
      <c r="AL389" s="738"/>
    </row>
    <row r="390">
      <c r="A390" s="738"/>
      <c r="B390" s="738"/>
      <c r="C390" s="738"/>
      <c r="D390" s="738"/>
      <c r="E390" s="738"/>
      <c r="F390" s="738"/>
      <c r="G390" s="738"/>
      <c r="H390" s="738"/>
      <c r="I390" s="738"/>
      <c r="J390" s="738"/>
      <c r="K390" s="738"/>
      <c r="L390" s="738"/>
      <c r="M390" s="738"/>
      <c r="N390" s="738"/>
      <c r="O390" s="738"/>
      <c r="P390" s="738"/>
      <c r="Q390" s="738"/>
      <c r="R390" s="738"/>
      <c r="S390" s="738"/>
      <c r="T390" s="738"/>
      <c r="U390" s="738"/>
      <c r="V390" s="738"/>
      <c r="W390" s="738"/>
      <c r="X390" s="738"/>
      <c r="Y390" s="738"/>
      <c r="Z390" s="738"/>
      <c r="AA390" s="738"/>
      <c r="AB390" s="738"/>
      <c r="AC390" s="738"/>
      <c r="AD390" s="738"/>
      <c r="AE390" s="738"/>
      <c r="AF390" s="738"/>
      <c r="AG390" s="738"/>
      <c r="AH390" s="738"/>
      <c r="AI390" s="738"/>
      <c r="AJ390" s="738"/>
      <c r="AK390" s="738"/>
      <c r="AL390" s="738"/>
    </row>
    <row r="391">
      <c r="A391" s="738"/>
      <c r="B391" s="738"/>
      <c r="C391" s="738"/>
      <c r="D391" s="738"/>
      <c r="E391" s="738"/>
      <c r="F391" s="738"/>
      <c r="G391" s="738"/>
      <c r="H391" s="738"/>
      <c r="I391" s="738"/>
      <c r="J391" s="738"/>
      <c r="K391" s="738"/>
      <c r="L391" s="738"/>
      <c r="M391" s="738"/>
      <c r="N391" s="738"/>
      <c r="O391" s="738"/>
      <c r="P391" s="738"/>
      <c r="Q391" s="738"/>
      <c r="R391" s="738"/>
      <c r="S391" s="738"/>
      <c r="T391" s="738"/>
      <c r="U391" s="738"/>
      <c r="V391" s="738"/>
      <c r="W391" s="738"/>
      <c r="X391" s="738"/>
      <c r="Y391" s="738"/>
      <c r="Z391" s="738"/>
      <c r="AA391" s="738"/>
      <c r="AB391" s="738"/>
      <c r="AC391" s="738"/>
      <c r="AD391" s="738"/>
      <c r="AE391" s="738"/>
      <c r="AF391" s="738"/>
      <c r="AG391" s="738"/>
      <c r="AH391" s="738"/>
      <c r="AI391" s="738"/>
      <c r="AJ391" s="738"/>
      <c r="AK391" s="738"/>
      <c r="AL391" s="738"/>
    </row>
    <row r="392">
      <c r="A392" s="738"/>
      <c r="B392" s="738"/>
      <c r="C392" s="738"/>
      <c r="D392" s="738"/>
      <c r="E392" s="738"/>
      <c r="F392" s="738"/>
      <c r="G392" s="738"/>
      <c r="H392" s="738"/>
      <c r="I392" s="738"/>
      <c r="J392" s="738"/>
      <c r="K392" s="738"/>
      <c r="L392" s="738"/>
      <c r="M392" s="738"/>
      <c r="N392" s="738"/>
      <c r="O392" s="738"/>
      <c r="P392" s="738"/>
      <c r="Q392" s="738"/>
      <c r="R392" s="738"/>
      <c r="S392" s="738"/>
      <c r="T392" s="738"/>
      <c r="U392" s="738"/>
      <c r="V392" s="738"/>
      <c r="W392" s="738"/>
      <c r="X392" s="738"/>
      <c r="Y392" s="738"/>
      <c r="Z392" s="738"/>
      <c r="AA392" s="738"/>
      <c r="AB392" s="738"/>
      <c r="AC392" s="738"/>
      <c r="AD392" s="738"/>
      <c r="AE392" s="738"/>
      <c r="AF392" s="738"/>
      <c r="AG392" s="738"/>
      <c r="AH392" s="738"/>
      <c r="AI392" s="738"/>
      <c r="AJ392" s="738"/>
      <c r="AK392" s="738"/>
      <c r="AL392" s="738"/>
    </row>
    <row r="393">
      <c r="A393" s="738"/>
      <c r="B393" s="738"/>
      <c r="C393" s="738"/>
      <c r="D393" s="738"/>
      <c r="E393" s="738"/>
      <c r="F393" s="738"/>
      <c r="G393" s="738"/>
      <c r="H393" s="738"/>
      <c r="I393" s="738"/>
      <c r="J393" s="738"/>
      <c r="K393" s="738"/>
      <c r="L393" s="738"/>
      <c r="M393" s="738"/>
      <c r="N393" s="738"/>
      <c r="O393" s="738"/>
      <c r="P393" s="738"/>
      <c r="Q393" s="738"/>
      <c r="R393" s="738"/>
      <c r="S393" s="738"/>
      <c r="T393" s="738"/>
      <c r="U393" s="738"/>
      <c r="V393" s="738"/>
      <c r="W393" s="738"/>
      <c r="X393" s="738"/>
      <c r="Y393" s="738"/>
      <c r="Z393" s="738"/>
      <c r="AA393" s="738"/>
      <c r="AB393" s="738"/>
      <c r="AC393" s="738"/>
      <c r="AD393" s="738"/>
      <c r="AE393" s="738"/>
      <c r="AF393" s="738"/>
      <c r="AG393" s="738"/>
      <c r="AH393" s="738"/>
      <c r="AI393" s="738"/>
      <c r="AJ393" s="738"/>
      <c r="AK393" s="738"/>
      <c r="AL393" s="738"/>
    </row>
    <row r="394">
      <c r="A394" s="738"/>
      <c r="B394" s="738"/>
      <c r="C394" s="738"/>
      <c r="D394" s="738"/>
      <c r="E394" s="738"/>
      <c r="F394" s="738"/>
      <c r="G394" s="738"/>
      <c r="H394" s="738"/>
      <c r="I394" s="738"/>
      <c r="J394" s="738"/>
      <c r="K394" s="738"/>
      <c r="L394" s="738"/>
      <c r="M394" s="738"/>
      <c r="N394" s="738"/>
      <c r="O394" s="738"/>
      <c r="P394" s="738"/>
      <c r="Q394" s="738"/>
      <c r="R394" s="738"/>
      <c r="S394" s="738"/>
      <c r="T394" s="738"/>
      <c r="U394" s="738"/>
      <c r="V394" s="738"/>
      <c r="W394" s="738"/>
      <c r="X394" s="738"/>
      <c r="Y394" s="738"/>
      <c r="Z394" s="738"/>
      <c r="AA394" s="738"/>
      <c r="AB394" s="738"/>
      <c r="AC394" s="738"/>
      <c r="AD394" s="738"/>
      <c r="AE394" s="738"/>
      <c r="AF394" s="738"/>
      <c r="AG394" s="738"/>
      <c r="AH394" s="738"/>
      <c r="AI394" s="738"/>
      <c r="AJ394" s="738"/>
      <c r="AK394" s="738"/>
      <c r="AL394" s="738"/>
    </row>
    <row r="395">
      <c r="A395" s="738"/>
      <c r="B395" s="738"/>
      <c r="C395" s="738"/>
      <c r="D395" s="738"/>
      <c r="E395" s="738"/>
      <c r="F395" s="738"/>
      <c r="G395" s="738"/>
      <c r="H395" s="738"/>
      <c r="I395" s="738"/>
      <c r="J395" s="738"/>
      <c r="K395" s="738"/>
      <c r="L395" s="738"/>
      <c r="M395" s="738"/>
      <c r="N395" s="738"/>
      <c r="O395" s="738"/>
      <c r="P395" s="738"/>
      <c r="Q395" s="738"/>
      <c r="R395" s="738"/>
      <c r="S395" s="738"/>
      <c r="T395" s="738"/>
      <c r="U395" s="738"/>
      <c r="V395" s="738"/>
      <c r="W395" s="738"/>
      <c r="X395" s="738"/>
      <c r="Y395" s="738"/>
      <c r="Z395" s="738"/>
      <c r="AA395" s="738"/>
      <c r="AB395" s="738"/>
      <c r="AC395" s="738"/>
      <c r="AD395" s="738"/>
      <c r="AE395" s="738"/>
      <c r="AF395" s="738"/>
      <c r="AG395" s="738"/>
      <c r="AH395" s="738"/>
      <c r="AI395" s="738"/>
      <c r="AJ395" s="738"/>
      <c r="AK395" s="738"/>
      <c r="AL395" s="738"/>
    </row>
    <row r="396">
      <c r="A396" s="738"/>
      <c r="B396" s="738"/>
      <c r="C396" s="738"/>
      <c r="D396" s="738"/>
      <c r="E396" s="738"/>
      <c r="F396" s="738"/>
      <c r="G396" s="738"/>
      <c r="H396" s="738"/>
      <c r="I396" s="738"/>
      <c r="J396" s="738"/>
      <c r="K396" s="738"/>
      <c r="L396" s="738"/>
      <c r="M396" s="738"/>
      <c r="N396" s="738"/>
      <c r="O396" s="738"/>
      <c r="P396" s="738"/>
      <c r="Q396" s="738"/>
      <c r="R396" s="738"/>
      <c r="S396" s="738"/>
      <c r="T396" s="738"/>
      <c r="U396" s="738"/>
      <c r="V396" s="738"/>
      <c r="W396" s="738"/>
      <c r="X396" s="738"/>
      <c r="Y396" s="738"/>
      <c r="Z396" s="738"/>
      <c r="AA396" s="738"/>
      <c r="AB396" s="738"/>
      <c r="AC396" s="738"/>
      <c r="AD396" s="738"/>
      <c r="AE396" s="738"/>
      <c r="AF396" s="738"/>
      <c r="AG396" s="738"/>
      <c r="AH396" s="738"/>
      <c r="AI396" s="738"/>
      <c r="AJ396" s="738"/>
      <c r="AK396" s="738"/>
      <c r="AL396" s="738"/>
    </row>
    <row r="397">
      <c r="A397" s="738"/>
      <c r="B397" s="738"/>
      <c r="C397" s="738"/>
      <c r="D397" s="738"/>
      <c r="E397" s="738"/>
      <c r="F397" s="738"/>
      <c r="G397" s="738"/>
      <c r="H397" s="738"/>
      <c r="I397" s="738"/>
      <c r="J397" s="738"/>
      <c r="K397" s="738"/>
      <c r="L397" s="738"/>
      <c r="M397" s="738"/>
      <c r="N397" s="738"/>
      <c r="O397" s="738"/>
      <c r="P397" s="738"/>
      <c r="Q397" s="738"/>
      <c r="R397" s="738"/>
      <c r="S397" s="738"/>
      <c r="T397" s="738"/>
      <c r="U397" s="738"/>
      <c r="V397" s="738"/>
      <c r="W397" s="738"/>
      <c r="X397" s="738"/>
      <c r="Y397" s="738"/>
      <c r="Z397" s="738"/>
      <c r="AA397" s="738"/>
      <c r="AB397" s="738"/>
      <c r="AC397" s="738"/>
      <c r="AD397" s="738"/>
      <c r="AE397" s="738"/>
      <c r="AF397" s="738"/>
      <c r="AG397" s="738"/>
      <c r="AH397" s="738"/>
      <c r="AI397" s="738"/>
      <c r="AJ397" s="738"/>
      <c r="AK397" s="738"/>
      <c r="AL397" s="738"/>
    </row>
    <row r="398">
      <c r="A398" s="738"/>
      <c r="B398" s="738"/>
      <c r="C398" s="738"/>
      <c r="D398" s="738"/>
      <c r="E398" s="738"/>
      <c r="F398" s="738"/>
      <c r="G398" s="738"/>
      <c r="H398" s="738"/>
      <c r="I398" s="738"/>
      <c r="J398" s="738"/>
      <c r="K398" s="738"/>
      <c r="L398" s="738"/>
      <c r="M398" s="738"/>
      <c r="N398" s="738"/>
      <c r="O398" s="738"/>
      <c r="P398" s="738"/>
      <c r="Q398" s="738"/>
      <c r="R398" s="738"/>
      <c r="S398" s="738"/>
      <c r="T398" s="738"/>
      <c r="U398" s="738"/>
      <c r="V398" s="738"/>
      <c r="W398" s="738"/>
      <c r="X398" s="738"/>
      <c r="Y398" s="738"/>
      <c r="Z398" s="738"/>
      <c r="AA398" s="738"/>
      <c r="AB398" s="738"/>
      <c r="AC398" s="738"/>
      <c r="AD398" s="738"/>
      <c r="AE398" s="738"/>
      <c r="AF398" s="738"/>
      <c r="AG398" s="738"/>
      <c r="AH398" s="738"/>
      <c r="AI398" s="738"/>
      <c r="AJ398" s="738"/>
      <c r="AK398" s="738"/>
      <c r="AL398" s="738"/>
    </row>
    <row r="399">
      <c r="A399" s="738"/>
      <c r="B399" s="738"/>
      <c r="C399" s="738"/>
      <c r="D399" s="738"/>
      <c r="E399" s="738"/>
      <c r="F399" s="738"/>
      <c r="G399" s="738"/>
      <c r="H399" s="738"/>
      <c r="I399" s="738"/>
      <c r="J399" s="738"/>
      <c r="K399" s="738"/>
      <c r="L399" s="738"/>
      <c r="M399" s="738"/>
      <c r="N399" s="738"/>
      <c r="O399" s="738"/>
      <c r="P399" s="738"/>
      <c r="Q399" s="738"/>
      <c r="R399" s="738"/>
      <c r="S399" s="738"/>
      <c r="T399" s="738"/>
      <c r="U399" s="738"/>
      <c r="V399" s="738"/>
      <c r="W399" s="738"/>
      <c r="X399" s="738"/>
      <c r="Y399" s="738"/>
      <c r="Z399" s="738"/>
      <c r="AA399" s="738"/>
      <c r="AB399" s="738"/>
      <c r="AC399" s="738"/>
      <c r="AD399" s="738"/>
      <c r="AE399" s="738"/>
      <c r="AF399" s="738"/>
      <c r="AG399" s="738"/>
      <c r="AH399" s="738"/>
      <c r="AI399" s="738"/>
      <c r="AJ399" s="738"/>
      <c r="AK399" s="738"/>
      <c r="AL399" s="738"/>
    </row>
    <row r="400">
      <c r="A400" s="738"/>
      <c r="B400" s="738"/>
      <c r="C400" s="738"/>
      <c r="D400" s="738"/>
      <c r="E400" s="738"/>
      <c r="F400" s="738"/>
      <c r="G400" s="738"/>
      <c r="H400" s="738"/>
      <c r="I400" s="738"/>
      <c r="J400" s="738"/>
      <c r="K400" s="738"/>
      <c r="L400" s="738"/>
      <c r="M400" s="738"/>
      <c r="N400" s="738"/>
      <c r="O400" s="738"/>
      <c r="P400" s="738"/>
      <c r="Q400" s="738"/>
      <c r="R400" s="738"/>
      <c r="S400" s="738"/>
      <c r="T400" s="738"/>
      <c r="U400" s="738"/>
      <c r="V400" s="738"/>
      <c r="W400" s="738"/>
      <c r="X400" s="738"/>
      <c r="Y400" s="738"/>
      <c r="Z400" s="738"/>
      <c r="AA400" s="738"/>
      <c r="AB400" s="738"/>
      <c r="AC400" s="738"/>
      <c r="AD400" s="738"/>
      <c r="AE400" s="738"/>
      <c r="AF400" s="738"/>
      <c r="AG400" s="738"/>
      <c r="AH400" s="738"/>
      <c r="AI400" s="738"/>
      <c r="AJ400" s="738"/>
      <c r="AK400" s="738"/>
      <c r="AL400" s="738"/>
    </row>
    <row r="401">
      <c r="A401" s="738"/>
      <c r="B401" s="738"/>
      <c r="C401" s="738"/>
      <c r="D401" s="738"/>
      <c r="E401" s="738"/>
      <c r="F401" s="738"/>
      <c r="G401" s="738"/>
      <c r="H401" s="738"/>
      <c r="I401" s="738"/>
      <c r="J401" s="738"/>
      <c r="K401" s="738"/>
      <c r="L401" s="738"/>
      <c r="M401" s="738"/>
      <c r="N401" s="738"/>
      <c r="O401" s="738"/>
      <c r="P401" s="738"/>
      <c r="Q401" s="738"/>
      <c r="R401" s="738"/>
      <c r="S401" s="738"/>
      <c r="T401" s="738"/>
      <c r="U401" s="738"/>
      <c r="V401" s="738"/>
      <c r="W401" s="738"/>
      <c r="X401" s="738"/>
      <c r="Y401" s="738"/>
      <c r="Z401" s="738"/>
      <c r="AA401" s="738"/>
      <c r="AB401" s="738"/>
      <c r="AC401" s="738"/>
      <c r="AD401" s="738"/>
      <c r="AE401" s="738"/>
      <c r="AF401" s="738"/>
      <c r="AG401" s="738"/>
      <c r="AH401" s="738"/>
      <c r="AI401" s="738"/>
      <c r="AJ401" s="738"/>
      <c r="AK401" s="738"/>
      <c r="AL401" s="738"/>
    </row>
    <row r="402">
      <c r="A402" s="738"/>
      <c r="B402" s="738"/>
      <c r="C402" s="738"/>
      <c r="D402" s="738"/>
      <c r="E402" s="738"/>
      <c r="F402" s="738"/>
      <c r="G402" s="738"/>
      <c r="H402" s="738"/>
      <c r="I402" s="738"/>
      <c r="J402" s="738"/>
      <c r="K402" s="738"/>
      <c r="L402" s="738"/>
      <c r="M402" s="738"/>
      <c r="N402" s="738"/>
      <c r="O402" s="738"/>
      <c r="P402" s="738"/>
      <c r="Q402" s="738"/>
      <c r="R402" s="738"/>
      <c r="S402" s="738"/>
      <c r="T402" s="738"/>
      <c r="U402" s="738"/>
      <c r="V402" s="738"/>
      <c r="W402" s="738"/>
      <c r="X402" s="738"/>
      <c r="Y402" s="738"/>
      <c r="Z402" s="738"/>
      <c r="AA402" s="738"/>
      <c r="AB402" s="738"/>
      <c r="AC402" s="738"/>
      <c r="AD402" s="738"/>
      <c r="AE402" s="738"/>
      <c r="AF402" s="738"/>
      <c r="AG402" s="738"/>
      <c r="AH402" s="738"/>
      <c r="AI402" s="738"/>
      <c r="AJ402" s="738"/>
      <c r="AK402" s="738"/>
      <c r="AL402" s="738"/>
    </row>
    <row r="403">
      <c r="A403" s="738"/>
      <c r="B403" s="738"/>
      <c r="C403" s="738"/>
      <c r="D403" s="738"/>
      <c r="E403" s="738"/>
      <c r="F403" s="738"/>
      <c r="G403" s="738"/>
      <c r="H403" s="738"/>
      <c r="I403" s="738"/>
      <c r="J403" s="738"/>
      <c r="K403" s="738"/>
      <c r="L403" s="738"/>
      <c r="M403" s="738"/>
      <c r="N403" s="738"/>
      <c r="O403" s="738"/>
      <c r="P403" s="738"/>
      <c r="Q403" s="738"/>
      <c r="R403" s="738"/>
      <c r="S403" s="738"/>
      <c r="T403" s="738"/>
      <c r="U403" s="738"/>
      <c r="V403" s="738"/>
      <c r="W403" s="738"/>
      <c r="X403" s="738"/>
      <c r="Y403" s="738"/>
      <c r="Z403" s="738"/>
      <c r="AA403" s="738"/>
      <c r="AB403" s="738"/>
      <c r="AC403" s="738"/>
      <c r="AD403" s="738"/>
      <c r="AE403" s="738"/>
      <c r="AF403" s="738"/>
      <c r="AG403" s="738"/>
      <c r="AH403" s="738"/>
      <c r="AI403" s="738"/>
      <c r="AJ403" s="738"/>
      <c r="AK403" s="738"/>
      <c r="AL403" s="738"/>
    </row>
    <row r="404">
      <c r="A404" s="738"/>
      <c r="B404" s="738"/>
      <c r="C404" s="738"/>
      <c r="D404" s="738"/>
      <c r="E404" s="738"/>
      <c r="F404" s="738"/>
      <c r="G404" s="738"/>
      <c r="H404" s="738"/>
      <c r="I404" s="738"/>
      <c r="J404" s="738"/>
      <c r="K404" s="738"/>
      <c r="L404" s="738"/>
      <c r="M404" s="738"/>
      <c r="N404" s="738"/>
      <c r="O404" s="738"/>
      <c r="P404" s="738"/>
      <c r="Q404" s="738"/>
      <c r="R404" s="738"/>
      <c r="S404" s="738"/>
      <c r="T404" s="738"/>
      <c r="U404" s="738"/>
      <c r="V404" s="738"/>
      <c r="W404" s="738"/>
      <c r="X404" s="738"/>
      <c r="Y404" s="738"/>
      <c r="Z404" s="738"/>
      <c r="AA404" s="738"/>
      <c r="AB404" s="738"/>
      <c r="AC404" s="738"/>
      <c r="AD404" s="738"/>
      <c r="AE404" s="738"/>
      <c r="AF404" s="738"/>
      <c r="AG404" s="738"/>
      <c r="AH404" s="738"/>
      <c r="AI404" s="738"/>
      <c r="AJ404" s="738"/>
      <c r="AK404" s="738"/>
      <c r="AL404" s="738"/>
    </row>
    <row r="405">
      <c r="A405" s="738"/>
      <c r="B405" s="738"/>
      <c r="C405" s="738"/>
      <c r="D405" s="738"/>
      <c r="E405" s="738"/>
      <c r="F405" s="738"/>
      <c r="G405" s="738"/>
      <c r="H405" s="738"/>
      <c r="I405" s="738"/>
      <c r="J405" s="738"/>
      <c r="K405" s="738"/>
      <c r="L405" s="738"/>
      <c r="M405" s="738"/>
      <c r="N405" s="738"/>
      <c r="O405" s="738"/>
      <c r="P405" s="738"/>
      <c r="Q405" s="738"/>
      <c r="R405" s="738"/>
      <c r="S405" s="738"/>
      <c r="T405" s="738"/>
      <c r="U405" s="738"/>
      <c r="V405" s="738"/>
      <c r="W405" s="738"/>
      <c r="X405" s="738"/>
      <c r="Y405" s="738"/>
      <c r="Z405" s="738"/>
      <c r="AA405" s="738"/>
      <c r="AB405" s="738"/>
      <c r="AC405" s="738"/>
      <c r="AD405" s="738"/>
      <c r="AE405" s="738"/>
      <c r="AF405" s="738"/>
      <c r="AG405" s="738"/>
      <c r="AH405" s="738"/>
      <c r="AI405" s="738"/>
      <c r="AJ405" s="738"/>
      <c r="AK405" s="738"/>
      <c r="AL405" s="738"/>
    </row>
    <row r="406">
      <c r="A406" s="738"/>
      <c r="B406" s="738"/>
      <c r="C406" s="738"/>
      <c r="D406" s="738"/>
      <c r="E406" s="738"/>
      <c r="F406" s="738"/>
      <c r="G406" s="738"/>
      <c r="H406" s="738"/>
      <c r="I406" s="738"/>
      <c r="J406" s="738"/>
      <c r="K406" s="738"/>
      <c r="L406" s="738"/>
      <c r="M406" s="738"/>
      <c r="N406" s="738"/>
      <c r="O406" s="738"/>
      <c r="P406" s="738"/>
      <c r="Q406" s="738"/>
      <c r="R406" s="738"/>
      <c r="S406" s="738"/>
      <c r="T406" s="738"/>
      <c r="U406" s="738"/>
      <c r="V406" s="738"/>
      <c r="W406" s="738"/>
      <c r="X406" s="738"/>
      <c r="Y406" s="738"/>
      <c r="Z406" s="738"/>
      <c r="AA406" s="738"/>
      <c r="AB406" s="738"/>
      <c r="AC406" s="738"/>
      <c r="AD406" s="738"/>
      <c r="AE406" s="738"/>
      <c r="AF406" s="738"/>
      <c r="AG406" s="738"/>
      <c r="AH406" s="738"/>
      <c r="AI406" s="738"/>
      <c r="AJ406" s="738"/>
      <c r="AK406" s="738"/>
      <c r="AL406" s="738"/>
    </row>
    <row r="407">
      <c r="A407" s="738"/>
      <c r="B407" s="738"/>
      <c r="C407" s="738"/>
      <c r="D407" s="738"/>
      <c r="E407" s="738"/>
      <c r="F407" s="738"/>
      <c r="G407" s="738"/>
      <c r="H407" s="738"/>
      <c r="I407" s="738"/>
      <c r="J407" s="738"/>
      <c r="K407" s="738"/>
      <c r="L407" s="738"/>
      <c r="M407" s="738"/>
      <c r="N407" s="738"/>
      <c r="O407" s="738"/>
      <c r="P407" s="738"/>
      <c r="Q407" s="738"/>
      <c r="R407" s="738"/>
      <c r="S407" s="738"/>
      <c r="T407" s="738"/>
      <c r="U407" s="738"/>
      <c r="V407" s="738"/>
      <c r="W407" s="738"/>
      <c r="X407" s="738"/>
      <c r="Y407" s="738"/>
      <c r="Z407" s="738"/>
      <c r="AA407" s="738"/>
      <c r="AB407" s="738"/>
      <c r="AC407" s="738"/>
      <c r="AD407" s="738"/>
      <c r="AE407" s="738"/>
      <c r="AF407" s="738"/>
      <c r="AG407" s="738"/>
      <c r="AH407" s="738"/>
      <c r="AI407" s="738"/>
      <c r="AJ407" s="738"/>
      <c r="AK407" s="738"/>
      <c r="AL407" s="738"/>
    </row>
    <row r="408">
      <c r="A408" s="738"/>
      <c r="B408" s="738"/>
      <c r="C408" s="738"/>
      <c r="D408" s="738"/>
      <c r="E408" s="738"/>
      <c r="F408" s="738"/>
      <c r="G408" s="738"/>
      <c r="H408" s="738"/>
      <c r="I408" s="738"/>
      <c r="J408" s="738"/>
      <c r="K408" s="738"/>
      <c r="L408" s="738"/>
      <c r="M408" s="738"/>
      <c r="N408" s="738"/>
      <c r="O408" s="738"/>
      <c r="P408" s="738"/>
      <c r="Q408" s="738"/>
      <c r="R408" s="738"/>
      <c r="S408" s="738"/>
      <c r="T408" s="738"/>
      <c r="U408" s="738"/>
      <c r="V408" s="738"/>
      <c r="W408" s="738"/>
      <c r="X408" s="738"/>
      <c r="Y408" s="738"/>
      <c r="Z408" s="738"/>
      <c r="AA408" s="738"/>
      <c r="AB408" s="738"/>
      <c r="AC408" s="738"/>
      <c r="AD408" s="738"/>
      <c r="AE408" s="738"/>
      <c r="AF408" s="738"/>
      <c r="AG408" s="738"/>
      <c r="AH408" s="738"/>
      <c r="AI408" s="738"/>
      <c r="AJ408" s="738"/>
      <c r="AK408" s="738"/>
      <c r="AL408" s="738"/>
    </row>
    <row r="409">
      <c r="A409" s="738"/>
      <c r="B409" s="738"/>
      <c r="C409" s="738"/>
      <c r="D409" s="738"/>
      <c r="E409" s="738"/>
      <c r="F409" s="738"/>
      <c r="G409" s="738"/>
      <c r="H409" s="738"/>
      <c r="I409" s="738"/>
      <c r="J409" s="738"/>
      <c r="K409" s="738"/>
      <c r="L409" s="738"/>
      <c r="M409" s="738"/>
      <c r="N409" s="738"/>
      <c r="O409" s="738"/>
      <c r="P409" s="738"/>
      <c r="Q409" s="738"/>
      <c r="R409" s="738"/>
      <c r="S409" s="738"/>
      <c r="T409" s="738"/>
      <c r="U409" s="738"/>
      <c r="V409" s="738"/>
      <c r="W409" s="738"/>
      <c r="X409" s="738"/>
      <c r="Y409" s="738"/>
      <c r="Z409" s="738"/>
      <c r="AA409" s="738"/>
      <c r="AB409" s="738"/>
      <c r="AC409" s="738"/>
      <c r="AD409" s="738"/>
      <c r="AE409" s="738"/>
      <c r="AF409" s="738"/>
      <c r="AG409" s="738"/>
      <c r="AH409" s="738"/>
      <c r="AI409" s="738"/>
      <c r="AJ409" s="738"/>
      <c r="AK409" s="738"/>
      <c r="AL409" s="738"/>
    </row>
    <row r="410">
      <c r="A410" s="738"/>
      <c r="B410" s="738"/>
      <c r="C410" s="738"/>
      <c r="D410" s="738"/>
      <c r="E410" s="738"/>
      <c r="F410" s="738"/>
      <c r="G410" s="738"/>
      <c r="H410" s="738"/>
      <c r="I410" s="738"/>
      <c r="J410" s="738"/>
      <c r="K410" s="738"/>
      <c r="L410" s="738"/>
      <c r="M410" s="738"/>
      <c r="N410" s="738"/>
      <c r="O410" s="738"/>
      <c r="P410" s="738"/>
      <c r="Q410" s="738"/>
      <c r="R410" s="738"/>
      <c r="S410" s="738"/>
      <c r="T410" s="738"/>
      <c r="U410" s="738"/>
      <c r="V410" s="738"/>
      <c r="W410" s="738"/>
      <c r="X410" s="738"/>
      <c r="Y410" s="738"/>
      <c r="Z410" s="738"/>
      <c r="AA410" s="738"/>
      <c r="AB410" s="738"/>
      <c r="AC410" s="738"/>
      <c r="AD410" s="738"/>
      <c r="AE410" s="738"/>
      <c r="AF410" s="738"/>
      <c r="AG410" s="738"/>
      <c r="AH410" s="738"/>
      <c r="AI410" s="738"/>
      <c r="AJ410" s="738"/>
      <c r="AK410" s="738"/>
      <c r="AL410" s="738"/>
    </row>
    <row r="411">
      <c r="A411" s="738"/>
      <c r="B411" s="738"/>
      <c r="C411" s="738"/>
      <c r="D411" s="738"/>
      <c r="E411" s="738"/>
      <c r="F411" s="738"/>
      <c r="G411" s="738"/>
      <c r="H411" s="738"/>
      <c r="I411" s="738"/>
      <c r="J411" s="738"/>
      <c r="K411" s="738"/>
      <c r="L411" s="738"/>
      <c r="M411" s="738"/>
      <c r="N411" s="738"/>
      <c r="O411" s="738"/>
      <c r="P411" s="738"/>
      <c r="Q411" s="738"/>
      <c r="R411" s="738"/>
      <c r="S411" s="738"/>
      <c r="T411" s="738"/>
      <c r="U411" s="738"/>
      <c r="V411" s="738"/>
      <c r="W411" s="738"/>
      <c r="X411" s="738"/>
      <c r="Y411" s="738"/>
      <c r="Z411" s="738"/>
      <c r="AA411" s="738"/>
      <c r="AB411" s="738"/>
      <c r="AC411" s="738"/>
      <c r="AD411" s="738"/>
      <c r="AE411" s="738"/>
      <c r="AF411" s="738"/>
      <c r="AG411" s="738"/>
      <c r="AH411" s="738"/>
      <c r="AI411" s="738"/>
      <c r="AJ411" s="738"/>
      <c r="AK411" s="738"/>
      <c r="AL411" s="738"/>
    </row>
    <row r="412">
      <c r="A412" s="738"/>
      <c r="B412" s="738"/>
      <c r="C412" s="738"/>
      <c r="D412" s="738"/>
      <c r="E412" s="738"/>
      <c r="F412" s="738"/>
      <c r="G412" s="738"/>
      <c r="H412" s="738"/>
      <c r="I412" s="738"/>
      <c r="J412" s="738"/>
      <c r="K412" s="738"/>
      <c r="L412" s="738"/>
      <c r="M412" s="738"/>
      <c r="N412" s="738"/>
      <c r="O412" s="738"/>
      <c r="P412" s="738"/>
      <c r="Q412" s="738"/>
      <c r="R412" s="738"/>
      <c r="S412" s="738"/>
      <c r="T412" s="738"/>
      <c r="U412" s="738"/>
      <c r="V412" s="738"/>
      <c r="W412" s="738"/>
      <c r="X412" s="738"/>
      <c r="Y412" s="738"/>
      <c r="Z412" s="738"/>
      <c r="AA412" s="738"/>
      <c r="AB412" s="738"/>
      <c r="AC412" s="738"/>
      <c r="AD412" s="738"/>
      <c r="AE412" s="738"/>
      <c r="AF412" s="738"/>
      <c r="AG412" s="738"/>
      <c r="AH412" s="738"/>
      <c r="AI412" s="738"/>
      <c r="AJ412" s="738"/>
      <c r="AK412" s="738"/>
      <c r="AL412" s="738"/>
    </row>
    <row r="413">
      <c r="A413" s="738"/>
      <c r="B413" s="738"/>
      <c r="C413" s="738"/>
      <c r="D413" s="738"/>
      <c r="E413" s="738"/>
      <c r="F413" s="738"/>
      <c r="G413" s="738"/>
      <c r="H413" s="738"/>
      <c r="I413" s="738"/>
      <c r="J413" s="738"/>
      <c r="K413" s="738"/>
      <c r="L413" s="738"/>
      <c r="M413" s="738"/>
      <c r="N413" s="738"/>
      <c r="O413" s="738"/>
      <c r="P413" s="738"/>
      <c r="Q413" s="738"/>
      <c r="R413" s="738"/>
      <c r="S413" s="738"/>
      <c r="T413" s="738"/>
      <c r="U413" s="738"/>
      <c r="V413" s="738"/>
      <c r="W413" s="738"/>
      <c r="X413" s="738"/>
      <c r="Y413" s="738"/>
      <c r="Z413" s="738"/>
      <c r="AA413" s="738"/>
      <c r="AB413" s="738"/>
      <c r="AC413" s="738"/>
      <c r="AD413" s="738"/>
      <c r="AE413" s="738"/>
      <c r="AF413" s="738"/>
      <c r="AG413" s="738"/>
      <c r="AH413" s="738"/>
      <c r="AI413" s="738"/>
      <c r="AJ413" s="738"/>
      <c r="AK413" s="738"/>
      <c r="AL413" s="738"/>
    </row>
    <row r="414">
      <c r="A414" s="738"/>
      <c r="B414" s="738"/>
      <c r="C414" s="738"/>
      <c r="D414" s="738"/>
      <c r="E414" s="738"/>
      <c r="F414" s="738"/>
      <c r="G414" s="738"/>
      <c r="H414" s="738"/>
      <c r="I414" s="738"/>
      <c r="J414" s="738"/>
      <c r="K414" s="738"/>
      <c r="L414" s="738"/>
      <c r="M414" s="738"/>
      <c r="N414" s="738"/>
      <c r="O414" s="738"/>
      <c r="P414" s="738"/>
      <c r="Q414" s="738"/>
      <c r="R414" s="738"/>
      <c r="S414" s="738"/>
      <c r="T414" s="738"/>
      <c r="U414" s="738"/>
      <c r="V414" s="738"/>
      <c r="W414" s="738"/>
      <c r="X414" s="738"/>
      <c r="Y414" s="738"/>
      <c r="Z414" s="738"/>
      <c r="AA414" s="738"/>
      <c r="AB414" s="738"/>
      <c r="AC414" s="738"/>
      <c r="AD414" s="738"/>
      <c r="AE414" s="738"/>
      <c r="AF414" s="738"/>
      <c r="AG414" s="738"/>
      <c r="AH414" s="738"/>
      <c r="AI414" s="738"/>
      <c r="AJ414" s="738"/>
      <c r="AK414" s="738"/>
      <c r="AL414" s="738"/>
    </row>
    <row r="415">
      <c r="A415" s="738"/>
      <c r="B415" s="738"/>
      <c r="C415" s="738"/>
      <c r="D415" s="738"/>
      <c r="E415" s="738"/>
      <c r="F415" s="738"/>
      <c r="G415" s="738"/>
      <c r="H415" s="738"/>
      <c r="I415" s="738"/>
      <c r="J415" s="738"/>
      <c r="K415" s="738"/>
      <c r="L415" s="738"/>
      <c r="M415" s="738"/>
      <c r="N415" s="738"/>
      <c r="O415" s="738"/>
      <c r="P415" s="738"/>
      <c r="Q415" s="738"/>
      <c r="R415" s="738"/>
      <c r="S415" s="738"/>
      <c r="T415" s="738"/>
      <c r="U415" s="738"/>
      <c r="V415" s="738"/>
      <c r="W415" s="738"/>
      <c r="X415" s="738"/>
      <c r="Y415" s="738"/>
      <c r="Z415" s="738"/>
      <c r="AA415" s="738"/>
      <c r="AB415" s="738"/>
      <c r="AC415" s="738"/>
      <c r="AD415" s="738"/>
      <c r="AE415" s="738"/>
      <c r="AF415" s="738"/>
      <c r="AG415" s="738"/>
      <c r="AH415" s="738"/>
      <c r="AI415" s="738"/>
      <c r="AJ415" s="738"/>
      <c r="AK415" s="738"/>
      <c r="AL415" s="738"/>
    </row>
    <row r="416">
      <c r="A416" s="738"/>
      <c r="B416" s="738"/>
      <c r="C416" s="738"/>
      <c r="D416" s="738"/>
      <c r="E416" s="738"/>
      <c r="F416" s="738"/>
      <c r="G416" s="738"/>
      <c r="H416" s="738"/>
      <c r="I416" s="738"/>
      <c r="J416" s="738"/>
      <c r="K416" s="738"/>
      <c r="L416" s="738"/>
      <c r="M416" s="738"/>
      <c r="N416" s="738"/>
      <c r="O416" s="738"/>
      <c r="P416" s="738"/>
      <c r="Q416" s="738"/>
      <c r="R416" s="738"/>
      <c r="S416" s="738"/>
      <c r="T416" s="738"/>
      <c r="U416" s="738"/>
      <c r="V416" s="738"/>
      <c r="W416" s="738"/>
      <c r="X416" s="738"/>
      <c r="Y416" s="738"/>
      <c r="Z416" s="738"/>
      <c r="AA416" s="738"/>
      <c r="AB416" s="738"/>
      <c r="AC416" s="738"/>
      <c r="AD416" s="738"/>
      <c r="AE416" s="738"/>
      <c r="AF416" s="738"/>
      <c r="AG416" s="738"/>
      <c r="AH416" s="738"/>
      <c r="AI416" s="738"/>
      <c r="AJ416" s="738"/>
      <c r="AK416" s="738"/>
      <c r="AL416" s="738"/>
    </row>
    <row r="417">
      <c r="A417" s="738"/>
      <c r="B417" s="738"/>
      <c r="C417" s="738"/>
      <c r="D417" s="738"/>
      <c r="E417" s="738"/>
      <c r="F417" s="738"/>
      <c r="G417" s="738"/>
      <c r="H417" s="738"/>
      <c r="I417" s="738"/>
      <c r="J417" s="738"/>
      <c r="K417" s="738"/>
      <c r="L417" s="738"/>
      <c r="M417" s="738"/>
      <c r="N417" s="738"/>
      <c r="O417" s="738"/>
      <c r="P417" s="738"/>
      <c r="Q417" s="738"/>
      <c r="R417" s="738"/>
      <c r="S417" s="738"/>
      <c r="T417" s="738"/>
      <c r="U417" s="738"/>
      <c r="V417" s="738"/>
      <c r="W417" s="738"/>
      <c r="X417" s="738"/>
      <c r="Y417" s="738"/>
      <c r="Z417" s="738"/>
      <c r="AA417" s="738"/>
      <c r="AB417" s="738"/>
      <c r="AC417" s="738"/>
      <c r="AD417" s="738"/>
      <c r="AE417" s="738"/>
      <c r="AF417" s="738"/>
      <c r="AG417" s="738"/>
      <c r="AH417" s="738"/>
      <c r="AI417" s="738"/>
      <c r="AJ417" s="738"/>
      <c r="AK417" s="738"/>
      <c r="AL417" s="738"/>
    </row>
    <row r="418">
      <c r="A418" s="738"/>
      <c r="B418" s="738"/>
      <c r="C418" s="738"/>
      <c r="D418" s="738"/>
      <c r="E418" s="738"/>
      <c r="F418" s="738"/>
      <c r="G418" s="738"/>
      <c r="H418" s="738"/>
      <c r="I418" s="738"/>
      <c r="J418" s="738"/>
      <c r="K418" s="738"/>
      <c r="L418" s="738"/>
      <c r="M418" s="738"/>
      <c r="N418" s="738"/>
      <c r="O418" s="738"/>
      <c r="P418" s="738"/>
      <c r="Q418" s="738"/>
      <c r="R418" s="738"/>
      <c r="S418" s="738"/>
      <c r="T418" s="738"/>
      <c r="U418" s="738"/>
      <c r="V418" s="738"/>
      <c r="W418" s="738"/>
      <c r="X418" s="738"/>
      <c r="Y418" s="738"/>
      <c r="Z418" s="738"/>
      <c r="AA418" s="738"/>
      <c r="AB418" s="738"/>
      <c r="AC418" s="738"/>
      <c r="AD418" s="738"/>
      <c r="AE418" s="738"/>
      <c r="AF418" s="738"/>
      <c r="AG418" s="738"/>
      <c r="AH418" s="738"/>
      <c r="AI418" s="738"/>
      <c r="AJ418" s="738"/>
      <c r="AK418" s="738"/>
      <c r="AL418" s="738"/>
    </row>
    <row r="419">
      <c r="A419" s="738"/>
      <c r="B419" s="738"/>
      <c r="C419" s="738"/>
      <c r="D419" s="738"/>
      <c r="E419" s="738"/>
      <c r="F419" s="738"/>
      <c r="G419" s="738"/>
      <c r="H419" s="738"/>
      <c r="I419" s="738"/>
      <c r="J419" s="738"/>
      <c r="K419" s="738"/>
      <c r="L419" s="738"/>
      <c r="M419" s="738"/>
      <c r="N419" s="738"/>
      <c r="O419" s="738"/>
      <c r="P419" s="738"/>
      <c r="Q419" s="738"/>
      <c r="R419" s="738"/>
      <c r="S419" s="738"/>
      <c r="T419" s="738"/>
      <c r="U419" s="738"/>
      <c r="V419" s="738"/>
      <c r="W419" s="738"/>
      <c r="X419" s="738"/>
      <c r="Y419" s="738"/>
      <c r="Z419" s="738"/>
      <c r="AA419" s="738"/>
      <c r="AB419" s="738"/>
      <c r="AC419" s="738"/>
      <c r="AD419" s="738"/>
      <c r="AE419" s="738"/>
      <c r="AF419" s="738"/>
      <c r="AG419" s="738"/>
      <c r="AH419" s="738"/>
      <c r="AI419" s="738"/>
      <c r="AJ419" s="738"/>
      <c r="AK419" s="738"/>
      <c r="AL419" s="738"/>
    </row>
    <row r="420">
      <c r="A420" s="738"/>
      <c r="B420" s="738"/>
      <c r="C420" s="738"/>
      <c r="D420" s="738"/>
      <c r="E420" s="738"/>
      <c r="F420" s="738"/>
      <c r="G420" s="738"/>
      <c r="H420" s="738"/>
      <c r="I420" s="738"/>
      <c r="J420" s="738"/>
      <c r="K420" s="738"/>
      <c r="L420" s="738"/>
      <c r="M420" s="738"/>
      <c r="N420" s="738"/>
      <c r="O420" s="738"/>
      <c r="P420" s="738"/>
      <c r="Q420" s="738"/>
      <c r="R420" s="738"/>
      <c r="S420" s="738"/>
      <c r="T420" s="738"/>
      <c r="U420" s="738"/>
      <c r="V420" s="738"/>
      <c r="W420" s="738"/>
      <c r="X420" s="738"/>
      <c r="Y420" s="738"/>
      <c r="Z420" s="738"/>
      <c r="AA420" s="738"/>
      <c r="AB420" s="738"/>
      <c r="AC420" s="738"/>
      <c r="AD420" s="738"/>
      <c r="AE420" s="738"/>
      <c r="AF420" s="738"/>
      <c r="AG420" s="738"/>
      <c r="AH420" s="738"/>
      <c r="AI420" s="738"/>
      <c r="AJ420" s="738"/>
      <c r="AK420" s="738"/>
      <c r="AL420" s="738"/>
    </row>
    <row r="421">
      <c r="A421" s="738"/>
      <c r="B421" s="738"/>
      <c r="C421" s="738"/>
      <c r="D421" s="738"/>
      <c r="E421" s="738"/>
      <c r="F421" s="738"/>
      <c r="G421" s="738"/>
      <c r="H421" s="738"/>
      <c r="I421" s="738"/>
      <c r="J421" s="738"/>
      <c r="K421" s="738"/>
      <c r="L421" s="738"/>
      <c r="M421" s="738"/>
      <c r="N421" s="738"/>
      <c r="O421" s="738"/>
      <c r="P421" s="738"/>
      <c r="Q421" s="738"/>
      <c r="R421" s="738"/>
      <c r="S421" s="738"/>
      <c r="T421" s="738"/>
      <c r="U421" s="738"/>
      <c r="V421" s="738"/>
      <c r="W421" s="738"/>
      <c r="X421" s="738"/>
      <c r="Y421" s="738"/>
      <c r="Z421" s="738"/>
      <c r="AA421" s="738"/>
      <c r="AB421" s="738"/>
      <c r="AC421" s="738"/>
      <c r="AD421" s="738"/>
      <c r="AE421" s="738"/>
      <c r="AF421" s="738"/>
      <c r="AG421" s="738"/>
      <c r="AH421" s="738"/>
      <c r="AI421" s="738"/>
      <c r="AJ421" s="738"/>
      <c r="AK421" s="738"/>
      <c r="AL421" s="738"/>
    </row>
    <row r="422">
      <c r="A422" s="738"/>
      <c r="B422" s="738"/>
      <c r="C422" s="738"/>
      <c r="D422" s="738"/>
      <c r="E422" s="738"/>
      <c r="F422" s="738"/>
      <c r="G422" s="738"/>
      <c r="H422" s="738"/>
      <c r="I422" s="738"/>
      <c r="J422" s="738"/>
      <c r="K422" s="738"/>
      <c r="L422" s="738"/>
      <c r="M422" s="738"/>
      <c r="N422" s="738"/>
      <c r="O422" s="738"/>
      <c r="P422" s="738"/>
      <c r="Q422" s="738"/>
      <c r="R422" s="738"/>
      <c r="S422" s="738"/>
      <c r="T422" s="738"/>
      <c r="U422" s="738"/>
      <c r="V422" s="738"/>
      <c r="W422" s="738"/>
      <c r="X422" s="738"/>
      <c r="Y422" s="738"/>
      <c r="Z422" s="738"/>
      <c r="AA422" s="738"/>
      <c r="AB422" s="738"/>
      <c r="AC422" s="738"/>
      <c r="AD422" s="738"/>
      <c r="AE422" s="738"/>
      <c r="AF422" s="738"/>
      <c r="AG422" s="738"/>
      <c r="AH422" s="738"/>
      <c r="AI422" s="738"/>
      <c r="AJ422" s="738"/>
      <c r="AK422" s="738"/>
      <c r="AL422" s="738"/>
    </row>
    <row r="423">
      <c r="A423" s="738"/>
      <c r="B423" s="738"/>
      <c r="C423" s="738"/>
      <c r="D423" s="738"/>
      <c r="E423" s="738"/>
      <c r="F423" s="738"/>
      <c r="G423" s="738"/>
      <c r="H423" s="738"/>
      <c r="I423" s="738"/>
      <c r="J423" s="738"/>
      <c r="K423" s="738"/>
      <c r="L423" s="738"/>
      <c r="M423" s="738"/>
      <c r="N423" s="738"/>
      <c r="O423" s="738"/>
      <c r="P423" s="738"/>
      <c r="Q423" s="738"/>
      <c r="R423" s="738"/>
      <c r="S423" s="738"/>
      <c r="T423" s="738"/>
      <c r="U423" s="738"/>
      <c r="V423" s="738"/>
      <c r="W423" s="738"/>
      <c r="X423" s="738"/>
      <c r="Y423" s="738"/>
      <c r="Z423" s="738"/>
      <c r="AA423" s="738"/>
      <c r="AB423" s="738"/>
      <c r="AC423" s="738"/>
      <c r="AD423" s="738"/>
      <c r="AE423" s="738"/>
      <c r="AF423" s="738"/>
      <c r="AG423" s="738"/>
      <c r="AH423" s="738"/>
      <c r="AI423" s="738"/>
      <c r="AJ423" s="738"/>
      <c r="AK423" s="738"/>
      <c r="AL423" s="738"/>
    </row>
    <row r="424">
      <c r="A424" s="738"/>
      <c r="B424" s="738"/>
      <c r="C424" s="738"/>
      <c r="D424" s="738"/>
      <c r="E424" s="738"/>
      <c r="F424" s="738"/>
      <c r="G424" s="738"/>
      <c r="H424" s="738"/>
      <c r="I424" s="738"/>
      <c r="J424" s="738"/>
      <c r="K424" s="738"/>
      <c r="L424" s="738"/>
      <c r="M424" s="738"/>
      <c r="N424" s="738"/>
      <c r="O424" s="738"/>
      <c r="P424" s="738"/>
      <c r="Q424" s="738"/>
      <c r="R424" s="738"/>
      <c r="S424" s="738"/>
      <c r="T424" s="738"/>
      <c r="U424" s="738"/>
      <c r="V424" s="738"/>
      <c r="W424" s="738"/>
      <c r="X424" s="738"/>
      <c r="Y424" s="738"/>
      <c r="Z424" s="738"/>
      <c r="AA424" s="738"/>
      <c r="AB424" s="738"/>
      <c r="AC424" s="738"/>
      <c r="AD424" s="738"/>
      <c r="AE424" s="738"/>
      <c r="AF424" s="738"/>
      <c r="AG424" s="738"/>
      <c r="AH424" s="738"/>
      <c r="AI424" s="738"/>
      <c r="AJ424" s="738"/>
      <c r="AK424" s="738"/>
      <c r="AL424" s="738"/>
    </row>
    <row r="425">
      <c r="A425" s="738"/>
      <c r="B425" s="738"/>
      <c r="C425" s="738"/>
      <c r="D425" s="738"/>
      <c r="E425" s="738"/>
      <c r="F425" s="738"/>
      <c r="G425" s="738"/>
      <c r="H425" s="738"/>
      <c r="I425" s="738"/>
      <c r="J425" s="738"/>
      <c r="K425" s="738"/>
      <c r="L425" s="738"/>
      <c r="M425" s="738"/>
      <c r="N425" s="738"/>
      <c r="O425" s="738"/>
      <c r="P425" s="738"/>
      <c r="Q425" s="738"/>
      <c r="R425" s="738"/>
      <c r="S425" s="738"/>
      <c r="T425" s="738"/>
      <c r="U425" s="738"/>
      <c r="V425" s="738"/>
      <c r="W425" s="738"/>
      <c r="X425" s="738"/>
      <c r="Y425" s="738"/>
      <c r="Z425" s="738"/>
      <c r="AA425" s="738"/>
      <c r="AB425" s="738"/>
      <c r="AC425" s="738"/>
      <c r="AD425" s="738"/>
      <c r="AE425" s="738"/>
      <c r="AF425" s="738"/>
      <c r="AG425" s="738"/>
      <c r="AH425" s="738"/>
      <c r="AI425" s="738"/>
      <c r="AJ425" s="738"/>
      <c r="AK425" s="738"/>
      <c r="AL425" s="738"/>
    </row>
    <row r="426">
      <c r="A426" s="738"/>
      <c r="B426" s="738"/>
      <c r="C426" s="738"/>
      <c r="D426" s="738"/>
      <c r="E426" s="738"/>
      <c r="F426" s="738"/>
      <c r="G426" s="738"/>
      <c r="H426" s="738"/>
      <c r="I426" s="738"/>
      <c r="J426" s="738"/>
      <c r="K426" s="738"/>
      <c r="L426" s="738"/>
      <c r="M426" s="738"/>
      <c r="N426" s="738"/>
      <c r="O426" s="738"/>
      <c r="P426" s="738"/>
      <c r="Q426" s="738"/>
      <c r="R426" s="738"/>
      <c r="S426" s="738"/>
      <c r="T426" s="738"/>
      <c r="U426" s="738"/>
      <c r="V426" s="738"/>
      <c r="W426" s="738"/>
      <c r="X426" s="738"/>
      <c r="Y426" s="738"/>
      <c r="Z426" s="738"/>
      <c r="AA426" s="738"/>
      <c r="AB426" s="738"/>
      <c r="AC426" s="738"/>
      <c r="AD426" s="738"/>
      <c r="AE426" s="738"/>
      <c r="AF426" s="738"/>
      <c r="AG426" s="738"/>
      <c r="AH426" s="738"/>
      <c r="AI426" s="738"/>
      <c r="AJ426" s="738"/>
      <c r="AK426" s="738"/>
      <c r="AL426" s="738"/>
    </row>
    <row r="427">
      <c r="A427" s="738"/>
      <c r="B427" s="738"/>
      <c r="C427" s="738"/>
      <c r="D427" s="738"/>
      <c r="E427" s="738"/>
      <c r="F427" s="738"/>
      <c r="G427" s="738"/>
      <c r="H427" s="738"/>
      <c r="I427" s="738"/>
      <c r="J427" s="738"/>
      <c r="K427" s="738"/>
      <c r="L427" s="738"/>
      <c r="M427" s="738"/>
      <c r="N427" s="738"/>
      <c r="O427" s="738"/>
      <c r="P427" s="738"/>
      <c r="Q427" s="738"/>
      <c r="R427" s="738"/>
      <c r="S427" s="738"/>
      <c r="T427" s="738"/>
      <c r="U427" s="738"/>
      <c r="V427" s="738"/>
      <c r="W427" s="738"/>
      <c r="X427" s="738"/>
      <c r="Y427" s="738"/>
      <c r="Z427" s="738"/>
      <c r="AA427" s="738"/>
      <c r="AB427" s="738"/>
      <c r="AC427" s="738"/>
      <c r="AD427" s="738"/>
      <c r="AE427" s="738"/>
      <c r="AF427" s="738"/>
      <c r="AG427" s="738"/>
      <c r="AH427" s="738"/>
      <c r="AI427" s="738"/>
      <c r="AJ427" s="738"/>
      <c r="AK427" s="738"/>
      <c r="AL427" s="738"/>
    </row>
    <row r="428">
      <c r="A428" s="738"/>
      <c r="B428" s="738"/>
      <c r="C428" s="738"/>
      <c r="D428" s="738"/>
      <c r="E428" s="738"/>
      <c r="F428" s="738"/>
      <c r="G428" s="738"/>
      <c r="H428" s="738"/>
      <c r="I428" s="738"/>
      <c r="J428" s="738"/>
      <c r="K428" s="738"/>
      <c r="L428" s="738"/>
      <c r="M428" s="738"/>
      <c r="N428" s="738"/>
      <c r="O428" s="738"/>
      <c r="P428" s="738"/>
      <c r="Q428" s="738"/>
      <c r="R428" s="738"/>
      <c r="S428" s="738"/>
      <c r="T428" s="738"/>
      <c r="U428" s="738"/>
      <c r="V428" s="738"/>
      <c r="W428" s="738"/>
      <c r="X428" s="738"/>
      <c r="Y428" s="738"/>
      <c r="Z428" s="738"/>
      <c r="AA428" s="738"/>
      <c r="AB428" s="738"/>
      <c r="AC428" s="738"/>
      <c r="AD428" s="738"/>
      <c r="AE428" s="738"/>
      <c r="AF428" s="738"/>
      <c r="AG428" s="738"/>
      <c r="AH428" s="738"/>
      <c r="AI428" s="738"/>
      <c r="AJ428" s="738"/>
      <c r="AK428" s="738"/>
      <c r="AL428" s="738"/>
    </row>
    <row r="429">
      <c r="A429" s="738"/>
      <c r="B429" s="738"/>
      <c r="C429" s="738"/>
      <c r="D429" s="738"/>
      <c r="E429" s="738"/>
      <c r="F429" s="738"/>
      <c r="G429" s="738"/>
      <c r="H429" s="738"/>
      <c r="I429" s="738"/>
      <c r="J429" s="738"/>
      <c r="K429" s="738"/>
      <c r="L429" s="738"/>
      <c r="M429" s="738"/>
      <c r="N429" s="738"/>
      <c r="O429" s="738"/>
      <c r="P429" s="738"/>
      <c r="Q429" s="738"/>
      <c r="R429" s="738"/>
      <c r="S429" s="738"/>
      <c r="T429" s="738"/>
      <c r="U429" s="738"/>
      <c r="V429" s="738"/>
      <c r="W429" s="738"/>
      <c r="X429" s="738"/>
      <c r="Y429" s="738"/>
      <c r="Z429" s="738"/>
      <c r="AA429" s="738"/>
      <c r="AB429" s="738"/>
      <c r="AC429" s="738"/>
      <c r="AD429" s="738"/>
      <c r="AE429" s="738"/>
      <c r="AF429" s="738"/>
      <c r="AG429" s="738"/>
      <c r="AH429" s="738"/>
      <c r="AI429" s="738"/>
      <c r="AJ429" s="738"/>
      <c r="AK429" s="738"/>
      <c r="AL429" s="738"/>
    </row>
    <row r="430">
      <c r="A430" s="738"/>
      <c r="B430" s="738"/>
      <c r="C430" s="738"/>
      <c r="D430" s="738"/>
      <c r="E430" s="738"/>
      <c r="F430" s="738"/>
      <c r="G430" s="738"/>
      <c r="H430" s="738"/>
      <c r="I430" s="738"/>
      <c r="J430" s="738"/>
      <c r="K430" s="738"/>
      <c r="L430" s="738"/>
      <c r="M430" s="738"/>
      <c r="N430" s="738"/>
      <c r="O430" s="738"/>
      <c r="P430" s="738"/>
      <c r="Q430" s="738"/>
      <c r="R430" s="738"/>
      <c r="S430" s="738"/>
      <c r="T430" s="738"/>
      <c r="U430" s="738"/>
      <c r="V430" s="738"/>
      <c r="W430" s="738"/>
      <c r="X430" s="738"/>
      <c r="Y430" s="738"/>
      <c r="Z430" s="738"/>
      <c r="AA430" s="738"/>
      <c r="AB430" s="738"/>
      <c r="AC430" s="738"/>
      <c r="AD430" s="738"/>
      <c r="AE430" s="738"/>
      <c r="AF430" s="738"/>
      <c r="AG430" s="738"/>
      <c r="AH430" s="738"/>
      <c r="AI430" s="738"/>
      <c r="AJ430" s="738"/>
      <c r="AK430" s="738"/>
      <c r="AL430" s="738"/>
    </row>
    <row r="431">
      <c r="A431" s="738"/>
      <c r="B431" s="738"/>
      <c r="C431" s="738"/>
      <c r="D431" s="738"/>
      <c r="E431" s="738"/>
      <c r="F431" s="738"/>
      <c r="G431" s="738"/>
      <c r="H431" s="738"/>
      <c r="I431" s="738"/>
      <c r="J431" s="738"/>
      <c r="K431" s="738"/>
      <c r="L431" s="738"/>
      <c r="M431" s="738"/>
      <c r="N431" s="738"/>
      <c r="O431" s="738"/>
      <c r="P431" s="738"/>
      <c r="Q431" s="738"/>
      <c r="R431" s="738"/>
      <c r="S431" s="738"/>
      <c r="T431" s="738"/>
      <c r="U431" s="738"/>
      <c r="V431" s="738"/>
      <c r="W431" s="738"/>
      <c r="X431" s="738"/>
      <c r="Y431" s="738"/>
      <c r="Z431" s="738"/>
      <c r="AA431" s="738"/>
      <c r="AB431" s="738"/>
      <c r="AC431" s="738"/>
      <c r="AD431" s="738"/>
      <c r="AE431" s="738"/>
      <c r="AF431" s="738"/>
      <c r="AG431" s="738"/>
      <c r="AH431" s="738"/>
      <c r="AI431" s="738"/>
      <c r="AJ431" s="738"/>
      <c r="AK431" s="738"/>
      <c r="AL431" s="738"/>
    </row>
    <row r="432">
      <c r="A432" s="738"/>
      <c r="B432" s="738"/>
      <c r="C432" s="738"/>
      <c r="D432" s="738"/>
      <c r="E432" s="738"/>
      <c r="F432" s="738"/>
      <c r="G432" s="738"/>
      <c r="H432" s="738"/>
      <c r="I432" s="738"/>
      <c r="J432" s="738"/>
      <c r="K432" s="738"/>
      <c r="L432" s="738"/>
      <c r="M432" s="738"/>
      <c r="N432" s="738"/>
      <c r="O432" s="738"/>
      <c r="P432" s="738"/>
      <c r="Q432" s="738"/>
      <c r="R432" s="738"/>
      <c r="S432" s="738"/>
      <c r="T432" s="738"/>
      <c r="U432" s="738"/>
      <c r="V432" s="738"/>
      <c r="W432" s="738"/>
      <c r="X432" s="738"/>
      <c r="Y432" s="738"/>
      <c r="Z432" s="738"/>
      <c r="AA432" s="738"/>
      <c r="AB432" s="738"/>
      <c r="AC432" s="738"/>
      <c r="AD432" s="738"/>
      <c r="AE432" s="738"/>
      <c r="AF432" s="738"/>
      <c r="AG432" s="738"/>
      <c r="AH432" s="738"/>
      <c r="AI432" s="738"/>
      <c r="AJ432" s="738"/>
      <c r="AK432" s="738"/>
      <c r="AL432" s="738"/>
    </row>
    <row r="433">
      <c r="A433" s="738"/>
      <c r="B433" s="738"/>
      <c r="C433" s="738"/>
      <c r="D433" s="738"/>
      <c r="E433" s="738"/>
      <c r="F433" s="738"/>
      <c r="G433" s="738"/>
      <c r="H433" s="738"/>
      <c r="I433" s="738"/>
      <c r="J433" s="738"/>
      <c r="K433" s="738"/>
      <c r="L433" s="738"/>
      <c r="M433" s="738"/>
      <c r="N433" s="738"/>
      <c r="O433" s="738"/>
      <c r="P433" s="738"/>
      <c r="Q433" s="738"/>
      <c r="R433" s="738"/>
      <c r="S433" s="738"/>
      <c r="T433" s="738"/>
      <c r="U433" s="738"/>
      <c r="V433" s="738"/>
      <c r="W433" s="738"/>
      <c r="X433" s="738"/>
      <c r="Y433" s="738"/>
      <c r="Z433" s="738"/>
      <c r="AA433" s="738"/>
      <c r="AB433" s="738"/>
      <c r="AC433" s="738"/>
      <c r="AD433" s="738"/>
      <c r="AE433" s="738"/>
      <c r="AF433" s="738"/>
      <c r="AG433" s="738"/>
      <c r="AH433" s="738"/>
      <c r="AI433" s="738"/>
      <c r="AJ433" s="738"/>
      <c r="AK433" s="738"/>
      <c r="AL433" s="738"/>
    </row>
    <row r="434">
      <c r="A434" s="738"/>
      <c r="B434" s="738"/>
      <c r="C434" s="738"/>
      <c r="D434" s="738"/>
      <c r="E434" s="738"/>
      <c r="F434" s="738"/>
      <c r="G434" s="738"/>
      <c r="H434" s="738"/>
      <c r="I434" s="738"/>
      <c r="J434" s="738"/>
      <c r="K434" s="738"/>
      <c r="L434" s="738"/>
      <c r="M434" s="738"/>
      <c r="N434" s="738"/>
      <c r="O434" s="738"/>
      <c r="P434" s="738"/>
      <c r="Q434" s="738"/>
      <c r="R434" s="738"/>
      <c r="S434" s="738"/>
      <c r="T434" s="738"/>
      <c r="U434" s="738"/>
      <c r="V434" s="738"/>
      <c r="W434" s="738"/>
      <c r="X434" s="738"/>
      <c r="Y434" s="738"/>
      <c r="Z434" s="738"/>
      <c r="AA434" s="738"/>
      <c r="AB434" s="738"/>
      <c r="AC434" s="738"/>
      <c r="AD434" s="738"/>
      <c r="AE434" s="738"/>
      <c r="AF434" s="738"/>
      <c r="AG434" s="738"/>
      <c r="AH434" s="738"/>
      <c r="AI434" s="738"/>
      <c r="AJ434" s="738"/>
      <c r="AK434" s="738"/>
      <c r="AL434" s="738"/>
    </row>
    <row r="435">
      <c r="A435" s="738"/>
      <c r="B435" s="738"/>
      <c r="C435" s="738"/>
      <c r="D435" s="738"/>
      <c r="E435" s="738"/>
      <c r="F435" s="738"/>
      <c r="G435" s="738"/>
      <c r="H435" s="738"/>
      <c r="I435" s="738"/>
      <c r="J435" s="738"/>
      <c r="K435" s="738"/>
      <c r="L435" s="738"/>
      <c r="M435" s="738"/>
      <c r="N435" s="738"/>
      <c r="O435" s="738"/>
      <c r="P435" s="738"/>
      <c r="Q435" s="738"/>
      <c r="R435" s="738"/>
      <c r="S435" s="738"/>
      <c r="T435" s="738"/>
      <c r="U435" s="738"/>
      <c r="V435" s="738"/>
      <c r="W435" s="738"/>
      <c r="X435" s="738"/>
      <c r="Y435" s="738"/>
      <c r="Z435" s="738"/>
      <c r="AA435" s="738"/>
      <c r="AB435" s="738"/>
      <c r="AC435" s="738"/>
      <c r="AD435" s="738"/>
      <c r="AE435" s="738"/>
      <c r="AF435" s="738"/>
      <c r="AG435" s="738"/>
      <c r="AH435" s="738"/>
      <c r="AI435" s="738"/>
      <c r="AJ435" s="738"/>
      <c r="AK435" s="738"/>
      <c r="AL435" s="738"/>
    </row>
    <row r="436">
      <c r="A436" s="738"/>
      <c r="B436" s="738"/>
      <c r="C436" s="738"/>
      <c r="D436" s="738"/>
      <c r="E436" s="738"/>
      <c r="F436" s="738"/>
      <c r="G436" s="738"/>
      <c r="H436" s="738"/>
      <c r="I436" s="738"/>
      <c r="J436" s="738"/>
      <c r="K436" s="738"/>
      <c r="L436" s="738"/>
      <c r="M436" s="738"/>
      <c r="N436" s="738"/>
      <c r="O436" s="738"/>
      <c r="P436" s="738"/>
      <c r="Q436" s="738"/>
      <c r="R436" s="738"/>
      <c r="S436" s="738"/>
      <c r="T436" s="738"/>
      <c r="U436" s="738"/>
      <c r="V436" s="738"/>
      <c r="W436" s="738"/>
      <c r="X436" s="738"/>
      <c r="Y436" s="738"/>
      <c r="Z436" s="738"/>
      <c r="AA436" s="738"/>
      <c r="AB436" s="738"/>
      <c r="AC436" s="738"/>
      <c r="AD436" s="738"/>
      <c r="AE436" s="738"/>
      <c r="AF436" s="738"/>
      <c r="AG436" s="738"/>
      <c r="AH436" s="738"/>
      <c r="AI436" s="738"/>
      <c r="AJ436" s="738"/>
      <c r="AK436" s="738"/>
      <c r="AL436" s="738"/>
    </row>
    <row r="437">
      <c r="A437" s="738"/>
      <c r="B437" s="738"/>
      <c r="C437" s="738"/>
      <c r="D437" s="738"/>
      <c r="E437" s="738"/>
      <c r="F437" s="738"/>
      <c r="G437" s="738"/>
      <c r="H437" s="738"/>
      <c r="I437" s="738"/>
      <c r="J437" s="738"/>
      <c r="K437" s="738"/>
      <c r="L437" s="738"/>
      <c r="M437" s="738"/>
      <c r="N437" s="738"/>
      <c r="O437" s="738"/>
      <c r="P437" s="738"/>
      <c r="Q437" s="738"/>
      <c r="R437" s="738"/>
      <c r="S437" s="738"/>
      <c r="T437" s="738"/>
      <c r="U437" s="738"/>
      <c r="V437" s="738"/>
      <c r="W437" s="738"/>
      <c r="X437" s="738"/>
      <c r="Y437" s="738"/>
      <c r="Z437" s="738"/>
      <c r="AA437" s="738"/>
      <c r="AB437" s="738"/>
      <c r="AC437" s="738"/>
      <c r="AD437" s="738"/>
      <c r="AE437" s="738"/>
      <c r="AF437" s="738"/>
      <c r="AG437" s="738"/>
      <c r="AH437" s="738"/>
      <c r="AI437" s="738"/>
      <c r="AJ437" s="738"/>
      <c r="AK437" s="738"/>
      <c r="AL437" s="738"/>
    </row>
    <row r="438">
      <c r="A438" s="738"/>
      <c r="B438" s="738"/>
      <c r="C438" s="738"/>
      <c r="D438" s="738"/>
      <c r="E438" s="738"/>
      <c r="F438" s="738"/>
      <c r="G438" s="738"/>
      <c r="H438" s="738"/>
      <c r="I438" s="738"/>
      <c r="J438" s="738"/>
      <c r="K438" s="738"/>
      <c r="L438" s="738"/>
      <c r="M438" s="738"/>
      <c r="N438" s="738"/>
      <c r="O438" s="738"/>
      <c r="P438" s="738"/>
      <c r="Q438" s="738"/>
      <c r="R438" s="738"/>
      <c r="S438" s="738"/>
      <c r="T438" s="738"/>
      <c r="U438" s="738"/>
      <c r="V438" s="738"/>
      <c r="W438" s="738"/>
      <c r="X438" s="738"/>
      <c r="Y438" s="738"/>
      <c r="Z438" s="738"/>
      <c r="AA438" s="738"/>
      <c r="AB438" s="738"/>
      <c r="AC438" s="738"/>
      <c r="AD438" s="738"/>
      <c r="AE438" s="738"/>
      <c r="AF438" s="738"/>
      <c r="AG438" s="738"/>
      <c r="AH438" s="738"/>
      <c r="AI438" s="738"/>
      <c r="AJ438" s="738"/>
      <c r="AK438" s="738"/>
      <c r="AL438" s="738"/>
    </row>
    <row r="439">
      <c r="A439" s="738"/>
      <c r="B439" s="738"/>
      <c r="C439" s="738"/>
      <c r="D439" s="738"/>
      <c r="E439" s="738"/>
      <c r="F439" s="738"/>
      <c r="G439" s="738"/>
      <c r="H439" s="738"/>
      <c r="I439" s="738"/>
      <c r="J439" s="738"/>
      <c r="K439" s="738"/>
      <c r="L439" s="738"/>
      <c r="M439" s="738"/>
      <c r="N439" s="738"/>
      <c r="O439" s="738"/>
      <c r="P439" s="738"/>
      <c r="Q439" s="738"/>
      <c r="R439" s="738"/>
      <c r="S439" s="738"/>
      <c r="T439" s="738"/>
      <c r="U439" s="738"/>
      <c r="V439" s="738"/>
      <c r="W439" s="738"/>
      <c r="X439" s="738"/>
      <c r="Y439" s="738"/>
      <c r="Z439" s="738"/>
      <c r="AA439" s="738"/>
      <c r="AB439" s="738"/>
      <c r="AC439" s="738"/>
      <c r="AD439" s="738"/>
      <c r="AE439" s="738"/>
      <c r="AF439" s="738"/>
      <c r="AG439" s="738"/>
      <c r="AH439" s="738"/>
      <c r="AI439" s="738"/>
      <c r="AJ439" s="738"/>
      <c r="AK439" s="738"/>
      <c r="AL439" s="738"/>
    </row>
    <row r="440">
      <c r="A440" s="738"/>
      <c r="B440" s="738"/>
      <c r="C440" s="738"/>
      <c r="D440" s="738"/>
      <c r="E440" s="738"/>
      <c r="F440" s="738"/>
      <c r="G440" s="738"/>
      <c r="H440" s="738"/>
      <c r="I440" s="738"/>
      <c r="J440" s="738"/>
      <c r="K440" s="738"/>
      <c r="L440" s="738"/>
      <c r="M440" s="738"/>
      <c r="N440" s="738"/>
      <c r="O440" s="738"/>
      <c r="P440" s="738"/>
      <c r="Q440" s="738"/>
      <c r="R440" s="738"/>
      <c r="S440" s="738"/>
      <c r="T440" s="738"/>
      <c r="U440" s="738"/>
      <c r="V440" s="738"/>
      <c r="W440" s="738"/>
      <c r="X440" s="738"/>
      <c r="Y440" s="738"/>
      <c r="Z440" s="738"/>
      <c r="AA440" s="738"/>
      <c r="AB440" s="738"/>
      <c r="AC440" s="738"/>
      <c r="AD440" s="738"/>
      <c r="AE440" s="738"/>
      <c r="AF440" s="738"/>
      <c r="AG440" s="738"/>
      <c r="AH440" s="738"/>
      <c r="AI440" s="738"/>
      <c r="AJ440" s="738"/>
      <c r="AK440" s="738"/>
      <c r="AL440" s="738"/>
    </row>
    <row r="441">
      <c r="A441" s="738"/>
      <c r="B441" s="738"/>
      <c r="C441" s="738"/>
      <c r="D441" s="738"/>
      <c r="E441" s="738"/>
      <c r="F441" s="738"/>
      <c r="G441" s="738"/>
      <c r="H441" s="738"/>
      <c r="I441" s="738"/>
      <c r="J441" s="738"/>
      <c r="K441" s="738"/>
      <c r="L441" s="738"/>
      <c r="M441" s="738"/>
      <c r="N441" s="738"/>
      <c r="O441" s="738"/>
      <c r="P441" s="738"/>
      <c r="Q441" s="738"/>
      <c r="R441" s="738"/>
      <c r="S441" s="738"/>
      <c r="T441" s="738"/>
      <c r="U441" s="738"/>
      <c r="V441" s="738"/>
      <c r="W441" s="738"/>
      <c r="X441" s="738"/>
      <c r="Y441" s="738"/>
      <c r="Z441" s="738"/>
      <c r="AA441" s="738"/>
      <c r="AB441" s="738"/>
      <c r="AC441" s="738"/>
      <c r="AD441" s="738"/>
      <c r="AE441" s="738"/>
      <c r="AF441" s="738"/>
      <c r="AG441" s="738"/>
      <c r="AH441" s="738"/>
      <c r="AI441" s="738"/>
      <c r="AJ441" s="738"/>
      <c r="AK441" s="738"/>
      <c r="AL441" s="738"/>
    </row>
    <row r="442">
      <c r="A442" s="738"/>
      <c r="B442" s="738"/>
      <c r="C442" s="738"/>
      <c r="D442" s="738"/>
      <c r="E442" s="738"/>
      <c r="F442" s="738"/>
      <c r="G442" s="738"/>
      <c r="H442" s="738"/>
      <c r="I442" s="738"/>
      <c r="J442" s="738"/>
      <c r="K442" s="738"/>
      <c r="L442" s="738"/>
      <c r="M442" s="738"/>
      <c r="N442" s="738"/>
      <c r="O442" s="738"/>
      <c r="P442" s="738"/>
      <c r="Q442" s="738"/>
      <c r="R442" s="738"/>
      <c r="S442" s="738"/>
      <c r="T442" s="738"/>
      <c r="U442" s="738"/>
      <c r="V442" s="738"/>
      <c r="W442" s="738"/>
      <c r="X442" s="738"/>
      <c r="Y442" s="738"/>
      <c r="Z442" s="738"/>
      <c r="AA442" s="738"/>
      <c r="AB442" s="738"/>
      <c r="AC442" s="738"/>
      <c r="AD442" s="738"/>
      <c r="AE442" s="738"/>
      <c r="AF442" s="738"/>
      <c r="AG442" s="738"/>
      <c r="AH442" s="738"/>
      <c r="AI442" s="738"/>
      <c r="AJ442" s="738"/>
      <c r="AK442" s="738"/>
      <c r="AL442" s="738"/>
    </row>
    <row r="443">
      <c r="A443" s="738"/>
      <c r="B443" s="738"/>
      <c r="C443" s="738"/>
      <c r="D443" s="738"/>
      <c r="E443" s="738"/>
      <c r="F443" s="738"/>
      <c r="G443" s="738"/>
      <c r="H443" s="738"/>
      <c r="I443" s="738"/>
      <c r="J443" s="738"/>
      <c r="K443" s="738"/>
      <c r="L443" s="738"/>
      <c r="M443" s="738"/>
      <c r="N443" s="738"/>
      <c r="O443" s="738"/>
      <c r="P443" s="738"/>
      <c r="Q443" s="738"/>
      <c r="R443" s="738"/>
      <c r="S443" s="738"/>
      <c r="T443" s="738"/>
      <c r="U443" s="738"/>
      <c r="V443" s="738"/>
      <c r="W443" s="738"/>
      <c r="X443" s="738"/>
      <c r="Y443" s="738"/>
      <c r="Z443" s="738"/>
      <c r="AA443" s="738"/>
      <c r="AB443" s="738"/>
      <c r="AC443" s="738"/>
      <c r="AD443" s="738"/>
      <c r="AE443" s="738"/>
      <c r="AF443" s="738"/>
      <c r="AG443" s="738"/>
      <c r="AH443" s="738"/>
      <c r="AI443" s="738"/>
      <c r="AJ443" s="738"/>
      <c r="AK443" s="738"/>
      <c r="AL443" s="738"/>
    </row>
    <row r="444">
      <c r="A444" s="738"/>
      <c r="B444" s="738"/>
      <c r="C444" s="738"/>
      <c r="D444" s="738"/>
      <c r="E444" s="738"/>
      <c r="F444" s="738"/>
      <c r="G444" s="738"/>
      <c r="H444" s="738"/>
      <c r="I444" s="738"/>
      <c r="J444" s="738"/>
      <c r="K444" s="738"/>
      <c r="L444" s="738"/>
      <c r="M444" s="738"/>
      <c r="N444" s="738"/>
      <c r="O444" s="738"/>
      <c r="P444" s="738"/>
      <c r="Q444" s="738"/>
      <c r="R444" s="738"/>
      <c r="S444" s="738"/>
      <c r="T444" s="738"/>
      <c r="U444" s="738"/>
      <c r="V444" s="738"/>
      <c r="W444" s="738"/>
      <c r="X444" s="738"/>
      <c r="Y444" s="738"/>
      <c r="Z444" s="738"/>
      <c r="AA444" s="738"/>
      <c r="AB444" s="738"/>
      <c r="AC444" s="738"/>
      <c r="AD444" s="738"/>
      <c r="AE444" s="738"/>
      <c r="AF444" s="738"/>
      <c r="AG444" s="738"/>
      <c r="AH444" s="738"/>
      <c r="AI444" s="738"/>
      <c r="AJ444" s="738"/>
      <c r="AK444" s="738"/>
      <c r="AL444" s="738"/>
    </row>
    <row r="445">
      <c r="A445" s="738"/>
      <c r="B445" s="738"/>
      <c r="C445" s="738"/>
      <c r="D445" s="738"/>
      <c r="E445" s="738"/>
      <c r="F445" s="738"/>
      <c r="G445" s="738"/>
      <c r="H445" s="738"/>
      <c r="I445" s="738"/>
      <c r="J445" s="738"/>
      <c r="K445" s="738"/>
      <c r="L445" s="738"/>
      <c r="M445" s="738"/>
      <c r="N445" s="738"/>
      <c r="O445" s="738"/>
      <c r="P445" s="738"/>
      <c r="Q445" s="738"/>
      <c r="R445" s="738"/>
      <c r="S445" s="738"/>
      <c r="T445" s="738"/>
      <c r="U445" s="738"/>
      <c r="V445" s="738"/>
      <c r="W445" s="738"/>
      <c r="X445" s="738"/>
      <c r="Y445" s="738"/>
      <c r="Z445" s="738"/>
      <c r="AA445" s="738"/>
      <c r="AB445" s="738"/>
      <c r="AC445" s="738"/>
      <c r="AD445" s="738"/>
      <c r="AE445" s="738"/>
      <c r="AF445" s="738"/>
      <c r="AG445" s="738"/>
      <c r="AH445" s="738"/>
      <c r="AI445" s="738"/>
      <c r="AJ445" s="738"/>
      <c r="AK445" s="738"/>
      <c r="AL445" s="738"/>
    </row>
    <row r="446">
      <c r="A446" s="738"/>
      <c r="B446" s="738"/>
      <c r="C446" s="738"/>
      <c r="D446" s="738"/>
      <c r="E446" s="738"/>
      <c r="F446" s="738"/>
      <c r="G446" s="738"/>
      <c r="H446" s="738"/>
      <c r="I446" s="738"/>
      <c r="J446" s="738"/>
      <c r="K446" s="738"/>
      <c r="L446" s="738"/>
      <c r="M446" s="738"/>
      <c r="N446" s="738"/>
      <c r="O446" s="738"/>
      <c r="P446" s="738"/>
      <c r="Q446" s="738"/>
      <c r="R446" s="738"/>
      <c r="S446" s="738"/>
      <c r="T446" s="738"/>
      <c r="U446" s="738"/>
      <c r="V446" s="738"/>
      <c r="W446" s="738"/>
      <c r="X446" s="738"/>
      <c r="Y446" s="738"/>
      <c r="Z446" s="738"/>
      <c r="AA446" s="738"/>
      <c r="AB446" s="738"/>
      <c r="AC446" s="738"/>
      <c r="AD446" s="738"/>
      <c r="AE446" s="738"/>
      <c r="AF446" s="738"/>
      <c r="AG446" s="738"/>
      <c r="AH446" s="738"/>
      <c r="AI446" s="738"/>
      <c r="AJ446" s="738"/>
      <c r="AK446" s="738"/>
      <c r="AL446" s="738"/>
    </row>
    <row r="447">
      <c r="A447" s="738"/>
      <c r="B447" s="738"/>
      <c r="C447" s="738"/>
      <c r="D447" s="738"/>
      <c r="E447" s="738"/>
      <c r="F447" s="738"/>
      <c r="G447" s="738"/>
      <c r="H447" s="738"/>
      <c r="I447" s="738"/>
      <c r="J447" s="738"/>
      <c r="K447" s="738"/>
      <c r="L447" s="738"/>
      <c r="M447" s="738"/>
      <c r="N447" s="738"/>
      <c r="O447" s="738"/>
      <c r="P447" s="738"/>
      <c r="Q447" s="738"/>
      <c r="R447" s="738"/>
      <c r="S447" s="738"/>
      <c r="T447" s="738"/>
      <c r="U447" s="738"/>
      <c r="V447" s="738"/>
      <c r="W447" s="738"/>
      <c r="X447" s="738"/>
      <c r="Y447" s="738"/>
      <c r="Z447" s="738"/>
      <c r="AA447" s="738"/>
      <c r="AB447" s="738"/>
      <c r="AC447" s="738"/>
      <c r="AD447" s="738"/>
      <c r="AE447" s="738"/>
      <c r="AF447" s="738"/>
      <c r="AG447" s="738"/>
      <c r="AH447" s="738"/>
      <c r="AI447" s="738"/>
      <c r="AJ447" s="738"/>
      <c r="AK447" s="738"/>
      <c r="AL447" s="738"/>
    </row>
    <row r="448">
      <c r="A448" s="738"/>
      <c r="B448" s="738"/>
      <c r="C448" s="738"/>
      <c r="D448" s="738"/>
      <c r="E448" s="738"/>
      <c r="F448" s="738"/>
      <c r="G448" s="738"/>
      <c r="H448" s="738"/>
      <c r="I448" s="738"/>
      <c r="J448" s="738"/>
      <c r="K448" s="738"/>
      <c r="L448" s="738"/>
      <c r="M448" s="738"/>
      <c r="N448" s="738"/>
      <c r="O448" s="738"/>
      <c r="P448" s="738"/>
      <c r="Q448" s="738"/>
      <c r="R448" s="738"/>
      <c r="S448" s="738"/>
      <c r="T448" s="738"/>
      <c r="U448" s="738"/>
      <c r="V448" s="738"/>
      <c r="W448" s="738"/>
      <c r="X448" s="738"/>
      <c r="Y448" s="738"/>
      <c r="Z448" s="738"/>
      <c r="AA448" s="738"/>
      <c r="AB448" s="738"/>
      <c r="AC448" s="738"/>
      <c r="AD448" s="738"/>
      <c r="AE448" s="738"/>
      <c r="AF448" s="738"/>
      <c r="AG448" s="738"/>
      <c r="AH448" s="738"/>
      <c r="AI448" s="738"/>
      <c r="AJ448" s="738"/>
      <c r="AK448" s="738"/>
      <c r="AL448" s="738"/>
    </row>
    <row r="449">
      <c r="A449" s="738"/>
      <c r="B449" s="738"/>
      <c r="C449" s="738"/>
      <c r="D449" s="738"/>
      <c r="E449" s="738"/>
      <c r="F449" s="738"/>
      <c r="G449" s="738"/>
      <c r="H449" s="738"/>
      <c r="I449" s="738"/>
      <c r="J449" s="738"/>
      <c r="K449" s="738"/>
      <c r="L449" s="738"/>
      <c r="M449" s="738"/>
      <c r="N449" s="738"/>
      <c r="O449" s="738"/>
      <c r="P449" s="738"/>
      <c r="Q449" s="738"/>
      <c r="R449" s="738"/>
      <c r="S449" s="738"/>
      <c r="T449" s="738"/>
      <c r="U449" s="738"/>
      <c r="V449" s="738"/>
      <c r="W449" s="738"/>
      <c r="X449" s="738"/>
      <c r="Y449" s="738"/>
      <c r="Z449" s="738"/>
      <c r="AA449" s="738"/>
      <c r="AB449" s="738"/>
      <c r="AC449" s="738"/>
      <c r="AD449" s="738"/>
      <c r="AE449" s="738"/>
      <c r="AF449" s="738"/>
      <c r="AG449" s="738"/>
      <c r="AH449" s="738"/>
      <c r="AI449" s="738"/>
      <c r="AJ449" s="738"/>
      <c r="AK449" s="738"/>
      <c r="AL449" s="738"/>
    </row>
    <row r="450">
      <c r="A450" s="738"/>
      <c r="B450" s="738"/>
      <c r="C450" s="738"/>
      <c r="D450" s="738"/>
      <c r="E450" s="738"/>
      <c r="F450" s="738"/>
      <c r="G450" s="738"/>
      <c r="H450" s="738"/>
      <c r="I450" s="738"/>
      <c r="J450" s="738"/>
      <c r="K450" s="738"/>
      <c r="L450" s="738"/>
      <c r="M450" s="738"/>
      <c r="N450" s="738"/>
      <c r="O450" s="738"/>
      <c r="P450" s="738"/>
      <c r="Q450" s="738"/>
      <c r="R450" s="738"/>
      <c r="S450" s="738"/>
      <c r="T450" s="738"/>
      <c r="U450" s="738"/>
      <c r="V450" s="738"/>
      <c r="W450" s="738"/>
      <c r="X450" s="738"/>
      <c r="Y450" s="738"/>
      <c r="Z450" s="738"/>
      <c r="AA450" s="738"/>
      <c r="AB450" s="738"/>
      <c r="AC450" s="738"/>
      <c r="AD450" s="738"/>
      <c r="AE450" s="738"/>
      <c r="AF450" s="738"/>
      <c r="AG450" s="738"/>
      <c r="AH450" s="738"/>
      <c r="AI450" s="738"/>
      <c r="AJ450" s="738"/>
      <c r="AK450" s="738"/>
      <c r="AL450" s="738"/>
    </row>
    <row r="451">
      <c r="A451" s="738"/>
      <c r="B451" s="738"/>
      <c r="C451" s="738"/>
      <c r="D451" s="738"/>
      <c r="E451" s="738"/>
      <c r="F451" s="738"/>
      <c r="G451" s="738"/>
      <c r="H451" s="738"/>
      <c r="I451" s="738"/>
      <c r="J451" s="738"/>
      <c r="K451" s="738"/>
      <c r="L451" s="738"/>
      <c r="M451" s="738"/>
      <c r="N451" s="738"/>
      <c r="O451" s="738"/>
      <c r="P451" s="738"/>
      <c r="Q451" s="738"/>
      <c r="R451" s="738"/>
      <c r="S451" s="738"/>
      <c r="T451" s="738"/>
      <c r="U451" s="738"/>
      <c r="V451" s="738"/>
      <c r="W451" s="738"/>
      <c r="X451" s="738"/>
      <c r="Y451" s="738"/>
      <c r="Z451" s="738"/>
      <c r="AA451" s="738"/>
      <c r="AB451" s="738"/>
      <c r="AC451" s="738"/>
      <c r="AD451" s="738"/>
      <c r="AE451" s="738"/>
      <c r="AF451" s="738"/>
      <c r="AG451" s="738"/>
      <c r="AH451" s="738"/>
      <c r="AI451" s="738"/>
      <c r="AJ451" s="738"/>
      <c r="AK451" s="738"/>
      <c r="AL451" s="738"/>
    </row>
    <row r="452">
      <c r="A452" s="738"/>
      <c r="B452" s="738"/>
      <c r="C452" s="738"/>
      <c r="D452" s="738"/>
      <c r="E452" s="738"/>
      <c r="F452" s="738"/>
      <c r="G452" s="738"/>
      <c r="H452" s="738"/>
      <c r="I452" s="738"/>
      <c r="J452" s="738"/>
      <c r="K452" s="738"/>
      <c r="L452" s="738"/>
      <c r="M452" s="738"/>
      <c r="N452" s="738"/>
      <c r="O452" s="738"/>
      <c r="P452" s="738"/>
      <c r="Q452" s="738"/>
      <c r="R452" s="738"/>
      <c r="S452" s="738"/>
      <c r="T452" s="738"/>
      <c r="U452" s="738"/>
      <c r="V452" s="738"/>
      <c r="W452" s="738"/>
      <c r="X452" s="738"/>
      <c r="Y452" s="738"/>
      <c r="Z452" s="738"/>
      <c r="AA452" s="738"/>
      <c r="AB452" s="738"/>
      <c r="AC452" s="738"/>
      <c r="AD452" s="738"/>
      <c r="AE452" s="738"/>
      <c r="AF452" s="738"/>
      <c r="AG452" s="738"/>
      <c r="AH452" s="738"/>
      <c r="AI452" s="738"/>
      <c r="AJ452" s="738"/>
      <c r="AK452" s="738"/>
      <c r="AL452" s="738"/>
    </row>
    <row r="453">
      <c r="A453" s="738"/>
      <c r="B453" s="738"/>
      <c r="C453" s="738"/>
      <c r="D453" s="738"/>
      <c r="E453" s="738"/>
      <c r="F453" s="738"/>
      <c r="G453" s="738"/>
      <c r="H453" s="738"/>
      <c r="I453" s="738"/>
      <c r="J453" s="738"/>
      <c r="K453" s="738"/>
      <c r="L453" s="738"/>
      <c r="M453" s="738"/>
      <c r="N453" s="738"/>
      <c r="O453" s="738"/>
      <c r="P453" s="738"/>
      <c r="Q453" s="738"/>
      <c r="R453" s="738"/>
      <c r="S453" s="738"/>
      <c r="T453" s="738"/>
      <c r="U453" s="738"/>
      <c r="V453" s="738"/>
      <c r="W453" s="738"/>
      <c r="X453" s="738"/>
      <c r="Y453" s="738"/>
      <c r="Z453" s="738"/>
      <c r="AA453" s="738"/>
      <c r="AB453" s="738"/>
      <c r="AC453" s="738"/>
      <c r="AD453" s="738"/>
      <c r="AE453" s="738"/>
      <c r="AF453" s="738"/>
      <c r="AG453" s="738"/>
      <c r="AH453" s="738"/>
      <c r="AI453" s="738"/>
      <c r="AJ453" s="738"/>
      <c r="AK453" s="738"/>
      <c r="AL453" s="738"/>
    </row>
    <row r="454">
      <c r="A454" s="738"/>
      <c r="B454" s="738"/>
      <c r="C454" s="738"/>
      <c r="D454" s="738"/>
      <c r="E454" s="738"/>
      <c r="F454" s="738"/>
      <c r="G454" s="738"/>
      <c r="H454" s="738"/>
      <c r="I454" s="738"/>
      <c r="J454" s="738"/>
      <c r="K454" s="738"/>
      <c r="L454" s="738"/>
      <c r="M454" s="738"/>
      <c r="N454" s="738"/>
      <c r="O454" s="738"/>
      <c r="P454" s="738"/>
      <c r="Q454" s="738"/>
      <c r="R454" s="738"/>
      <c r="S454" s="738"/>
      <c r="T454" s="738"/>
      <c r="U454" s="738"/>
      <c r="V454" s="738"/>
      <c r="W454" s="738"/>
      <c r="X454" s="738"/>
      <c r="Y454" s="738"/>
      <c r="Z454" s="738"/>
      <c r="AA454" s="738"/>
      <c r="AB454" s="738"/>
      <c r="AC454" s="738"/>
      <c r="AD454" s="738"/>
      <c r="AE454" s="738"/>
      <c r="AF454" s="738"/>
      <c r="AG454" s="738"/>
      <c r="AH454" s="738"/>
      <c r="AI454" s="738"/>
      <c r="AJ454" s="738"/>
      <c r="AK454" s="738"/>
      <c r="AL454" s="738"/>
    </row>
    <row r="455">
      <c r="A455" s="738"/>
      <c r="B455" s="738"/>
      <c r="C455" s="738"/>
      <c r="D455" s="738"/>
      <c r="E455" s="738"/>
      <c r="F455" s="738"/>
      <c r="G455" s="738"/>
      <c r="H455" s="738"/>
      <c r="I455" s="738"/>
      <c r="J455" s="738"/>
      <c r="K455" s="738"/>
      <c r="L455" s="738"/>
      <c r="M455" s="738"/>
      <c r="N455" s="738"/>
      <c r="O455" s="738"/>
      <c r="P455" s="738"/>
      <c r="Q455" s="738"/>
      <c r="R455" s="738"/>
      <c r="S455" s="738"/>
      <c r="T455" s="738"/>
      <c r="U455" s="738"/>
      <c r="V455" s="738"/>
      <c r="W455" s="738"/>
      <c r="X455" s="738"/>
      <c r="Y455" s="738"/>
      <c r="Z455" s="738"/>
      <c r="AA455" s="738"/>
      <c r="AB455" s="738"/>
      <c r="AC455" s="738"/>
      <c r="AD455" s="738"/>
      <c r="AE455" s="738"/>
      <c r="AF455" s="738"/>
      <c r="AG455" s="738"/>
      <c r="AH455" s="738"/>
      <c r="AI455" s="738"/>
      <c r="AJ455" s="738"/>
      <c r="AK455" s="738"/>
      <c r="AL455" s="738"/>
    </row>
    <row r="456">
      <c r="A456" s="738"/>
      <c r="B456" s="738"/>
      <c r="C456" s="738"/>
      <c r="D456" s="738"/>
      <c r="E456" s="738"/>
      <c r="F456" s="738"/>
      <c r="G456" s="738"/>
      <c r="H456" s="738"/>
      <c r="I456" s="738"/>
      <c r="J456" s="738"/>
      <c r="K456" s="738"/>
      <c r="L456" s="738"/>
      <c r="M456" s="738"/>
      <c r="N456" s="738"/>
      <c r="O456" s="738"/>
      <c r="P456" s="738"/>
      <c r="Q456" s="738"/>
      <c r="R456" s="738"/>
      <c r="S456" s="738"/>
      <c r="T456" s="738"/>
      <c r="U456" s="738"/>
      <c r="V456" s="738"/>
      <c r="W456" s="738"/>
      <c r="X456" s="738"/>
      <c r="Y456" s="738"/>
      <c r="Z456" s="738"/>
      <c r="AA456" s="738"/>
      <c r="AB456" s="738"/>
      <c r="AC456" s="738"/>
      <c r="AD456" s="738"/>
      <c r="AE456" s="738"/>
      <c r="AF456" s="738"/>
      <c r="AG456" s="738"/>
      <c r="AH456" s="738"/>
      <c r="AI456" s="738"/>
      <c r="AJ456" s="738"/>
      <c r="AK456" s="738"/>
      <c r="AL456" s="738"/>
    </row>
    <row r="457">
      <c r="A457" s="738"/>
      <c r="B457" s="738"/>
      <c r="C457" s="738"/>
      <c r="D457" s="738"/>
      <c r="E457" s="738"/>
      <c r="F457" s="738"/>
      <c r="G457" s="738"/>
      <c r="H457" s="738"/>
      <c r="I457" s="738"/>
      <c r="J457" s="738"/>
      <c r="K457" s="738"/>
      <c r="L457" s="738"/>
      <c r="M457" s="738"/>
      <c r="N457" s="738"/>
      <c r="O457" s="738"/>
      <c r="P457" s="738"/>
      <c r="Q457" s="738"/>
      <c r="R457" s="738"/>
      <c r="S457" s="738"/>
      <c r="T457" s="738"/>
      <c r="U457" s="738"/>
      <c r="V457" s="738"/>
      <c r="W457" s="738"/>
      <c r="X457" s="738"/>
      <c r="Y457" s="738"/>
      <c r="Z457" s="738"/>
      <c r="AA457" s="738"/>
      <c r="AB457" s="738"/>
      <c r="AC457" s="738"/>
      <c r="AD457" s="738"/>
      <c r="AE457" s="738"/>
      <c r="AF457" s="738"/>
      <c r="AG457" s="738"/>
      <c r="AH457" s="738"/>
      <c r="AI457" s="738"/>
      <c r="AJ457" s="738"/>
      <c r="AK457" s="738"/>
      <c r="AL457" s="738"/>
    </row>
    <row r="458">
      <c r="A458" s="738"/>
      <c r="B458" s="738"/>
      <c r="C458" s="738"/>
      <c r="D458" s="738"/>
      <c r="E458" s="738"/>
      <c r="F458" s="738"/>
      <c r="G458" s="738"/>
      <c r="H458" s="738"/>
      <c r="I458" s="738"/>
      <c r="J458" s="738"/>
      <c r="K458" s="738"/>
      <c r="L458" s="738"/>
      <c r="M458" s="738"/>
      <c r="N458" s="738"/>
      <c r="O458" s="738"/>
      <c r="P458" s="738"/>
      <c r="Q458" s="738"/>
      <c r="R458" s="738"/>
      <c r="S458" s="738"/>
      <c r="T458" s="738"/>
      <c r="U458" s="738"/>
      <c r="V458" s="738"/>
      <c r="W458" s="738"/>
      <c r="X458" s="738"/>
      <c r="Y458" s="738"/>
      <c r="Z458" s="738"/>
      <c r="AA458" s="738"/>
      <c r="AB458" s="738"/>
      <c r="AC458" s="738"/>
      <c r="AD458" s="738"/>
      <c r="AE458" s="738"/>
      <c r="AF458" s="738"/>
      <c r="AG458" s="738"/>
      <c r="AH458" s="738"/>
      <c r="AI458" s="738"/>
      <c r="AJ458" s="738"/>
      <c r="AK458" s="738"/>
      <c r="AL458" s="738"/>
    </row>
    <row r="459">
      <c r="A459" s="738"/>
      <c r="B459" s="738"/>
      <c r="C459" s="738"/>
      <c r="D459" s="738"/>
      <c r="E459" s="738"/>
      <c r="F459" s="738"/>
      <c r="G459" s="738"/>
      <c r="H459" s="738"/>
      <c r="I459" s="738"/>
      <c r="J459" s="738"/>
      <c r="K459" s="738"/>
      <c r="L459" s="738"/>
      <c r="M459" s="738"/>
      <c r="N459" s="738"/>
      <c r="O459" s="738"/>
      <c r="P459" s="738"/>
      <c r="Q459" s="738"/>
      <c r="R459" s="738"/>
      <c r="S459" s="738"/>
      <c r="T459" s="738"/>
      <c r="U459" s="738"/>
      <c r="V459" s="738"/>
      <c r="W459" s="738"/>
      <c r="X459" s="738"/>
      <c r="Y459" s="738"/>
      <c r="Z459" s="738"/>
      <c r="AA459" s="738"/>
      <c r="AB459" s="738"/>
      <c r="AC459" s="738"/>
      <c r="AD459" s="738"/>
      <c r="AE459" s="738"/>
      <c r="AF459" s="738"/>
      <c r="AG459" s="738"/>
      <c r="AH459" s="738"/>
      <c r="AI459" s="738"/>
      <c r="AJ459" s="738"/>
      <c r="AK459" s="738"/>
      <c r="AL459" s="738"/>
    </row>
    <row r="460">
      <c r="A460" s="738"/>
      <c r="B460" s="738"/>
      <c r="C460" s="738"/>
      <c r="D460" s="738"/>
      <c r="E460" s="738"/>
      <c r="F460" s="738"/>
      <c r="G460" s="738"/>
      <c r="H460" s="738"/>
      <c r="I460" s="738"/>
      <c r="J460" s="738"/>
      <c r="K460" s="738"/>
      <c r="L460" s="738"/>
      <c r="M460" s="738"/>
      <c r="N460" s="738"/>
      <c r="O460" s="738"/>
      <c r="P460" s="738"/>
      <c r="Q460" s="738"/>
      <c r="R460" s="738"/>
      <c r="S460" s="738"/>
      <c r="T460" s="738"/>
      <c r="U460" s="738"/>
      <c r="V460" s="738"/>
      <c r="W460" s="738"/>
      <c r="X460" s="738"/>
      <c r="Y460" s="738"/>
      <c r="Z460" s="738"/>
      <c r="AA460" s="738"/>
      <c r="AB460" s="738"/>
      <c r="AC460" s="738"/>
      <c r="AD460" s="738"/>
      <c r="AE460" s="738"/>
      <c r="AF460" s="738"/>
      <c r="AG460" s="738"/>
      <c r="AH460" s="738"/>
      <c r="AI460" s="738"/>
      <c r="AJ460" s="738"/>
      <c r="AK460" s="738"/>
      <c r="AL460" s="738"/>
    </row>
    <row r="461">
      <c r="A461" s="738"/>
      <c r="B461" s="738"/>
      <c r="C461" s="738"/>
      <c r="D461" s="738"/>
      <c r="E461" s="738"/>
      <c r="F461" s="738"/>
      <c r="G461" s="738"/>
      <c r="H461" s="738"/>
      <c r="I461" s="738"/>
      <c r="J461" s="738"/>
      <c r="K461" s="738"/>
      <c r="L461" s="738"/>
      <c r="M461" s="738"/>
      <c r="N461" s="738"/>
      <c r="O461" s="738"/>
      <c r="P461" s="738"/>
      <c r="Q461" s="738"/>
      <c r="R461" s="738"/>
      <c r="S461" s="738"/>
      <c r="T461" s="738"/>
      <c r="U461" s="738"/>
      <c r="V461" s="738"/>
      <c r="W461" s="738"/>
      <c r="X461" s="738"/>
      <c r="Y461" s="738"/>
      <c r="Z461" s="738"/>
      <c r="AA461" s="738"/>
      <c r="AB461" s="738"/>
      <c r="AC461" s="738"/>
      <c r="AD461" s="738"/>
      <c r="AE461" s="738"/>
      <c r="AF461" s="738"/>
      <c r="AG461" s="738"/>
      <c r="AH461" s="738"/>
      <c r="AI461" s="738"/>
      <c r="AJ461" s="738"/>
      <c r="AK461" s="738"/>
      <c r="AL461" s="738"/>
    </row>
    <row r="462">
      <c r="A462" s="738"/>
      <c r="B462" s="738"/>
      <c r="C462" s="738"/>
      <c r="D462" s="738"/>
      <c r="E462" s="738"/>
      <c r="F462" s="738"/>
      <c r="G462" s="738"/>
      <c r="H462" s="738"/>
      <c r="I462" s="738"/>
      <c r="J462" s="738"/>
      <c r="K462" s="738"/>
      <c r="L462" s="738"/>
      <c r="M462" s="738"/>
      <c r="N462" s="738"/>
      <c r="O462" s="738"/>
      <c r="P462" s="738"/>
      <c r="Q462" s="738"/>
      <c r="R462" s="738"/>
      <c r="S462" s="738"/>
      <c r="T462" s="738"/>
      <c r="U462" s="738"/>
      <c r="V462" s="738"/>
      <c r="W462" s="738"/>
      <c r="X462" s="738"/>
      <c r="Y462" s="738"/>
      <c r="Z462" s="738"/>
      <c r="AA462" s="738"/>
      <c r="AB462" s="738"/>
      <c r="AC462" s="738"/>
      <c r="AD462" s="738"/>
      <c r="AE462" s="738"/>
      <c r="AF462" s="738"/>
      <c r="AG462" s="738"/>
      <c r="AH462" s="738"/>
      <c r="AI462" s="738"/>
      <c r="AJ462" s="738"/>
      <c r="AK462" s="738"/>
      <c r="AL462" s="738"/>
    </row>
    <row r="463">
      <c r="A463" s="738"/>
      <c r="B463" s="738"/>
      <c r="C463" s="738"/>
      <c r="D463" s="738"/>
      <c r="E463" s="738"/>
      <c r="F463" s="738"/>
      <c r="G463" s="738"/>
      <c r="H463" s="738"/>
      <c r="I463" s="738"/>
      <c r="J463" s="738"/>
      <c r="K463" s="738"/>
      <c r="L463" s="738"/>
      <c r="M463" s="738"/>
      <c r="N463" s="738"/>
      <c r="O463" s="738"/>
      <c r="P463" s="738"/>
      <c r="Q463" s="738"/>
      <c r="R463" s="738"/>
      <c r="S463" s="738"/>
      <c r="T463" s="738"/>
      <c r="U463" s="738"/>
      <c r="V463" s="738"/>
      <c r="W463" s="738"/>
      <c r="X463" s="738"/>
      <c r="Y463" s="738"/>
      <c r="Z463" s="738"/>
      <c r="AA463" s="738"/>
      <c r="AB463" s="738"/>
      <c r="AC463" s="738"/>
      <c r="AD463" s="738"/>
      <c r="AE463" s="738"/>
      <c r="AF463" s="738"/>
      <c r="AG463" s="738"/>
      <c r="AH463" s="738"/>
      <c r="AI463" s="738"/>
      <c r="AJ463" s="738"/>
      <c r="AK463" s="738"/>
      <c r="AL463" s="738"/>
    </row>
    <row r="464">
      <c r="A464" s="738"/>
      <c r="B464" s="738"/>
      <c r="C464" s="738"/>
      <c r="D464" s="738"/>
      <c r="E464" s="738"/>
      <c r="F464" s="738"/>
      <c r="G464" s="738"/>
      <c r="H464" s="738"/>
      <c r="I464" s="738"/>
      <c r="J464" s="738"/>
      <c r="K464" s="738"/>
      <c r="L464" s="738"/>
      <c r="M464" s="738"/>
      <c r="N464" s="738"/>
      <c r="O464" s="738"/>
      <c r="P464" s="738"/>
      <c r="Q464" s="738"/>
      <c r="R464" s="738"/>
      <c r="S464" s="738"/>
      <c r="T464" s="738"/>
      <c r="U464" s="738"/>
      <c r="V464" s="738"/>
      <c r="W464" s="738"/>
      <c r="X464" s="738"/>
      <c r="Y464" s="738"/>
      <c r="Z464" s="738"/>
      <c r="AA464" s="738"/>
      <c r="AB464" s="738"/>
      <c r="AC464" s="738"/>
      <c r="AD464" s="738"/>
      <c r="AE464" s="738"/>
      <c r="AF464" s="738"/>
      <c r="AG464" s="738"/>
      <c r="AH464" s="738"/>
      <c r="AI464" s="738"/>
      <c r="AJ464" s="738"/>
      <c r="AK464" s="738"/>
      <c r="AL464" s="738"/>
    </row>
    <row r="465">
      <c r="A465" s="738"/>
      <c r="B465" s="738"/>
      <c r="C465" s="738"/>
      <c r="D465" s="738"/>
      <c r="E465" s="738"/>
      <c r="F465" s="738"/>
      <c r="G465" s="738"/>
      <c r="H465" s="738"/>
      <c r="I465" s="738"/>
      <c r="J465" s="738"/>
      <c r="K465" s="738"/>
      <c r="L465" s="738"/>
      <c r="M465" s="738"/>
      <c r="N465" s="738"/>
      <c r="O465" s="738"/>
      <c r="P465" s="738"/>
      <c r="Q465" s="738"/>
      <c r="R465" s="738"/>
      <c r="S465" s="738"/>
      <c r="T465" s="738"/>
      <c r="U465" s="738"/>
      <c r="V465" s="738"/>
      <c r="W465" s="738"/>
      <c r="X465" s="738"/>
      <c r="Y465" s="738"/>
      <c r="Z465" s="738"/>
      <c r="AA465" s="738"/>
      <c r="AB465" s="738"/>
      <c r="AC465" s="738"/>
      <c r="AD465" s="738"/>
      <c r="AE465" s="738"/>
      <c r="AF465" s="738"/>
      <c r="AG465" s="738"/>
      <c r="AH465" s="738"/>
      <c r="AI465" s="738"/>
      <c r="AJ465" s="738"/>
      <c r="AK465" s="738"/>
      <c r="AL465" s="738"/>
    </row>
    <row r="466">
      <c r="A466" s="738"/>
      <c r="B466" s="738"/>
      <c r="C466" s="738"/>
      <c r="D466" s="738"/>
      <c r="E466" s="738"/>
      <c r="F466" s="738"/>
      <c r="G466" s="738"/>
      <c r="H466" s="738"/>
      <c r="I466" s="738"/>
      <c r="J466" s="738"/>
      <c r="K466" s="738"/>
      <c r="L466" s="738"/>
      <c r="M466" s="738"/>
      <c r="N466" s="738"/>
      <c r="O466" s="738"/>
      <c r="P466" s="738"/>
      <c r="Q466" s="738"/>
      <c r="R466" s="738"/>
      <c r="S466" s="738"/>
      <c r="T466" s="738"/>
      <c r="U466" s="738"/>
      <c r="V466" s="738"/>
      <c r="W466" s="738"/>
      <c r="X466" s="738"/>
      <c r="Y466" s="738"/>
      <c r="Z466" s="738"/>
      <c r="AA466" s="738"/>
      <c r="AB466" s="738"/>
      <c r="AC466" s="738"/>
      <c r="AD466" s="738"/>
      <c r="AE466" s="738"/>
      <c r="AF466" s="738"/>
      <c r="AG466" s="738"/>
      <c r="AH466" s="738"/>
      <c r="AI466" s="738"/>
      <c r="AJ466" s="738"/>
      <c r="AK466" s="738"/>
      <c r="AL466" s="738"/>
    </row>
    <row r="467">
      <c r="A467" s="738"/>
      <c r="B467" s="738"/>
      <c r="C467" s="738"/>
      <c r="D467" s="738"/>
      <c r="E467" s="738"/>
      <c r="F467" s="738"/>
      <c r="G467" s="738"/>
      <c r="H467" s="738"/>
      <c r="I467" s="738"/>
      <c r="J467" s="738"/>
      <c r="K467" s="738"/>
      <c r="L467" s="738"/>
      <c r="M467" s="738"/>
      <c r="N467" s="738"/>
      <c r="O467" s="738"/>
      <c r="P467" s="738"/>
      <c r="Q467" s="738"/>
      <c r="R467" s="738"/>
      <c r="S467" s="738"/>
      <c r="T467" s="738"/>
      <c r="U467" s="738"/>
      <c r="V467" s="738"/>
      <c r="W467" s="738"/>
      <c r="X467" s="738"/>
      <c r="Y467" s="738"/>
      <c r="Z467" s="738"/>
      <c r="AA467" s="738"/>
      <c r="AB467" s="738"/>
      <c r="AC467" s="738"/>
      <c r="AD467" s="738"/>
      <c r="AE467" s="738"/>
      <c r="AF467" s="738"/>
      <c r="AG467" s="738"/>
      <c r="AH467" s="738"/>
      <c r="AI467" s="738"/>
      <c r="AJ467" s="738"/>
      <c r="AK467" s="738"/>
      <c r="AL467" s="738"/>
    </row>
    <row r="468">
      <c r="A468" s="738"/>
      <c r="B468" s="738"/>
      <c r="C468" s="738"/>
      <c r="D468" s="738"/>
      <c r="E468" s="738"/>
      <c r="F468" s="738"/>
      <c r="G468" s="738"/>
      <c r="H468" s="738"/>
      <c r="I468" s="738"/>
      <c r="J468" s="738"/>
      <c r="K468" s="738"/>
      <c r="L468" s="738"/>
      <c r="M468" s="738"/>
      <c r="N468" s="738"/>
      <c r="O468" s="738"/>
      <c r="P468" s="738"/>
      <c r="Q468" s="738"/>
      <c r="R468" s="738"/>
      <c r="S468" s="738"/>
      <c r="T468" s="738"/>
      <c r="U468" s="738"/>
      <c r="V468" s="738"/>
      <c r="W468" s="738"/>
      <c r="X468" s="738"/>
      <c r="Y468" s="738"/>
      <c r="Z468" s="738"/>
      <c r="AA468" s="738"/>
      <c r="AB468" s="738"/>
      <c r="AC468" s="738"/>
      <c r="AD468" s="738"/>
      <c r="AE468" s="738"/>
      <c r="AF468" s="738"/>
      <c r="AG468" s="738"/>
      <c r="AH468" s="738"/>
      <c r="AI468" s="738"/>
      <c r="AJ468" s="738"/>
      <c r="AK468" s="738"/>
      <c r="AL468" s="738"/>
    </row>
    <row r="469">
      <c r="A469" s="738"/>
      <c r="B469" s="738"/>
      <c r="C469" s="738"/>
      <c r="D469" s="738"/>
      <c r="E469" s="738"/>
      <c r="F469" s="738"/>
      <c r="G469" s="738"/>
      <c r="H469" s="738"/>
      <c r="I469" s="738"/>
      <c r="J469" s="738"/>
      <c r="K469" s="738"/>
      <c r="L469" s="738"/>
      <c r="M469" s="738"/>
      <c r="N469" s="738"/>
      <c r="O469" s="738"/>
      <c r="P469" s="738"/>
      <c r="Q469" s="738"/>
      <c r="R469" s="738"/>
      <c r="S469" s="738"/>
      <c r="T469" s="738"/>
      <c r="U469" s="738"/>
      <c r="V469" s="738"/>
      <c r="W469" s="738"/>
      <c r="X469" s="738"/>
      <c r="Y469" s="738"/>
      <c r="Z469" s="738"/>
      <c r="AA469" s="738"/>
      <c r="AB469" s="738"/>
      <c r="AC469" s="738"/>
      <c r="AD469" s="738"/>
      <c r="AE469" s="738"/>
      <c r="AF469" s="738"/>
      <c r="AG469" s="738"/>
      <c r="AH469" s="738"/>
      <c r="AI469" s="738"/>
      <c r="AJ469" s="738"/>
      <c r="AK469" s="738"/>
      <c r="AL469" s="738"/>
    </row>
    <row r="470">
      <c r="A470" s="738"/>
      <c r="B470" s="738"/>
      <c r="C470" s="738"/>
      <c r="D470" s="738"/>
      <c r="E470" s="738"/>
      <c r="F470" s="738"/>
      <c r="G470" s="738"/>
      <c r="H470" s="738"/>
      <c r="I470" s="738"/>
      <c r="J470" s="738"/>
      <c r="K470" s="738"/>
      <c r="L470" s="738"/>
      <c r="M470" s="738"/>
      <c r="N470" s="738"/>
      <c r="O470" s="738"/>
      <c r="P470" s="738"/>
      <c r="Q470" s="738"/>
      <c r="R470" s="738"/>
      <c r="S470" s="738"/>
      <c r="T470" s="738"/>
      <c r="U470" s="738"/>
      <c r="V470" s="738"/>
      <c r="W470" s="738"/>
      <c r="X470" s="738"/>
      <c r="Y470" s="738"/>
      <c r="Z470" s="738"/>
      <c r="AA470" s="738"/>
      <c r="AB470" s="738"/>
      <c r="AC470" s="738"/>
      <c r="AD470" s="738"/>
      <c r="AE470" s="738"/>
      <c r="AF470" s="738"/>
      <c r="AG470" s="738"/>
      <c r="AH470" s="738"/>
      <c r="AI470" s="738"/>
      <c r="AJ470" s="738"/>
      <c r="AK470" s="738"/>
      <c r="AL470" s="738"/>
    </row>
    <row r="471">
      <c r="A471" s="738"/>
      <c r="B471" s="738"/>
      <c r="C471" s="738"/>
      <c r="D471" s="738"/>
      <c r="E471" s="738"/>
      <c r="F471" s="738"/>
      <c r="G471" s="738"/>
      <c r="H471" s="738"/>
      <c r="I471" s="738"/>
      <c r="J471" s="738"/>
      <c r="K471" s="738"/>
      <c r="L471" s="738"/>
      <c r="M471" s="738"/>
      <c r="N471" s="738"/>
      <c r="O471" s="738"/>
      <c r="P471" s="738"/>
      <c r="Q471" s="738"/>
      <c r="R471" s="738"/>
      <c r="S471" s="738"/>
      <c r="T471" s="738"/>
      <c r="U471" s="738"/>
      <c r="V471" s="738"/>
      <c r="W471" s="738"/>
      <c r="X471" s="738"/>
      <c r="Y471" s="738"/>
      <c r="Z471" s="738"/>
      <c r="AA471" s="738"/>
      <c r="AB471" s="738"/>
      <c r="AC471" s="738"/>
      <c r="AD471" s="738"/>
      <c r="AE471" s="738"/>
      <c r="AF471" s="738"/>
      <c r="AG471" s="738"/>
      <c r="AH471" s="738"/>
      <c r="AI471" s="738"/>
      <c r="AJ471" s="738"/>
      <c r="AK471" s="738"/>
      <c r="AL471" s="738"/>
    </row>
    <row r="472">
      <c r="A472" s="738"/>
      <c r="B472" s="738"/>
      <c r="C472" s="738"/>
      <c r="D472" s="738"/>
      <c r="E472" s="738"/>
      <c r="F472" s="738"/>
      <c r="G472" s="738"/>
      <c r="H472" s="738"/>
      <c r="I472" s="738"/>
      <c r="J472" s="738"/>
      <c r="K472" s="738"/>
      <c r="L472" s="738"/>
      <c r="M472" s="738"/>
      <c r="N472" s="738"/>
      <c r="O472" s="738"/>
      <c r="P472" s="738"/>
      <c r="Q472" s="738"/>
      <c r="R472" s="738"/>
      <c r="S472" s="738"/>
      <c r="T472" s="738"/>
      <c r="U472" s="738"/>
      <c r="V472" s="738"/>
      <c r="W472" s="738"/>
      <c r="X472" s="738"/>
      <c r="Y472" s="738"/>
      <c r="Z472" s="738"/>
      <c r="AA472" s="738"/>
      <c r="AB472" s="738"/>
      <c r="AC472" s="738"/>
      <c r="AD472" s="738"/>
      <c r="AE472" s="738"/>
      <c r="AF472" s="738"/>
      <c r="AG472" s="738"/>
      <c r="AH472" s="738"/>
      <c r="AI472" s="738"/>
      <c r="AJ472" s="738"/>
      <c r="AK472" s="738"/>
      <c r="AL472" s="738"/>
    </row>
    <row r="473">
      <c r="A473" s="738"/>
      <c r="B473" s="738"/>
      <c r="C473" s="738"/>
      <c r="D473" s="738"/>
      <c r="E473" s="738"/>
      <c r="F473" s="738"/>
      <c r="G473" s="738"/>
      <c r="H473" s="738"/>
      <c r="I473" s="738"/>
      <c r="J473" s="738"/>
      <c r="K473" s="738"/>
      <c r="L473" s="738"/>
      <c r="M473" s="738"/>
      <c r="N473" s="738"/>
      <c r="O473" s="738"/>
      <c r="P473" s="738"/>
      <c r="Q473" s="738"/>
      <c r="R473" s="738"/>
      <c r="S473" s="738"/>
      <c r="T473" s="738"/>
      <c r="U473" s="738"/>
      <c r="V473" s="738"/>
      <c r="W473" s="738"/>
      <c r="X473" s="738"/>
      <c r="Y473" s="738"/>
      <c r="Z473" s="738"/>
      <c r="AA473" s="738"/>
      <c r="AB473" s="738"/>
      <c r="AC473" s="738"/>
      <c r="AD473" s="738"/>
      <c r="AE473" s="738"/>
      <c r="AF473" s="738"/>
      <c r="AG473" s="738"/>
      <c r="AH473" s="738"/>
      <c r="AI473" s="738"/>
      <c r="AJ473" s="738"/>
      <c r="AK473" s="738"/>
      <c r="AL473" s="738"/>
    </row>
    <row r="474">
      <c r="A474" s="738"/>
      <c r="B474" s="738"/>
      <c r="C474" s="738"/>
      <c r="D474" s="738"/>
      <c r="E474" s="738"/>
      <c r="F474" s="738"/>
      <c r="G474" s="738"/>
      <c r="H474" s="738"/>
      <c r="I474" s="738"/>
      <c r="J474" s="738"/>
      <c r="K474" s="738"/>
      <c r="L474" s="738"/>
      <c r="M474" s="738"/>
      <c r="N474" s="738"/>
      <c r="O474" s="738"/>
      <c r="P474" s="738"/>
      <c r="Q474" s="738"/>
      <c r="R474" s="738"/>
      <c r="S474" s="738"/>
      <c r="T474" s="738"/>
      <c r="U474" s="738"/>
      <c r="V474" s="738"/>
      <c r="W474" s="738"/>
      <c r="X474" s="738"/>
      <c r="Y474" s="738"/>
      <c r="Z474" s="738"/>
      <c r="AA474" s="738"/>
      <c r="AB474" s="738"/>
      <c r="AC474" s="738"/>
      <c r="AD474" s="738"/>
      <c r="AE474" s="738"/>
      <c r="AF474" s="738"/>
      <c r="AG474" s="738"/>
      <c r="AH474" s="738"/>
      <c r="AI474" s="738"/>
      <c r="AJ474" s="738"/>
      <c r="AK474" s="738"/>
      <c r="AL474" s="738"/>
    </row>
    <row r="475">
      <c r="A475" s="738"/>
      <c r="B475" s="738"/>
      <c r="C475" s="738"/>
      <c r="D475" s="738"/>
      <c r="E475" s="738"/>
      <c r="F475" s="738"/>
      <c r="G475" s="738"/>
      <c r="H475" s="738"/>
      <c r="I475" s="738"/>
      <c r="J475" s="738"/>
      <c r="K475" s="738"/>
      <c r="L475" s="738"/>
      <c r="M475" s="738"/>
      <c r="N475" s="738"/>
      <c r="O475" s="738"/>
      <c r="P475" s="738"/>
      <c r="Q475" s="738"/>
      <c r="R475" s="738"/>
      <c r="S475" s="738"/>
      <c r="T475" s="738"/>
      <c r="U475" s="738"/>
      <c r="V475" s="738"/>
      <c r="W475" s="738"/>
      <c r="X475" s="738"/>
      <c r="Y475" s="738"/>
      <c r="Z475" s="738"/>
      <c r="AA475" s="738"/>
      <c r="AB475" s="738"/>
      <c r="AC475" s="738"/>
      <c r="AD475" s="738"/>
      <c r="AE475" s="738"/>
      <c r="AF475" s="738"/>
      <c r="AG475" s="738"/>
      <c r="AH475" s="738"/>
      <c r="AI475" s="738"/>
      <c r="AJ475" s="738"/>
      <c r="AK475" s="738"/>
      <c r="AL475" s="738"/>
    </row>
    <row r="476">
      <c r="A476" s="738"/>
      <c r="B476" s="738"/>
      <c r="C476" s="738"/>
      <c r="D476" s="738"/>
      <c r="E476" s="738"/>
      <c r="F476" s="738"/>
      <c r="G476" s="738"/>
      <c r="H476" s="738"/>
      <c r="I476" s="738"/>
      <c r="J476" s="738"/>
      <c r="K476" s="738"/>
      <c r="L476" s="738"/>
      <c r="M476" s="738"/>
      <c r="N476" s="738"/>
      <c r="O476" s="738"/>
      <c r="P476" s="738"/>
      <c r="Q476" s="738"/>
      <c r="R476" s="738"/>
      <c r="S476" s="738"/>
      <c r="T476" s="738"/>
      <c r="U476" s="738"/>
      <c r="V476" s="738"/>
      <c r="W476" s="738"/>
      <c r="X476" s="738"/>
      <c r="Y476" s="738"/>
      <c r="Z476" s="738"/>
      <c r="AA476" s="738"/>
      <c r="AB476" s="738"/>
      <c r="AC476" s="738"/>
      <c r="AD476" s="738"/>
      <c r="AE476" s="738"/>
      <c r="AF476" s="738"/>
      <c r="AG476" s="738"/>
      <c r="AH476" s="738"/>
      <c r="AI476" s="738"/>
      <c r="AJ476" s="738"/>
      <c r="AK476" s="738"/>
      <c r="AL476" s="738"/>
    </row>
    <row r="477">
      <c r="A477" s="738"/>
      <c r="B477" s="738"/>
      <c r="C477" s="738"/>
      <c r="D477" s="738"/>
      <c r="E477" s="738"/>
      <c r="F477" s="738"/>
      <c r="G477" s="738"/>
      <c r="H477" s="738"/>
      <c r="I477" s="738"/>
      <c r="J477" s="738"/>
      <c r="K477" s="738"/>
      <c r="L477" s="738"/>
      <c r="M477" s="738"/>
      <c r="N477" s="738"/>
      <c r="O477" s="738"/>
      <c r="P477" s="738"/>
      <c r="Q477" s="738"/>
      <c r="R477" s="738"/>
      <c r="S477" s="738"/>
      <c r="T477" s="738"/>
      <c r="U477" s="738"/>
      <c r="V477" s="738"/>
      <c r="W477" s="738"/>
      <c r="X477" s="738"/>
      <c r="Y477" s="738"/>
      <c r="Z477" s="738"/>
      <c r="AA477" s="738"/>
      <c r="AB477" s="738"/>
      <c r="AC477" s="738"/>
      <c r="AD477" s="738"/>
      <c r="AE477" s="738"/>
      <c r="AF477" s="738"/>
      <c r="AG477" s="738"/>
      <c r="AH477" s="738"/>
      <c r="AI477" s="738"/>
      <c r="AJ477" s="738"/>
      <c r="AK477" s="738"/>
      <c r="AL477" s="738"/>
    </row>
    <row r="478">
      <c r="A478" s="738"/>
      <c r="B478" s="738"/>
      <c r="C478" s="738"/>
      <c r="D478" s="738"/>
      <c r="E478" s="738"/>
      <c r="F478" s="738"/>
      <c r="G478" s="738"/>
      <c r="H478" s="738"/>
      <c r="I478" s="738"/>
      <c r="J478" s="738"/>
      <c r="K478" s="738"/>
      <c r="L478" s="738"/>
      <c r="M478" s="738"/>
      <c r="N478" s="738"/>
      <c r="O478" s="738"/>
      <c r="P478" s="738"/>
      <c r="Q478" s="738"/>
      <c r="R478" s="738"/>
      <c r="S478" s="738"/>
      <c r="T478" s="738"/>
      <c r="U478" s="738"/>
      <c r="V478" s="738"/>
      <c r="W478" s="738"/>
      <c r="X478" s="738"/>
      <c r="Y478" s="738"/>
      <c r="Z478" s="738"/>
      <c r="AA478" s="738"/>
      <c r="AB478" s="738"/>
      <c r="AC478" s="738"/>
      <c r="AD478" s="738"/>
      <c r="AE478" s="738"/>
      <c r="AF478" s="738"/>
      <c r="AG478" s="738"/>
      <c r="AH478" s="738"/>
      <c r="AI478" s="738"/>
      <c r="AJ478" s="738"/>
      <c r="AK478" s="738"/>
      <c r="AL478" s="738"/>
    </row>
    <row r="479">
      <c r="A479" s="738"/>
      <c r="B479" s="738"/>
      <c r="C479" s="738"/>
      <c r="D479" s="738"/>
      <c r="E479" s="738"/>
      <c r="F479" s="738"/>
      <c r="G479" s="738"/>
      <c r="H479" s="738"/>
      <c r="I479" s="738"/>
      <c r="J479" s="738"/>
      <c r="K479" s="738"/>
      <c r="L479" s="738"/>
      <c r="M479" s="738"/>
      <c r="N479" s="738"/>
      <c r="O479" s="738"/>
      <c r="P479" s="738"/>
      <c r="Q479" s="738"/>
      <c r="R479" s="738"/>
      <c r="S479" s="738"/>
      <c r="T479" s="738"/>
      <c r="U479" s="738"/>
      <c r="V479" s="738"/>
      <c r="W479" s="738"/>
      <c r="X479" s="738"/>
      <c r="Y479" s="738"/>
      <c r="Z479" s="738"/>
      <c r="AA479" s="738"/>
      <c r="AB479" s="738"/>
      <c r="AC479" s="738"/>
      <c r="AD479" s="738"/>
      <c r="AE479" s="738"/>
      <c r="AF479" s="738"/>
      <c r="AG479" s="738"/>
      <c r="AH479" s="738"/>
      <c r="AI479" s="738"/>
      <c r="AJ479" s="738"/>
      <c r="AK479" s="738"/>
      <c r="AL479" s="738"/>
    </row>
    <row r="480">
      <c r="A480" s="738"/>
      <c r="B480" s="738"/>
      <c r="C480" s="738"/>
      <c r="D480" s="738"/>
      <c r="E480" s="738"/>
      <c r="F480" s="738"/>
      <c r="G480" s="738"/>
      <c r="H480" s="738"/>
      <c r="I480" s="738"/>
      <c r="J480" s="738"/>
      <c r="K480" s="738"/>
      <c r="L480" s="738"/>
      <c r="M480" s="738"/>
      <c r="N480" s="738"/>
      <c r="O480" s="738"/>
      <c r="P480" s="738"/>
      <c r="Q480" s="738"/>
      <c r="R480" s="738"/>
      <c r="S480" s="738"/>
      <c r="T480" s="738"/>
      <c r="U480" s="738"/>
      <c r="V480" s="738"/>
      <c r="W480" s="738"/>
      <c r="X480" s="738"/>
      <c r="Y480" s="738"/>
      <c r="Z480" s="738"/>
      <c r="AA480" s="738"/>
      <c r="AB480" s="738"/>
      <c r="AC480" s="738"/>
      <c r="AD480" s="738"/>
      <c r="AE480" s="738"/>
      <c r="AF480" s="738"/>
      <c r="AG480" s="738"/>
      <c r="AH480" s="738"/>
      <c r="AI480" s="738"/>
      <c r="AJ480" s="738"/>
      <c r="AK480" s="738"/>
      <c r="AL480" s="738"/>
    </row>
    <row r="481">
      <c r="A481" s="738"/>
      <c r="B481" s="738"/>
      <c r="C481" s="738"/>
      <c r="D481" s="738"/>
      <c r="E481" s="738"/>
      <c r="F481" s="738"/>
      <c r="G481" s="738"/>
      <c r="H481" s="738"/>
      <c r="I481" s="738"/>
      <c r="J481" s="738"/>
      <c r="K481" s="738"/>
      <c r="L481" s="738"/>
      <c r="M481" s="738"/>
      <c r="N481" s="738"/>
      <c r="O481" s="738"/>
      <c r="P481" s="738"/>
      <c r="Q481" s="738"/>
      <c r="R481" s="738"/>
      <c r="S481" s="738"/>
      <c r="T481" s="738"/>
      <c r="U481" s="738"/>
      <c r="V481" s="738"/>
      <c r="W481" s="738"/>
      <c r="X481" s="738"/>
      <c r="Y481" s="738"/>
      <c r="Z481" s="738"/>
      <c r="AA481" s="738"/>
      <c r="AB481" s="738"/>
      <c r="AC481" s="738"/>
      <c r="AD481" s="738"/>
      <c r="AE481" s="738"/>
      <c r="AF481" s="738"/>
      <c r="AG481" s="738"/>
      <c r="AH481" s="738"/>
      <c r="AI481" s="738"/>
      <c r="AJ481" s="738"/>
      <c r="AK481" s="738"/>
      <c r="AL481" s="738"/>
    </row>
    <row r="482">
      <c r="A482" s="738"/>
      <c r="B482" s="738"/>
      <c r="C482" s="738"/>
      <c r="D482" s="738"/>
      <c r="E482" s="738"/>
      <c r="F482" s="738"/>
      <c r="G482" s="738"/>
      <c r="H482" s="738"/>
      <c r="I482" s="738"/>
      <c r="J482" s="738"/>
      <c r="K482" s="738"/>
      <c r="L482" s="738"/>
      <c r="M482" s="738"/>
      <c r="N482" s="738"/>
      <c r="O482" s="738"/>
      <c r="P482" s="738"/>
      <c r="Q482" s="738"/>
      <c r="R482" s="738"/>
      <c r="S482" s="738"/>
      <c r="T482" s="738"/>
      <c r="U482" s="738"/>
      <c r="V482" s="738"/>
      <c r="W482" s="738"/>
      <c r="X482" s="738"/>
      <c r="Y482" s="738"/>
      <c r="Z482" s="738"/>
      <c r="AA482" s="738"/>
      <c r="AB482" s="738"/>
      <c r="AC482" s="738"/>
      <c r="AD482" s="738"/>
      <c r="AE482" s="738"/>
      <c r="AF482" s="738"/>
      <c r="AG482" s="738"/>
      <c r="AH482" s="738"/>
      <c r="AI482" s="738"/>
      <c r="AJ482" s="738"/>
      <c r="AK482" s="738"/>
      <c r="AL482" s="738"/>
    </row>
    <row r="483">
      <c r="A483" s="738"/>
      <c r="B483" s="738"/>
      <c r="C483" s="738"/>
      <c r="D483" s="738"/>
      <c r="E483" s="738"/>
      <c r="F483" s="738"/>
      <c r="G483" s="738"/>
      <c r="H483" s="738"/>
      <c r="I483" s="738"/>
      <c r="J483" s="738"/>
      <c r="K483" s="738"/>
      <c r="L483" s="738"/>
      <c r="M483" s="738"/>
      <c r="N483" s="738"/>
      <c r="O483" s="738"/>
      <c r="P483" s="738"/>
      <c r="Q483" s="738"/>
      <c r="R483" s="738"/>
      <c r="S483" s="738"/>
      <c r="T483" s="738"/>
      <c r="U483" s="738"/>
      <c r="V483" s="738"/>
      <c r="W483" s="738"/>
      <c r="X483" s="738"/>
      <c r="Y483" s="738"/>
      <c r="Z483" s="738"/>
      <c r="AA483" s="738"/>
      <c r="AB483" s="738"/>
      <c r="AC483" s="738"/>
      <c r="AD483" s="738"/>
      <c r="AE483" s="738"/>
      <c r="AF483" s="738"/>
      <c r="AG483" s="738"/>
      <c r="AH483" s="738"/>
      <c r="AI483" s="738"/>
      <c r="AJ483" s="738"/>
      <c r="AK483" s="738"/>
      <c r="AL483" s="738"/>
    </row>
    <row r="484">
      <c r="A484" s="738"/>
      <c r="B484" s="738"/>
      <c r="C484" s="738"/>
      <c r="D484" s="738"/>
      <c r="E484" s="738"/>
      <c r="F484" s="738"/>
      <c r="G484" s="738"/>
      <c r="H484" s="738"/>
      <c r="I484" s="738"/>
      <c r="J484" s="738"/>
      <c r="K484" s="738"/>
      <c r="L484" s="738"/>
      <c r="M484" s="738"/>
      <c r="N484" s="738"/>
      <c r="O484" s="738"/>
      <c r="P484" s="738"/>
      <c r="Q484" s="738"/>
      <c r="R484" s="738"/>
      <c r="S484" s="738"/>
      <c r="T484" s="738"/>
      <c r="U484" s="738"/>
      <c r="V484" s="738"/>
      <c r="W484" s="738"/>
      <c r="X484" s="738"/>
      <c r="Y484" s="738"/>
      <c r="Z484" s="738"/>
      <c r="AA484" s="738"/>
      <c r="AB484" s="738"/>
      <c r="AC484" s="738"/>
      <c r="AD484" s="738"/>
      <c r="AE484" s="738"/>
      <c r="AF484" s="738"/>
      <c r="AG484" s="738"/>
      <c r="AH484" s="738"/>
      <c r="AI484" s="738"/>
      <c r="AJ484" s="738"/>
      <c r="AK484" s="738"/>
      <c r="AL484" s="738"/>
    </row>
    <row r="485">
      <c r="A485" s="738"/>
      <c r="B485" s="738"/>
      <c r="C485" s="738"/>
      <c r="D485" s="738"/>
      <c r="E485" s="738"/>
      <c r="F485" s="738"/>
      <c r="G485" s="738"/>
      <c r="H485" s="738"/>
      <c r="I485" s="738"/>
      <c r="J485" s="738"/>
      <c r="K485" s="738"/>
      <c r="L485" s="738"/>
      <c r="M485" s="738"/>
      <c r="N485" s="738"/>
      <c r="O485" s="738"/>
      <c r="P485" s="738"/>
      <c r="Q485" s="738"/>
      <c r="R485" s="738"/>
      <c r="S485" s="738"/>
      <c r="T485" s="738"/>
      <c r="U485" s="738"/>
      <c r="V485" s="738"/>
      <c r="W485" s="738"/>
      <c r="X485" s="738"/>
      <c r="Y485" s="738"/>
      <c r="Z485" s="738"/>
      <c r="AA485" s="738"/>
      <c r="AB485" s="738"/>
      <c r="AC485" s="738"/>
      <c r="AD485" s="738"/>
      <c r="AE485" s="738"/>
      <c r="AF485" s="738"/>
      <c r="AG485" s="738"/>
      <c r="AH485" s="738"/>
      <c r="AI485" s="738"/>
      <c r="AJ485" s="738"/>
      <c r="AK485" s="738"/>
      <c r="AL485" s="738"/>
    </row>
    <row r="486">
      <c r="A486" s="738"/>
      <c r="B486" s="738"/>
      <c r="C486" s="738"/>
      <c r="D486" s="738"/>
      <c r="E486" s="738"/>
      <c r="F486" s="738"/>
      <c r="G486" s="738"/>
      <c r="H486" s="738"/>
      <c r="I486" s="738"/>
      <c r="J486" s="738"/>
      <c r="K486" s="738"/>
      <c r="L486" s="738"/>
      <c r="M486" s="738"/>
      <c r="N486" s="738"/>
      <c r="O486" s="738"/>
      <c r="P486" s="738"/>
      <c r="Q486" s="738"/>
      <c r="R486" s="738"/>
      <c r="S486" s="738"/>
      <c r="T486" s="738"/>
      <c r="U486" s="738"/>
      <c r="V486" s="738"/>
      <c r="W486" s="738"/>
      <c r="X486" s="738"/>
      <c r="Y486" s="738"/>
      <c r="Z486" s="738"/>
      <c r="AA486" s="738"/>
      <c r="AB486" s="738"/>
      <c r="AC486" s="738"/>
      <c r="AD486" s="738"/>
      <c r="AE486" s="738"/>
      <c r="AF486" s="738"/>
      <c r="AG486" s="738"/>
      <c r="AH486" s="738"/>
      <c r="AI486" s="738"/>
      <c r="AJ486" s="738"/>
      <c r="AK486" s="738"/>
      <c r="AL486" s="738"/>
    </row>
    <row r="487">
      <c r="A487" s="738"/>
      <c r="B487" s="738"/>
      <c r="C487" s="738"/>
      <c r="D487" s="738"/>
      <c r="E487" s="738"/>
      <c r="F487" s="738"/>
      <c r="G487" s="738"/>
      <c r="H487" s="738"/>
      <c r="I487" s="738"/>
      <c r="J487" s="738"/>
      <c r="K487" s="738"/>
      <c r="L487" s="738"/>
      <c r="M487" s="738"/>
      <c r="N487" s="738"/>
      <c r="O487" s="738"/>
      <c r="P487" s="738"/>
      <c r="Q487" s="738"/>
      <c r="R487" s="738"/>
      <c r="S487" s="738"/>
      <c r="T487" s="738"/>
      <c r="U487" s="738"/>
      <c r="V487" s="738"/>
      <c r="W487" s="738"/>
      <c r="X487" s="738"/>
      <c r="Y487" s="738"/>
      <c r="Z487" s="738"/>
      <c r="AA487" s="738"/>
      <c r="AB487" s="738"/>
      <c r="AC487" s="738"/>
      <c r="AD487" s="738"/>
      <c r="AE487" s="738"/>
      <c r="AF487" s="738"/>
      <c r="AG487" s="738"/>
      <c r="AH487" s="738"/>
      <c r="AI487" s="738"/>
      <c r="AJ487" s="738"/>
      <c r="AK487" s="738"/>
      <c r="AL487" s="738"/>
    </row>
    <row r="488">
      <c r="A488" s="738"/>
      <c r="B488" s="738"/>
      <c r="C488" s="738"/>
      <c r="D488" s="738"/>
      <c r="E488" s="738"/>
      <c r="F488" s="738"/>
      <c r="G488" s="738"/>
      <c r="H488" s="738"/>
      <c r="I488" s="738"/>
      <c r="J488" s="738"/>
      <c r="K488" s="738"/>
      <c r="L488" s="738"/>
      <c r="M488" s="738"/>
      <c r="N488" s="738"/>
      <c r="O488" s="738"/>
      <c r="P488" s="738"/>
      <c r="Q488" s="738"/>
      <c r="R488" s="738"/>
      <c r="S488" s="738"/>
      <c r="T488" s="738"/>
      <c r="U488" s="738"/>
      <c r="V488" s="738"/>
      <c r="W488" s="738"/>
      <c r="X488" s="738"/>
      <c r="Y488" s="738"/>
      <c r="Z488" s="738"/>
      <c r="AA488" s="738"/>
      <c r="AB488" s="738"/>
      <c r="AC488" s="738"/>
      <c r="AD488" s="738"/>
      <c r="AE488" s="738"/>
      <c r="AF488" s="738"/>
      <c r="AG488" s="738"/>
      <c r="AH488" s="738"/>
      <c r="AI488" s="738"/>
      <c r="AJ488" s="738"/>
      <c r="AK488" s="738"/>
      <c r="AL488" s="738"/>
    </row>
    <row r="489">
      <c r="A489" s="738"/>
      <c r="B489" s="738"/>
      <c r="C489" s="738"/>
      <c r="D489" s="738"/>
      <c r="E489" s="738"/>
      <c r="F489" s="738"/>
      <c r="G489" s="738"/>
      <c r="H489" s="738"/>
      <c r="I489" s="738"/>
      <c r="J489" s="738"/>
      <c r="K489" s="738"/>
      <c r="L489" s="738"/>
      <c r="M489" s="738"/>
      <c r="N489" s="738"/>
      <c r="O489" s="738"/>
      <c r="P489" s="738"/>
      <c r="Q489" s="738"/>
      <c r="R489" s="738"/>
      <c r="S489" s="738"/>
      <c r="T489" s="738"/>
      <c r="U489" s="738"/>
      <c r="V489" s="738"/>
      <c r="W489" s="738"/>
      <c r="X489" s="738"/>
      <c r="Y489" s="738"/>
      <c r="Z489" s="738"/>
      <c r="AA489" s="738"/>
      <c r="AB489" s="738"/>
      <c r="AC489" s="738"/>
      <c r="AD489" s="738"/>
      <c r="AE489" s="738"/>
      <c r="AF489" s="738"/>
      <c r="AG489" s="738"/>
      <c r="AH489" s="738"/>
      <c r="AI489" s="738"/>
      <c r="AJ489" s="738"/>
      <c r="AK489" s="738"/>
      <c r="AL489" s="738"/>
    </row>
    <row r="490">
      <c r="A490" s="738"/>
      <c r="B490" s="738"/>
      <c r="C490" s="738"/>
      <c r="D490" s="738"/>
      <c r="E490" s="738"/>
      <c r="F490" s="738"/>
      <c r="G490" s="738"/>
      <c r="H490" s="738"/>
      <c r="I490" s="738"/>
      <c r="J490" s="738"/>
      <c r="K490" s="738"/>
      <c r="L490" s="738"/>
      <c r="M490" s="738"/>
      <c r="N490" s="738"/>
      <c r="O490" s="738"/>
      <c r="P490" s="738"/>
      <c r="Q490" s="738"/>
      <c r="R490" s="738"/>
      <c r="S490" s="738"/>
      <c r="T490" s="738"/>
      <c r="U490" s="738"/>
      <c r="V490" s="738"/>
      <c r="W490" s="738"/>
      <c r="X490" s="738"/>
      <c r="Y490" s="738"/>
      <c r="Z490" s="738"/>
      <c r="AA490" s="738"/>
      <c r="AB490" s="738"/>
      <c r="AC490" s="738"/>
      <c r="AD490" s="738"/>
      <c r="AE490" s="738"/>
      <c r="AF490" s="738"/>
      <c r="AG490" s="738"/>
      <c r="AH490" s="738"/>
      <c r="AI490" s="738"/>
      <c r="AJ490" s="738"/>
      <c r="AK490" s="738"/>
      <c r="AL490" s="738"/>
    </row>
    <row r="491">
      <c r="A491" s="738"/>
      <c r="B491" s="738"/>
      <c r="C491" s="738"/>
      <c r="D491" s="738"/>
      <c r="E491" s="738"/>
      <c r="F491" s="738"/>
      <c r="G491" s="738"/>
      <c r="H491" s="738"/>
      <c r="I491" s="738"/>
      <c r="J491" s="738"/>
      <c r="K491" s="738"/>
      <c r="L491" s="738"/>
      <c r="M491" s="738"/>
      <c r="N491" s="738"/>
      <c r="O491" s="738"/>
      <c r="P491" s="738"/>
      <c r="Q491" s="738"/>
      <c r="R491" s="738"/>
      <c r="S491" s="738"/>
      <c r="T491" s="738"/>
      <c r="U491" s="738"/>
      <c r="V491" s="738"/>
      <c r="W491" s="738"/>
      <c r="X491" s="738"/>
      <c r="Y491" s="738"/>
      <c r="Z491" s="738"/>
      <c r="AA491" s="738"/>
      <c r="AB491" s="738"/>
      <c r="AC491" s="738"/>
      <c r="AD491" s="738"/>
      <c r="AE491" s="738"/>
      <c r="AF491" s="738"/>
      <c r="AG491" s="738"/>
      <c r="AH491" s="738"/>
      <c r="AI491" s="738"/>
      <c r="AJ491" s="738"/>
      <c r="AK491" s="738"/>
      <c r="AL491" s="738"/>
    </row>
    <row r="492">
      <c r="A492" s="738"/>
      <c r="B492" s="738"/>
      <c r="C492" s="738"/>
      <c r="D492" s="738"/>
      <c r="E492" s="738"/>
      <c r="F492" s="738"/>
      <c r="G492" s="738"/>
      <c r="H492" s="738"/>
      <c r="I492" s="738"/>
      <c r="J492" s="738"/>
      <c r="K492" s="738"/>
      <c r="L492" s="738"/>
      <c r="M492" s="738"/>
      <c r="N492" s="738"/>
      <c r="O492" s="738"/>
      <c r="P492" s="738"/>
      <c r="Q492" s="738"/>
      <c r="R492" s="738"/>
      <c r="S492" s="738"/>
      <c r="T492" s="738"/>
      <c r="U492" s="738"/>
      <c r="V492" s="738"/>
      <c r="W492" s="738"/>
      <c r="X492" s="738"/>
      <c r="Y492" s="738"/>
      <c r="Z492" s="738"/>
      <c r="AA492" s="738"/>
      <c r="AB492" s="738"/>
      <c r="AC492" s="738"/>
      <c r="AD492" s="738"/>
      <c r="AE492" s="738"/>
      <c r="AF492" s="738"/>
      <c r="AG492" s="738"/>
      <c r="AH492" s="738"/>
      <c r="AI492" s="738"/>
      <c r="AJ492" s="738"/>
      <c r="AK492" s="738"/>
      <c r="AL492" s="738"/>
    </row>
    <row r="493">
      <c r="A493" s="738"/>
      <c r="B493" s="738"/>
      <c r="C493" s="738"/>
      <c r="D493" s="738"/>
      <c r="E493" s="738"/>
      <c r="F493" s="738"/>
      <c r="G493" s="738"/>
      <c r="H493" s="738"/>
      <c r="I493" s="738"/>
      <c r="J493" s="738"/>
      <c r="K493" s="738"/>
      <c r="L493" s="738"/>
      <c r="M493" s="738"/>
      <c r="N493" s="738"/>
      <c r="O493" s="738"/>
      <c r="P493" s="738"/>
      <c r="Q493" s="738"/>
      <c r="R493" s="738"/>
      <c r="S493" s="738"/>
      <c r="T493" s="738"/>
      <c r="U493" s="738"/>
      <c r="V493" s="738"/>
      <c r="W493" s="738"/>
      <c r="X493" s="738"/>
      <c r="Y493" s="738"/>
      <c r="Z493" s="738"/>
      <c r="AA493" s="738"/>
      <c r="AB493" s="738"/>
      <c r="AC493" s="738"/>
      <c r="AD493" s="738"/>
      <c r="AE493" s="738"/>
      <c r="AF493" s="738"/>
      <c r="AG493" s="738"/>
      <c r="AH493" s="738"/>
      <c r="AI493" s="738"/>
      <c r="AJ493" s="738"/>
      <c r="AK493" s="738"/>
      <c r="AL493" s="738"/>
    </row>
    <row r="494">
      <c r="A494" s="738"/>
      <c r="B494" s="738"/>
      <c r="C494" s="738"/>
      <c r="D494" s="738"/>
      <c r="E494" s="738"/>
      <c r="F494" s="738"/>
      <c r="G494" s="738"/>
      <c r="H494" s="738"/>
      <c r="I494" s="738"/>
      <c r="J494" s="738"/>
      <c r="K494" s="738"/>
      <c r="L494" s="738"/>
      <c r="M494" s="738"/>
      <c r="N494" s="738"/>
      <c r="O494" s="738"/>
      <c r="P494" s="738"/>
      <c r="Q494" s="738"/>
      <c r="R494" s="738"/>
      <c r="S494" s="738"/>
      <c r="T494" s="738"/>
      <c r="U494" s="738"/>
      <c r="V494" s="738"/>
      <c r="W494" s="738"/>
      <c r="X494" s="738"/>
      <c r="Y494" s="738"/>
      <c r="Z494" s="738"/>
      <c r="AA494" s="738"/>
      <c r="AB494" s="738"/>
      <c r="AC494" s="738"/>
      <c r="AD494" s="738"/>
      <c r="AE494" s="738"/>
      <c r="AF494" s="738"/>
      <c r="AG494" s="738"/>
      <c r="AH494" s="738"/>
      <c r="AI494" s="738"/>
      <c r="AJ494" s="738"/>
      <c r="AK494" s="738"/>
      <c r="AL494" s="738"/>
    </row>
    <row r="495">
      <c r="A495" s="738"/>
      <c r="B495" s="738"/>
      <c r="C495" s="738"/>
      <c r="D495" s="738"/>
      <c r="E495" s="738"/>
      <c r="F495" s="738"/>
      <c r="G495" s="738"/>
      <c r="H495" s="738"/>
      <c r="I495" s="738"/>
      <c r="J495" s="738"/>
      <c r="K495" s="738"/>
      <c r="L495" s="738"/>
      <c r="M495" s="738"/>
      <c r="N495" s="738"/>
      <c r="O495" s="738"/>
      <c r="P495" s="738"/>
      <c r="Q495" s="738"/>
      <c r="R495" s="738"/>
      <c r="S495" s="738"/>
      <c r="T495" s="738"/>
      <c r="U495" s="738"/>
      <c r="V495" s="738"/>
      <c r="W495" s="738"/>
      <c r="X495" s="738"/>
      <c r="Y495" s="738"/>
      <c r="Z495" s="738"/>
      <c r="AA495" s="738"/>
      <c r="AB495" s="738"/>
      <c r="AC495" s="738"/>
      <c r="AD495" s="738"/>
      <c r="AE495" s="738"/>
      <c r="AF495" s="738"/>
      <c r="AG495" s="738"/>
      <c r="AH495" s="738"/>
      <c r="AI495" s="738"/>
      <c r="AJ495" s="738"/>
      <c r="AK495" s="738"/>
      <c r="AL495" s="738"/>
    </row>
    <row r="496">
      <c r="A496" s="738"/>
      <c r="B496" s="738"/>
      <c r="C496" s="738"/>
      <c r="D496" s="738"/>
      <c r="E496" s="738"/>
      <c r="F496" s="738"/>
      <c r="G496" s="738"/>
      <c r="H496" s="738"/>
      <c r="I496" s="738"/>
      <c r="J496" s="738"/>
      <c r="K496" s="738"/>
      <c r="L496" s="738"/>
      <c r="M496" s="738"/>
      <c r="N496" s="738"/>
      <c r="O496" s="738"/>
      <c r="P496" s="738"/>
      <c r="Q496" s="738"/>
      <c r="R496" s="738"/>
      <c r="S496" s="738"/>
      <c r="T496" s="738"/>
      <c r="U496" s="738"/>
      <c r="V496" s="738"/>
      <c r="W496" s="738"/>
      <c r="X496" s="738"/>
      <c r="Y496" s="738"/>
      <c r="Z496" s="738"/>
      <c r="AA496" s="738"/>
      <c r="AB496" s="738"/>
      <c r="AC496" s="738"/>
      <c r="AD496" s="738"/>
      <c r="AE496" s="738"/>
      <c r="AF496" s="738"/>
      <c r="AG496" s="738"/>
      <c r="AH496" s="738"/>
      <c r="AI496" s="738"/>
      <c r="AJ496" s="738"/>
      <c r="AK496" s="738"/>
      <c r="AL496" s="738"/>
    </row>
    <row r="497">
      <c r="A497" s="738"/>
      <c r="B497" s="738"/>
      <c r="C497" s="738"/>
      <c r="D497" s="738"/>
      <c r="E497" s="738"/>
      <c r="F497" s="738"/>
      <c r="G497" s="738"/>
      <c r="H497" s="738"/>
      <c r="I497" s="738"/>
      <c r="J497" s="738"/>
      <c r="K497" s="738"/>
      <c r="L497" s="738"/>
      <c r="M497" s="738"/>
      <c r="N497" s="738"/>
      <c r="O497" s="738"/>
      <c r="P497" s="738"/>
      <c r="Q497" s="738"/>
      <c r="R497" s="738"/>
      <c r="S497" s="738"/>
      <c r="T497" s="738"/>
      <c r="U497" s="738"/>
      <c r="V497" s="738"/>
      <c r="W497" s="738"/>
      <c r="X497" s="738"/>
      <c r="Y497" s="738"/>
      <c r="Z497" s="738"/>
      <c r="AA497" s="738"/>
      <c r="AB497" s="738"/>
      <c r="AC497" s="738"/>
      <c r="AD497" s="738"/>
      <c r="AE497" s="738"/>
      <c r="AF497" s="738"/>
      <c r="AG497" s="738"/>
      <c r="AH497" s="738"/>
      <c r="AI497" s="738"/>
      <c r="AJ497" s="738"/>
      <c r="AK497" s="738"/>
      <c r="AL497" s="738"/>
    </row>
    <row r="498">
      <c r="A498" s="738"/>
      <c r="B498" s="738"/>
      <c r="C498" s="738"/>
      <c r="D498" s="738"/>
      <c r="E498" s="738"/>
      <c r="F498" s="738"/>
      <c r="G498" s="738"/>
      <c r="H498" s="738"/>
      <c r="I498" s="738"/>
      <c r="J498" s="738"/>
      <c r="K498" s="738"/>
      <c r="L498" s="738"/>
      <c r="M498" s="738"/>
      <c r="N498" s="738"/>
      <c r="O498" s="738"/>
      <c r="P498" s="738"/>
      <c r="Q498" s="738"/>
      <c r="R498" s="738"/>
      <c r="S498" s="738"/>
      <c r="T498" s="738"/>
      <c r="U498" s="738"/>
      <c r="V498" s="738"/>
      <c r="W498" s="738"/>
      <c r="X498" s="738"/>
      <c r="Y498" s="738"/>
      <c r="Z498" s="738"/>
      <c r="AA498" s="738"/>
      <c r="AB498" s="738"/>
      <c r="AC498" s="738"/>
      <c r="AD498" s="738"/>
      <c r="AE498" s="738"/>
      <c r="AF498" s="738"/>
      <c r="AG498" s="738"/>
      <c r="AH498" s="738"/>
      <c r="AI498" s="738"/>
      <c r="AJ498" s="738"/>
      <c r="AK498" s="738"/>
      <c r="AL498" s="738"/>
    </row>
    <row r="499">
      <c r="A499" s="738"/>
      <c r="B499" s="738"/>
      <c r="C499" s="738"/>
      <c r="D499" s="738"/>
      <c r="E499" s="738"/>
      <c r="F499" s="738"/>
      <c r="G499" s="738"/>
      <c r="H499" s="738"/>
      <c r="I499" s="738"/>
      <c r="J499" s="738"/>
      <c r="K499" s="738"/>
      <c r="L499" s="738"/>
      <c r="M499" s="738"/>
      <c r="N499" s="738"/>
      <c r="O499" s="738"/>
      <c r="P499" s="738"/>
      <c r="Q499" s="738"/>
      <c r="R499" s="738"/>
      <c r="S499" s="738"/>
      <c r="T499" s="738"/>
      <c r="U499" s="738"/>
      <c r="V499" s="738"/>
      <c r="W499" s="738"/>
      <c r="X499" s="738"/>
      <c r="Y499" s="738"/>
      <c r="Z499" s="738"/>
      <c r="AA499" s="738"/>
      <c r="AB499" s="738"/>
      <c r="AC499" s="738"/>
      <c r="AD499" s="738"/>
      <c r="AE499" s="738"/>
      <c r="AF499" s="738"/>
      <c r="AG499" s="738"/>
      <c r="AH499" s="738"/>
      <c r="AI499" s="738"/>
      <c r="AJ499" s="738"/>
      <c r="AK499" s="738"/>
      <c r="AL499" s="738"/>
    </row>
    <row r="500">
      <c r="A500" s="738"/>
      <c r="B500" s="738"/>
      <c r="C500" s="738"/>
      <c r="D500" s="738"/>
      <c r="E500" s="738"/>
      <c r="F500" s="738"/>
      <c r="G500" s="738"/>
      <c r="H500" s="738"/>
      <c r="I500" s="738"/>
      <c r="J500" s="738"/>
      <c r="K500" s="738"/>
      <c r="L500" s="738"/>
      <c r="M500" s="738"/>
      <c r="N500" s="738"/>
      <c r="O500" s="738"/>
      <c r="P500" s="738"/>
      <c r="Q500" s="738"/>
      <c r="R500" s="738"/>
      <c r="S500" s="738"/>
      <c r="T500" s="738"/>
      <c r="U500" s="738"/>
      <c r="V500" s="738"/>
      <c r="W500" s="738"/>
      <c r="X500" s="738"/>
      <c r="Y500" s="738"/>
      <c r="Z500" s="738"/>
      <c r="AA500" s="738"/>
      <c r="AB500" s="738"/>
      <c r="AC500" s="738"/>
      <c r="AD500" s="738"/>
      <c r="AE500" s="738"/>
      <c r="AF500" s="738"/>
      <c r="AG500" s="738"/>
      <c r="AH500" s="738"/>
      <c r="AI500" s="738"/>
      <c r="AJ500" s="738"/>
      <c r="AK500" s="738"/>
      <c r="AL500" s="738"/>
    </row>
    <row r="501">
      <c r="A501" s="738"/>
      <c r="B501" s="738"/>
      <c r="C501" s="738"/>
      <c r="D501" s="738"/>
      <c r="E501" s="738"/>
      <c r="F501" s="738"/>
      <c r="G501" s="738"/>
      <c r="H501" s="738"/>
      <c r="I501" s="738"/>
      <c r="J501" s="738"/>
      <c r="K501" s="738"/>
      <c r="L501" s="738"/>
      <c r="M501" s="738"/>
      <c r="N501" s="738"/>
      <c r="O501" s="738"/>
      <c r="P501" s="738"/>
      <c r="Q501" s="738"/>
      <c r="R501" s="738"/>
      <c r="S501" s="738"/>
      <c r="T501" s="738"/>
      <c r="U501" s="738"/>
      <c r="V501" s="738"/>
      <c r="W501" s="738"/>
      <c r="X501" s="738"/>
      <c r="Y501" s="738"/>
      <c r="Z501" s="738"/>
      <c r="AA501" s="738"/>
      <c r="AB501" s="738"/>
      <c r="AC501" s="738"/>
      <c r="AD501" s="738"/>
      <c r="AE501" s="738"/>
      <c r="AF501" s="738"/>
      <c r="AG501" s="738"/>
      <c r="AH501" s="738"/>
      <c r="AI501" s="738"/>
      <c r="AJ501" s="738"/>
      <c r="AK501" s="738"/>
      <c r="AL501" s="738"/>
    </row>
    <row r="502">
      <c r="A502" s="738"/>
      <c r="B502" s="738"/>
      <c r="C502" s="738"/>
      <c r="D502" s="738"/>
      <c r="E502" s="738"/>
      <c r="F502" s="738"/>
      <c r="G502" s="738"/>
      <c r="H502" s="738"/>
      <c r="I502" s="738"/>
      <c r="J502" s="738"/>
      <c r="K502" s="738"/>
      <c r="L502" s="738"/>
      <c r="M502" s="738"/>
      <c r="N502" s="738"/>
      <c r="O502" s="738"/>
      <c r="P502" s="738"/>
      <c r="Q502" s="738"/>
      <c r="R502" s="738"/>
      <c r="S502" s="738"/>
      <c r="T502" s="738"/>
      <c r="U502" s="738"/>
      <c r="V502" s="738"/>
      <c r="W502" s="738"/>
      <c r="X502" s="738"/>
      <c r="Y502" s="738"/>
      <c r="Z502" s="738"/>
      <c r="AA502" s="738"/>
      <c r="AB502" s="738"/>
      <c r="AC502" s="738"/>
      <c r="AD502" s="738"/>
      <c r="AE502" s="738"/>
      <c r="AF502" s="738"/>
      <c r="AG502" s="738"/>
      <c r="AH502" s="738"/>
      <c r="AI502" s="738"/>
      <c r="AJ502" s="738"/>
      <c r="AK502" s="738"/>
      <c r="AL502" s="738"/>
    </row>
    <row r="503">
      <c r="A503" s="738"/>
      <c r="B503" s="738"/>
      <c r="C503" s="738"/>
      <c r="D503" s="738"/>
      <c r="E503" s="738"/>
      <c r="F503" s="738"/>
      <c r="G503" s="738"/>
      <c r="H503" s="738"/>
      <c r="I503" s="738"/>
      <c r="J503" s="738"/>
      <c r="K503" s="738"/>
      <c r="L503" s="738"/>
      <c r="M503" s="738"/>
      <c r="N503" s="738"/>
      <c r="O503" s="738"/>
      <c r="P503" s="738"/>
      <c r="Q503" s="738"/>
      <c r="R503" s="738"/>
      <c r="S503" s="738"/>
      <c r="T503" s="738"/>
      <c r="U503" s="738"/>
      <c r="V503" s="738"/>
      <c r="W503" s="738"/>
      <c r="X503" s="738"/>
      <c r="Y503" s="738"/>
      <c r="Z503" s="738"/>
      <c r="AA503" s="738"/>
      <c r="AB503" s="738"/>
      <c r="AC503" s="738"/>
      <c r="AD503" s="738"/>
      <c r="AE503" s="738"/>
      <c r="AF503" s="738"/>
      <c r="AG503" s="738"/>
      <c r="AH503" s="738"/>
      <c r="AI503" s="738"/>
      <c r="AJ503" s="738"/>
      <c r="AK503" s="738"/>
      <c r="AL503" s="738"/>
    </row>
    <row r="504">
      <c r="A504" s="738"/>
      <c r="B504" s="738"/>
      <c r="C504" s="738"/>
      <c r="D504" s="738"/>
      <c r="E504" s="738"/>
      <c r="F504" s="738"/>
      <c r="G504" s="738"/>
      <c r="H504" s="738"/>
      <c r="I504" s="738"/>
      <c r="J504" s="738"/>
      <c r="K504" s="738"/>
      <c r="L504" s="738"/>
      <c r="M504" s="738"/>
      <c r="N504" s="738"/>
      <c r="O504" s="738"/>
      <c r="P504" s="738"/>
      <c r="Q504" s="738"/>
      <c r="R504" s="738"/>
      <c r="S504" s="738"/>
      <c r="T504" s="738"/>
      <c r="U504" s="738"/>
      <c r="V504" s="738"/>
      <c r="W504" s="738"/>
      <c r="X504" s="738"/>
      <c r="Y504" s="738"/>
      <c r="Z504" s="738"/>
      <c r="AA504" s="738"/>
      <c r="AB504" s="738"/>
      <c r="AC504" s="738"/>
      <c r="AD504" s="738"/>
      <c r="AE504" s="738"/>
      <c r="AF504" s="738"/>
      <c r="AG504" s="738"/>
      <c r="AH504" s="738"/>
      <c r="AI504" s="738"/>
      <c r="AJ504" s="738"/>
      <c r="AK504" s="738"/>
      <c r="AL504" s="738"/>
    </row>
    <row r="505">
      <c r="A505" s="738"/>
      <c r="B505" s="738"/>
      <c r="C505" s="738"/>
      <c r="D505" s="738"/>
      <c r="E505" s="738"/>
      <c r="F505" s="738"/>
      <c r="G505" s="738"/>
      <c r="H505" s="738"/>
      <c r="I505" s="738"/>
      <c r="J505" s="738"/>
      <c r="K505" s="738"/>
      <c r="L505" s="738"/>
      <c r="M505" s="738"/>
      <c r="N505" s="738"/>
      <c r="O505" s="738"/>
      <c r="P505" s="738"/>
      <c r="Q505" s="738"/>
      <c r="R505" s="738"/>
      <c r="S505" s="738"/>
      <c r="T505" s="738"/>
      <c r="U505" s="738"/>
      <c r="V505" s="738"/>
      <c r="W505" s="738"/>
      <c r="X505" s="738"/>
      <c r="Y505" s="738"/>
      <c r="Z505" s="738"/>
      <c r="AA505" s="738"/>
      <c r="AB505" s="738"/>
      <c r="AC505" s="738"/>
      <c r="AD505" s="738"/>
      <c r="AE505" s="738"/>
      <c r="AF505" s="738"/>
      <c r="AG505" s="738"/>
      <c r="AH505" s="738"/>
      <c r="AI505" s="738"/>
      <c r="AJ505" s="738"/>
      <c r="AK505" s="738"/>
      <c r="AL505" s="738"/>
    </row>
    <row r="506">
      <c r="A506" s="738"/>
      <c r="B506" s="738"/>
      <c r="C506" s="738"/>
      <c r="D506" s="738"/>
      <c r="E506" s="738"/>
      <c r="F506" s="738"/>
      <c r="G506" s="738"/>
      <c r="H506" s="738"/>
      <c r="I506" s="738"/>
      <c r="J506" s="738"/>
      <c r="K506" s="738"/>
      <c r="L506" s="738"/>
      <c r="M506" s="738"/>
      <c r="N506" s="738"/>
      <c r="O506" s="738"/>
      <c r="P506" s="738"/>
      <c r="Q506" s="738"/>
      <c r="R506" s="738"/>
      <c r="S506" s="738"/>
      <c r="T506" s="738"/>
      <c r="U506" s="738"/>
      <c r="V506" s="738"/>
      <c r="W506" s="738"/>
      <c r="X506" s="738"/>
      <c r="Y506" s="738"/>
      <c r="Z506" s="738"/>
      <c r="AA506" s="738"/>
      <c r="AB506" s="738"/>
      <c r="AC506" s="738"/>
      <c r="AD506" s="738"/>
      <c r="AE506" s="738"/>
      <c r="AF506" s="738"/>
      <c r="AG506" s="738"/>
      <c r="AH506" s="738"/>
      <c r="AI506" s="738"/>
      <c r="AJ506" s="738"/>
      <c r="AK506" s="738"/>
      <c r="AL506" s="738"/>
    </row>
    <row r="507">
      <c r="A507" s="738"/>
      <c r="B507" s="738"/>
      <c r="C507" s="738"/>
      <c r="D507" s="738"/>
      <c r="E507" s="738"/>
      <c r="F507" s="738"/>
      <c r="G507" s="738"/>
      <c r="H507" s="738"/>
      <c r="I507" s="738"/>
      <c r="J507" s="738"/>
      <c r="K507" s="738"/>
      <c r="L507" s="738"/>
      <c r="M507" s="738"/>
      <c r="N507" s="738"/>
      <c r="O507" s="738"/>
      <c r="P507" s="738"/>
      <c r="Q507" s="738"/>
      <c r="R507" s="738"/>
      <c r="S507" s="738"/>
      <c r="T507" s="738"/>
      <c r="U507" s="738"/>
      <c r="V507" s="738"/>
      <c r="W507" s="738"/>
      <c r="X507" s="738"/>
      <c r="Y507" s="738"/>
      <c r="Z507" s="738"/>
      <c r="AA507" s="738"/>
      <c r="AB507" s="738"/>
      <c r="AC507" s="738"/>
      <c r="AD507" s="738"/>
      <c r="AE507" s="738"/>
      <c r="AF507" s="738"/>
      <c r="AG507" s="738"/>
      <c r="AH507" s="738"/>
      <c r="AI507" s="738"/>
      <c r="AJ507" s="738"/>
      <c r="AK507" s="738"/>
      <c r="AL507" s="738"/>
    </row>
    <row r="508">
      <c r="A508" s="738"/>
      <c r="B508" s="738"/>
      <c r="C508" s="738"/>
      <c r="D508" s="738"/>
      <c r="E508" s="738"/>
      <c r="F508" s="738"/>
      <c r="G508" s="738"/>
      <c r="H508" s="738"/>
      <c r="I508" s="738"/>
      <c r="J508" s="738"/>
      <c r="K508" s="738"/>
      <c r="L508" s="738"/>
      <c r="M508" s="738"/>
      <c r="N508" s="738"/>
      <c r="O508" s="738"/>
      <c r="P508" s="738"/>
      <c r="Q508" s="738"/>
      <c r="R508" s="738"/>
      <c r="S508" s="738"/>
      <c r="T508" s="738"/>
      <c r="U508" s="738"/>
      <c r="V508" s="738"/>
      <c r="W508" s="738"/>
      <c r="X508" s="738"/>
      <c r="Y508" s="738"/>
      <c r="Z508" s="738"/>
      <c r="AA508" s="738"/>
      <c r="AB508" s="738"/>
      <c r="AC508" s="738"/>
      <c r="AD508" s="738"/>
      <c r="AE508" s="738"/>
      <c r="AF508" s="738"/>
      <c r="AG508" s="738"/>
      <c r="AH508" s="738"/>
      <c r="AI508" s="738"/>
      <c r="AJ508" s="738"/>
      <c r="AK508" s="738"/>
      <c r="AL508" s="738"/>
    </row>
    <row r="509">
      <c r="A509" s="738"/>
      <c r="B509" s="738"/>
      <c r="C509" s="738"/>
      <c r="D509" s="738"/>
      <c r="E509" s="738"/>
      <c r="F509" s="738"/>
      <c r="G509" s="738"/>
      <c r="H509" s="738"/>
      <c r="I509" s="738"/>
      <c r="J509" s="738"/>
      <c r="K509" s="738"/>
      <c r="L509" s="738"/>
      <c r="M509" s="738"/>
      <c r="N509" s="738"/>
      <c r="O509" s="738"/>
      <c r="P509" s="738"/>
      <c r="Q509" s="738"/>
      <c r="R509" s="738"/>
      <c r="S509" s="738"/>
      <c r="T509" s="738"/>
      <c r="U509" s="738"/>
      <c r="V509" s="738"/>
      <c r="W509" s="738"/>
      <c r="X509" s="738"/>
      <c r="Y509" s="738"/>
      <c r="Z509" s="738"/>
      <c r="AA509" s="738"/>
      <c r="AB509" s="738"/>
      <c r="AC509" s="738"/>
      <c r="AD509" s="738"/>
      <c r="AE509" s="738"/>
      <c r="AF509" s="738"/>
      <c r="AG509" s="738"/>
      <c r="AH509" s="738"/>
      <c r="AI509" s="738"/>
      <c r="AJ509" s="738"/>
      <c r="AK509" s="738"/>
      <c r="AL509" s="738"/>
    </row>
    <row r="510">
      <c r="A510" s="738"/>
      <c r="B510" s="738"/>
      <c r="C510" s="738"/>
      <c r="D510" s="738"/>
      <c r="E510" s="738"/>
      <c r="F510" s="738"/>
      <c r="G510" s="738"/>
      <c r="H510" s="738"/>
      <c r="I510" s="738"/>
      <c r="J510" s="738"/>
      <c r="K510" s="738"/>
      <c r="L510" s="738"/>
      <c r="M510" s="738"/>
      <c r="N510" s="738"/>
      <c r="O510" s="738"/>
      <c r="P510" s="738"/>
      <c r="Q510" s="738"/>
      <c r="R510" s="738"/>
      <c r="S510" s="738"/>
      <c r="T510" s="738"/>
      <c r="U510" s="738"/>
      <c r="V510" s="738"/>
      <c r="W510" s="738"/>
      <c r="X510" s="738"/>
      <c r="Y510" s="738"/>
      <c r="Z510" s="738"/>
      <c r="AA510" s="738"/>
      <c r="AB510" s="738"/>
      <c r="AC510" s="738"/>
      <c r="AD510" s="738"/>
      <c r="AE510" s="738"/>
      <c r="AF510" s="738"/>
      <c r="AG510" s="738"/>
      <c r="AH510" s="738"/>
      <c r="AI510" s="738"/>
      <c r="AJ510" s="738"/>
      <c r="AK510" s="738"/>
      <c r="AL510" s="738"/>
    </row>
    <row r="511">
      <c r="A511" s="738"/>
      <c r="B511" s="738"/>
      <c r="C511" s="738"/>
      <c r="D511" s="738"/>
      <c r="E511" s="738"/>
      <c r="F511" s="738"/>
      <c r="G511" s="738"/>
      <c r="H511" s="738"/>
      <c r="I511" s="738"/>
      <c r="J511" s="738"/>
      <c r="K511" s="738"/>
      <c r="L511" s="738"/>
      <c r="M511" s="738"/>
      <c r="N511" s="738"/>
      <c r="O511" s="738"/>
      <c r="P511" s="738"/>
      <c r="Q511" s="738"/>
      <c r="R511" s="738"/>
      <c r="S511" s="738"/>
      <c r="T511" s="738"/>
      <c r="U511" s="738"/>
      <c r="V511" s="738"/>
      <c r="W511" s="738"/>
      <c r="X511" s="738"/>
      <c r="Y511" s="738"/>
      <c r="Z511" s="738"/>
      <c r="AA511" s="738"/>
      <c r="AB511" s="738"/>
      <c r="AC511" s="738"/>
      <c r="AD511" s="738"/>
      <c r="AE511" s="738"/>
      <c r="AF511" s="738"/>
      <c r="AG511" s="738"/>
      <c r="AH511" s="738"/>
      <c r="AI511" s="738"/>
      <c r="AJ511" s="738"/>
      <c r="AK511" s="738"/>
      <c r="AL511" s="738"/>
    </row>
    <row r="512">
      <c r="A512" s="738"/>
      <c r="B512" s="738"/>
      <c r="C512" s="738"/>
      <c r="D512" s="738"/>
      <c r="E512" s="738"/>
      <c r="F512" s="738"/>
      <c r="G512" s="738"/>
      <c r="H512" s="738"/>
      <c r="I512" s="738"/>
      <c r="J512" s="738"/>
      <c r="K512" s="738"/>
      <c r="L512" s="738"/>
      <c r="M512" s="738"/>
      <c r="N512" s="738"/>
      <c r="O512" s="738"/>
      <c r="P512" s="738"/>
      <c r="Q512" s="738"/>
      <c r="R512" s="738"/>
      <c r="S512" s="738"/>
      <c r="T512" s="738"/>
      <c r="U512" s="738"/>
      <c r="V512" s="738"/>
      <c r="W512" s="738"/>
      <c r="X512" s="738"/>
      <c r="Y512" s="738"/>
      <c r="Z512" s="738"/>
      <c r="AA512" s="738"/>
      <c r="AB512" s="738"/>
      <c r="AC512" s="738"/>
      <c r="AD512" s="738"/>
      <c r="AE512" s="738"/>
      <c r="AF512" s="738"/>
      <c r="AG512" s="738"/>
      <c r="AH512" s="738"/>
      <c r="AI512" s="738"/>
      <c r="AJ512" s="738"/>
      <c r="AK512" s="738"/>
      <c r="AL512" s="738"/>
    </row>
    <row r="513">
      <c r="A513" s="738"/>
      <c r="B513" s="738"/>
      <c r="C513" s="738"/>
      <c r="D513" s="738"/>
      <c r="E513" s="738"/>
      <c r="F513" s="738"/>
      <c r="G513" s="738"/>
      <c r="H513" s="738"/>
      <c r="I513" s="738"/>
      <c r="J513" s="738"/>
      <c r="K513" s="738"/>
      <c r="L513" s="738"/>
      <c r="M513" s="738"/>
      <c r="N513" s="738"/>
      <c r="O513" s="738"/>
      <c r="P513" s="738"/>
      <c r="Q513" s="738"/>
      <c r="R513" s="738"/>
      <c r="S513" s="738"/>
      <c r="T513" s="738"/>
      <c r="U513" s="738"/>
      <c r="V513" s="738"/>
      <c r="W513" s="738"/>
      <c r="X513" s="738"/>
      <c r="Y513" s="738"/>
      <c r="Z513" s="738"/>
      <c r="AA513" s="738"/>
      <c r="AB513" s="738"/>
      <c r="AC513" s="738"/>
      <c r="AD513" s="738"/>
      <c r="AE513" s="738"/>
      <c r="AF513" s="738"/>
      <c r="AG513" s="738"/>
      <c r="AH513" s="738"/>
      <c r="AI513" s="738"/>
      <c r="AJ513" s="738"/>
      <c r="AK513" s="738"/>
      <c r="AL513" s="738"/>
    </row>
    <row r="514">
      <c r="A514" s="738"/>
      <c r="B514" s="738"/>
      <c r="C514" s="738"/>
      <c r="D514" s="738"/>
      <c r="E514" s="738"/>
      <c r="F514" s="738"/>
      <c r="G514" s="738"/>
      <c r="H514" s="738"/>
      <c r="I514" s="738"/>
      <c r="J514" s="738"/>
      <c r="K514" s="738"/>
      <c r="L514" s="738"/>
      <c r="M514" s="738"/>
      <c r="N514" s="738"/>
      <c r="O514" s="738"/>
      <c r="P514" s="738"/>
      <c r="Q514" s="738"/>
      <c r="R514" s="738"/>
      <c r="S514" s="738"/>
      <c r="T514" s="738"/>
      <c r="U514" s="738"/>
      <c r="V514" s="738"/>
      <c r="W514" s="738"/>
      <c r="X514" s="738"/>
      <c r="Y514" s="738"/>
      <c r="Z514" s="738"/>
      <c r="AA514" s="738"/>
      <c r="AB514" s="738"/>
      <c r="AC514" s="738"/>
      <c r="AD514" s="738"/>
      <c r="AE514" s="738"/>
      <c r="AF514" s="738"/>
      <c r="AG514" s="738"/>
      <c r="AH514" s="738"/>
      <c r="AI514" s="738"/>
      <c r="AJ514" s="738"/>
      <c r="AK514" s="738"/>
      <c r="AL514" s="738"/>
    </row>
    <row r="515">
      <c r="A515" s="738"/>
      <c r="B515" s="738"/>
      <c r="C515" s="738"/>
      <c r="D515" s="738"/>
      <c r="E515" s="738"/>
      <c r="F515" s="738"/>
      <c r="G515" s="738"/>
      <c r="H515" s="738"/>
      <c r="I515" s="738"/>
      <c r="J515" s="738"/>
      <c r="K515" s="738"/>
      <c r="L515" s="738"/>
      <c r="M515" s="738"/>
      <c r="N515" s="738"/>
      <c r="O515" s="738"/>
      <c r="P515" s="738"/>
      <c r="Q515" s="738"/>
      <c r="R515" s="738"/>
      <c r="S515" s="738"/>
      <c r="T515" s="738"/>
      <c r="U515" s="738"/>
      <c r="V515" s="738"/>
      <c r="W515" s="738"/>
      <c r="X515" s="738"/>
      <c r="Y515" s="738"/>
      <c r="Z515" s="738"/>
      <c r="AA515" s="738"/>
      <c r="AB515" s="738"/>
      <c r="AC515" s="738"/>
      <c r="AD515" s="738"/>
      <c r="AE515" s="738"/>
      <c r="AF515" s="738"/>
      <c r="AG515" s="738"/>
      <c r="AH515" s="738"/>
      <c r="AI515" s="738"/>
      <c r="AJ515" s="738"/>
      <c r="AK515" s="738"/>
      <c r="AL515" s="738"/>
    </row>
    <row r="516">
      <c r="A516" s="738"/>
      <c r="B516" s="738"/>
      <c r="C516" s="738"/>
      <c r="D516" s="738"/>
      <c r="E516" s="738"/>
      <c r="F516" s="738"/>
      <c r="G516" s="738"/>
      <c r="H516" s="738"/>
      <c r="I516" s="738"/>
      <c r="J516" s="738"/>
      <c r="K516" s="738"/>
      <c r="L516" s="738"/>
      <c r="M516" s="738"/>
      <c r="N516" s="738"/>
      <c r="O516" s="738"/>
      <c r="P516" s="738"/>
      <c r="Q516" s="738"/>
      <c r="R516" s="738"/>
      <c r="S516" s="738"/>
      <c r="T516" s="738"/>
      <c r="U516" s="738"/>
      <c r="V516" s="738"/>
      <c r="W516" s="738"/>
      <c r="X516" s="738"/>
      <c r="Y516" s="738"/>
      <c r="Z516" s="738"/>
      <c r="AA516" s="738"/>
      <c r="AB516" s="738"/>
      <c r="AC516" s="738"/>
      <c r="AD516" s="738"/>
      <c r="AE516" s="738"/>
      <c r="AF516" s="738"/>
      <c r="AG516" s="738"/>
      <c r="AH516" s="738"/>
      <c r="AI516" s="738"/>
      <c r="AJ516" s="738"/>
      <c r="AK516" s="738"/>
      <c r="AL516" s="738"/>
    </row>
    <row r="517">
      <c r="A517" s="738"/>
      <c r="B517" s="738"/>
      <c r="C517" s="738"/>
      <c r="D517" s="738"/>
      <c r="E517" s="738"/>
      <c r="F517" s="738"/>
      <c r="G517" s="738"/>
      <c r="H517" s="738"/>
      <c r="I517" s="738"/>
      <c r="J517" s="738"/>
      <c r="K517" s="738"/>
      <c r="L517" s="738"/>
      <c r="M517" s="738"/>
      <c r="N517" s="738"/>
      <c r="O517" s="738"/>
      <c r="P517" s="738"/>
      <c r="Q517" s="738"/>
      <c r="R517" s="738"/>
      <c r="S517" s="738"/>
      <c r="T517" s="738"/>
      <c r="U517" s="738"/>
      <c r="V517" s="738"/>
      <c r="W517" s="738"/>
      <c r="X517" s="738"/>
      <c r="Y517" s="738"/>
      <c r="Z517" s="738"/>
      <c r="AA517" s="738"/>
      <c r="AB517" s="738"/>
      <c r="AC517" s="738"/>
      <c r="AD517" s="738"/>
      <c r="AE517" s="738"/>
      <c r="AF517" s="738"/>
      <c r="AG517" s="738"/>
      <c r="AH517" s="738"/>
      <c r="AI517" s="738"/>
      <c r="AJ517" s="738"/>
      <c r="AK517" s="738"/>
      <c r="AL517" s="738"/>
    </row>
    <row r="518">
      <c r="A518" s="738"/>
      <c r="B518" s="738"/>
      <c r="C518" s="738"/>
      <c r="D518" s="738"/>
      <c r="E518" s="738"/>
      <c r="F518" s="738"/>
      <c r="G518" s="738"/>
      <c r="H518" s="738"/>
      <c r="I518" s="738"/>
      <c r="J518" s="738"/>
      <c r="K518" s="738"/>
      <c r="L518" s="738"/>
      <c r="M518" s="738"/>
      <c r="N518" s="738"/>
      <c r="O518" s="738"/>
      <c r="P518" s="738"/>
      <c r="Q518" s="738"/>
      <c r="R518" s="738"/>
      <c r="S518" s="738"/>
      <c r="T518" s="738"/>
      <c r="U518" s="738"/>
      <c r="V518" s="738"/>
      <c r="W518" s="738"/>
      <c r="X518" s="738"/>
      <c r="Y518" s="738"/>
      <c r="Z518" s="738"/>
      <c r="AA518" s="738"/>
      <c r="AB518" s="738"/>
      <c r="AC518" s="738"/>
      <c r="AD518" s="738"/>
      <c r="AE518" s="738"/>
      <c r="AF518" s="738"/>
      <c r="AG518" s="738"/>
      <c r="AH518" s="738"/>
      <c r="AI518" s="738"/>
      <c r="AJ518" s="738"/>
      <c r="AK518" s="738"/>
      <c r="AL518" s="738"/>
    </row>
    <row r="519">
      <c r="A519" s="738"/>
      <c r="B519" s="738"/>
      <c r="C519" s="738"/>
      <c r="D519" s="738"/>
      <c r="E519" s="738"/>
      <c r="F519" s="738"/>
      <c r="G519" s="738"/>
      <c r="H519" s="738"/>
      <c r="I519" s="738"/>
      <c r="J519" s="738"/>
      <c r="K519" s="738"/>
      <c r="L519" s="738"/>
      <c r="M519" s="738"/>
      <c r="N519" s="738"/>
      <c r="O519" s="738"/>
      <c r="P519" s="738"/>
      <c r="Q519" s="738"/>
      <c r="R519" s="738"/>
      <c r="S519" s="738"/>
      <c r="T519" s="738"/>
      <c r="U519" s="738"/>
      <c r="V519" s="738"/>
      <c r="W519" s="738"/>
      <c r="X519" s="738"/>
      <c r="Y519" s="738"/>
      <c r="Z519" s="738"/>
      <c r="AA519" s="738"/>
      <c r="AB519" s="738"/>
      <c r="AC519" s="738"/>
      <c r="AD519" s="738"/>
      <c r="AE519" s="738"/>
      <c r="AF519" s="738"/>
      <c r="AG519" s="738"/>
      <c r="AH519" s="738"/>
      <c r="AI519" s="738"/>
      <c r="AJ519" s="738"/>
      <c r="AK519" s="738"/>
      <c r="AL519" s="738"/>
    </row>
    <row r="520">
      <c r="A520" s="738"/>
      <c r="B520" s="738"/>
      <c r="C520" s="738"/>
      <c r="D520" s="738"/>
      <c r="E520" s="738"/>
      <c r="F520" s="738"/>
      <c r="G520" s="738"/>
      <c r="H520" s="738"/>
      <c r="I520" s="738"/>
      <c r="J520" s="738"/>
      <c r="K520" s="738"/>
      <c r="L520" s="738"/>
      <c r="M520" s="738"/>
      <c r="N520" s="738"/>
      <c r="O520" s="738"/>
      <c r="P520" s="738"/>
      <c r="Q520" s="738"/>
      <c r="R520" s="738"/>
      <c r="S520" s="738"/>
      <c r="T520" s="738"/>
      <c r="U520" s="738"/>
      <c r="V520" s="738"/>
      <c r="W520" s="738"/>
      <c r="X520" s="738"/>
      <c r="Y520" s="738"/>
      <c r="Z520" s="738"/>
      <c r="AA520" s="738"/>
      <c r="AB520" s="738"/>
      <c r="AC520" s="738"/>
      <c r="AD520" s="738"/>
      <c r="AE520" s="738"/>
      <c r="AF520" s="738"/>
      <c r="AG520" s="738"/>
      <c r="AH520" s="738"/>
      <c r="AI520" s="738"/>
      <c r="AJ520" s="738"/>
      <c r="AK520" s="738"/>
      <c r="AL520" s="738"/>
    </row>
    <row r="521">
      <c r="A521" s="738"/>
      <c r="B521" s="738"/>
      <c r="C521" s="738"/>
      <c r="D521" s="738"/>
      <c r="E521" s="738"/>
      <c r="F521" s="738"/>
      <c r="G521" s="738"/>
      <c r="H521" s="738"/>
      <c r="I521" s="738"/>
      <c r="J521" s="738"/>
      <c r="K521" s="738"/>
      <c r="L521" s="738"/>
      <c r="M521" s="738"/>
      <c r="N521" s="738"/>
      <c r="O521" s="738"/>
      <c r="P521" s="738"/>
      <c r="Q521" s="738"/>
      <c r="R521" s="738"/>
      <c r="S521" s="738"/>
      <c r="T521" s="738"/>
      <c r="U521" s="738"/>
      <c r="V521" s="738"/>
      <c r="W521" s="738"/>
      <c r="X521" s="738"/>
      <c r="Y521" s="738"/>
      <c r="Z521" s="738"/>
      <c r="AA521" s="738"/>
      <c r="AB521" s="738"/>
      <c r="AC521" s="738"/>
      <c r="AD521" s="738"/>
      <c r="AE521" s="738"/>
      <c r="AF521" s="738"/>
      <c r="AG521" s="738"/>
      <c r="AH521" s="738"/>
      <c r="AI521" s="738"/>
      <c r="AJ521" s="738"/>
      <c r="AK521" s="738"/>
      <c r="AL521" s="738"/>
    </row>
    <row r="522">
      <c r="A522" s="738"/>
      <c r="B522" s="738"/>
      <c r="C522" s="738"/>
      <c r="D522" s="738"/>
      <c r="E522" s="738"/>
      <c r="F522" s="738"/>
      <c r="G522" s="738"/>
      <c r="H522" s="738"/>
      <c r="I522" s="738"/>
      <c r="J522" s="738"/>
      <c r="K522" s="738"/>
      <c r="L522" s="738"/>
      <c r="M522" s="738"/>
      <c r="N522" s="738"/>
      <c r="O522" s="738"/>
      <c r="P522" s="738"/>
      <c r="Q522" s="738"/>
      <c r="R522" s="738"/>
      <c r="S522" s="738"/>
      <c r="T522" s="738"/>
      <c r="U522" s="738"/>
      <c r="V522" s="738"/>
      <c r="W522" s="738"/>
      <c r="X522" s="738"/>
      <c r="Y522" s="738"/>
      <c r="Z522" s="738"/>
      <c r="AA522" s="738"/>
      <c r="AB522" s="738"/>
      <c r="AC522" s="738"/>
      <c r="AD522" s="738"/>
      <c r="AE522" s="738"/>
      <c r="AF522" s="738"/>
      <c r="AG522" s="738"/>
      <c r="AH522" s="738"/>
      <c r="AI522" s="738"/>
      <c r="AJ522" s="738"/>
      <c r="AK522" s="738"/>
      <c r="AL522" s="738"/>
    </row>
    <row r="523">
      <c r="A523" s="738"/>
      <c r="B523" s="738"/>
      <c r="C523" s="738"/>
      <c r="D523" s="738"/>
      <c r="E523" s="738"/>
      <c r="F523" s="738"/>
      <c r="G523" s="738"/>
      <c r="H523" s="738"/>
      <c r="I523" s="738"/>
      <c r="J523" s="738"/>
      <c r="K523" s="738"/>
      <c r="L523" s="738"/>
      <c r="M523" s="738"/>
      <c r="N523" s="738"/>
      <c r="O523" s="738"/>
      <c r="P523" s="738"/>
      <c r="Q523" s="738"/>
      <c r="R523" s="738"/>
      <c r="S523" s="738"/>
      <c r="T523" s="738"/>
      <c r="U523" s="738"/>
      <c r="V523" s="738"/>
      <c r="W523" s="738"/>
      <c r="X523" s="738"/>
      <c r="Y523" s="738"/>
      <c r="Z523" s="738"/>
      <c r="AA523" s="738"/>
      <c r="AB523" s="738"/>
      <c r="AC523" s="738"/>
      <c r="AD523" s="738"/>
      <c r="AE523" s="738"/>
      <c r="AF523" s="738"/>
      <c r="AG523" s="738"/>
      <c r="AH523" s="738"/>
      <c r="AI523" s="738"/>
      <c r="AJ523" s="738"/>
      <c r="AK523" s="738"/>
      <c r="AL523" s="738"/>
    </row>
    <row r="524">
      <c r="A524" s="738"/>
      <c r="B524" s="738"/>
      <c r="C524" s="738"/>
      <c r="D524" s="738"/>
      <c r="E524" s="738"/>
      <c r="F524" s="738"/>
      <c r="G524" s="738"/>
      <c r="H524" s="738"/>
      <c r="I524" s="738"/>
      <c r="J524" s="738"/>
      <c r="K524" s="738"/>
      <c r="L524" s="738"/>
      <c r="M524" s="738"/>
      <c r="N524" s="738"/>
      <c r="O524" s="738"/>
      <c r="P524" s="738"/>
      <c r="Q524" s="738"/>
      <c r="R524" s="738"/>
      <c r="S524" s="738"/>
      <c r="T524" s="738"/>
      <c r="U524" s="738"/>
      <c r="V524" s="738"/>
      <c r="W524" s="738"/>
      <c r="X524" s="738"/>
      <c r="Y524" s="738"/>
      <c r="Z524" s="738"/>
      <c r="AA524" s="738"/>
      <c r="AB524" s="738"/>
      <c r="AC524" s="738"/>
      <c r="AD524" s="738"/>
      <c r="AE524" s="738"/>
      <c r="AF524" s="738"/>
      <c r="AG524" s="738"/>
      <c r="AH524" s="738"/>
      <c r="AI524" s="738"/>
      <c r="AJ524" s="738"/>
      <c r="AK524" s="738"/>
      <c r="AL524" s="738"/>
    </row>
    <row r="525">
      <c r="A525" s="738"/>
      <c r="B525" s="738"/>
      <c r="C525" s="738"/>
      <c r="D525" s="738"/>
      <c r="E525" s="738"/>
      <c r="F525" s="738"/>
      <c r="G525" s="738"/>
      <c r="H525" s="738"/>
      <c r="I525" s="738"/>
      <c r="J525" s="738"/>
      <c r="K525" s="738"/>
      <c r="L525" s="738"/>
      <c r="M525" s="738"/>
      <c r="N525" s="738"/>
      <c r="O525" s="738"/>
      <c r="P525" s="738"/>
      <c r="Q525" s="738"/>
      <c r="R525" s="738"/>
      <c r="S525" s="738"/>
      <c r="T525" s="738"/>
      <c r="U525" s="738"/>
      <c r="V525" s="738"/>
      <c r="W525" s="738"/>
      <c r="X525" s="738"/>
      <c r="Y525" s="738"/>
      <c r="Z525" s="738"/>
      <c r="AA525" s="738"/>
      <c r="AB525" s="738"/>
      <c r="AC525" s="738"/>
      <c r="AD525" s="738"/>
      <c r="AE525" s="738"/>
      <c r="AF525" s="738"/>
      <c r="AG525" s="738"/>
      <c r="AH525" s="738"/>
      <c r="AI525" s="738"/>
      <c r="AJ525" s="738"/>
      <c r="AK525" s="738"/>
      <c r="AL525" s="738"/>
    </row>
    <row r="526">
      <c r="A526" s="738"/>
      <c r="B526" s="738"/>
      <c r="C526" s="738"/>
      <c r="D526" s="738"/>
      <c r="E526" s="738"/>
      <c r="F526" s="738"/>
      <c r="G526" s="738"/>
      <c r="H526" s="738"/>
      <c r="I526" s="738"/>
      <c r="J526" s="738"/>
      <c r="K526" s="738"/>
      <c r="L526" s="738"/>
      <c r="M526" s="738"/>
      <c r="N526" s="738"/>
      <c r="O526" s="738"/>
      <c r="P526" s="738"/>
      <c r="Q526" s="738"/>
      <c r="R526" s="738"/>
      <c r="S526" s="738"/>
      <c r="T526" s="738"/>
      <c r="U526" s="738"/>
      <c r="V526" s="738"/>
      <c r="W526" s="738"/>
      <c r="X526" s="738"/>
      <c r="Y526" s="738"/>
      <c r="Z526" s="738"/>
      <c r="AA526" s="738"/>
      <c r="AB526" s="738"/>
      <c r="AC526" s="738"/>
      <c r="AD526" s="738"/>
      <c r="AE526" s="738"/>
      <c r="AF526" s="738"/>
      <c r="AG526" s="738"/>
      <c r="AH526" s="738"/>
      <c r="AI526" s="738"/>
      <c r="AJ526" s="738"/>
      <c r="AK526" s="738"/>
      <c r="AL526" s="738"/>
    </row>
    <row r="527">
      <c r="A527" s="738"/>
      <c r="B527" s="738"/>
      <c r="C527" s="738"/>
      <c r="D527" s="738"/>
      <c r="E527" s="738"/>
      <c r="F527" s="738"/>
      <c r="G527" s="738"/>
      <c r="H527" s="738"/>
      <c r="I527" s="738"/>
      <c r="J527" s="738"/>
      <c r="K527" s="738"/>
      <c r="L527" s="738"/>
      <c r="M527" s="738"/>
      <c r="N527" s="738"/>
      <c r="O527" s="738"/>
      <c r="P527" s="738"/>
      <c r="Q527" s="738"/>
      <c r="R527" s="738"/>
      <c r="S527" s="738"/>
      <c r="T527" s="738"/>
      <c r="U527" s="738"/>
      <c r="V527" s="738"/>
      <c r="W527" s="738"/>
      <c r="X527" s="738"/>
      <c r="Y527" s="738"/>
      <c r="Z527" s="738"/>
      <c r="AA527" s="738"/>
      <c r="AB527" s="738"/>
      <c r="AC527" s="738"/>
      <c r="AD527" s="738"/>
      <c r="AE527" s="738"/>
      <c r="AF527" s="738"/>
      <c r="AG527" s="738"/>
      <c r="AH527" s="738"/>
      <c r="AI527" s="738"/>
      <c r="AJ527" s="738"/>
      <c r="AK527" s="738"/>
      <c r="AL527" s="738"/>
    </row>
    <row r="528">
      <c r="A528" s="738"/>
      <c r="B528" s="738"/>
      <c r="C528" s="738"/>
      <c r="D528" s="738"/>
      <c r="E528" s="738"/>
      <c r="F528" s="738"/>
      <c r="G528" s="738"/>
      <c r="H528" s="738"/>
      <c r="I528" s="738"/>
      <c r="J528" s="738"/>
      <c r="K528" s="738"/>
      <c r="L528" s="738"/>
      <c r="M528" s="738"/>
      <c r="N528" s="738"/>
      <c r="O528" s="738"/>
      <c r="P528" s="738"/>
      <c r="Q528" s="738"/>
      <c r="R528" s="738"/>
      <c r="S528" s="738"/>
      <c r="T528" s="738"/>
      <c r="U528" s="738"/>
      <c r="V528" s="738"/>
      <c r="W528" s="738"/>
      <c r="X528" s="738"/>
      <c r="Y528" s="738"/>
      <c r="Z528" s="738"/>
      <c r="AA528" s="738"/>
      <c r="AB528" s="738"/>
      <c r="AC528" s="738"/>
      <c r="AD528" s="738"/>
      <c r="AE528" s="738"/>
      <c r="AF528" s="738"/>
      <c r="AG528" s="738"/>
      <c r="AH528" s="738"/>
      <c r="AI528" s="738"/>
      <c r="AJ528" s="738"/>
      <c r="AK528" s="738"/>
      <c r="AL528" s="738"/>
    </row>
    <row r="529">
      <c r="A529" s="738"/>
      <c r="B529" s="738"/>
      <c r="C529" s="738"/>
      <c r="D529" s="738"/>
      <c r="E529" s="738"/>
      <c r="F529" s="738"/>
      <c r="G529" s="738"/>
      <c r="H529" s="738"/>
      <c r="I529" s="738"/>
      <c r="J529" s="738"/>
      <c r="K529" s="738"/>
      <c r="L529" s="738"/>
      <c r="M529" s="738"/>
      <c r="N529" s="738"/>
      <c r="O529" s="738"/>
      <c r="P529" s="738"/>
      <c r="Q529" s="738"/>
      <c r="R529" s="738"/>
      <c r="S529" s="738"/>
      <c r="T529" s="738"/>
      <c r="U529" s="738"/>
      <c r="V529" s="738"/>
      <c r="W529" s="738"/>
      <c r="X529" s="738"/>
      <c r="Y529" s="738"/>
      <c r="Z529" s="738"/>
      <c r="AA529" s="738"/>
      <c r="AB529" s="738"/>
      <c r="AC529" s="738"/>
      <c r="AD529" s="738"/>
      <c r="AE529" s="738"/>
      <c r="AF529" s="738"/>
      <c r="AG529" s="738"/>
      <c r="AH529" s="738"/>
      <c r="AI529" s="738"/>
      <c r="AJ529" s="738"/>
      <c r="AK529" s="738"/>
      <c r="AL529" s="738"/>
    </row>
    <row r="530">
      <c r="A530" s="738"/>
      <c r="B530" s="738"/>
      <c r="C530" s="738"/>
      <c r="D530" s="738"/>
      <c r="E530" s="738"/>
      <c r="F530" s="738"/>
      <c r="G530" s="738"/>
      <c r="H530" s="738"/>
      <c r="I530" s="738"/>
      <c r="J530" s="738"/>
      <c r="K530" s="738"/>
      <c r="L530" s="738"/>
      <c r="M530" s="738"/>
      <c r="N530" s="738"/>
      <c r="O530" s="738"/>
      <c r="P530" s="738"/>
      <c r="Q530" s="738"/>
      <c r="R530" s="738"/>
      <c r="S530" s="738"/>
      <c r="T530" s="738"/>
      <c r="U530" s="738"/>
      <c r="V530" s="738"/>
      <c r="W530" s="738"/>
      <c r="X530" s="738"/>
      <c r="Y530" s="738"/>
      <c r="Z530" s="738"/>
      <c r="AA530" s="738"/>
      <c r="AB530" s="738"/>
      <c r="AC530" s="738"/>
      <c r="AD530" s="738"/>
      <c r="AE530" s="738"/>
      <c r="AF530" s="738"/>
      <c r="AG530" s="738"/>
      <c r="AH530" s="738"/>
      <c r="AI530" s="738"/>
      <c r="AJ530" s="738"/>
      <c r="AK530" s="738"/>
      <c r="AL530" s="738"/>
    </row>
    <row r="531">
      <c r="A531" s="738"/>
      <c r="B531" s="738"/>
      <c r="C531" s="738"/>
      <c r="D531" s="738"/>
      <c r="E531" s="738"/>
      <c r="F531" s="738"/>
      <c r="G531" s="738"/>
      <c r="H531" s="738"/>
      <c r="I531" s="738"/>
      <c r="J531" s="738"/>
      <c r="K531" s="738"/>
      <c r="L531" s="738"/>
      <c r="M531" s="738"/>
      <c r="N531" s="738"/>
      <c r="O531" s="738"/>
      <c r="P531" s="738"/>
      <c r="Q531" s="738"/>
      <c r="R531" s="738"/>
      <c r="S531" s="738"/>
      <c r="T531" s="738"/>
      <c r="U531" s="738"/>
      <c r="V531" s="738"/>
      <c r="W531" s="738"/>
      <c r="X531" s="738"/>
      <c r="Y531" s="738"/>
      <c r="Z531" s="738"/>
      <c r="AA531" s="738"/>
      <c r="AB531" s="738"/>
      <c r="AC531" s="738"/>
      <c r="AD531" s="738"/>
      <c r="AE531" s="738"/>
      <c r="AF531" s="738"/>
      <c r="AG531" s="738"/>
      <c r="AH531" s="738"/>
      <c r="AI531" s="738"/>
      <c r="AJ531" s="738"/>
      <c r="AK531" s="738"/>
      <c r="AL531" s="738"/>
    </row>
    <row r="532">
      <c r="A532" s="738"/>
      <c r="B532" s="738"/>
      <c r="C532" s="738"/>
      <c r="D532" s="738"/>
      <c r="E532" s="738"/>
      <c r="F532" s="738"/>
      <c r="G532" s="738"/>
      <c r="H532" s="738"/>
      <c r="I532" s="738"/>
      <c r="J532" s="738"/>
      <c r="K532" s="738"/>
      <c r="L532" s="738"/>
      <c r="M532" s="738"/>
      <c r="N532" s="738"/>
      <c r="O532" s="738"/>
      <c r="P532" s="738"/>
      <c r="Q532" s="738"/>
      <c r="R532" s="738"/>
      <c r="S532" s="738"/>
      <c r="T532" s="738"/>
      <c r="U532" s="738"/>
      <c r="V532" s="738"/>
      <c r="W532" s="738"/>
      <c r="X532" s="738"/>
      <c r="Y532" s="738"/>
      <c r="Z532" s="738"/>
      <c r="AA532" s="738"/>
      <c r="AB532" s="738"/>
      <c r="AC532" s="738"/>
      <c r="AD532" s="738"/>
      <c r="AE532" s="738"/>
      <c r="AF532" s="738"/>
      <c r="AG532" s="738"/>
      <c r="AH532" s="738"/>
      <c r="AI532" s="738"/>
      <c r="AJ532" s="738"/>
      <c r="AK532" s="738"/>
      <c r="AL532" s="738"/>
    </row>
    <row r="533">
      <c r="A533" s="738"/>
      <c r="B533" s="738"/>
      <c r="C533" s="738"/>
      <c r="D533" s="738"/>
      <c r="E533" s="738"/>
      <c r="F533" s="738"/>
      <c r="G533" s="738"/>
      <c r="H533" s="738"/>
      <c r="I533" s="738"/>
      <c r="J533" s="738"/>
      <c r="K533" s="738"/>
      <c r="L533" s="738"/>
      <c r="M533" s="738"/>
      <c r="N533" s="738"/>
      <c r="O533" s="738"/>
      <c r="P533" s="738"/>
      <c r="Q533" s="738"/>
      <c r="R533" s="738"/>
      <c r="S533" s="738"/>
      <c r="T533" s="738"/>
      <c r="U533" s="738"/>
      <c r="V533" s="738"/>
      <c r="W533" s="738"/>
      <c r="X533" s="738"/>
      <c r="Y533" s="738"/>
      <c r="Z533" s="738"/>
      <c r="AA533" s="738"/>
      <c r="AB533" s="738"/>
      <c r="AC533" s="738"/>
      <c r="AD533" s="738"/>
      <c r="AE533" s="738"/>
      <c r="AF533" s="738"/>
      <c r="AG533" s="738"/>
      <c r="AH533" s="738"/>
      <c r="AI533" s="738"/>
      <c r="AJ533" s="738"/>
      <c r="AK533" s="738"/>
      <c r="AL533" s="738"/>
    </row>
    <row r="534">
      <c r="A534" s="738"/>
      <c r="B534" s="738"/>
      <c r="C534" s="738"/>
      <c r="D534" s="738"/>
      <c r="E534" s="738"/>
      <c r="F534" s="738"/>
      <c r="G534" s="738"/>
      <c r="H534" s="738"/>
      <c r="I534" s="738"/>
      <c r="J534" s="738"/>
      <c r="K534" s="738"/>
      <c r="L534" s="738"/>
      <c r="M534" s="738"/>
      <c r="N534" s="738"/>
      <c r="O534" s="738"/>
      <c r="P534" s="738"/>
      <c r="Q534" s="738"/>
      <c r="R534" s="738"/>
      <c r="S534" s="738"/>
      <c r="T534" s="738"/>
      <c r="U534" s="738"/>
      <c r="V534" s="738"/>
      <c r="W534" s="738"/>
      <c r="X534" s="738"/>
      <c r="Y534" s="738"/>
      <c r="Z534" s="738"/>
      <c r="AA534" s="738"/>
      <c r="AB534" s="738"/>
      <c r="AC534" s="738"/>
      <c r="AD534" s="738"/>
      <c r="AE534" s="738"/>
      <c r="AF534" s="738"/>
      <c r="AG534" s="738"/>
      <c r="AH534" s="738"/>
      <c r="AI534" s="738"/>
      <c r="AJ534" s="738"/>
      <c r="AK534" s="738"/>
      <c r="AL534" s="738"/>
    </row>
    <row r="535">
      <c r="A535" s="738"/>
      <c r="B535" s="738"/>
      <c r="C535" s="738"/>
      <c r="D535" s="738"/>
      <c r="E535" s="738"/>
      <c r="F535" s="738"/>
      <c r="G535" s="738"/>
      <c r="H535" s="738"/>
      <c r="I535" s="738"/>
      <c r="J535" s="738"/>
      <c r="K535" s="738"/>
      <c r="L535" s="738"/>
      <c r="M535" s="738"/>
      <c r="N535" s="738"/>
      <c r="O535" s="738"/>
      <c r="P535" s="738"/>
      <c r="Q535" s="738"/>
      <c r="R535" s="738"/>
      <c r="S535" s="738"/>
      <c r="T535" s="738"/>
      <c r="U535" s="738"/>
      <c r="V535" s="738"/>
      <c r="W535" s="738"/>
      <c r="X535" s="738"/>
      <c r="Y535" s="738"/>
      <c r="Z535" s="738"/>
      <c r="AA535" s="738"/>
      <c r="AB535" s="738"/>
      <c r="AC535" s="738"/>
      <c r="AD535" s="738"/>
      <c r="AE535" s="738"/>
      <c r="AF535" s="738"/>
      <c r="AG535" s="738"/>
      <c r="AH535" s="738"/>
      <c r="AI535" s="738"/>
      <c r="AJ535" s="738"/>
      <c r="AK535" s="738"/>
      <c r="AL535" s="738"/>
    </row>
    <row r="536">
      <c r="A536" s="738"/>
      <c r="B536" s="738"/>
      <c r="C536" s="738"/>
      <c r="D536" s="738"/>
      <c r="E536" s="738"/>
      <c r="F536" s="738"/>
      <c r="G536" s="738"/>
      <c r="H536" s="738"/>
      <c r="I536" s="738"/>
      <c r="J536" s="738"/>
      <c r="K536" s="738"/>
      <c r="L536" s="738"/>
      <c r="M536" s="738"/>
      <c r="N536" s="738"/>
      <c r="O536" s="738"/>
      <c r="P536" s="738"/>
      <c r="Q536" s="738"/>
      <c r="R536" s="738"/>
      <c r="S536" s="738"/>
      <c r="T536" s="738"/>
      <c r="U536" s="738"/>
      <c r="V536" s="738"/>
      <c r="W536" s="738"/>
      <c r="X536" s="738"/>
      <c r="Y536" s="738"/>
      <c r="Z536" s="738"/>
      <c r="AA536" s="738"/>
      <c r="AB536" s="738"/>
      <c r="AC536" s="738"/>
      <c r="AD536" s="738"/>
      <c r="AE536" s="738"/>
      <c r="AF536" s="738"/>
      <c r="AG536" s="738"/>
      <c r="AH536" s="738"/>
      <c r="AI536" s="738"/>
      <c r="AJ536" s="738"/>
      <c r="AK536" s="738"/>
      <c r="AL536" s="738"/>
    </row>
    <row r="537">
      <c r="A537" s="738"/>
      <c r="B537" s="738"/>
      <c r="C537" s="738"/>
      <c r="D537" s="738"/>
      <c r="E537" s="738"/>
      <c r="F537" s="738"/>
      <c r="G537" s="738"/>
      <c r="H537" s="738"/>
      <c r="I537" s="738"/>
      <c r="J537" s="738"/>
      <c r="K537" s="738"/>
      <c r="L537" s="738"/>
      <c r="M537" s="738"/>
      <c r="N537" s="738"/>
      <c r="O537" s="738"/>
      <c r="P537" s="738"/>
      <c r="Q537" s="738"/>
      <c r="R537" s="738"/>
      <c r="S537" s="738"/>
      <c r="T537" s="738"/>
      <c r="U537" s="738"/>
      <c r="V537" s="738"/>
      <c r="W537" s="738"/>
      <c r="X537" s="738"/>
      <c r="Y537" s="738"/>
      <c r="Z537" s="738"/>
      <c r="AA537" s="738"/>
      <c r="AB537" s="738"/>
      <c r="AC537" s="738"/>
      <c r="AD537" s="738"/>
      <c r="AE537" s="738"/>
      <c r="AF537" s="738"/>
      <c r="AG537" s="738"/>
      <c r="AH537" s="738"/>
      <c r="AI537" s="738"/>
      <c r="AJ537" s="738"/>
      <c r="AK537" s="738"/>
      <c r="AL537" s="738"/>
    </row>
    <row r="538">
      <c r="A538" s="738"/>
      <c r="B538" s="738"/>
      <c r="C538" s="738"/>
      <c r="D538" s="738"/>
      <c r="E538" s="738"/>
      <c r="F538" s="738"/>
      <c r="G538" s="738"/>
      <c r="H538" s="738"/>
      <c r="I538" s="738"/>
      <c r="J538" s="738"/>
      <c r="K538" s="738"/>
      <c r="L538" s="738"/>
      <c r="M538" s="738"/>
      <c r="N538" s="738"/>
      <c r="O538" s="738"/>
      <c r="P538" s="738"/>
      <c r="Q538" s="738"/>
      <c r="R538" s="738"/>
      <c r="S538" s="738"/>
      <c r="T538" s="738"/>
      <c r="U538" s="738"/>
      <c r="V538" s="738"/>
      <c r="W538" s="738"/>
      <c r="X538" s="738"/>
      <c r="Y538" s="738"/>
      <c r="Z538" s="738"/>
      <c r="AA538" s="738"/>
      <c r="AB538" s="738"/>
      <c r="AC538" s="738"/>
      <c r="AD538" s="738"/>
      <c r="AE538" s="738"/>
      <c r="AF538" s="738"/>
      <c r="AG538" s="738"/>
      <c r="AH538" s="738"/>
      <c r="AI538" s="738"/>
      <c r="AJ538" s="738"/>
      <c r="AK538" s="738"/>
      <c r="AL538" s="738"/>
    </row>
    <row r="539">
      <c r="A539" s="738"/>
      <c r="B539" s="738"/>
      <c r="C539" s="738"/>
      <c r="D539" s="738"/>
      <c r="E539" s="738"/>
      <c r="F539" s="738"/>
      <c r="G539" s="738"/>
      <c r="H539" s="738"/>
      <c r="I539" s="738"/>
      <c r="J539" s="738"/>
      <c r="K539" s="738"/>
      <c r="L539" s="738"/>
      <c r="M539" s="738"/>
      <c r="N539" s="738"/>
      <c r="O539" s="738"/>
      <c r="P539" s="738"/>
      <c r="Q539" s="738"/>
      <c r="R539" s="738"/>
      <c r="S539" s="738"/>
      <c r="T539" s="738"/>
      <c r="U539" s="738"/>
      <c r="V539" s="738"/>
      <c r="W539" s="738"/>
      <c r="X539" s="738"/>
      <c r="Y539" s="738"/>
      <c r="Z539" s="738"/>
      <c r="AA539" s="738"/>
      <c r="AB539" s="738"/>
      <c r="AC539" s="738"/>
      <c r="AD539" s="738"/>
      <c r="AE539" s="738"/>
      <c r="AF539" s="738"/>
      <c r="AG539" s="738"/>
      <c r="AH539" s="738"/>
      <c r="AI539" s="738"/>
      <c r="AJ539" s="738"/>
      <c r="AK539" s="738"/>
      <c r="AL539" s="738"/>
    </row>
    <row r="540">
      <c r="A540" s="738"/>
      <c r="B540" s="738"/>
      <c r="C540" s="738"/>
      <c r="D540" s="738"/>
      <c r="E540" s="738"/>
      <c r="F540" s="738"/>
      <c r="G540" s="738"/>
      <c r="H540" s="738"/>
      <c r="I540" s="738"/>
      <c r="J540" s="738"/>
      <c r="K540" s="738"/>
      <c r="L540" s="738"/>
      <c r="M540" s="738"/>
      <c r="N540" s="738"/>
      <c r="O540" s="738"/>
      <c r="P540" s="738"/>
      <c r="Q540" s="738"/>
      <c r="R540" s="738"/>
      <c r="S540" s="738"/>
      <c r="T540" s="738"/>
      <c r="U540" s="738"/>
      <c r="V540" s="738"/>
      <c r="W540" s="738"/>
      <c r="X540" s="738"/>
      <c r="Y540" s="738"/>
      <c r="Z540" s="738"/>
      <c r="AA540" s="738"/>
      <c r="AB540" s="738"/>
      <c r="AC540" s="738"/>
      <c r="AD540" s="738"/>
      <c r="AE540" s="738"/>
      <c r="AF540" s="738"/>
      <c r="AG540" s="738"/>
      <c r="AH540" s="738"/>
      <c r="AI540" s="738"/>
      <c r="AJ540" s="738"/>
      <c r="AK540" s="738"/>
      <c r="AL540" s="738"/>
    </row>
    <row r="541">
      <c r="A541" s="738"/>
      <c r="B541" s="738"/>
      <c r="C541" s="738"/>
      <c r="D541" s="738"/>
      <c r="E541" s="738"/>
      <c r="F541" s="738"/>
      <c r="G541" s="738"/>
      <c r="H541" s="738"/>
      <c r="I541" s="738"/>
      <c r="J541" s="738"/>
      <c r="K541" s="738"/>
      <c r="L541" s="738"/>
      <c r="M541" s="738"/>
      <c r="N541" s="738"/>
      <c r="O541" s="738"/>
      <c r="P541" s="738"/>
      <c r="Q541" s="738"/>
      <c r="R541" s="738"/>
      <c r="S541" s="738"/>
      <c r="T541" s="738"/>
      <c r="U541" s="738"/>
      <c r="V541" s="738"/>
      <c r="W541" s="738"/>
      <c r="X541" s="738"/>
      <c r="Y541" s="738"/>
      <c r="Z541" s="738"/>
      <c r="AA541" s="738"/>
      <c r="AB541" s="738"/>
      <c r="AC541" s="738"/>
      <c r="AD541" s="738"/>
      <c r="AE541" s="738"/>
      <c r="AF541" s="738"/>
      <c r="AG541" s="738"/>
      <c r="AH541" s="738"/>
      <c r="AI541" s="738"/>
      <c r="AJ541" s="738"/>
      <c r="AK541" s="738"/>
      <c r="AL541" s="738"/>
    </row>
    <row r="542">
      <c r="A542" s="738"/>
      <c r="B542" s="738"/>
      <c r="C542" s="738"/>
      <c r="D542" s="738"/>
      <c r="E542" s="738"/>
      <c r="F542" s="738"/>
      <c r="G542" s="738"/>
      <c r="H542" s="738"/>
      <c r="I542" s="738"/>
      <c r="J542" s="738"/>
      <c r="K542" s="738"/>
      <c r="L542" s="738"/>
      <c r="M542" s="738"/>
      <c r="N542" s="738"/>
      <c r="O542" s="738"/>
      <c r="P542" s="738"/>
      <c r="Q542" s="738"/>
      <c r="R542" s="738"/>
      <c r="S542" s="738"/>
      <c r="T542" s="738"/>
      <c r="U542" s="738"/>
      <c r="V542" s="738"/>
      <c r="W542" s="738"/>
      <c r="X542" s="738"/>
      <c r="Y542" s="738"/>
      <c r="Z542" s="738"/>
      <c r="AA542" s="738"/>
      <c r="AB542" s="738"/>
      <c r="AC542" s="738"/>
      <c r="AD542" s="738"/>
      <c r="AE542" s="738"/>
      <c r="AF542" s="738"/>
      <c r="AG542" s="738"/>
      <c r="AH542" s="738"/>
      <c r="AI542" s="738"/>
      <c r="AJ542" s="738"/>
      <c r="AK542" s="738"/>
      <c r="AL542" s="738"/>
    </row>
    <row r="543">
      <c r="A543" s="738"/>
      <c r="B543" s="738"/>
      <c r="C543" s="738"/>
      <c r="D543" s="738"/>
      <c r="E543" s="738"/>
      <c r="F543" s="738"/>
      <c r="G543" s="738"/>
      <c r="H543" s="738"/>
      <c r="I543" s="738"/>
      <c r="J543" s="738"/>
      <c r="K543" s="738"/>
      <c r="L543" s="738"/>
      <c r="M543" s="738"/>
      <c r="N543" s="738"/>
      <c r="O543" s="738"/>
      <c r="P543" s="738"/>
      <c r="Q543" s="738"/>
      <c r="R543" s="738"/>
      <c r="S543" s="738"/>
      <c r="T543" s="738"/>
      <c r="U543" s="738"/>
      <c r="V543" s="738"/>
      <c r="W543" s="738"/>
      <c r="X543" s="738"/>
      <c r="Y543" s="738"/>
      <c r="Z543" s="738"/>
      <c r="AA543" s="738"/>
      <c r="AB543" s="738"/>
      <c r="AC543" s="738"/>
      <c r="AD543" s="738"/>
      <c r="AE543" s="738"/>
      <c r="AF543" s="738"/>
      <c r="AG543" s="738"/>
      <c r="AH543" s="738"/>
      <c r="AI543" s="738"/>
      <c r="AJ543" s="738"/>
      <c r="AK543" s="738"/>
      <c r="AL543" s="738"/>
    </row>
    <row r="544">
      <c r="A544" s="738"/>
      <c r="B544" s="738"/>
      <c r="C544" s="738"/>
      <c r="D544" s="738"/>
      <c r="E544" s="738"/>
      <c r="F544" s="738"/>
      <c r="G544" s="738"/>
      <c r="H544" s="738"/>
      <c r="I544" s="738"/>
      <c r="J544" s="738"/>
      <c r="K544" s="738"/>
      <c r="L544" s="738"/>
      <c r="M544" s="738"/>
      <c r="N544" s="738"/>
      <c r="O544" s="738"/>
      <c r="P544" s="738"/>
      <c r="Q544" s="738"/>
      <c r="R544" s="738"/>
      <c r="S544" s="738"/>
      <c r="T544" s="738"/>
      <c r="U544" s="738"/>
      <c r="V544" s="738"/>
      <c r="W544" s="738"/>
      <c r="X544" s="738"/>
      <c r="Y544" s="738"/>
      <c r="Z544" s="738"/>
      <c r="AA544" s="738"/>
      <c r="AB544" s="738"/>
      <c r="AC544" s="738"/>
      <c r="AD544" s="738"/>
      <c r="AE544" s="738"/>
      <c r="AF544" s="738"/>
      <c r="AG544" s="738"/>
      <c r="AH544" s="738"/>
      <c r="AI544" s="738"/>
      <c r="AJ544" s="738"/>
      <c r="AK544" s="738"/>
      <c r="AL544" s="738"/>
    </row>
    <row r="545">
      <c r="A545" s="738"/>
      <c r="B545" s="738"/>
      <c r="C545" s="738"/>
      <c r="D545" s="738"/>
      <c r="E545" s="738"/>
      <c r="F545" s="738"/>
      <c r="G545" s="738"/>
      <c r="H545" s="738"/>
      <c r="I545" s="738"/>
      <c r="J545" s="738"/>
      <c r="K545" s="738"/>
      <c r="L545" s="738"/>
      <c r="M545" s="738"/>
      <c r="N545" s="738"/>
      <c r="O545" s="738"/>
      <c r="P545" s="738"/>
      <c r="Q545" s="738"/>
      <c r="R545" s="738"/>
      <c r="S545" s="738"/>
      <c r="T545" s="738"/>
      <c r="U545" s="738"/>
      <c r="V545" s="738"/>
      <c r="W545" s="738"/>
      <c r="X545" s="738"/>
      <c r="Y545" s="738"/>
      <c r="Z545" s="738"/>
      <c r="AA545" s="738"/>
      <c r="AB545" s="738"/>
      <c r="AC545" s="738"/>
      <c r="AD545" s="738"/>
      <c r="AE545" s="738"/>
      <c r="AF545" s="738"/>
      <c r="AG545" s="738"/>
      <c r="AH545" s="738"/>
      <c r="AI545" s="738"/>
      <c r="AJ545" s="738"/>
      <c r="AK545" s="738"/>
      <c r="AL545" s="738"/>
    </row>
    <row r="546">
      <c r="A546" s="738"/>
      <c r="B546" s="738"/>
      <c r="C546" s="738"/>
      <c r="D546" s="738"/>
      <c r="E546" s="738"/>
      <c r="F546" s="738"/>
      <c r="G546" s="738"/>
      <c r="H546" s="738"/>
      <c r="I546" s="738"/>
      <c r="J546" s="738"/>
      <c r="K546" s="738"/>
      <c r="L546" s="738"/>
      <c r="M546" s="738"/>
      <c r="N546" s="738"/>
      <c r="O546" s="738"/>
      <c r="P546" s="738"/>
      <c r="Q546" s="738"/>
      <c r="R546" s="738"/>
      <c r="S546" s="738"/>
      <c r="T546" s="738"/>
      <c r="U546" s="738"/>
      <c r="V546" s="738"/>
      <c r="W546" s="738"/>
      <c r="X546" s="738"/>
      <c r="Y546" s="738"/>
      <c r="Z546" s="738"/>
      <c r="AA546" s="738"/>
      <c r="AB546" s="738"/>
      <c r="AC546" s="738"/>
      <c r="AD546" s="738"/>
      <c r="AE546" s="738"/>
      <c r="AF546" s="738"/>
      <c r="AG546" s="738"/>
      <c r="AH546" s="738"/>
      <c r="AI546" s="738"/>
      <c r="AJ546" s="738"/>
      <c r="AK546" s="738"/>
      <c r="AL546" s="738"/>
    </row>
    <row r="547">
      <c r="A547" s="738"/>
      <c r="B547" s="738"/>
      <c r="C547" s="738"/>
      <c r="D547" s="738"/>
      <c r="E547" s="738"/>
      <c r="F547" s="738"/>
      <c r="G547" s="738"/>
      <c r="H547" s="738"/>
      <c r="I547" s="738"/>
      <c r="J547" s="738"/>
      <c r="K547" s="738"/>
      <c r="L547" s="738"/>
      <c r="M547" s="738"/>
      <c r="N547" s="738"/>
      <c r="O547" s="738"/>
      <c r="P547" s="738"/>
      <c r="Q547" s="738"/>
      <c r="R547" s="738"/>
      <c r="S547" s="738"/>
      <c r="T547" s="738"/>
      <c r="U547" s="738"/>
      <c r="V547" s="738"/>
      <c r="W547" s="738"/>
      <c r="X547" s="738"/>
      <c r="Y547" s="738"/>
      <c r="Z547" s="738"/>
      <c r="AA547" s="738"/>
      <c r="AB547" s="738"/>
      <c r="AC547" s="738"/>
      <c r="AD547" s="738"/>
      <c r="AE547" s="738"/>
      <c r="AF547" s="738"/>
      <c r="AG547" s="738"/>
      <c r="AH547" s="738"/>
      <c r="AI547" s="738"/>
      <c r="AJ547" s="738"/>
      <c r="AK547" s="738"/>
      <c r="AL547" s="738"/>
    </row>
    <row r="548">
      <c r="A548" s="738"/>
      <c r="B548" s="738"/>
      <c r="C548" s="738"/>
      <c r="D548" s="738"/>
      <c r="E548" s="738"/>
      <c r="F548" s="738"/>
      <c r="G548" s="738"/>
      <c r="H548" s="738"/>
      <c r="I548" s="738"/>
      <c r="J548" s="738"/>
      <c r="K548" s="738"/>
      <c r="L548" s="738"/>
      <c r="M548" s="738"/>
      <c r="N548" s="738"/>
      <c r="O548" s="738"/>
      <c r="P548" s="738"/>
      <c r="Q548" s="738"/>
      <c r="R548" s="738"/>
      <c r="S548" s="738"/>
      <c r="T548" s="738"/>
      <c r="U548" s="738"/>
      <c r="V548" s="738"/>
      <c r="W548" s="738"/>
      <c r="X548" s="738"/>
      <c r="Y548" s="738"/>
      <c r="Z548" s="738"/>
      <c r="AA548" s="738"/>
      <c r="AB548" s="738"/>
      <c r="AC548" s="738"/>
      <c r="AD548" s="738"/>
      <c r="AE548" s="738"/>
      <c r="AF548" s="738"/>
      <c r="AG548" s="738"/>
      <c r="AH548" s="738"/>
      <c r="AI548" s="738"/>
      <c r="AJ548" s="738"/>
      <c r="AK548" s="738"/>
      <c r="AL548" s="738"/>
    </row>
    <row r="549">
      <c r="A549" s="738"/>
      <c r="B549" s="738"/>
      <c r="C549" s="738"/>
      <c r="D549" s="738"/>
      <c r="E549" s="738"/>
      <c r="F549" s="738"/>
      <c r="G549" s="738"/>
      <c r="H549" s="738"/>
      <c r="I549" s="738"/>
      <c r="J549" s="738"/>
      <c r="K549" s="738"/>
      <c r="L549" s="738"/>
      <c r="M549" s="738"/>
      <c r="N549" s="738"/>
      <c r="O549" s="738"/>
      <c r="P549" s="738"/>
      <c r="Q549" s="738"/>
      <c r="R549" s="738"/>
      <c r="S549" s="738"/>
      <c r="T549" s="738"/>
      <c r="U549" s="738"/>
      <c r="V549" s="738"/>
      <c r="W549" s="738"/>
      <c r="X549" s="738"/>
      <c r="Y549" s="738"/>
      <c r="Z549" s="738"/>
      <c r="AA549" s="738"/>
      <c r="AB549" s="738"/>
      <c r="AC549" s="738"/>
      <c r="AD549" s="738"/>
      <c r="AE549" s="738"/>
      <c r="AF549" s="738"/>
      <c r="AG549" s="738"/>
      <c r="AH549" s="738"/>
      <c r="AI549" s="738"/>
      <c r="AJ549" s="738"/>
      <c r="AK549" s="738"/>
      <c r="AL549" s="738"/>
    </row>
    <row r="550">
      <c r="A550" s="738"/>
      <c r="B550" s="738"/>
      <c r="C550" s="738"/>
      <c r="D550" s="738"/>
      <c r="E550" s="738"/>
      <c r="F550" s="738"/>
      <c r="G550" s="738"/>
      <c r="H550" s="738"/>
      <c r="I550" s="738"/>
      <c r="J550" s="738"/>
      <c r="K550" s="738"/>
      <c r="L550" s="738"/>
      <c r="M550" s="738"/>
      <c r="N550" s="738"/>
      <c r="O550" s="738"/>
      <c r="P550" s="738"/>
      <c r="Q550" s="738"/>
      <c r="R550" s="738"/>
      <c r="S550" s="738"/>
      <c r="T550" s="738"/>
      <c r="U550" s="738"/>
      <c r="V550" s="738"/>
      <c r="W550" s="738"/>
      <c r="X550" s="738"/>
      <c r="Y550" s="738"/>
      <c r="Z550" s="738"/>
      <c r="AA550" s="738"/>
      <c r="AB550" s="738"/>
      <c r="AC550" s="738"/>
      <c r="AD550" s="738"/>
      <c r="AE550" s="738"/>
      <c r="AF550" s="738"/>
      <c r="AG550" s="738"/>
      <c r="AH550" s="738"/>
      <c r="AI550" s="738"/>
      <c r="AJ550" s="738"/>
      <c r="AK550" s="738"/>
      <c r="AL550" s="738"/>
    </row>
    <row r="551">
      <c r="A551" s="738"/>
      <c r="B551" s="738"/>
      <c r="C551" s="738"/>
      <c r="D551" s="738"/>
      <c r="E551" s="738"/>
      <c r="F551" s="738"/>
      <c r="G551" s="738"/>
      <c r="H551" s="738"/>
      <c r="I551" s="738"/>
      <c r="J551" s="738"/>
      <c r="K551" s="738"/>
      <c r="L551" s="738"/>
      <c r="M551" s="738"/>
      <c r="N551" s="738"/>
      <c r="O551" s="738"/>
      <c r="P551" s="738"/>
      <c r="Q551" s="738"/>
      <c r="R551" s="738"/>
      <c r="S551" s="738"/>
      <c r="T551" s="738"/>
      <c r="U551" s="738"/>
      <c r="V551" s="738"/>
      <c r="W551" s="738"/>
      <c r="X551" s="738"/>
      <c r="Y551" s="738"/>
      <c r="Z551" s="738"/>
      <c r="AA551" s="738"/>
      <c r="AB551" s="738"/>
      <c r="AC551" s="738"/>
      <c r="AD551" s="738"/>
      <c r="AE551" s="738"/>
      <c r="AF551" s="738"/>
      <c r="AG551" s="738"/>
      <c r="AH551" s="738"/>
      <c r="AI551" s="738"/>
      <c r="AJ551" s="738"/>
      <c r="AK551" s="738"/>
      <c r="AL551" s="738"/>
    </row>
    <row r="552">
      <c r="A552" s="738"/>
      <c r="B552" s="738"/>
      <c r="C552" s="738"/>
      <c r="D552" s="738"/>
      <c r="E552" s="738"/>
      <c r="F552" s="738"/>
      <c r="G552" s="738"/>
      <c r="H552" s="738"/>
      <c r="I552" s="738"/>
      <c r="J552" s="738"/>
      <c r="K552" s="738"/>
      <c r="L552" s="738"/>
      <c r="M552" s="738"/>
      <c r="N552" s="738"/>
      <c r="O552" s="738"/>
      <c r="P552" s="738"/>
      <c r="Q552" s="738"/>
      <c r="R552" s="738"/>
      <c r="S552" s="738"/>
      <c r="T552" s="738"/>
      <c r="U552" s="738"/>
      <c r="V552" s="738"/>
      <c r="W552" s="738"/>
      <c r="X552" s="738"/>
      <c r="Y552" s="738"/>
      <c r="Z552" s="738"/>
      <c r="AA552" s="738"/>
      <c r="AB552" s="738"/>
      <c r="AC552" s="738"/>
      <c r="AD552" s="738"/>
      <c r="AE552" s="738"/>
      <c r="AF552" s="738"/>
      <c r="AG552" s="738"/>
      <c r="AH552" s="738"/>
      <c r="AI552" s="738"/>
      <c r="AJ552" s="738"/>
      <c r="AK552" s="738"/>
      <c r="AL552" s="738"/>
    </row>
    <row r="553">
      <c r="A553" s="738"/>
      <c r="B553" s="738"/>
      <c r="C553" s="738"/>
      <c r="D553" s="738"/>
      <c r="E553" s="738"/>
      <c r="F553" s="738"/>
      <c r="G553" s="738"/>
      <c r="H553" s="738"/>
      <c r="I553" s="738"/>
      <c r="J553" s="738"/>
      <c r="K553" s="738"/>
      <c r="L553" s="738"/>
      <c r="M553" s="738"/>
      <c r="N553" s="738"/>
      <c r="O553" s="738"/>
      <c r="P553" s="738"/>
      <c r="Q553" s="738"/>
      <c r="R553" s="738"/>
      <c r="S553" s="738"/>
      <c r="T553" s="738"/>
      <c r="U553" s="738"/>
      <c r="V553" s="738"/>
      <c r="W553" s="738"/>
      <c r="X553" s="738"/>
      <c r="Y553" s="738"/>
      <c r="Z553" s="738"/>
      <c r="AA553" s="738"/>
      <c r="AB553" s="738"/>
      <c r="AC553" s="738"/>
      <c r="AD553" s="738"/>
      <c r="AE553" s="738"/>
      <c r="AF553" s="738"/>
      <c r="AG553" s="738"/>
      <c r="AH553" s="738"/>
      <c r="AI553" s="738"/>
      <c r="AJ553" s="738"/>
      <c r="AK553" s="738"/>
      <c r="AL553" s="738"/>
    </row>
    <row r="554">
      <c r="A554" s="738"/>
      <c r="B554" s="738"/>
      <c r="C554" s="738"/>
      <c r="D554" s="738"/>
      <c r="E554" s="738"/>
      <c r="F554" s="738"/>
      <c r="G554" s="738"/>
      <c r="H554" s="738"/>
      <c r="I554" s="738"/>
      <c r="J554" s="738"/>
      <c r="K554" s="738"/>
      <c r="L554" s="738"/>
      <c r="M554" s="738"/>
      <c r="N554" s="738"/>
      <c r="O554" s="738"/>
      <c r="P554" s="738"/>
      <c r="Q554" s="738"/>
      <c r="R554" s="738"/>
      <c r="S554" s="738"/>
      <c r="T554" s="738"/>
      <c r="U554" s="738"/>
      <c r="V554" s="738"/>
      <c r="W554" s="738"/>
      <c r="X554" s="738"/>
      <c r="Y554" s="738"/>
      <c r="Z554" s="738"/>
      <c r="AA554" s="738"/>
      <c r="AB554" s="738"/>
      <c r="AC554" s="738"/>
      <c r="AD554" s="738"/>
      <c r="AE554" s="738"/>
      <c r="AF554" s="738"/>
      <c r="AG554" s="738"/>
      <c r="AH554" s="738"/>
      <c r="AI554" s="738"/>
      <c r="AJ554" s="738"/>
      <c r="AK554" s="738"/>
      <c r="AL554" s="738"/>
    </row>
    <row r="555">
      <c r="A555" s="738"/>
      <c r="B555" s="738"/>
      <c r="C555" s="738"/>
      <c r="D555" s="738"/>
      <c r="E555" s="738"/>
      <c r="F555" s="738"/>
      <c r="G555" s="738"/>
      <c r="H555" s="738"/>
      <c r="I555" s="738"/>
      <c r="J555" s="738"/>
      <c r="K555" s="738"/>
      <c r="L555" s="738"/>
      <c r="M555" s="738"/>
      <c r="N555" s="738"/>
      <c r="O555" s="738"/>
      <c r="P555" s="738"/>
      <c r="Q555" s="738"/>
      <c r="R555" s="738"/>
      <c r="S555" s="738"/>
      <c r="T555" s="738"/>
      <c r="U555" s="738"/>
      <c r="V555" s="738"/>
      <c r="W555" s="738"/>
      <c r="X555" s="738"/>
      <c r="Y555" s="738"/>
      <c r="Z555" s="738"/>
      <c r="AA555" s="738"/>
      <c r="AB555" s="738"/>
      <c r="AC555" s="738"/>
      <c r="AD555" s="738"/>
      <c r="AE555" s="738"/>
      <c r="AF555" s="738"/>
      <c r="AG555" s="738"/>
      <c r="AH555" s="738"/>
      <c r="AI555" s="738"/>
      <c r="AJ555" s="738"/>
      <c r="AK555" s="738"/>
      <c r="AL555" s="738"/>
    </row>
    <row r="556">
      <c r="A556" s="738"/>
      <c r="B556" s="738"/>
      <c r="C556" s="738"/>
      <c r="D556" s="738"/>
      <c r="E556" s="738"/>
      <c r="F556" s="738"/>
      <c r="G556" s="738"/>
      <c r="H556" s="738"/>
      <c r="I556" s="738"/>
      <c r="J556" s="738"/>
      <c r="K556" s="738"/>
      <c r="L556" s="738"/>
      <c r="M556" s="738"/>
      <c r="N556" s="738"/>
      <c r="O556" s="738"/>
      <c r="P556" s="738"/>
      <c r="Q556" s="738"/>
      <c r="R556" s="738"/>
      <c r="S556" s="738"/>
      <c r="T556" s="738"/>
      <c r="U556" s="738"/>
      <c r="V556" s="738"/>
      <c r="W556" s="738"/>
      <c r="X556" s="738"/>
      <c r="Y556" s="738"/>
      <c r="Z556" s="738"/>
      <c r="AA556" s="738"/>
      <c r="AB556" s="738"/>
      <c r="AC556" s="738"/>
      <c r="AD556" s="738"/>
      <c r="AE556" s="738"/>
      <c r="AF556" s="738"/>
      <c r="AG556" s="738"/>
      <c r="AH556" s="738"/>
      <c r="AI556" s="738"/>
      <c r="AJ556" s="738"/>
      <c r="AK556" s="738"/>
      <c r="AL556" s="738"/>
    </row>
    <row r="557">
      <c r="A557" s="738"/>
      <c r="B557" s="738"/>
      <c r="C557" s="738"/>
      <c r="D557" s="738"/>
      <c r="E557" s="738"/>
      <c r="F557" s="738"/>
      <c r="G557" s="738"/>
      <c r="H557" s="738"/>
      <c r="I557" s="738"/>
      <c r="J557" s="738"/>
      <c r="K557" s="738"/>
      <c r="L557" s="738"/>
      <c r="M557" s="738"/>
      <c r="N557" s="738"/>
      <c r="O557" s="738"/>
      <c r="P557" s="738"/>
      <c r="Q557" s="738"/>
      <c r="R557" s="738"/>
      <c r="S557" s="738"/>
      <c r="T557" s="738"/>
      <c r="U557" s="738"/>
      <c r="V557" s="738"/>
      <c r="W557" s="738"/>
      <c r="X557" s="738"/>
      <c r="Y557" s="738"/>
      <c r="Z557" s="738"/>
      <c r="AA557" s="738"/>
      <c r="AB557" s="738"/>
      <c r="AC557" s="738"/>
      <c r="AD557" s="738"/>
      <c r="AE557" s="738"/>
      <c r="AF557" s="738"/>
      <c r="AG557" s="738"/>
      <c r="AH557" s="738"/>
      <c r="AI557" s="738"/>
      <c r="AJ557" s="738"/>
      <c r="AK557" s="738"/>
      <c r="AL557" s="738"/>
    </row>
    <row r="558">
      <c r="A558" s="738"/>
      <c r="B558" s="738"/>
      <c r="C558" s="738"/>
      <c r="D558" s="738"/>
      <c r="E558" s="738"/>
      <c r="F558" s="738"/>
      <c r="G558" s="738"/>
      <c r="H558" s="738"/>
      <c r="I558" s="738"/>
      <c r="J558" s="738"/>
      <c r="K558" s="738"/>
      <c r="L558" s="738"/>
      <c r="M558" s="738"/>
      <c r="N558" s="738"/>
      <c r="O558" s="738"/>
      <c r="P558" s="738"/>
      <c r="Q558" s="738"/>
      <c r="R558" s="738"/>
      <c r="S558" s="738"/>
      <c r="T558" s="738"/>
      <c r="U558" s="738"/>
      <c r="V558" s="738"/>
      <c r="W558" s="738"/>
      <c r="X558" s="738"/>
      <c r="Y558" s="738"/>
      <c r="Z558" s="738"/>
      <c r="AA558" s="738"/>
      <c r="AB558" s="738"/>
      <c r="AC558" s="738"/>
      <c r="AD558" s="738"/>
      <c r="AE558" s="738"/>
      <c r="AF558" s="738"/>
      <c r="AG558" s="738"/>
      <c r="AH558" s="738"/>
      <c r="AI558" s="738"/>
      <c r="AJ558" s="738"/>
      <c r="AK558" s="738"/>
      <c r="AL558" s="738"/>
    </row>
    <row r="559">
      <c r="A559" s="738"/>
      <c r="B559" s="738"/>
      <c r="C559" s="738"/>
      <c r="D559" s="738"/>
      <c r="E559" s="738"/>
      <c r="F559" s="738"/>
      <c r="G559" s="738"/>
      <c r="H559" s="738"/>
      <c r="I559" s="738"/>
      <c r="J559" s="738"/>
      <c r="K559" s="738"/>
      <c r="L559" s="738"/>
      <c r="M559" s="738"/>
      <c r="N559" s="738"/>
      <c r="O559" s="738"/>
      <c r="P559" s="738"/>
      <c r="Q559" s="738"/>
      <c r="R559" s="738"/>
      <c r="S559" s="738"/>
      <c r="T559" s="738"/>
      <c r="U559" s="738"/>
      <c r="V559" s="738"/>
      <c r="W559" s="738"/>
      <c r="X559" s="738"/>
      <c r="Y559" s="738"/>
      <c r="Z559" s="738"/>
      <c r="AA559" s="738"/>
      <c r="AB559" s="738"/>
      <c r="AC559" s="738"/>
      <c r="AD559" s="738"/>
      <c r="AE559" s="738"/>
      <c r="AF559" s="738"/>
      <c r="AG559" s="738"/>
      <c r="AH559" s="738"/>
      <c r="AI559" s="738"/>
      <c r="AJ559" s="738"/>
      <c r="AK559" s="738"/>
      <c r="AL559" s="738"/>
    </row>
    <row r="560">
      <c r="A560" s="738"/>
      <c r="B560" s="738"/>
      <c r="C560" s="738"/>
      <c r="D560" s="738"/>
      <c r="E560" s="738"/>
      <c r="F560" s="738"/>
      <c r="G560" s="738"/>
      <c r="H560" s="738"/>
      <c r="I560" s="738"/>
      <c r="J560" s="738"/>
      <c r="K560" s="738"/>
      <c r="L560" s="738"/>
      <c r="M560" s="738"/>
      <c r="N560" s="738"/>
      <c r="O560" s="738"/>
      <c r="P560" s="738"/>
      <c r="Q560" s="738"/>
      <c r="R560" s="738"/>
      <c r="S560" s="738"/>
      <c r="T560" s="738"/>
      <c r="U560" s="738"/>
      <c r="V560" s="738"/>
      <c r="W560" s="738"/>
      <c r="X560" s="738"/>
      <c r="Y560" s="738"/>
      <c r="Z560" s="738"/>
      <c r="AA560" s="738"/>
      <c r="AB560" s="738"/>
      <c r="AC560" s="738"/>
      <c r="AD560" s="738"/>
      <c r="AE560" s="738"/>
      <c r="AF560" s="738"/>
      <c r="AG560" s="738"/>
      <c r="AH560" s="738"/>
      <c r="AI560" s="738"/>
      <c r="AJ560" s="738"/>
      <c r="AK560" s="738"/>
      <c r="AL560" s="738"/>
    </row>
    <row r="561">
      <c r="A561" s="738"/>
      <c r="B561" s="738"/>
      <c r="C561" s="738"/>
      <c r="D561" s="738"/>
      <c r="E561" s="738"/>
      <c r="F561" s="738"/>
      <c r="G561" s="738"/>
      <c r="H561" s="738"/>
      <c r="I561" s="738"/>
      <c r="J561" s="738"/>
      <c r="K561" s="738"/>
      <c r="L561" s="738"/>
      <c r="M561" s="738"/>
      <c r="N561" s="738"/>
      <c r="O561" s="738"/>
      <c r="P561" s="738"/>
      <c r="Q561" s="738"/>
      <c r="R561" s="738"/>
      <c r="S561" s="738"/>
      <c r="T561" s="738"/>
      <c r="U561" s="738"/>
      <c r="V561" s="738"/>
      <c r="W561" s="738"/>
      <c r="X561" s="738"/>
      <c r="Y561" s="738"/>
      <c r="Z561" s="738"/>
      <c r="AA561" s="738"/>
      <c r="AB561" s="738"/>
      <c r="AC561" s="738"/>
      <c r="AD561" s="738"/>
      <c r="AE561" s="738"/>
      <c r="AF561" s="738"/>
      <c r="AG561" s="738"/>
      <c r="AH561" s="738"/>
      <c r="AI561" s="738"/>
      <c r="AJ561" s="738"/>
      <c r="AK561" s="738"/>
      <c r="AL561" s="738"/>
    </row>
    <row r="562">
      <c r="A562" s="738"/>
      <c r="B562" s="738"/>
      <c r="C562" s="738"/>
      <c r="D562" s="738"/>
      <c r="E562" s="738"/>
      <c r="F562" s="738"/>
      <c r="G562" s="738"/>
      <c r="H562" s="738"/>
      <c r="I562" s="738"/>
      <c r="J562" s="738"/>
      <c r="K562" s="738"/>
      <c r="L562" s="738"/>
      <c r="M562" s="738"/>
      <c r="N562" s="738"/>
      <c r="O562" s="738"/>
      <c r="P562" s="738"/>
      <c r="Q562" s="738"/>
      <c r="R562" s="738"/>
      <c r="S562" s="738"/>
      <c r="T562" s="738"/>
      <c r="U562" s="738"/>
      <c r="V562" s="738"/>
      <c r="W562" s="738"/>
      <c r="X562" s="738"/>
      <c r="Y562" s="738"/>
      <c r="Z562" s="738"/>
      <c r="AA562" s="738"/>
      <c r="AB562" s="738"/>
      <c r="AC562" s="738"/>
      <c r="AD562" s="738"/>
      <c r="AE562" s="738"/>
      <c r="AF562" s="738"/>
      <c r="AG562" s="738"/>
      <c r="AH562" s="738"/>
      <c r="AI562" s="738"/>
      <c r="AJ562" s="738"/>
      <c r="AK562" s="738"/>
      <c r="AL562" s="738"/>
    </row>
    <row r="563">
      <c r="A563" s="738"/>
      <c r="B563" s="738"/>
      <c r="C563" s="738"/>
      <c r="D563" s="738"/>
      <c r="E563" s="738"/>
      <c r="F563" s="738"/>
      <c r="G563" s="738"/>
      <c r="H563" s="738"/>
      <c r="I563" s="738"/>
      <c r="J563" s="738"/>
      <c r="K563" s="738"/>
      <c r="L563" s="738"/>
      <c r="M563" s="738"/>
      <c r="N563" s="738"/>
      <c r="O563" s="738"/>
      <c r="P563" s="738"/>
      <c r="Q563" s="738"/>
      <c r="R563" s="738"/>
      <c r="S563" s="738"/>
      <c r="T563" s="738"/>
      <c r="U563" s="738"/>
      <c r="V563" s="738"/>
      <c r="W563" s="738"/>
      <c r="X563" s="738"/>
      <c r="Y563" s="738"/>
      <c r="Z563" s="738"/>
      <c r="AA563" s="738"/>
      <c r="AB563" s="738"/>
      <c r="AC563" s="738"/>
      <c r="AD563" s="738"/>
      <c r="AE563" s="738"/>
      <c r="AF563" s="738"/>
      <c r="AG563" s="738"/>
      <c r="AH563" s="738"/>
      <c r="AI563" s="738"/>
      <c r="AJ563" s="738"/>
      <c r="AK563" s="738"/>
      <c r="AL563" s="738"/>
    </row>
    <row r="564">
      <c r="A564" s="738"/>
      <c r="B564" s="738"/>
      <c r="C564" s="738"/>
      <c r="D564" s="738"/>
      <c r="E564" s="738"/>
      <c r="F564" s="738"/>
      <c r="G564" s="738"/>
      <c r="H564" s="738"/>
      <c r="I564" s="738"/>
      <c r="J564" s="738"/>
      <c r="K564" s="738"/>
      <c r="L564" s="738"/>
      <c r="M564" s="738"/>
      <c r="N564" s="738"/>
      <c r="O564" s="738"/>
      <c r="P564" s="738"/>
      <c r="Q564" s="738"/>
      <c r="R564" s="738"/>
      <c r="S564" s="738"/>
      <c r="T564" s="738"/>
      <c r="U564" s="738"/>
      <c r="V564" s="738"/>
      <c r="W564" s="738"/>
      <c r="X564" s="738"/>
      <c r="Y564" s="738"/>
      <c r="Z564" s="738"/>
      <c r="AA564" s="738"/>
      <c r="AB564" s="738"/>
      <c r="AC564" s="738"/>
      <c r="AD564" s="738"/>
      <c r="AE564" s="738"/>
      <c r="AF564" s="738"/>
      <c r="AG564" s="738"/>
      <c r="AH564" s="738"/>
      <c r="AI564" s="738"/>
      <c r="AJ564" s="738"/>
      <c r="AK564" s="738"/>
      <c r="AL564" s="738"/>
    </row>
    <row r="565">
      <c r="A565" s="738"/>
      <c r="B565" s="738"/>
      <c r="C565" s="738"/>
      <c r="D565" s="738"/>
      <c r="E565" s="738"/>
      <c r="F565" s="738"/>
      <c r="G565" s="738"/>
      <c r="H565" s="738"/>
      <c r="I565" s="738"/>
      <c r="J565" s="738"/>
      <c r="K565" s="738"/>
      <c r="L565" s="738"/>
      <c r="M565" s="738"/>
      <c r="N565" s="738"/>
      <c r="O565" s="738"/>
      <c r="P565" s="738"/>
      <c r="Q565" s="738"/>
      <c r="R565" s="738"/>
      <c r="S565" s="738"/>
      <c r="T565" s="738"/>
      <c r="U565" s="738"/>
      <c r="V565" s="738"/>
      <c r="W565" s="738"/>
      <c r="X565" s="738"/>
      <c r="Y565" s="738"/>
      <c r="Z565" s="738"/>
      <c r="AA565" s="738"/>
      <c r="AB565" s="738"/>
      <c r="AC565" s="738"/>
      <c r="AD565" s="738"/>
      <c r="AE565" s="738"/>
      <c r="AF565" s="738"/>
      <c r="AG565" s="738"/>
      <c r="AH565" s="738"/>
      <c r="AI565" s="738"/>
      <c r="AJ565" s="738"/>
      <c r="AK565" s="738"/>
      <c r="AL565" s="738"/>
    </row>
    <row r="566">
      <c r="A566" s="738"/>
      <c r="B566" s="738"/>
      <c r="C566" s="738"/>
      <c r="D566" s="738"/>
      <c r="E566" s="738"/>
      <c r="F566" s="738"/>
      <c r="G566" s="738"/>
      <c r="H566" s="738"/>
      <c r="I566" s="738"/>
      <c r="J566" s="738"/>
      <c r="K566" s="738"/>
      <c r="L566" s="738"/>
      <c r="M566" s="738"/>
      <c r="N566" s="738"/>
      <c r="O566" s="738"/>
      <c r="P566" s="738"/>
      <c r="Q566" s="738"/>
      <c r="R566" s="738"/>
      <c r="S566" s="738"/>
      <c r="T566" s="738"/>
      <c r="U566" s="738"/>
      <c r="V566" s="738"/>
      <c r="W566" s="738"/>
      <c r="X566" s="738"/>
      <c r="Y566" s="738"/>
      <c r="Z566" s="738"/>
      <c r="AA566" s="738"/>
      <c r="AB566" s="738"/>
      <c r="AC566" s="738"/>
      <c r="AD566" s="738"/>
      <c r="AE566" s="738"/>
      <c r="AF566" s="738"/>
      <c r="AG566" s="738"/>
      <c r="AH566" s="738"/>
      <c r="AI566" s="738"/>
      <c r="AJ566" s="738"/>
      <c r="AK566" s="738"/>
      <c r="AL566" s="738"/>
    </row>
    <row r="567">
      <c r="A567" s="738"/>
      <c r="B567" s="738"/>
      <c r="C567" s="738"/>
      <c r="D567" s="738"/>
      <c r="E567" s="738"/>
      <c r="F567" s="738"/>
      <c r="G567" s="738"/>
      <c r="H567" s="738"/>
      <c r="I567" s="738"/>
      <c r="J567" s="738"/>
      <c r="K567" s="738"/>
      <c r="L567" s="738"/>
      <c r="M567" s="738"/>
      <c r="N567" s="738"/>
      <c r="O567" s="738"/>
      <c r="P567" s="738"/>
      <c r="Q567" s="738"/>
      <c r="R567" s="738"/>
      <c r="S567" s="738"/>
      <c r="T567" s="738"/>
      <c r="U567" s="738"/>
      <c r="V567" s="738"/>
      <c r="W567" s="738"/>
      <c r="X567" s="738"/>
      <c r="Y567" s="738"/>
      <c r="Z567" s="738"/>
      <c r="AA567" s="738"/>
      <c r="AB567" s="738"/>
      <c r="AC567" s="738"/>
      <c r="AD567" s="738"/>
      <c r="AE567" s="738"/>
      <c r="AF567" s="738"/>
      <c r="AG567" s="738"/>
      <c r="AH567" s="738"/>
      <c r="AI567" s="738"/>
      <c r="AJ567" s="738"/>
      <c r="AK567" s="738"/>
      <c r="AL567" s="738"/>
    </row>
    <row r="568">
      <c r="A568" s="738"/>
      <c r="B568" s="738"/>
      <c r="C568" s="738"/>
      <c r="D568" s="738"/>
      <c r="E568" s="738"/>
      <c r="F568" s="738"/>
      <c r="G568" s="738"/>
      <c r="H568" s="738"/>
      <c r="I568" s="738"/>
      <c r="J568" s="738"/>
      <c r="K568" s="738"/>
      <c r="L568" s="738"/>
      <c r="M568" s="738"/>
      <c r="N568" s="738"/>
      <c r="O568" s="738"/>
      <c r="P568" s="738"/>
      <c r="Q568" s="738"/>
      <c r="R568" s="738"/>
      <c r="S568" s="738"/>
      <c r="T568" s="738"/>
      <c r="U568" s="738"/>
      <c r="V568" s="738"/>
      <c r="W568" s="738"/>
      <c r="X568" s="738"/>
      <c r="Y568" s="738"/>
      <c r="Z568" s="738"/>
      <c r="AA568" s="738"/>
      <c r="AB568" s="738"/>
      <c r="AC568" s="738"/>
      <c r="AD568" s="738"/>
      <c r="AE568" s="738"/>
      <c r="AF568" s="738"/>
      <c r="AG568" s="738"/>
      <c r="AH568" s="738"/>
      <c r="AI568" s="738"/>
      <c r="AJ568" s="738"/>
      <c r="AK568" s="738"/>
      <c r="AL568" s="738"/>
    </row>
    <row r="569">
      <c r="A569" s="738"/>
      <c r="B569" s="738"/>
      <c r="C569" s="738"/>
      <c r="D569" s="738"/>
      <c r="E569" s="738"/>
      <c r="F569" s="738"/>
      <c r="G569" s="738"/>
      <c r="H569" s="738"/>
      <c r="I569" s="738"/>
      <c r="J569" s="738"/>
      <c r="K569" s="738"/>
      <c r="L569" s="738"/>
      <c r="M569" s="738"/>
      <c r="N569" s="738"/>
      <c r="O569" s="738"/>
      <c r="P569" s="738"/>
      <c r="Q569" s="738"/>
      <c r="R569" s="738"/>
      <c r="S569" s="738"/>
      <c r="T569" s="738"/>
      <c r="U569" s="738"/>
      <c r="V569" s="738"/>
      <c r="W569" s="738"/>
      <c r="X569" s="738"/>
      <c r="Y569" s="738"/>
      <c r="Z569" s="738"/>
      <c r="AA569" s="738"/>
      <c r="AB569" s="738"/>
      <c r="AC569" s="738"/>
      <c r="AD569" s="738"/>
      <c r="AE569" s="738"/>
      <c r="AF569" s="738"/>
      <c r="AG569" s="738"/>
      <c r="AH569" s="738"/>
      <c r="AI569" s="738"/>
      <c r="AJ569" s="738"/>
      <c r="AK569" s="738"/>
      <c r="AL569" s="738"/>
    </row>
    <row r="570">
      <c r="A570" s="738"/>
      <c r="B570" s="738"/>
      <c r="C570" s="738"/>
      <c r="D570" s="738"/>
      <c r="E570" s="738"/>
      <c r="F570" s="738"/>
      <c r="G570" s="738"/>
      <c r="H570" s="738"/>
      <c r="I570" s="738"/>
      <c r="J570" s="738"/>
      <c r="K570" s="738"/>
      <c r="L570" s="738"/>
      <c r="M570" s="738"/>
      <c r="N570" s="738"/>
      <c r="O570" s="738"/>
      <c r="P570" s="738"/>
      <c r="Q570" s="738"/>
      <c r="R570" s="738"/>
      <c r="S570" s="738"/>
      <c r="T570" s="738"/>
      <c r="U570" s="738"/>
      <c r="V570" s="738"/>
      <c r="W570" s="738"/>
      <c r="X570" s="738"/>
      <c r="Y570" s="738"/>
      <c r="Z570" s="738"/>
      <c r="AA570" s="738"/>
      <c r="AB570" s="738"/>
      <c r="AC570" s="738"/>
      <c r="AD570" s="738"/>
      <c r="AE570" s="738"/>
      <c r="AF570" s="738"/>
      <c r="AG570" s="738"/>
      <c r="AH570" s="738"/>
      <c r="AI570" s="738"/>
      <c r="AJ570" s="738"/>
      <c r="AK570" s="738"/>
      <c r="AL570" s="738"/>
    </row>
    <row r="571">
      <c r="A571" s="738"/>
      <c r="B571" s="738"/>
      <c r="C571" s="738"/>
      <c r="D571" s="738"/>
      <c r="E571" s="738"/>
      <c r="F571" s="738"/>
      <c r="G571" s="738"/>
      <c r="H571" s="738"/>
      <c r="I571" s="738"/>
      <c r="J571" s="738"/>
      <c r="K571" s="738"/>
      <c r="L571" s="738"/>
      <c r="M571" s="738"/>
      <c r="N571" s="738"/>
      <c r="O571" s="738"/>
      <c r="P571" s="738"/>
      <c r="Q571" s="738"/>
      <c r="R571" s="738"/>
      <c r="S571" s="738"/>
      <c r="T571" s="738"/>
      <c r="U571" s="738"/>
      <c r="V571" s="738"/>
      <c r="W571" s="738"/>
      <c r="X571" s="738"/>
      <c r="Y571" s="738"/>
      <c r="Z571" s="738"/>
      <c r="AA571" s="738"/>
      <c r="AB571" s="738"/>
      <c r="AC571" s="738"/>
      <c r="AD571" s="738"/>
      <c r="AE571" s="738"/>
      <c r="AF571" s="738"/>
      <c r="AG571" s="738"/>
      <c r="AH571" s="738"/>
      <c r="AI571" s="738"/>
      <c r="AJ571" s="738"/>
      <c r="AK571" s="738"/>
      <c r="AL571" s="738"/>
    </row>
    <row r="572">
      <c r="A572" s="738"/>
      <c r="B572" s="738"/>
      <c r="C572" s="738"/>
      <c r="D572" s="738"/>
      <c r="E572" s="738"/>
      <c r="F572" s="738"/>
      <c r="G572" s="738"/>
      <c r="H572" s="738"/>
      <c r="I572" s="738"/>
      <c r="J572" s="738"/>
      <c r="K572" s="738"/>
      <c r="L572" s="738"/>
      <c r="M572" s="738"/>
      <c r="N572" s="738"/>
      <c r="O572" s="738"/>
      <c r="P572" s="738"/>
      <c r="Q572" s="738"/>
      <c r="R572" s="738"/>
      <c r="S572" s="738"/>
      <c r="T572" s="738"/>
      <c r="U572" s="738"/>
      <c r="V572" s="738"/>
      <c r="W572" s="738"/>
      <c r="X572" s="738"/>
      <c r="Y572" s="738"/>
      <c r="Z572" s="738"/>
      <c r="AA572" s="738"/>
      <c r="AB572" s="738"/>
      <c r="AC572" s="738"/>
      <c r="AD572" s="738"/>
      <c r="AE572" s="738"/>
      <c r="AF572" s="738"/>
      <c r="AG572" s="738"/>
      <c r="AH572" s="738"/>
      <c r="AI572" s="738"/>
      <c r="AJ572" s="738"/>
      <c r="AK572" s="738"/>
      <c r="AL572" s="738"/>
    </row>
    <row r="573">
      <c r="A573" s="738"/>
      <c r="B573" s="738"/>
      <c r="C573" s="738"/>
      <c r="D573" s="738"/>
      <c r="E573" s="738"/>
      <c r="F573" s="738"/>
      <c r="G573" s="738"/>
      <c r="H573" s="738"/>
      <c r="I573" s="738"/>
      <c r="J573" s="738"/>
      <c r="K573" s="738"/>
      <c r="L573" s="738"/>
      <c r="M573" s="738"/>
      <c r="N573" s="738"/>
      <c r="O573" s="738"/>
      <c r="P573" s="738"/>
      <c r="Q573" s="738"/>
      <c r="R573" s="738"/>
      <c r="S573" s="738"/>
      <c r="T573" s="738"/>
      <c r="U573" s="738"/>
      <c r="V573" s="738"/>
      <c r="W573" s="738"/>
      <c r="X573" s="738"/>
      <c r="Y573" s="738"/>
      <c r="Z573" s="738"/>
      <c r="AA573" s="738"/>
      <c r="AB573" s="738"/>
      <c r="AC573" s="738"/>
      <c r="AD573" s="738"/>
      <c r="AE573" s="738"/>
      <c r="AF573" s="738"/>
      <c r="AG573" s="738"/>
      <c r="AH573" s="738"/>
      <c r="AI573" s="738"/>
      <c r="AJ573" s="738"/>
      <c r="AK573" s="738"/>
      <c r="AL573" s="738"/>
    </row>
    <row r="574">
      <c r="A574" s="738"/>
      <c r="B574" s="738"/>
      <c r="C574" s="738"/>
      <c r="D574" s="738"/>
      <c r="E574" s="738"/>
      <c r="F574" s="738"/>
      <c r="G574" s="738"/>
      <c r="H574" s="738"/>
      <c r="I574" s="738"/>
      <c r="J574" s="738"/>
      <c r="K574" s="738"/>
      <c r="L574" s="738"/>
      <c r="M574" s="738"/>
      <c r="N574" s="738"/>
      <c r="O574" s="738"/>
      <c r="P574" s="738"/>
      <c r="Q574" s="738"/>
      <c r="R574" s="738"/>
      <c r="S574" s="738"/>
      <c r="T574" s="738"/>
      <c r="U574" s="738"/>
      <c r="V574" s="738"/>
      <c r="W574" s="738"/>
      <c r="X574" s="738"/>
      <c r="Y574" s="738"/>
      <c r="Z574" s="738"/>
      <c r="AA574" s="738"/>
      <c r="AB574" s="738"/>
      <c r="AC574" s="738"/>
      <c r="AD574" s="738"/>
      <c r="AE574" s="738"/>
      <c r="AF574" s="738"/>
      <c r="AG574" s="738"/>
      <c r="AH574" s="738"/>
      <c r="AI574" s="738"/>
      <c r="AJ574" s="738"/>
      <c r="AK574" s="738"/>
      <c r="AL574" s="738"/>
    </row>
    <row r="575">
      <c r="A575" s="738"/>
      <c r="B575" s="738"/>
      <c r="C575" s="738"/>
      <c r="D575" s="738"/>
      <c r="E575" s="738"/>
      <c r="F575" s="738"/>
      <c r="G575" s="738"/>
      <c r="H575" s="738"/>
      <c r="I575" s="738"/>
      <c r="J575" s="738"/>
      <c r="K575" s="738"/>
      <c r="L575" s="738"/>
      <c r="M575" s="738"/>
      <c r="N575" s="738"/>
      <c r="O575" s="738"/>
      <c r="P575" s="738"/>
      <c r="Q575" s="738"/>
      <c r="R575" s="738"/>
      <c r="S575" s="738"/>
      <c r="T575" s="738"/>
      <c r="U575" s="738"/>
      <c r="V575" s="738"/>
      <c r="W575" s="738"/>
      <c r="X575" s="738"/>
      <c r="Y575" s="738"/>
      <c r="Z575" s="738"/>
      <c r="AA575" s="738"/>
      <c r="AB575" s="738"/>
      <c r="AC575" s="738"/>
      <c r="AD575" s="738"/>
      <c r="AE575" s="738"/>
      <c r="AF575" s="738"/>
      <c r="AG575" s="738"/>
      <c r="AH575" s="738"/>
      <c r="AI575" s="738"/>
      <c r="AJ575" s="738"/>
      <c r="AK575" s="738"/>
      <c r="AL575" s="738"/>
    </row>
    <row r="576">
      <c r="A576" s="738"/>
      <c r="B576" s="738"/>
      <c r="C576" s="738"/>
      <c r="D576" s="738"/>
      <c r="E576" s="738"/>
      <c r="F576" s="738"/>
      <c r="G576" s="738"/>
      <c r="H576" s="738"/>
      <c r="I576" s="738"/>
      <c r="J576" s="738"/>
      <c r="K576" s="738"/>
      <c r="L576" s="738"/>
      <c r="M576" s="738"/>
      <c r="N576" s="738"/>
      <c r="O576" s="738"/>
      <c r="P576" s="738"/>
      <c r="Q576" s="738"/>
      <c r="R576" s="738"/>
      <c r="S576" s="738"/>
      <c r="T576" s="738"/>
      <c r="U576" s="738"/>
      <c r="V576" s="738"/>
      <c r="W576" s="738"/>
      <c r="X576" s="738"/>
      <c r="Y576" s="738"/>
      <c r="Z576" s="738"/>
      <c r="AA576" s="738"/>
      <c r="AB576" s="738"/>
      <c r="AC576" s="738"/>
      <c r="AD576" s="738"/>
      <c r="AE576" s="738"/>
      <c r="AF576" s="738"/>
      <c r="AG576" s="738"/>
      <c r="AH576" s="738"/>
      <c r="AI576" s="738"/>
      <c r="AJ576" s="738"/>
      <c r="AK576" s="738"/>
      <c r="AL576" s="738"/>
    </row>
    <row r="577">
      <c r="A577" s="738"/>
      <c r="B577" s="738"/>
      <c r="C577" s="738"/>
      <c r="D577" s="738"/>
      <c r="E577" s="738"/>
      <c r="F577" s="738"/>
      <c r="G577" s="738"/>
      <c r="H577" s="738"/>
      <c r="I577" s="738"/>
      <c r="J577" s="738"/>
      <c r="K577" s="738"/>
      <c r="L577" s="738"/>
      <c r="M577" s="738"/>
      <c r="N577" s="738"/>
      <c r="O577" s="738"/>
      <c r="P577" s="738"/>
      <c r="Q577" s="738"/>
      <c r="R577" s="738"/>
      <c r="S577" s="738"/>
      <c r="T577" s="738"/>
      <c r="U577" s="738"/>
      <c r="V577" s="738"/>
      <c r="W577" s="738"/>
      <c r="X577" s="738"/>
      <c r="Y577" s="738"/>
      <c r="Z577" s="738"/>
      <c r="AA577" s="738"/>
      <c r="AB577" s="738"/>
      <c r="AC577" s="738"/>
      <c r="AD577" s="738"/>
      <c r="AE577" s="738"/>
      <c r="AF577" s="738"/>
      <c r="AG577" s="738"/>
      <c r="AH577" s="738"/>
      <c r="AI577" s="738"/>
      <c r="AJ577" s="738"/>
      <c r="AK577" s="738"/>
      <c r="AL577" s="738"/>
    </row>
    <row r="578">
      <c r="A578" s="738"/>
      <c r="B578" s="738"/>
      <c r="C578" s="738"/>
      <c r="D578" s="738"/>
      <c r="E578" s="738"/>
      <c r="F578" s="738"/>
      <c r="G578" s="738"/>
      <c r="H578" s="738"/>
      <c r="I578" s="738"/>
      <c r="J578" s="738"/>
      <c r="K578" s="738"/>
      <c r="L578" s="738"/>
      <c r="M578" s="738"/>
      <c r="N578" s="738"/>
      <c r="O578" s="738"/>
      <c r="P578" s="738"/>
      <c r="Q578" s="738"/>
      <c r="R578" s="738"/>
      <c r="S578" s="738"/>
      <c r="T578" s="738"/>
      <c r="U578" s="738"/>
      <c r="V578" s="738"/>
      <c r="W578" s="738"/>
      <c r="X578" s="738"/>
      <c r="Y578" s="738"/>
      <c r="Z578" s="738"/>
      <c r="AA578" s="738"/>
      <c r="AB578" s="738"/>
      <c r="AC578" s="738"/>
      <c r="AD578" s="738"/>
      <c r="AE578" s="738"/>
      <c r="AF578" s="738"/>
      <c r="AG578" s="738"/>
      <c r="AH578" s="738"/>
      <c r="AI578" s="738"/>
      <c r="AJ578" s="738"/>
      <c r="AK578" s="738"/>
      <c r="AL578" s="738"/>
    </row>
    <row r="579">
      <c r="A579" s="738"/>
      <c r="B579" s="738"/>
      <c r="C579" s="738"/>
      <c r="D579" s="738"/>
      <c r="E579" s="738"/>
      <c r="F579" s="738"/>
      <c r="G579" s="738"/>
      <c r="H579" s="738"/>
      <c r="I579" s="738"/>
      <c r="J579" s="738"/>
      <c r="K579" s="738"/>
      <c r="L579" s="738"/>
      <c r="M579" s="738"/>
      <c r="N579" s="738"/>
      <c r="O579" s="738"/>
      <c r="P579" s="738"/>
      <c r="Q579" s="738"/>
      <c r="R579" s="738"/>
      <c r="S579" s="738"/>
      <c r="T579" s="738"/>
      <c r="U579" s="738"/>
      <c r="V579" s="738"/>
      <c r="W579" s="738"/>
      <c r="X579" s="738"/>
      <c r="Y579" s="738"/>
      <c r="Z579" s="738"/>
      <c r="AA579" s="738"/>
      <c r="AB579" s="738"/>
      <c r="AC579" s="738"/>
      <c r="AD579" s="738"/>
      <c r="AE579" s="738"/>
      <c r="AF579" s="738"/>
      <c r="AG579" s="738"/>
      <c r="AH579" s="738"/>
      <c r="AI579" s="738"/>
      <c r="AJ579" s="738"/>
      <c r="AK579" s="738"/>
      <c r="AL579" s="738"/>
    </row>
    <row r="580">
      <c r="A580" s="738"/>
      <c r="B580" s="738"/>
      <c r="C580" s="738"/>
      <c r="D580" s="738"/>
      <c r="E580" s="738"/>
      <c r="F580" s="738"/>
      <c r="G580" s="738"/>
      <c r="H580" s="738"/>
      <c r="I580" s="738"/>
      <c r="J580" s="738"/>
      <c r="K580" s="738"/>
      <c r="L580" s="738"/>
      <c r="M580" s="738"/>
      <c r="N580" s="738"/>
      <c r="O580" s="738"/>
      <c r="P580" s="738"/>
      <c r="Q580" s="738"/>
      <c r="R580" s="738"/>
      <c r="S580" s="738"/>
      <c r="T580" s="738"/>
      <c r="U580" s="738"/>
      <c r="V580" s="738"/>
      <c r="W580" s="738"/>
      <c r="X580" s="738"/>
      <c r="Y580" s="738"/>
      <c r="Z580" s="738"/>
      <c r="AA580" s="738"/>
      <c r="AB580" s="738"/>
      <c r="AC580" s="738"/>
      <c r="AD580" s="738"/>
      <c r="AE580" s="738"/>
      <c r="AF580" s="738"/>
      <c r="AG580" s="738"/>
      <c r="AH580" s="738"/>
      <c r="AI580" s="738"/>
      <c r="AJ580" s="738"/>
      <c r="AK580" s="738"/>
      <c r="AL580" s="738"/>
    </row>
    <row r="581">
      <c r="A581" s="738"/>
      <c r="B581" s="738"/>
      <c r="C581" s="738"/>
      <c r="D581" s="738"/>
      <c r="E581" s="738"/>
      <c r="F581" s="738"/>
      <c r="G581" s="738"/>
      <c r="H581" s="738"/>
      <c r="I581" s="738"/>
      <c r="J581" s="738"/>
      <c r="K581" s="738"/>
      <c r="L581" s="738"/>
      <c r="M581" s="738"/>
      <c r="N581" s="738"/>
      <c r="O581" s="738"/>
      <c r="P581" s="738"/>
      <c r="Q581" s="738"/>
      <c r="R581" s="738"/>
      <c r="S581" s="738"/>
      <c r="T581" s="738"/>
      <c r="U581" s="738"/>
      <c r="V581" s="738"/>
      <c r="W581" s="738"/>
      <c r="X581" s="738"/>
      <c r="Y581" s="738"/>
      <c r="Z581" s="738"/>
      <c r="AA581" s="738"/>
      <c r="AB581" s="738"/>
      <c r="AC581" s="738"/>
      <c r="AD581" s="738"/>
      <c r="AE581" s="738"/>
      <c r="AF581" s="738"/>
      <c r="AG581" s="738"/>
      <c r="AH581" s="738"/>
      <c r="AI581" s="738"/>
      <c r="AJ581" s="738"/>
      <c r="AK581" s="738"/>
      <c r="AL581" s="738"/>
    </row>
    <row r="582">
      <c r="A582" s="738"/>
      <c r="B582" s="738"/>
      <c r="C582" s="738"/>
      <c r="D582" s="738"/>
      <c r="E582" s="738"/>
      <c r="F582" s="738"/>
      <c r="G582" s="738"/>
      <c r="H582" s="738"/>
      <c r="I582" s="738"/>
      <c r="J582" s="738"/>
      <c r="K582" s="738"/>
      <c r="L582" s="738"/>
      <c r="M582" s="738"/>
      <c r="N582" s="738"/>
      <c r="O582" s="738"/>
      <c r="P582" s="738"/>
      <c r="Q582" s="738"/>
      <c r="R582" s="738"/>
      <c r="S582" s="738"/>
      <c r="T582" s="738"/>
      <c r="U582" s="738"/>
      <c r="V582" s="738"/>
      <c r="W582" s="738"/>
      <c r="X582" s="738"/>
      <c r="Y582" s="738"/>
      <c r="Z582" s="738"/>
      <c r="AA582" s="738"/>
      <c r="AB582" s="738"/>
      <c r="AC582" s="738"/>
      <c r="AD582" s="738"/>
      <c r="AE582" s="738"/>
      <c r="AF582" s="738"/>
      <c r="AG582" s="738"/>
      <c r="AH582" s="738"/>
      <c r="AI582" s="738"/>
      <c r="AJ582" s="738"/>
      <c r="AK582" s="738"/>
      <c r="AL582" s="738"/>
    </row>
    <row r="583">
      <c r="A583" s="738"/>
      <c r="B583" s="738"/>
      <c r="C583" s="738"/>
      <c r="D583" s="738"/>
      <c r="E583" s="738"/>
      <c r="F583" s="738"/>
      <c r="G583" s="738"/>
      <c r="H583" s="738"/>
      <c r="I583" s="738"/>
      <c r="J583" s="738"/>
      <c r="K583" s="738"/>
      <c r="L583" s="738"/>
      <c r="M583" s="738"/>
      <c r="N583" s="738"/>
      <c r="O583" s="738"/>
      <c r="P583" s="738"/>
      <c r="Q583" s="738"/>
      <c r="R583" s="738"/>
      <c r="S583" s="738"/>
      <c r="T583" s="738"/>
      <c r="U583" s="738"/>
      <c r="V583" s="738"/>
      <c r="W583" s="738"/>
      <c r="X583" s="738"/>
      <c r="Y583" s="738"/>
      <c r="Z583" s="738"/>
      <c r="AA583" s="738"/>
      <c r="AB583" s="738"/>
      <c r="AC583" s="738"/>
      <c r="AD583" s="738"/>
      <c r="AE583" s="738"/>
      <c r="AF583" s="738"/>
      <c r="AG583" s="738"/>
      <c r="AH583" s="738"/>
      <c r="AI583" s="738"/>
      <c r="AJ583" s="738"/>
      <c r="AK583" s="738"/>
      <c r="AL583" s="738"/>
    </row>
    <row r="584">
      <c r="A584" s="738"/>
      <c r="B584" s="738"/>
      <c r="C584" s="738"/>
      <c r="D584" s="738"/>
      <c r="E584" s="738"/>
      <c r="F584" s="738"/>
      <c r="G584" s="738"/>
      <c r="H584" s="738"/>
      <c r="I584" s="738"/>
      <c r="J584" s="738"/>
      <c r="K584" s="738"/>
      <c r="L584" s="738"/>
      <c r="M584" s="738"/>
      <c r="N584" s="738"/>
      <c r="O584" s="738"/>
      <c r="P584" s="738"/>
      <c r="Q584" s="738"/>
      <c r="R584" s="738"/>
      <c r="S584" s="738"/>
      <c r="T584" s="738"/>
      <c r="U584" s="738"/>
      <c r="V584" s="738"/>
      <c r="W584" s="738"/>
      <c r="X584" s="738"/>
      <c r="Y584" s="738"/>
      <c r="Z584" s="738"/>
      <c r="AA584" s="738"/>
      <c r="AB584" s="738"/>
      <c r="AC584" s="738"/>
      <c r="AD584" s="738"/>
      <c r="AE584" s="738"/>
      <c r="AF584" s="738"/>
      <c r="AG584" s="738"/>
      <c r="AH584" s="738"/>
      <c r="AI584" s="738"/>
      <c r="AJ584" s="738"/>
      <c r="AK584" s="738"/>
      <c r="AL584" s="738"/>
    </row>
    <row r="585">
      <c r="A585" s="738"/>
      <c r="B585" s="738"/>
      <c r="C585" s="738"/>
      <c r="D585" s="738"/>
      <c r="E585" s="738"/>
      <c r="F585" s="738"/>
      <c r="G585" s="738"/>
      <c r="H585" s="738"/>
      <c r="I585" s="738"/>
      <c r="J585" s="738"/>
      <c r="K585" s="738"/>
      <c r="L585" s="738"/>
      <c r="M585" s="738"/>
      <c r="N585" s="738"/>
      <c r="O585" s="738"/>
      <c r="P585" s="738"/>
      <c r="Q585" s="738"/>
      <c r="R585" s="738"/>
      <c r="S585" s="738"/>
      <c r="T585" s="738"/>
      <c r="U585" s="738"/>
      <c r="V585" s="738"/>
      <c r="W585" s="738"/>
      <c r="X585" s="738"/>
      <c r="Y585" s="738"/>
      <c r="Z585" s="738"/>
      <c r="AA585" s="738"/>
      <c r="AB585" s="738"/>
      <c r="AC585" s="738"/>
      <c r="AD585" s="738"/>
      <c r="AE585" s="738"/>
      <c r="AF585" s="738"/>
      <c r="AG585" s="738"/>
      <c r="AH585" s="738"/>
      <c r="AI585" s="738"/>
      <c r="AJ585" s="738"/>
      <c r="AK585" s="738"/>
      <c r="AL585" s="738"/>
    </row>
    <row r="586">
      <c r="A586" s="738"/>
      <c r="B586" s="738"/>
      <c r="C586" s="738"/>
      <c r="D586" s="738"/>
      <c r="E586" s="738"/>
      <c r="F586" s="738"/>
      <c r="G586" s="738"/>
      <c r="H586" s="738"/>
      <c r="I586" s="738"/>
      <c r="J586" s="738"/>
      <c r="K586" s="738"/>
      <c r="L586" s="738"/>
      <c r="M586" s="738"/>
      <c r="N586" s="738"/>
      <c r="O586" s="738"/>
      <c r="P586" s="738"/>
      <c r="Q586" s="738"/>
      <c r="R586" s="738"/>
      <c r="S586" s="738"/>
      <c r="T586" s="738"/>
      <c r="U586" s="738"/>
      <c r="V586" s="738"/>
      <c r="W586" s="738"/>
      <c r="X586" s="738"/>
      <c r="Y586" s="738"/>
      <c r="Z586" s="738"/>
      <c r="AA586" s="738"/>
      <c r="AB586" s="738"/>
      <c r="AC586" s="738"/>
      <c r="AD586" s="738"/>
      <c r="AE586" s="738"/>
      <c r="AF586" s="738"/>
      <c r="AG586" s="738"/>
      <c r="AH586" s="738"/>
      <c r="AI586" s="738"/>
      <c r="AJ586" s="738"/>
      <c r="AK586" s="738"/>
      <c r="AL586" s="738"/>
    </row>
    <row r="587">
      <c r="A587" s="738"/>
      <c r="B587" s="738"/>
      <c r="C587" s="738"/>
      <c r="D587" s="738"/>
      <c r="E587" s="738"/>
      <c r="F587" s="738"/>
      <c r="G587" s="738"/>
      <c r="H587" s="738"/>
      <c r="I587" s="738"/>
      <c r="J587" s="738"/>
      <c r="K587" s="738"/>
      <c r="L587" s="738"/>
      <c r="M587" s="738"/>
      <c r="N587" s="738"/>
      <c r="O587" s="738"/>
      <c r="P587" s="738"/>
      <c r="Q587" s="738"/>
      <c r="R587" s="738"/>
      <c r="S587" s="738"/>
      <c r="T587" s="738"/>
      <c r="U587" s="738"/>
      <c r="V587" s="738"/>
      <c r="W587" s="738"/>
      <c r="X587" s="738"/>
      <c r="Y587" s="738"/>
      <c r="Z587" s="738"/>
      <c r="AA587" s="738"/>
      <c r="AB587" s="738"/>
      <c r="AC587" s="738"/>
      <c r="AD587" s="738"/>
      <c r="AE587" s="738"/>
      <c r="AF587" s="738"/>
      <c r="AG587" s="738"/>
      <c r="AH587" s="738"/>
      <c r="AI587" s="738"/>
      <c r="AJ587" s="738"/>
      <c r="AK587" s="738"/>
      <c r="AL587" s="738"/>
    </row>
    <row r="588">
      <c r="A588" s="738"/>
      <c r="B588" s="738"/>
      <c r="C588" s="738"/>
      <c r="D588" s="738"/>
      <c r="E588" s="738"/>
      <c r="F588" s="738"/>
      <c r="G588" s="738"/>
      <c r="H588" s="738"/>
      <c r="I588" s="738"/>
      <c r="J588" s="738"/>
      <c r="K588" s="738"/>
      <c r="L588" s="738"/>
      <c r="M588" s="738"/>
      <c r="N588" s="738"/>
      <c r="O588" s="738"/>
      <c r="P588" s="738"/>
      <c r="Q588" s="738"/>
      <c r="R588" s="738"/>
      <c r="S588" s="738"/>
      <c r="T588" s="738"/>
      <c r="U588" s="738"/>
      <c r="V588" s="738"/>
      <c r="W588" s="738"/>
      <c r="X588" s="738"/>
      <c r="Y588" s="738"/>
      <c r="Z588" s="738"/>
      <c r="AA588" s="738"/>
      <c r="AB588" s="738"/>
      <c r="AC588" s="738"/>
      <c r="AD588" s="738"/>
      <c r="AE588" s="738"/>
      <c r="AF588" s="738"/>
      <c r="AG588" s="738"/>
      <c r="AH588" s="738"/>
      <c r="AI588" s="738"/>
      <c r="AJ588" s="738"/>
      <c r="AK588" s="738"/>
      <c r="AL588" s="738"/>
    </row>
    <row r="589">
      <c r="A589" s="738"/>
      <c r="B589" s="738"/>
      <c r="C589" s="738"/>
      <c r="D589" s="738"/>
      <c r="E589" s="738"/>
      <c r="F589" s="738"/>
      <c r="G589" s="738"/>
      <c r="H589" s="738"/>
      <c r="I589" s="738"/>
      <c r="J589" s="738"/>
      <c r="K589" s="738"/>
      <c r="L589" s="738"/>
      <c r="M589" s="738"/>
      <c r="N589" s="738"/>
      <c r="O589" s="738"/>
      <c r="P589" s="738"/>
      <c r="Q589" s="738"/>
      <c r="R589" s="738"/>
      <c r="S589" s="738"/>
      <c r="T589" s="738"/>
      <c r="U589" s="738"/>
      <c r="V589" s="738"/>
      <c r="W589" s="738"/>
      <c r="X589" s="738"/>
      <c r="Y589" s="738"/>
      <c r="Z589" s="738"/>
      <c r="AA589" s="738"/>
      <c r="AB589" s="738"/>
      <c r="AC589" s="738"/>
      <c r="AD589" s="738"/>
      <c r="AE589" s="738"/>
      <c r="AF589" s="738"/>
      <c r="AG589" s="738"/>
      <c r="AH589" s="738"/>
      <c r="AI589" s="738"/>
      <c r="AJ589" s="738"/>
      <c r="AK589" s="738"/>
      <c r="AL589" s="738"/>
    </row>
    <row r="590">
      <c r="A590" s="738"/>
      <c r="B590" s="738"/>
      <c r="C590" s="738"/>
      <c r="D590" s="738"/>
      <c r="E590" s="738"/>
      <c r="F590" s="738"/>
      <c r="G590" s="738"/>
      <c r="H590" s="738"/>
      <c r="I590" s="738"/>
      <c r="J590" s="738"/>
      <c r="K590" s="738"/>
      <c r="L590" s="738"/>
      <c r="M590" s="738"/>
      <c r="N590" s="738"/>
      <c r="O590" s="738"/>
      <c r="P590" s="738"/>
      <c r="Q590" s="738"/>
      <c r="R590" s="738"/>
      <c r="S590" s="738"/>
      <c r="T590" s="738"/>
      <c r="U590" s="738"/>
      <c r="V590" s="738"/>
      <c r="W590" s="738"/>
      <c r="X590" s="738"/>
      <c r="Y590" s="738"/>
      <c r="Z590" s="738"/>
      <c r="AA590" s="738"/>
      <c r="AB590" s="738"/>
      <c r="AC590" s="738"/>
      <c r="AD590" s="738"/>
      <c r="AE590" s="738"/>
      <c r="AF590" s="738"/>
      <c r="AG590" s="738"/>
      <c r="AH590" s="738"/>
      <c r="AI590" s="738"/>
      <c r="AJ590" s="738"/>
      <c r="AK590" s="738"/>
      <c r="AL590" s="738"/>
    </row>
    <row r="591">
      <c r="A591" s="738"/>
      <c r="B591" s="738"/>
      <c r="C591" s="738"/>
      <c r="D591" s="738"/>
      <c r="E591" s="738"/>
      <c r="F591" s="738"/>
      <c r="G591" s="738"/>
      <c r="H591" s="738"/>
      <c r="I591" s="738"/>
      <c r="J591" s="738"/>
      <c r="K591" s="738"/>
      <c r="L591" s="738"/>
      <c r="M591" s="738"/>
      <c r="N591" s="738"/>
      <c r="O591" s="738"/>
      <c r="P591" s="738"/>
      <c r="Q591" s="738"/>
      <c r="R591" s="738"/>
      <c r="S591" s="738"/>
      <c r="T591" s="738"/>
      <c r="U591" s="738"/>
      <c r="V591" s="738"/>
      <c r="W591" s="738"/>
      <c r="X591" s="738"/>
      <c r="Y591" s="738"/>
      <c r="Z591" s="738"/>
      <c r="AA591" s="738"/>
      <c r="AB591" s="738"/>
      <c r="AC591" s="738"/>
      <c r="AD591" s="738"/>
      <c r="AE591" s="738"/>
      <c r="AF591" s="738"/>
      <c r="AG591" s="738"/>
      <c r="AH591" s="738"/>
      <c r="AI591" s="738"/>
      <c r="AJ591" s="738"/>
      <c r="AK591" s="738"/>
      <c r="AL591" s="738"/>
    </row>
    <row r="592">
      <c r="A592" s="738"/>
      <c r="B592" s="738"/>
      <c r="C592" s="738"/>
      <c r="D592" s="738"/>
      <c r="E592" s="738"/>
      <c r="F592" s="738"/>
      <c r="G592" s="738"/>
      <c r="H592" s="738"/>
      <c r="I592" s="738"/>
      <c r="J592" s="738"/>
      <c r="K592" s="738"/>
      <c r="L592" s="738"/>
      <c r="M592" s="738"/>
      <c r="N592" s="738"/>
      <c r="O592" s="738"/>
      <c r="P592" s="738"/>
      <c r="Q592" s="738"/>
      <c r="R592" s="738"/>
      <c r="S592" s="738"/>
      <c r="T592" s="738"/>
      <c r="U592" s="738"/>
      <c r="V592" s="738"/>
      <c r="W592" s="738"/>
      <c r="X592" s="738"/>
      <c r="Y592" s="738"/>
      <c r="Z592" s="738"/>
      <c r="AA592" s="738"/>
      <c r="AB592" s="738"/>
      <c r="AC592" s="738"/>
      <c r="AD592" s="738"/>
      <c r="AE592" s="738"/>
      <c r="AF592" s="738"/>
      <c r="AG592" s="738"/>
      <c r="AH592" s="738"/>
      <c r="AI592" s="738"/>
      <c r="AJ592" s="738"/>
      <c r="AK592" s="738"/>
      <c r="AL592" s="738"/>
    </row>
    <row r="593">
      <c r="A593" s="738"/>
      <c r="B593" s="738"/>
      <c r="C593" s="738"/>
      <c r="D593" s="738"/>
      <c r="E593" s="738"/>
      <c r="F593" s="738"/>
      <c r="G593" s="738"/>
      <c r="H593" s="738"/>
      <c r="I593" s="738"/>
      <c r="J593" s="738"/>
      <c r="K593" s="738"/>
      <c r="L593" s="738"/>
      <c r="M593" s="738"/>
      <c r="N593" s="738"/>
      <c r="O593" s="738"/>
      <c r="P593" s="738"/>
      <c r="Q593" s="738"/>
      <c r="R593" s="738"/>
      <c r="S593" s="738"/>
      <c r="T593" s="738"/>
      <c r="U593" s="738"/>
      <c r="V593" s="738"/>
      <c r="W593" s="738"/>
      <c r="X593" s="738"/>
      <c r="Y593" s="738"/>
      <c r="Z593" s="738"/>
      <c r="AA593" s="738"/>
      <c r="AB593" s="738"/>
      <c r="AC593" s="738"/>
      <c r="AD593" s="738"/>
      <c r="AE593" s="738"/>
      <c r="AF593" s="738"/>
      <c r="AG593" s="738"/>
      <c r="AH593" s="738"/>
      <c r="AI593" s="738"/>
      <c r="AJ593" s="738"/>
      <c r="AK593" s="738"/>
      <c r="AL593" s="738"/>
    </row>
    <row r="594">
      <c r="A594" s="738"/>
      <c r="B594" s="738"/>
      <c r="C594" s="738"/>
      <c r="D594" s="738"/>
      <c r="E594" s="738"/>
      <c r="F594" s="738"/>
      <c r="G594" s="738"/>
      <c r="H594" s="738"/>
      <c r="I594" s="738"/>
      <c r="J594" s="738"/>
      <c r="K594" s="738"/>
      <c r="L594" s="738"/>
      <c r="M594" s="738"/>
      <c r="N594" s="738"/>
      <c r="O594" s="738"/>
      <c r="P594" s="738"/>
      <c r="Q594" s="738"/>
      <c r="R594" s="738"/>
      <c r="S594" s="738"/>
      <c r="T594" s="738"/>
      <c r="U594" s="738"/>
      <c r="V594" s="738"/>
      <c r="W594" s="738"/>
      <c r="X594" s="738"/>
      <c r="Y594" s="738"/>
      <c r="Z594" s="738"/>
      <c r="AA594" s="738"/>
      <c r="AB594" s="738"/>
      <c r="AC594" s="738"/>
      <c r="AD594" s="738"/>
      <c r="AE594" s="738"/>
      <c r="AF594" s="738"/>
      <c r="AG594" s="738"/>
      <c r="AH594" s="738"/>
      <c r="AI594" s="738"/>
      <c r="AJ594" s="738"/>
      <c r="AK594" s="738"/>
      <c r="AL594" s="738"/>
    </row>
    <row r="595">
      <c r="A595" s="738"/>
      <c r="B595" s="738"/>
      <c r="C595" s="738"/>
      <c r="D595" s="738"/>
      <c r="E595" s="738"/>
      <c r="F595" s="738"/>
      <c r="G595" s="738"/>
      <c r="H595" s="738"/>
      <c r="I595" s="738"/>
      <c r="J595" s="738"/>
      <c r="K595" s="738"/>
      <c r="L595" s="738"/>
      <c r="M595" s="738"/>
      <c r="N595" s="738"/>
      <c r="O595" s="738"/>
      <c r="P595" s="738"/>
      <c r="Q595" s="738"/>
      <c r="R595" s="738"/>
      <c r="S595" s="738"/>
      <c r="T595" s="738"/>
      <c r="U595" s="738"/>
      <c r="V595" s="738"/>
      <c r="W595" s="738"/>
      <c r="X595" s="738"/>
      <c r="Y595" s="738"/>
      <c r="Z595" s="738"/>
      <c r="AA595" s="738"/>
      <c r="AB595" s="738"/>
      <c r="AC595" s="738"/>
      <c r="AD595" s="738"/>
      <c r="AE595" s="738"/>
      <c r="AF595" s="738"/>
      <c r="AG595" s="738"/>
      <c r="AH595" s="738"/>
      <c r="AI595" s="738"/>
      <c r="AJ595" s="738"/>
      <c r="AK595" s="738"/>
      <c r="AL595" s="738"/>
    </row>
    <row r="596">
      <c r="A596" s="738"/>
      <c r="B596" s="738"/>
      <c r="C596" s="738"/>
      <c r="D596" s="738"/>
      <c r="E596" s="738"/>
      <c r="F596" s="738"/>
      <c r="G596" s="738"/>
      <c r="H596" s="738"/>
      <c r="I596" s="738"/>
      <c r="J596" s="738"/>
      <c r="K596" s="738"/>
      <c r="L596" s="738"/>
      <c r="M596" s="738"/>
      <c r="N596" s="738"/>
      <c r="O596" s="738"/>
      <c r="P596" s="738"/>
      <c r="Q596" s="738"/>
      <c r="R596" s="738"/>
      <c r="S596" s="738"/>
      <c r="T596" s="738"/>
      <c r="U596" s="738"/>
      <c r="V596" s="738"/>
      <c r="W596" s="738"/>
      <c r="X596" s="738"/>
      <c r="Y596" s="738"/>
      <c r="Z596" s="738"/>
      <c r="AA596" s="738"/>
      <c r="AB596" s="738"/>
      <c r="AC596" s="738"/>
      <c r="AD596" s="738"/>
      <c r="AE596" s="738"/>
      <c r="AF596" s="738"/>
      <c r="AG596" s="738"/>
      <c r="AH596" s="738"/>
      <c r="AI596" s="738"/>
      <c r="AJ596" s="738"/>
      <c r="AK596" s="738"/>
      <c r="AL596" s="738"/>
    </row>
    <row r="597">
      <c r="A597" s="738"/>
      <c r="B597" s="738"/>
      <c r="C597" s="738"/>
      <c r="D597" s="738"/>
      <c r="E597" s="738"/>
      <c r="F597" s="738"/>
      <c r="G597" s="738"/>
      <c r="H597" s="738"/>
      <c r="I597" s="738"/>
      <c r="J597" s="738"/>
      <c r="K597" s="738"/>
      <c r="L597" s="738"/>
      <c r="M597" s="738"/>
      <c r="N597" s="738"/>
      <c r="O597" s="738"/>
      <c r="P597" s="738"/>
      <c r="Q597" s="738"/>
      <c r="R597" s="738"/>
      <c r="S597" s="738"/>
      <c r="T597" s="738"/>
      <c r="U597" s="738"/>
      <c r="V597" s="738"/>
      <c r="W597" s="738"/>
      <c r="X597" s="738"/>
      <c r="Y597" s="738"/>
      <c r="Z597" s="738"/>
      <c r="AA597" s="738"/>
      <c r="AB597" s="738"/>
      <c r="AC597" s="738"/>
      <c r="AD597" s="738"/>
      <c r="AE597" s="738"/>
      <c r="AF597" s="738"/>
      <c r="AG597" s="738"/>
      <c r="AH597" s="738"/>
      <c r="AI597" s="738"/>
      <c r="AJ597" s="738"/>
      <c r="AK597" s="738"/>
      <c r="AL597" s="738"/>
    </row>
    <row r="598">
      <c r="A598" s="738"/>
      <c r="B598" s="738"/>
      <c r="C598" s="738"/>
      <c r="D598" s="738"/>
      <c r="E598" s="738"/>
      <c r="F598" s="738"/>
      <c r="G598" s="738"/>
      <c r="H598" s="738"/>
      <c r="I598" s="738"/>
      <c r="J598" s="738"/>
      <c r="K598" s="738"/>
      <c r="L598" s="738"/>
      <c r="M598" s="738"/>
      <c r="N598" s="738"/>
      <c r="O598" s="738"/>
      <c r="P598" s="738"/>
      <c r="Q598" s="738"/>
      <c r="R598" s="738"/>
      <c r="S598" s="738"/>
      <c r="T598" s="738"/>
      <c r="U598" s="738"/>
      <c r="V598" s="738"/>
      <c r="W598" s="738"/>
      <c r="X598" s="738"/>
      <c r="Y598" s="738"/>
      <c r="Z598" s="738"/>
      <c r="AA598" s="738"/>
      <c r="AB598" s="738"/>
      <c r="AC598" s="738"/>
      <c r="AD598" s="738"/>
      <c r="AE598" s="738"/>
      <c r="AF598" s="738"/>
      <c r="AG598" s="738"/>
      <c r="AH598" s="738"/>
      <c r="AI598" s="738"/>
      <c r="AJ598" s="738"/>
      <c r="AK598" s="738"/>
      <c r="AL598" s="738"/>
    </row>
    <row r="599">
      <c r="A599" s="738"/>
      <c r="B599" s="738"/>
      <c r="C599" s="738"/>
      <c r="D599" s="738"/>
      <c r="E599" s="738"/>
      <c r="F599" s="738"/>
      <c r="G599" s="738"/>
      <c r="H599" s="738"/>
      <c r="I599" s="738"/>
      <c r="J599" s="738"/>
      <c r="K599" s="738"/>
      <c r="L599" s="738"/>
      <c r="M599" s="738"/>
      <c r="N599" s="738"/>
      <c r="O599" s="738"/>
      <c r="P599" s="738"/>
      <c r="Q599" s="738"/>
      <c r="R599" s="738"/>
      <c r="S599" s="738"/>
      <c r="T599" s="738"/>
      <c r="U599" s="738"/>
      <c r="V599" s="738"/>
      <c r="W599" s="738"/>
      <c r="X599" s="738"/>
      <c r="Y599" s="738"/>
      <c r="Z599" s="738"/>
      <c r="AA599" s="738"/>
      <c r="AB599" s="738"/>
      <c r="AC599" s="738"/>
      <c r="AD599" s="738"/>
      <c r="AE599" s="738"/>
      <c r="AF599" s="738"/>
      <c r="AG599" s="738"/>
      <c r="AH599" s="738"/>
      <c r="AI599" s="738"/>
      <c r="AJ599" s="738"/>
      <c r="AK599" s="738"/>
      <c r="AL599" s="738"/>
    </row>
    <row r="600">
      <c r="A600" s="738"/>
      <c r="B600" s="738"/>
      <c r="C600" s="738"/>
      <c r="D600" s="738"/>
      <c r="E600" s="738"/>
      <c r="F600" s="738"/>
      <c r="G600" s="738"/>
      <c r="H600" s="738"/>
      <c r="I600" s="738"/>
      <c r="J600" s="738"/>
      <c r="K600" s="738"/>
      <c r="L600" s="738"/>
      <c r="M600" s="738"/>
      <c r="N600" s="738"/>
      <c r="O600" s="738"/>
      <c r="P600" s="738"/>
      <c r="Q600" s="738"/>
      <c r="R600" s="738"/>
      <c r="S600" s="738"/>
      <c r="T600" s="738"/>
      <c r="U600" s="738"/>
      <c r="V600" s="738"/>
      <c r="W600" s="738"/>
      <c r="X600" s="738"/>
      <c r="Y600" s="738"/>
      <c r="Z600" s="738"/>
      <c r="AA600" s="738"/>
      <c r="AB600" s="738"/>
      <c r="AC600" s="738"/>
      <c r="AD600" s="738"/>
      <c r="AE600" s="738"/>
      <c r="AF600" s="738"/>
      <c r="AG600" s="738"/>
      <c r="AH600" s="738"/>
      <c r="AI600" s="738"/>
      <c r="AJ600" s="738"/>
      <c r="AK600" s="738"/>
      <c r="AL600" s="738"/>
    </row>
    <row r="601">
      <c r="A601" s="738"/>
      <c r="B601" s="738"/>
      <c r="C601" s="738"/>
      <c r="D601" s="738"/>
      <c r="E601" s="738"/>
      <c r="F601" s="738"/>
      <c r="G601" s="738"/>
      <c r="H601" s="738"/>
      <c r="I601" s="738"/>
      <c r="J601" s="738"/>
      <c r="K601" s="738"/>
      <c r="L601" s="738"/>
      <c r="M601" s="738"/>
      <c r="N601" s="738"/>
      <c r="O601" s="738"/>
      <c r="P601" s="738"/>
      <c r="Q601" s="738"/>
      <c r="R601" s="738"/>
      <c r="S601" s="738"/>
      <c r="T601" s="738"/>
      <c r="U601" s="738"/>
      <c r="V601" s="738"/>
      <c r="W601" s="738"/>
      <c r="X601" s="738"/>
      <c r="Y601" s="738"/>
      <c r="Z601" s="738"/>
      <c r="AA601" s="738"/>
      <c r="AB601" s="738"/>
      <c r="AC601" s="738"/>
      <c r="AD601" s="738"/>
      <c r="AE601" s="738"/>
      <c r="AF601" s="738"/>
      <c r="AG601" s="738"/>
      <c r="AH601" s="738"/>
      <c r="AI601" s="738"/>
      <c r="AJ601" s="738"/>
      <c r="AK601" s="738"/>
      <c r="AL601" s="738"/>
    </row>
    <row r="602">
      <c r="A602" s="738"/>
      <c r="B602" s="738"/>
      <c r="C602" s="738"/>
      <c r="D602" s="738"/>
      <c r="E602" s="738"/>
      <c r="F602" s="738"/>
      <c r="G602" s="738"/>
      <c r="H602" s="738"/>
      <c r="I602" s="738"/>
      <c r="J602" s="738"/>
      <c r="K602" s="738"/>
      <c r="L602" s="738"/>
      <c r="M602" s="738"/>
      <c r="N602" s="738"/>
      <c r="O602" s="738"/>
      <c r="P602" s="738"/>
      <c r="Q602" s="738"/>
      <c r="R602" s="738"/>
      <c r="S602" s="738"/>
      <c r="T602" s="738"/>
      <c r="U602" s="738"/>
      <c r="V602" s="738"/>
      <c r="W602" s="738"/>
      <c r="X602" s="738"/>
      <c r="Y602" s="738"/>
      <c r="Z602" s="738"/>
      <c r="AA602" s="738"/>
      <c r="AB602" s="738"/>
      <c r="AC602" s="738"/>
      <c r="AD602" s="738"/>
      <c r="AE602" s="738"/>
      <c r="AF602" s="738"/>
      <c r="AG602" s="738"/>
      <c r="AH602" s="738"/>
      <c r="AI602" s="738"/>
      <c r="AJ602" s="738"/>
      <c r="AK602" s="738"/>
      <c r="AL602" s="738"/>
    </row>
    <row r="603">
      <c r="A603" s="738"/>
      <c r="B603" s="738"/>
      <c r="C603" s="738"/>
      <c r="D603" s="738"/>
      <c r="E603" s="738"/>
      <c r="F603" s="738"/>
      <c r="G603" s="738"/>
      <c r="H603" s="738"/>
      <c r="I603" s="738"/>
      <c r="J603" s="738"/>
      <c r="K603" s="738"/>
      <c r="L603" s="738"/>
      <c r="M603" s="738"/>
      <c r="N603" s="738"/>
      <c r="O603" s="738"/>
      <c r="P603" s="738"/>
      <c r="Q603" s="738"/>
      <c r="R603" s="738"/>
      <c r="S603" s="738"/>
      <c r="T603" s="738"/>
      <c r="U603" s="738"/>
      <c r="V603" s="738"/>
      <c r="W603" s="738"/>
      <c r="X603" s="738"/>
      <c r="Y603" s="738"/>
      <c r="Z603" s="738"/>
      <c r="AA603" s="738"/>
      <c r="AB603" s="738"/>
      <c r="AC603" s="738"/>
      <c r="AD603" s="738"/>
      <c r="AE603" s="738"/>
      <c r="AF603" s="738"/>
      <c r="AG603" s="738"/>
      <c r="AH603" s="738"/>
      <c r="AI603" s="738"/>
      <c r="AJ603" s="738"/>
      <c r="AK603" s="738"/>
      <c r="AL603" s="738"/>
    </row>
    <row r="604">
      <c r="A604" s="738"/>
      <c r="B604" s="738"/>
      <c r="C604" s="738"/>
      <c r="D604" s="738"/>
      <c r="E604" s="738"/>
      <c r="F604" s="738"/>
      <c r="G604" s="738"/>
      <c r="H604" s="738"/>
      <c r="I604" s="738"/>
      <c r="J604" s="738"/>
      <c r="K604" s="738"/>
      <c r="L604" s="738"/>
      <c r="M604" s="738"/>
      <c r="N604" s="738"/>
      <c r="O604" s="738"/>
      <c r="P604" s="738"/>
      <c r="Q604" s="738"/>
      <c r="R604" s="738"/>
      <c r="S604" s="738"/>
      <c r="T604" s="738"/>
      <c r="U604" s="738"/>
      <c r="V604" s="738"/>
      <c r="W604" s="738"/>
      <c r="X604" s="738"/>
      <c r="Y604" s="738"/>
      <c r="Z604" s="738"/>
      <c r="AA604" s="738"/>
      <c r="AB604" s="738"/>
      <c r="AC604" s="738"/>
      <c r="AD604" s="738"/>
      <c r="AE604" s="738"/>
      <c r="AF604" s="738"/>
      <c r="AG604" s="738"/>
      <c r="AH604" s="738"/>
      <c r="AI604" s="738"/>
      <c r="AJ604" s="738"/>
      <c r="AK604" s="738"/>
      <c r="AL604" s="738"/>
    </row>
    <row r="605">
      <c r="A605" s="738"/>
      <c r="B605" s="738"/>
      <c r="C605" s="738"/>
      <c r="D605" s="738"/>
      <c r="E605" s="738"/>
      <c r="F605" s="738"/>
      <c r="G605" s="738"/>
      <c r="H605" s="738"/>
      <c r="I605" s="738"/>
      <c r="J605" s="738"/>
      <c r="K605" s="738"/>
      <c r="L605" s="738"/>
      <c r="M605" s="738"/>
      <c r="N605" s="738"/>
      <c r="O605" s="738"/>
      <c r="P605" s="738"/>
      <c r="Q605" s="738"/>
      <c r="R605" s="738"/>
      <c r="S605" s="738"/>
      <c r="T605" s="738"/>
      <c r="U605" s="738"/>
      <c r="V605" s="738"/>
      <c r="W605" s="738"/>
      <c r="X605" s="738"/>
      <c r="Y605" s="738"/>
      <c r="Z605" s="738"/>
      <c r="AA605" s="738"/>
      <c r="AB605" s="738"/>
      <c r="AC605" s="738"/>
      <c r="AD605" s="738"/>
      <c r="AE605" s="738"/>
      <c r="AF605" s="738"/>
      <c r="AG605" s="738"/>
      <c r="AH605" s="738"/>
      <c r="AI605" s="738"/>
      <c r="AJ605" s="738"/>
      <c r="AK605" s="738"/>
      <c r="AL605" s="738"/>
    </row>
    <row r="606">
      <c r="A606" s="738"/>
      <c r="B606" s="738"/>
      <c r="C606" s="738"/>
      <c r="D606" s="738"/>
      <c r="E606" s="738"/>
      <c r="F606" s="738"/>
      <c r="G606" s="738"/>
      <c r="H606" s="738"/>
      <c r="I606" s="738"/>
      <c r="J606" s="738"/>
      <c r="K606" s="738"/>
      <c r="L606" s="738"/>
      <c r="M606" s="738"/>
      <c r="N606" s="738"/>
      <c r="O606" s="738"/>
      <c r="P606" s="738"/>
      <c r="Q606" s="738"/>
      <c r="R606" s="738"/>
      <c r="S606" s="738"/>
      <c r="T606" s="738"/>
      <c r="U606" s="738"/>
      <c r="V606" s="738"/>
      <c r="W606" s="738"/>
      <c r="X606" s="738"/>
      <c r="Y606" s="738"/>
      <c r="Z606" s="738"/>
      <c r="AA606" s="738"/>
      <c r="AB606" s="738"/>
      <c r="AC606" s="738"/>
      <c r="AD606" s="738"/>
      <c r="AE606" s="738"/>
      <c r="AF606" s="738"/>
      <c r="AG606" s="738"/>
      <c r="AH606" s="738"/>
      <c r="AI606" s="738"/>
      <c r="AJ606" s="738"/>
      <c r="AK606" s="738"/>
      <c r="AL606" s="738"/>
    </row>
    <row r="607">
      <c r="A607" s="738"/>
      <c r="B607" s="738"/>
      <c r="C607" s="738"/>
      <c r="D607" s="738"/>
      <c r="E607" s="738"/>
      <c r="F607" s="738"/>
      <c r="G607" s="738"/>
      <c r="H607" s="738"/>
      <c r="I607" s="738"/>
      <c r="J607" s="738"/>
      <c r="K607" s="738"/>
      <c r="L607" s="738"/>
      <c r="M607" s="738"/>
      <c r="N607" s="738"/>
      <c r="O607" s="738"/>
      <c r="P607" s="738"/>
      <c r="Q607" s="738"/>
      <c r="R607" s="738"/>
      <c r="S607" s="738"/>
      <c r="T607" s="738"/>
      <c r="U607" s="738"/>
      <c r="V607" s="738"/>
      <c r="W607" s="738"/>
      <c r="X607" s="738"/>
      <c r="Y607" s="738"/>
      <c r="Z607" s="738"/>
      <c r="AA607" s="738"/>
      <c r="AB607" s="738"/>
      <c r="AC607" s="738"/>
      <c r="AD607" s="738"/>
      <c r="AE607" s="738"/>
      <c r="AF607" s="738"/>
      <c r="AG607" s="738"/>
      <c r="AH607" s="738"/>
      <c r="AI607" s="738"/>
      <c r="AJ607" s="738"/>
      <c r="AK607" s="738"/>
      <c r="AL607" s="738"/>
    </row>
    <row r="608">
      <c r="A608" s="738"/>
      <c r="B608" s="738"/>
      <c r="C608" s="738"/>
      <c r="D608" s="738"/>
      <c r="E608" s="738"/>
      <c r="F608" s="738"/>
      <c r="G608" s="738"/>
      <c r="H608" s="738"/>
      <c r="I608" s="738"/>
      <c r="J608" s="738"/>
      <c r="K608" s="738"/>
      <c r="L608" s="738"/>
      <c r="M608" s="738"/>
      <c r="N608" s="738"/>
      <c r="O608" s="738"/>
      <c r="P608" s="738"/>
      <c r="Q608" s="738"/>
      <c r="R608" s="738"/>
      <c r="S608" s="738"/>
      <c r="T608" s="738"/>
      <c r="U608" s="738"/>
      <c r="V608" s="738"/>
      <c r="W608" s="738"/>
      <c r="X608" s="738"/>
      <c r="Y608" s="738"/>
      <c r="Z608" s="738"/>
      <c r="AA608" s="738"/>
      <c r="AB608" s="738"/>
      <c r="AC608" s="738"/>
      <c r="AD608" s="738"/>
      <c r="AE608" s="738"/>
      <c r="AF608" s="738"/>
      <c r="AG608" s="738"/>
      <c r="AH608" s="738"/>
      <c r="AI608" s="738"/>
      <c r="AJ608" s="738"/>
      <c r="AK608" s="738"/>
      <c r="AL608" s="738"/>
    </row>
    <row r="609">
      <c r="A609" s="738"/>
      <c r="B609" s="738"/>
      <c r="C609" s="738"/>
      <c r="D609" s="738"/>
      <c r="E609" s="738"/>
      <c r="F609" s="738"/>
      <c r="G609" s="738"/>
      <c r="H609" s="738"/>
      <c r="I609" s="738"/>
      <c r="J609" s="738"/>
      <c r="K609" s="738"/>
      <c r="L609" s="738"/>
      <c r="M609" s="738"/>
      <c r="N609" s="738"/>
      <c r="O609" s="738"/>
      <c r="P609" s="738"/>
      <c r="Q609" s="738"/>
      <c r="R609" s="738"/>
      <c r="S609" s="738"/>
      <c r="T609" s="738"/>
      <c r="U609" s="738"/>
      <c r="V609" s="738"/>
      <c r="W609" s="738"/>
      <c r="X609" s="738"/>
      <c r="Y609" s="738"/>
      <c r="Z609" s="738"/>
      <c r="AA609" s="738"/>
      <c r="AB609" s="738"/>
      <c r="AC609" s="738"/>
      <c r="AD609" s="738"/>
      <c r="AE609" s="738"/>
      <c r="AF609" s="738"/>
      <c r="AG609" s="738"/>
      <c r="AH609" s="738"/>
      <c r="AI609" s="738"/>
      <c r="AJ609" s="738"/>
      <c r="AK609" s="738"/>
      <c r="AL609" s="738"/>
    </row>
    <row r="610">
      <c r="A610" s="738"/>
      <c r="B610" s="738"/>
      <c r="C610" s="738"/>
      <c r="D610" s="738"/>
      <c r="E610" s="738"/>
      <c r="F610" s="738"/>
      <c r="G610" s="738"/>
      <c r="H610" s="738"/>
      <c r="I610" s="738"/>
      <c r="J610" s="738"/>
      <c r="K610" s="738"/>
      <c r="L610" s="738"/>
      <c r="M610" s="738"/>
      <c r="N610" s="738"/>
      <c r="O610" s="738"/>
      <c r="P610" s="738"/>
      <c r="Q610" s="738"/>
      <c r="R610" s="738"/>
      <c r="S610" s="738"/>
      <c r="T610" s="738"/>
      <c r="U610" s="738"/>
      <c r="V610" s="738"/>
      <c r="W610" s="738"/>
      <c r="X610" s="738"/>
      <c r="Y610" s="738"/>
      <c r="Z610" s="738"/>
      <c r="AA610" s="738"/>
      <c r="AB610" s="738"/>
      <c r="AC610" s="738"/>
      <c r="AD610" s="738"/>
      <c r="AE610" s="738"/>
      <c r="AF610" s="738"/>
      <c r="AG610" s="738"/>
      <c r="AH610" s="738"/>
      <c r="AI610" s="738"/>
      <c r="AJ610" s="738"/>
      <c r="AK610" s="738"/>
      <c r="AL610" s="738"/>
    </row>
    <row r="611">
      <c r="A611" s="738"/>
      <c r="B611" s="738"/>
      <c r="C611" s="738"/>
      <c r="D611" s="738"/>
      <c r="E611" s="738"/>
      <c r="F611" s="738"/>
      <c r="G611" s="738"/>
      <c r="H611" s="738"/>
      <c r="I611" s="738"/>
      <c r="J611" s="738"/>
      <c r="K611" s="738"/>
      <c r="L611" s="738"/>
      <c r="M611" s="738"/>
      <c r="N611" s="738"/>
      <c r="O611" s="738"/>
      <c r="P611" s="738"/>
      <c r="Q611" s="738"/>
      <c r="R611" s="738"/>
      <c r="S611" s="738"/>
      <c r="T611" s="738"/>
      <c r="U611" s="738"/>
      <c r="V611" s="738"/>
      <c r="W611" s="738"/>
      <c r="X611" s="738"/>
      <c r="Y611" s="738"/>
      <c r="Z611" s="738"/>
      <c r="AA611" s="738"/>
      <c r="AB611" s="738"/>
      <c r="AC611" s="738"/>
      <c r="AD611" s="738"/>
      <c r="AE611" s="738"/>
      <c r="AF611" s="738"/>
      <c r="AG611" s="738"/>
      <c r="AH611" s="738"/>
      <c r="AI611" s="738"/>
      <c r="AJ611" s="738"/>
      <c r="AK611" s="738"/>
      <c r="AL611" s="738"/>
    </row>
    <row r="612">
      <c r="A612" s="738"/>
      <c r="B612" s="738"/>
      <c r="C612" s="738"/>
      <c r="D612" s="738"/>
      <c r="E612" s="738"/>
      <c r="F612" s="738"/>
      <c r="G612" s="738"/>
      <c r="H612" s="738"/>
      <c r="I612" s="738"/>
      <c r="J612" s="738"/>
      <c r="K612" s="738"/>
      <c r="L612" s="738"/>
      <c r="M612" s="738"/>
      <c r="N612" s="738"/>
      <c r="O612" s="738"/>
      <c r="P612" s="738"/>
      <c r="Q612" s="738"/>
      <c r="R612" s="738"/>
      <c r="S612" s="738"/>
      <c r="T612" s="738"/>
      <c r="U612" s="738"/>
      <c r="V612" s="738"/>
      <c r="W612" s="738"/>
      <c r="X612" s="738"/>
      <c r="Y612" s="738"/>
      <c r="Z612" s="738"/>
      <c r="AA612" s="738"/>
      <c r="AB612" s="738"/>
      <c r="AC612" s="738"/>
      <c r="AD612" s="738"/>
      <c r="AE612" s="738"/>
      <c r="AF612" s="738"/>
      <c r="AG612" s="738"/>
      <c r="AH612" s="738"/>
      <c r="AI612" s="738"/>
      <c r="AJ612" s="738"/>
      <c r="AK612" s="738"/>
      <c r="AL612" s="738"/>
    </row>
    <row r="613">
      <c r="A613" s="738"/>
      <c r="B613" s="738"/>
      <c r="C613" s="738"/>
      <c r="D613" s="738"/>
      <c r="E613" s="738"/>
      <c r="F613" s="738"/>
      <c r="G613" s="738"/>
      <c r="H613" s="738"/>
      <c r="I613" s="738"/>
      <c r="J613" s="738"/>
      <c r="K613" s="738"/>
      <c r="L613" s="738"/>
      <c r="M613" s="738"/>
      <c r="N613" s="738"/>
      <c r="O613" s="738"/>
      <c r="P613" s="738"/>
      <c r="Q613" s="738"/>
      <c r="R613" s="738"/>
      <c r="S613" s="738"/>
      <c r="T613" s="738"/>
      <c r="U613" s="738"/>
      <c r="V613" s="738"/>
      <c r="W613" s="738"/>
      <c r="X613" s="738"/>
      <c r="Y613" s="738"/>
      <c r="Z613" s="738"/>
      <c r="AA613" s="738"/>
      <c r="AB613" s="738"/>
      <c r="AC613" s="738"/>
      <c r="AD613" s="738"/>
      <c r="AE613" s="738"/>
      <c r="AF613" s="738"/>
      <c r="AG613" s="738"/>
      <c r="AH613" s="738"/>
      <c r="AI613" s="738"/>
      <c r="AJ613" s="738"/>
      <c r="AK613" s="738"/>
      <c r="AL613" s="738"/>
    </row>
    <row r="614">
      <c r="A614" s="738"/>
      <c r="B614" s="738"/>
      <c r="C614" s="738"/>
      <c r="D614" s="738"/>
      <c r="E614" s="738"/>
      <c r="F614" s="738"/>
      <c r="G614" s="738"/>
      <c r="H614" s="738"/>
      <c r="I614" s="738"/>
      <c r="J614" s="738"/>
      <c r="K614" s="738"/>
      <c r="L614" s="738"/>
      <c r="M614" s="738"/>
      <c r="N614" s="738"/>
      <c r="O614" s="738"/>
      <c r="P614" s="738"/>
      <c r="Q614" s="738"/>
      <c r="R614" s="738"/>
      <c r="S614" s="738"/>
      <c r="T614" s="738"/>
      <c r="U614" s="738"/>
      <c r="V614" s="738"/>
      <c r="W614" s="738"/>
      <c r="X614" s="738"/>
      <c r="Y614" s="738"/>
      <c r="Z614" s="738"/>
      <c r="AA614" s="738"/>
      <c r="AB614" s="738"/>
      <c r="AC614" s="738"/>
      <c r="AD614" s="738"/>
      <c r="AE614" s="738"/>
      <c r="AF614" s="738"/>
      <c r="AG614" s="738"/>
      <c r="AH614" s="738"/>
      <c r="AI614" s="738"/>
      <c r="AJ614" s="738"/>
      <c r="AK614" s="738"/>
      <c r="AL614" s="738"/>
    </row>
    <row r="615">
      <c r="A615" s="738"/>
      <c r="B615" s="738"/>
      <c r="C615" s="738"/>
      <c r="D615" s="738"/>
      <c r="E615" s="738"/>
      <c r="F615" s="738"/>
      <c r="G615" s="738"/>
      <c r="H615" s="738"/>
      <c r="I615" s="738"/>
      <c r="J615" s="738"/>
      <c r="K615" s="738"/>
      <c r="L615" s="738"/>
      <c r="M615" s="738"/>
      <c r="N615" s="738"/>
      <c r="O615" s="738"/>
      <c r="P615" s="738"/>
      <c r="Q615" s="738"/>
      <c r="R615" s="738"/>
      <c r="S615" s="738"/>
      <c r="T615" s="738"/>
      <c r="U615" s="738"/>
      <c r="V615" s="738"/>
      <c r="W615" s="738"/>
      <c r="X615" s="738"/>
      <c r="Y615" s="738"/>
      <c r="Z615" s="738"/>
      <c r="AA615" s="738"/>
      <c r="AB615" s="738"/>
      <c r="AC615" s="738"/>
      <c r="AD615" s="738"/>
      <c r="AE615" s="738"/>
      <c r="AF615" s="738"/>
      <c r="AG615" s="738"/>
      <c r="AH615" s="738"/>
      <c r="AI615" s="738"/>
      <c r="AJ615" s="738"/>
      <c r="AK615" s="738"/>
      <c r="AL615" s="738"/>
    </row>
    <row r="616">
      <c r="A616" s="738"/>
      <c r="B616" s="738"/>
      <c r="C616" s="738"/>
      <c r="D616" s="738"/>
      <c r="E616" s="738"/>
      <c r="F616" s="738"/>
      <c r="G616" s="738"/>
      <c r="H616" s="738"/>
      <c r="I616" s="738"/>
      <c r="J616" s="738"/>
      <c r="K616" s="738"/>
      <c r="L616" s="738"/>
      <c r="M616" s="738"/>
      <c r="N616" s="738"/>
      <c r="O616" s="738"/>
      <c r="P616" s="738"/>
      <c r="Q616" s="738"/>
      <c r="R616" s="738"/>
      <c r="S616" s="738"/>
      <c r="T616" s="738"/>
      <c r="U616" s="738"/>
      <c r="V616" s="738"/>
      <c r="W616" s="738"/>
      <c r="X616" s="738"/>
      <c r="Y616" s="738"/>
      <c r="Z616" s="738"/>
      <c r="AA616" s="738"/>
      <c r="AB616" s="738"/>
      <c r="AC616" s="738"/>
      <c r="AD616" s="738"/>
      <c r="AE616" s="738"/>
      <c r="AF616" s="738"/>
      <c r="AG616" s="738"/>
      <c r="AH616" s="738"/>
      <c r="AI616" s="738"/>
      <c r="AJ616" s="738"/>
      <c r="AK616" s="738"/>
      <c r="AL616" s="738"/>
    </row>
    <row r="617">
      <c r="A617" s="738"/>
      <c r="B617" s="738"/>
      <c r="C617" s="738"/>
      <c r="D617" s="738"/>
      <c r="E617" s="738"/>
      <c r="F617" s="738"/>
      <c r="G617" s="738"/>
      <c r="H617" s="738"/>
      <c r="I617" s="738"/>
      <c r="J617" s="738"/>
      <c r="K617" s="738"/>
      <c r="L617" s="738"/>
      <c r="M617" s="738"/>
      <c r="N617" s="738"/>
      <c r="O617" s="738"/>
      <c r="P617" s="738"/>
      <c r="Q617" s="738"/>
      <c r="R617" s="738"/>
      <c r="S617" s="738"/>
      <c r="T617" s="738"/>
      <c r="U617" s="738"/>
      <c r="V617" s="738"/>
      <c r="W617" s="738"/>
      <c r="X617" s="738"/>
      <c r="Y617" s="738"/>
      <c r="Z617" s="738"/>
      <c r="AA617" s="738"/>
      <c r="AB617" s="738"/>
      <c r="AC617" s="738"/>
      <c r="AD617" s="738"/>
      <c r="AE617" s="738"/>
      <c r="AF617" s="738"/>
      <c r="AG617" s="738"/>
      <c r="AH617" s="738"/>
      <c r="AI617" s="738"/>
      <c r="AJ617" s="738"/>
      <c r="AK617" s="738"/>
      <c r="AL617" s="738"/>
    </row>
    <row r="618">
      <c r="A618" s="738"/>
      <c r="B618" s="738"/>
      <c r="C618" s="738"/>
      <c r="D618" s="738"/>
      <c r="E618" s="738"/>
      <c r="F618" s="738"/>
      <c r="G618" s="738"/>
      <c r="H618" s="738"/>
      <c r="I618" s="738"/>
      <c r="J618" s="738"/>
      <c r="K618" s="738"/>
      <c r="L618" s="738"/>
      <c r="M618" s="738"/>
      <c r="N618" s="738"/>
      <c r="O618" s="738"/>
      <c r="P618" s="738"/>
      <c r="Q618" s="738"/>
      <c r="R618" s="738"/>
      <c r="S618" s="738"/>
      <c r="T618" s="738"/>
      <c r="U618" s="738"/>
      <c r="V618" s="738"/>
      <c r="W618" s="738"/>
      <c r="X618" s="738"/>
      <c r="Y618" s="738"/>
      <c r="Z618" s="738"/>
      <c r="AA618" s="738"/>
      <c r="AB618" s="738"/>
      <c r="AC618" s="738"/>
      <c r="AD618" s="738"/>
      <c r="AE618" s="738"/>
      <c r="AF618" s="738"/>
      <c r="AG618" s="738"/>
      <c r="AH618" s="738"/>
      <c r="AI618" s="738"/>
      <c r="AJ618" s="738"/>
      <c r="AK618" s="738"/>
      <c r="AL618" s="738"/>
    </row>
    <row r="619">
      <c r="A619" s="738"/>
      <c r="B619" s="738"/>
      <c r="C619" s="738"/>
      <c r="D619" s="738"/>
      <c r="E619" s="738"/>
      <c r="F619" s="738"/>
      <c r="G619" s="738"/>
      <c r="H619" s="738"/>
      <c r="I619" s="738"/>
      <c r="J619" s="738"/>
      <c r="K619" s="738"/>
      <c r="L619" s="738"/>
      <c r="M619" s="738"/>
      <c r="N619" s="738"/>
      <c r="O619" s="738"/>
      <c r="P619" s="738"/>
      <c r="Q619" s="738"/>
      <c r="R619" s="738"/>
      <c r="S619" s="738"/>
      <c r="T619" s="738"/>
      <c r="U619" s="738"/>
      <c r="V619" s="738"/>
      <c r="W619" s="738"/>
      <c r="X619" s="738"/>
      <c r="Y619" s="738"/>
      <c r="Z619" s="738"/>
      <c r="AA619" s="738"/>
      <c r="AB619" s="738"/>
      <c r="AC619" s="738"/>
      <c r="AD619" s="738"/>
      <c r="AE619" s="738"/>
      <c r="AF619" s="738"/>
      <c r="AG619" s="738"/>
      <c r="AH619" s="738"/>
      <c r="AI619" s="738"/>
      <c r="AJ619" s="738"/>
      <c r="AK619" s="738"/>
      <c r="AL619" s="738"/>
    </row>
    <row r="620">
      <c r="A620" s="738"/>
      <c r="B620" s="738"/>
      <c r="C620" s="738"/>
      <c r="D620" s="738"/>
      <c r="E620" s="738"/>
      <c r="F620" s="738"/>
      <c r="G620" s="738"/>
      <c r="H620" s="738"/>
      <c r="I620" s="738"/>
      <c r="J620" s="738"/>
      <c r="K620" s="738"/>
      <c r="L620" s="738"/>
      <c r="M620" s="738"/>
      <c r="N620" s="738"/>
      <c r="O620" s="738"/>
      <c r="P620" s="738"/>
      <c r="Q620" s="738"/>
      <c r="R620" s="738"/>
      <c r="S620" s="738"/>
      <c r="T620" s="738"/>
      <c r="U620" s="738"/>
      <c r="V620" s="738"/>
      <c r="W620" s="738"/>
      <c r="X620" s="738"/>
      <c r="Y620" s="738"/>
      <c r="Z620" s="738"/>
      <c r="AA620" s="738"/>
      <c r="AB620" s="738"/>
      <c r="AC620" s="738"/>
      <c r="AD620" s="738"/>
      <c r="AE620" s="738"/>
      <c r="AF620" s="738"/>
      <c r="AG620" s="738"/>
      <c r="AH620" s="738"/>
      <c r="AI620" s="738"/>
      <c r="AJ620" s="738"/>
      <c r="AK620" s="738"/>
      <c r="AL620" s="738"/>
    </row>
    <row r="621">
      <c r="A621" s="738"/>
      <c r="B621" s="738"/>
      <c r="C621" s="738"/>
      <c r="D621" s="738"/>
      <c r="E621" s="738"/>
      <c r="F621" s="738"/>
      <c r="G621" s="738"/>
      <c r="H621" s="738"/>
      <c r="I621" s="738"/>
      <c r="J621" s="738"/>
      <c r="K621" s="738"/>
      <c r="L621" s="738"/>
      <c r="M621" s="738"/>
      <c r="N621" s="738"/>
      <c r="O621" s="738"/>
      <c r="P621" s="738"/>
      <c r="Q621" s="738"/>
      <c r="R621" s="738"/>
      <c r="S621" s="738"/>
      <c r="T621" s="738"/>
      <c r="U621" s="738"/>
      <c r="V621" s="738"/>
      <c r="W621" s="738"/>
      <c r="X621" s="738"/>
      <c r="Y621" s="738"/>
      <c r="Z621" s="738"/>
      <c r="AA621" s="738"/>
      <c r="AB621" s="738"/>
      <c r="AC621" s="738"/>
      <c r="AD621" s="738"/>
      <c r="AE621" s="738"/>
      <c r="AF621" s="738"/>
      <c r="AG621" s="738"/>
      <c r="AH621" s="738"/>
      <c r="AI621" s="738"/>
      <c r="AJ621" s="738"/>
      <c r="AK621" s="738"/>
      <c r="AL621" s="738"/>
    </row>
    <row r="622">
      <c r="A622" s="738"/>
      <c r="B622" s="738"/>
      <c r="C622" s="738"/>
      <c r="D622" s="738"/>
      <c r="E622" s="738"/>
      <c r="F622" s="738"/>
      <c r="G622" s="738"/>
      <c r="H622" s="738"/>
      <c r="I622" s="738"/>
      <c r="J622" s="738"/>
      <c r="K622" s="738"/>
      <c r="L622" s="738"/>
      <c r="M622" s="738"/>
      <c r="N622" s="738"/>
      <c r="O622" s="738"/>
      <c r="P622" s="738"/>
      <c r="Q622" s="738"/>
      <c r="R622" s="738"/>
      <c r="S622" s="738"/>
      <c r="T622" s="738"/>
      <c r="U622" s="738"/>
      <c r="V622" s="738"/>
      <c r="W622" s="738"/>
      <c r="X622" s="738"/>
      <c r="Y622" s="738"/>
      <c r="Z622" s="738"/>
      <c r="AA622" s="738"/>
      <c r="AB622" s="738"/>
      <c r="AC622" s="738"/>
      <c r="AD622" s="738"/>
      <c r="AE622" s="738"/>
      <c r="AF622" s="738"/>
      <c r="AG622" s="738"/>
      <c r="AH622" s="738"/>
      <c r="AI622" s="738"/>
      <c r="AJ622" s="738"/>
      <c r="AK622" s="738"/>
      <c r="AL622" s="738"/>
    </row>
    <row r="623">
      <c r="A623" s="738"/>
      <c r="B623" s="738"/>
      <c r="C623" s="738"/>
      <c r="D623" s="738"/>
      <c r="E623" s="738"/>
      <c r="F623" s="738"/>
      <c r="G623" s="738"/>
      <c r="H623" s="738"/>
      <c r="I623" s="738"/>
      <c r="J623" s="738"/>
      <c r="K623" s="738"/>
      <c r="L623" s="738"/>
      <c r="M623" s="738"/>
      <c r="N623" s="738"/>
      <c r="O623" s="738"/>
      <c r="P623" s="738"/>
      <c r="Q623" s="738"/>
      <c r="R623" s="738"/>
      <c r="S623" s="738"/>
      <c r="T623" s="738"/>
      <c r="U623" s="738"/>
      <c r="V623" s="738"/>
      <c r="W623" s="738"/>
      <c r="X623" s="738"/>
      <c r="Y623" s="738"/>
      <c r="Z623" s="738"/>
      <c r="AA623" s="738"/>
      <c r="AB623" s="738"/>
      <c r="AC623" s="738"/>
      <c r="AD623" s="738"/>
      <c r="AE623" s="738"/>
      <c r="AF623" s="738"/>
      <c r="AG623" s="738"/>
      <c r="AH623" s="738"/>
      <c r="AI623" s="738"/>
      <c r="AJ623" s="738"/>
      <c r="AK623" s="738"/>
      <c r="AL623" s="738"/>
    </row>
    <row r="624">
      <c r="A624" s="738"/>
      <c r="B624" s="738"/>
      <c r="C624" s="738"/>
      <c r="D624" s="738"/>
      <c r="E624" s="738"/>
      <c r="F624" s="738"/>
      <c r="G624" s="738"/>
      <c r="H624" s="738"/>
      <c r="I624" s="738"/>
      <c r="J624" s="738"/>
      <c r="K624" s="738"/>
      <c r="L624" s="738"/>
      <c r="M624" s="738"/>
      <c r="N624" s="738"/>
      <c r="O624" s="738"/>
      <c r="P624" s="738"/>
      <c r="Q624" s="738"/>
      <c r="R624" s="738"/>
      <c r="S624" s="738"/>
      <c r="T624" s="738"/>
      <c r="U624" s="738"/>
      <c r="V624" s="738"/>
      <c r="W624" s="738"/>
      <c r="X624" s="738"/>
      <c r="Y624" s="738"/>
      <c r="Z624" s="738"/>
      <c r="AA624" s="738"/>
      <c r="AB624" s="738"/>
      <c r="AC624" s="738"/>
      <c r="AD624" s="738"/>
      <c r="AE624" s="738"/>
      <c r="AF624" s="738"/>
      <c r="AG624" s="738"/>
      <c r="AH624" s="738"/>
      <c r="AI624" s="738"/>
      <c r="AJ624" s="738"/>
      <c r="AK624" s="738"/>
      <c r="AL624" s="738"/>
    </row>
    <row r="625">
      <c r="A625" s="738"/>
      <c r="B625" s="738"/>
      <c r="C625" s="738"/>
      <c r="D625" s="738"/>
      <c r="E625" s="738"/>
      <c r="F625" s="738"/>
      <c r="G625" s="738"/>
      <c r="H625" s="738"/>
      <c r="I625" s="738"/>
      <c r="J625" s="738"/>
      <c r="K625" s="738"/>
      <c r="L625" s="738"/>
      <c r="M625" s="738"/>
      <c r="N625" s="738"/>
      <c r="O625" s="738"/>
      <c r="P625" s="738"/>
      <c r="Q625" s="738"/>
      <c r="R625" s="738"/>
      <c r="S625" s="738"/>
      <c r="T625" s="738"/>
      <c r="U625" s="738"/>
      <c r="V625" s="738"/>
      <c r="W625" s="738"/>
      <c r="X625" s="738"/>
      <c r="Y625" s="738"/>
      <c r="Z625" s="738"/>
      <c r="AA625" s="738"/>
      <c r="AB625" s="738"/>
      <c r="AC625" s="738"/>
      <c r="AD625" s="738"/>
      <c r="AE625" s="738"/>
      <c r="AF625" s="738"/>
      <c r="AG625" s="738"/>
      <c r="AH625" s="738"/>
      <c r="AI625" s="738"/>
      <c r="AJ625" s="738"/>
      <c r="AK625" s="738"/>
      <c r="AL625" s="738"/>
    </row>
    <row r="626">
      <c r="A626" s="738"/>
      <c r="B626" s="738"/>
      <c r="C626" s="738"/>
      <c r="D626" s="738"/>
      <c r="E626" s="738"/>
      <c r="F626" s="738"/>
      <c r="G626" s="738"/>
      <c r="H626" s="738"/>
      <c r="I626" s="738"/>
      <c r="J626" s="738"/>
      <c r="K626" s="738"/>
      <c r="L626" s="738"/>
      <c r="M626" s="738"/>
      <c r="N626" s="738"/>
      <c r="O626" s="738"/>
      <c r="P626" s="738"/>
      <c r="Q626" s="738"/>
      <c r="R626" s="738"/>
      <c r="S626" s="738"/>
      <c r="T626" s="738"/>
      <c r="U626" s="738"/>
      <c r="V626" s="738"/>
      <c r="W626" s="738"/>
      <c r="X626" s="738"/>
      <c r="Y626" s="738"/>
      <c r="Z626" s="738"/>
      <c r="AA626" s="738"/>
      <c r="AB626" s="738"/>
      <c r="AC626" s="738"/>
      <c r="AD626" s="738"/>
      <c r="AE626" s="738"/>
      <c r="AF626" s="738"/>
      <c r="AG626" s="738"/>
      <c r="AH626" s="738"/>
      <c r="AI626" s="738"/>
      <c r="AJ626" s="738"/>
      <c r="AK626" s="738"/>
      <c r="AL626" s="738"/>
    </row>
    <row r="627">
      <c r="A627" s="738"/>
      <c r="B627" s="738"/>
      <c r="C627" s="738"/>
      <c r="D627" s="738"/>
      <c r="E627" s="738"/>
      <c r="F627" s="738"/>
      <c r="G627" s="738"/>
      <c r="H627" s="738"/>
      <c r="I627" s="738"/>
      <c r="J627" s="738"/>
      <c r="K627" s="738"/>
      <c r="L627" s="738"/>
      <c r="M627" s="738"/>
      <c r="N627" s="738"/>
      <c r="O627" s="738"/>
      <c r="P627" s="738"/>
      <c r="Q627" s="738"/>
      <c r="R627" s="738"/>
      <c r="S627" s="738"/>
      <c r="T627" s="738"/>
      <c r="U627" s="738"/>
      <c r="V627" s="738"/>
      <c r="W627" s="738"/>
      <c r="X627" s="738"/>
      <c r="Y627" s="738"/>
      <c r="Z627" s="738"/>
      <c r="AA627" s="738"/>
      <c r="AB627" s="738"/>
      <c r="AC627" s="738"/>
      <c r="AD627" s="738"/>
      <c r="AE627" s="738"/>
      <c r="AF627" s="738"/>
      <c r="AG627" s="738"/>
      <c r="AH627" s="738"/>
      <c r="AI627" s="738"/>
      <c r="AJ627" s="738"/>
      <c r="AK627" s="738"/>
      <c r="AL627" s="738"/>
    </row>
    <row r="628">
      <c r="A628" s="738"/>
      <c r="B628" s="738"/>
      <c r="C628" s="738"/>
      <c r="D628" s="738"/>
      <c r="E628" s="738"/>
      <c r="F628" s="738"/>
      <c r="G628" s="738"/>
      <c r="H628" s="738"/>
      <c r="I628" s="738"/>
      <c r="J628" s="738"/>
      <c r="K628" s="738"/>
      <c r="L628" s="738"/>
      <c r="M628" s="738"/>
      <c r="N628" s="738"/>
      <c r="O628" s="738"/>
      <c r="P628" s="738"/>
      <c r="Q628" s="738"/>
      <c r="R628" s="738"/>
      <c r="S628" s="738"/>
      <c r="T628" s="738"/>
      <c r="U628" s="738"/>
      <c r="V628" s="738"/>
      <c r="W628" s="738"/>
      <c r="X628" s="738"/>
      <c r="Y628" s="738"/>
      <c r="Z628" s="738"/>
      <c r="AA628" s="738"/>
      <c r="AB628" s="738"/>
      <c r="AC628" s="738"/>
      <c r="AD628" s="738"/>
      <c r="AE628" s="738"/>
      <c r="AF628" s="738"/>
      <c r="AG628" s="738"/>
      <c r="AH628" s="738"/>
      <c r="AI628" s="738"/>
      <c r="AJ628" s="738"/>
      <c r="AK628" s="738"/>
      <c r="AL628" s="738"/>
    </row>
    <row r="629">
      <c r="A629" s="738"/>
      <c r="B629" s="738"/>
      <c r="C629" s="738"/>
      <c r="D629" s="738"/>
      <c r="E629" s="738"/>
      <c r="F629" s="738"/>
      <c r="G629" s="738"/>
      <c r="H629" s="738"/>
      <c r="I629" s="738"/>
      <c r="J629" s="738"/>
      <c r="K629" s="738"/>
      <c r="L629" s="738"/>
      <c r="M629" s="738"/>
      <c r="N629" s="738"/>
      <c r="O629" s="738"/>
      <c r="P629" s="738"/>
      <c r="Q629" s="738"/>
      <c r="R629" s="738"/>
      <c r="S629" s="738"/>
      <c r="T629" s="738"/>
      <c r="U629" s="738"/>
      <c r="V629" s="738"/>
      <c r="W629" s="738"/>
      <c r="X629" s="738"/>
      <c r="Y629" s="738"/>
      <c r="Z629" s="738"/>
      <c r="AA629" s="738"/>
      <c r="AB629" s="738"/>
      <c r="AC629" s="738"/>
      <c r="AD629" s="738"/>
      <c r="AE629" s="738"/>
      <c r="AF629" s="738"/>
      <c r="AG629" s="738"/>
      <c r="AH629" s="738"/>
      <c r="AI629" s="738"/>
      <c r="AJ629" s="738"/>
      <c r="AK629" s="738"/>
      <c r="AL629" s="738"/>
    </row>
    <row r="630">
      <c r="A630" s="738"/>
      <c r="B630" s="738"/>
      <c r="C630" s="738"/>
      <c r="D630" s="738"/>
      <c r="E630" s="738"/>
      <c r="F630" s="738"/>
      <c r="G630" s="738"/>
      <c r="H630" s="738"/>
      <c r="I630" s="738"/>
      <c r="J630" s="738"/>
      <c r="K630" s="738"/>
      <c r="L630" s="738"/>
      <c r="M630" s="738"/>
      <c r="N630" s="738"/>
      <c r="O630" s="738"/>
      <c r="P630" s="738"/>
      <c r="Q630" s="738"/>
      <c r="R630" s="738"/>
      <c r="S630" s="738"/>
      <c r="T630" s="738"/>
      <c r="U630" s="738"/>
      <c r="V630" s="738"/>
      <c r="W630" s="738"/>
      <c r="X630" s="738"/>
      <c r="Y630" s="738"/>
      <c r="Z630" s="738"/>
      <c r="AA630" s="738"/>
      <c r="AB630" s="738"/>
      <c r="AC630" s="738"/>
      <c r="AD630" s="738"/>
      <c r="AE630" s="738"/>
      <c r="AF630" s="738"/>
      <c r="AG630" s="738"/>
      <c r="AH630" s="738"/>
      <c r="AI630" s="738"/>
      <c r="AJ630" s="738"/>
      <c r="AK630" s="738"/>
      <c r="AL630" s="738"/>
    </row>
    <row r="631">
      <c r="A631" s="738"/>
      <c r="B631" s="738"/>
      <c r="C631" s="738"/>
      <c r="D631" s="738"/>
      <c r="E631" s="738"/>
      <c r="F631" s="738"/>
      <c r="G631" s="738"/>
      <c r="H631" s="738"/>
      <c r="I631" s="738"/>
      <c r="J631" s="738"/>
      <c r="K631" s="738"/>
      <c r="L631" s="738"/>
      <c r="M631" s="738"/>
      <c r="N631" s="738"/>
      <c r="O631" s="738"/>
      <c r="P631" s="738"/>
      <c r="Q631" s="738"/>
      <c r="R631" s="738"/>
      <c r="S631" s="738"/>
      <c r="T631" s="738"/>
      <c r="U631" s="738"/>
      <c r="V631" s="738"/>
      <c r="W631" s="738"/>
      <c r="X631" s="738"/>
      <c r="Y631" s="738"/>
      <c r="Z631" s="738"/>
      <c r="AA631" s="738"/>
      <c r="AB631" s="738"/>
      <c r="AC631" s="738"/>
      <c r="AD631" s="738"/>
      <c r="AE631" s="738"/>
      <c r="AF631" s="738"/>
      <c r="AG631" s="738"/>
      <c r="AH631" s="738"/>
      <c r="AI631" s="738"/>
      <c r="AJ631" s="738"/>
      <c r="AK631" s="738"/>
      <c r="AL631" s="738"/>
    </row>
    <row r="632">
      <c r="A632" s="738"/>
      <c r="B632" s="738"/>
      <c r="C632" s="738"/>
      <c r="D632" s="738"/>
      <c r="E632" s="738"/>
      <c r="F632" s="738"/>
      <c r="G632" s="738"/>
      <c r="H632" s="738"/>
      <c r="I632" s="738"/>
      <c r="J632" s="738"/>
      <c r="K632" s="738"/>
      <c r="L632" s="738"/>
      <c r="M632" s="738"/>
      <c r="N632" s="738"/>
      <c r="O632" s="738"/>
      <c r="P632" s="738"/>
      <c r="Q632" s="738"/>
      <c r="R632" s="738"/>
      <c r="S632" s="738"/>
      <c r="T632" s="738"/>
      <c r="U632" s="738"/>
      <c r="V632" s="738"/>
      <c r="W632" s="738"/>
      <c r="X632" s="738"/>
      <c r="Y632" s="738"/>
      <c r="Z632" s="738"/>
      <c r="AA632" s="738"/>
      <c r="AB632" s="738"/>
      <c r="AC632" s="738"/>
      <c r="AD632" s="738"/>
      <c r="AE632" s="738"/>
      <c r="AF632" s="738"/>
      <c r="AG632" s="738"/>
      <c r="AH632" s="738"/>
      <c r="AI632" s="738"/>
      <c r="AJ632" s="738"/>
      <c r="AK632" s="738"/>
      <c r="AL632" s="738"/>
    </row>
    <row r="633">
      <c r="A633" s="738"/>
      <c r="B633" s="738"/>
      <c r="C633" s="738"/>
      <c r="D633" s="738"/>
      <c r="E633" s="738"/>
      <c r="F633" s="738"/>
      <c r="G633" s="738"/>
      <c r="H633" s="738"/>
      <c r="I633" s="738"/>
      <c r="J633" s="738"/>
      <c r="K633" s="738"/>
      <c r="L633" s="738"/>
      <c r="M633" s="738"/>
      <c r="N633" s="738"/>
      <c r="O633" s="738"/>
      <c r="P633" s="738"/>
      <c r="Q633" s="738"/>
      <c r="R633" s="738"/>
      <c r="S633" s="738"/>
      <c r="T633" s="738"/>
      <c r="U633" s="738"/>
      <c r="V633" s="738"/>
      <c r="W633" s="738"/>
      <c r="X633" s="738"/>
      <c r="Y633" s="738"/>
      <c r="Z633" s="738"/>
      <c r="AA633" s="738"/>
      <c r="AB633" s="738"/>
      <c r="AC633" s="738"/>
      <c r="AD633" s="738"/>
      <c r="AE633" s="738"/>
      <c r="AF633" s="738"/>
      <c r="AG633" s="738"/>
      <c r="AH633" s="738"/>
      <c r="AI633" s="738"/>
      <c r="AJ633" s="738"/>
      <c r="AK633" s="738"/>
      <c r="AL633" s="738"/>
    </row>
    <row r="634">
      <c r="A634" s="738"/>
      <c r="B634" s="738"/>
      <c r="C634" s="738"/>
      <c r="D634" s="738"/>
      <c r="E634" s="738"/>
      <c r="F634" s="738"/>
      <c r="G634" s="738"/>
      <c r="H634" s="738"/>
      <c r="I634" s="738"/>
      <c r="J634" s="738"/>
      <c r="K634" s="738"/>
      <c r="L634" s="738"/>
      <c r="M634" s="738"/>
      <c r="N634" s="738"/>
      <c r="O634" s="738"/>
      <c r="P634" s="738"/>
      <c r="Q634" s="738"/>
      <c r="R634" s="738"/>
      <c r="S634" s="738"/>
      <c r="T634" s="738"/>
      <c r="U634" s="738"/>
      <c r="V634" s="738"/>
      <c r="W634" s="738"/>
      <c r="X634" s="738"/>
      <c r="Y634" s="738"/>
      <c r="Z634" s="738"/>
      <c r="AA634" s="738"/>
      <c r="AB634" s="738"/>
      <c r="AC634" s="738"/>
      <c r="AD634" s="738"/>
      <c r="AE634" s="738"/>
      <c r="AF634" s="738"/>
      <c r="AG634" s="738"/>
      <c r="AH634" s="738"/>
      <c r="AI634" s="738"/>
      <c r="AJ634" s="738"/>
      <c r="AK634" s="738"/>
      <c r="AL634" s="738"/>
    </row>
    <row r="635">
      <c r="A635" s="738"/>
      <c r="B635" s="738"/>
      <c r="C635" s="738"/>
      <c r="D635" s="738"/>
      <c r="E635" s="738"/>
      <c r="F635" s="738"/>
      <c r="G635" s="738"/>
      <c r="H635" s="738"/>
      <c r="I635" s="738"/>
      <c r="J635" s="738"/>
      <c r="K635" s="738"/>
      <c r="L635" s="738"/>
      <c r="M635" s="738"/>
      <c r="N635" s="738"/>
      <c r="O635" s="738"/>
      <c r="P635" s="738"/>
      <c r="Q635" s="738"/>
      <c r="R635" s="738"/>
      <c r="S635" s="738"/>
      <c r="T635" s="738"/>
      <c r="U635" s="738"/>
      <c r="V635" s="738"/>
      <c r="W635" s="738"/>
      <c r="X635" s="738"/>
      <c r="Y635" s="738"/>
      <c r="Z635" s="738"/>
      <c r="AA635" s="738"/>
      <c r="AB635" s="738"/>
      <c r="AC635" s="738"/>
      <c r="AD635" s="738"/>
      <c r="AE635" s="738"/>
      <c r="AF635" s="738"/>
      <c r="AG635" s="738"/>
      <c r="AH635" s="738"/>
      <c r="AI635" s="738"/>
      <c r="AJ635" s="738"/>
      <c r="AK635" s="738"/>
      <c r="AL635" s="738"/>
    </row>
    <row r="636">
      <c r="A636" s="738"/>
      <c r="B636" s="738"/>
      <c r="C636" s="738"/>
      <c r="D636" s="738"/>
      <c r="E636" s="738"/>
      <c r="F636" s="738"/>
      <c r="G636" s="738"/>
      <c r="H636" s="738"/>
      <c r="I636" s="738"/>
      <c r="J636" s="738"/>
      <c r="K636" s="738"/>
      <c r="L636" s="738"/>
      <c r="M636" s="738"/>
      <c r="N636" s="738"/>
      <c r="O636" s="738"/>
      <c r="P636" s="738"/>
      <c r="Q636" s="738"/>
      <c r="R636" s="738"/>
      <c r="S636" s="738"/>
      <c r="T636" s="738"/>
      <c r="U636" s="738"/>
      <c r="V636" s="738"/>
      <c r="W636" s="738"/>
      <c r="X636" s="738"/>
      <c r="Y636" s="738"/>
      <c r="Z636" s="738"/>
      <c r="AA636" s="738"/>
      <c r="AB636" s="738"/>
      <c r="AC636" s="738"/>
      <c r="AD636" s="738"/>
      <c r="AE636" s="738"/>
      <c r="AF636" s="738"/>
      <c r="AG636" s="738"/>
      <c r="AH636" s="738"/>
      <c r="AI636" s="738"/>
      <c r="AJ636" s="738"/>
      <c r="AK636" s="738"/>
      <c r="AL636" s="738"/>
    </row>
    <row r="637">
      <c r="A637" s="738"/>
      <c r="B637" s="738"/>
      <c r="C637" s="738"/>
      <c r="D637" s="738"/>
      <c r="E637" s="738"/>
      <c r="F637" s="738"/>
      <c r="G637" s="738"/>
      <c r="H637" s="738"/>
      <c r="I637" s="738"/>
      <c r="J637" s="738"/>
      <c r="K637" s="738"/>
      <c r="L637" s="738"/>
      <c r="M637" s="738"/>
      <c r="N637" s="738"/>
      <c r="O637" s="738"/>
      <c r="P637" s="738"/>
      <c r="Q637" s="738"/>
      <c r="R637" s="738"/>
      <c r="S637" s="738"/>
      <c r="T637" s="738"/>
      <c r="U637" s="738"/>
      <c r="V637" s="738"/>
      <c r="W637" s="738"/>
      <c r="X637" s="738"/>
      <c r="Y637" s="738"/>
      <c r="Z637" s="738"/>
      <c r="AA637" s="738"/>
      <c r="AB637" s="738"/>
      <c r="AC637" s="738"/>
      <c r="AD637" s="738"/>
      <c r="AE637" s="738"/>
      <c r="AF637" s="738"/>
      <c r="AG637" s="738"/>
      <c r="AH637" s="738"/>
      <c r="AI637" s="738"/>
      <c r="AJ637" s="738"/>
      <c r="AK637" s="738"/>
      <c r="AL637" s="738"/>
    </row>
    <row r="638">
      <c r="A638" s="738"/>
      <c r="B638" s="738"/>
      <c r="C638" s="738"/>
      <c r="D638" s="738"/>
      <c r="E638" s="738"/>
      <c r="F638" s="738"/>
      <c r="G638" s="738"/>
      <c r="H638" s="738"/>
      <c r="I638" s="738"/>
      <c r="J638" s="738"/>
      <c r="K638" s="738"/>
      <c r="L638" s="738"/>
      <c r="M638" s="738"/>
      <c r="N638" s="738"/>
      <c r="O638" s="738"/>
      <c r="P638" s="738"/>
      <c r="Q638" s="738"/>
      <c r="R638" s="738"/>
      <c r="S638" s="738"/>
      <c r="T638" s="738"/>
      <c r="U638" s="738"/>
      <c r="V638" s="738"/>
      <c r="W638" s="738"/>
      <c r="X638" s="738"/>
      <c r="Y638" s="738"/>
      <c r="Z638" s="738"/>
      <c r="AA638" s="738"/>
      <c r="AB638" s="738"/>
      <c r="AC638" s="738"/>
      <c r="AD638" s="738"/>
      <c r="AE638" s="738"/>
      <c r="AF638" s="738"/>
      <c r="AG638" s="738"/>
      <c r="AH638" s="738"/>
      <c r="AI638" s="738"/>
      <c r="AJ638" s="738"/>
      <c r="AK638" s="738"/>
      <c r="AL638" s="738"/>
    </row>
    <row r="639">
      <c r="A639" s="738"/>
      <c r="B639" s="738"/>
      <c r="C639" s="738"/>
      <c r="D639" s="738"/>
      <c r="E639" s="738"/>
      <c r="F639" s="738"/>
      <c r="G639" s="738"/>
      <c r="H639" s="738"/>
      <c r="I639" s="738"/>
      <c r="J639" s="738"/>
      <c r="K639" s="738"/>
      <c r="L639" s="738"/>
      <c r="M639" s="738"/>
      <c r="N639" s="738"/>
      <c r="O639" s="738"/>
      <c r="P639" s="738"/>
      <c r="Q639" s="738"/>
      <c r="R639" s="738"/>
      <c r="S639" s="738"/>
      <c r="T639" s="738"/>
      <c r="U639" s="738"/>
      <c r="V639" s="738"/>
      <c r="W639" s="738"/>
      <c r="X639" s="738"/>
      <c r="Y639" s="738"/>
      <c r="Z639" s="738"/>
      <c r="AA639" s="738"/>
      <c r="AB639" s="738"/>
      <c r="AC639" s="738"/>
      <c r="AD639" s="738"/>
      <c r="AE639" s="738"/>
      <c r="AF639" s="738"/>
      <c r="AG639" s="738"/>
      <c r="AH639" s="738"/>
      <c r="AI639" s="738"/>
      <c r="AJ639" s="738"/>
      <c r="AK639" s="738"/>
      <c r="AL639" s="738"/>
    </row>
    <row r="640">
      <c r="A640" s="738"/>
      <c r="B640" s="738"/>
      <c r="C640" s="738"/>
      <c r="D640" s="738"/>
      <c r="E640" s="738"/>
      <c r="F640" s="738"/>
      <c r="G640" s="738"/>
      <c r="H640" s="738"/>
      <c r="I640" s="738"/>
      <c r="J640" s="738"/>
      <c r="K640" s="738"/>
      <c r="L640" s="738"/>
      <c r="M640" s="738"/>
      <c r="N640" s="738"/>
      <c r="O640" s="738"/>
      <c r="P640" s="738"/>
      <c r="Q640" s="738"/>
      <c r="R640" s="738"/>
      <c r="S640" s="738"/>
      <c r="T640" s="738"/>
      <c r="U640" s="738"/>
      <c r="V640" s="738"/>
      <c r="W640" s="738"/>
      <c r="X640" s="738"/>
      <c r="Y640" s="738"/>
      <c r="Z640" s="738"/>
      <c r="AA640" s="738"/>
      <c r="AB640" s="738"/>
      <c r="AC640" s="738"/>
      <c r="AD640" s="738"/>
      <c r="AE640" s="738"/>
      <c r="AF640" s="738"/>
      <c r="AG640" s="738"/>
      <c r="AH640" s="738"/>
      <c r="AI640" s="738"/>
      <c r="AJ640" s="738"/>
      <c r="AK640" s="738"/>
      <c r="AL640" s="738"/>
    </row>
    <row r="641">
      <c r="A641" s="738"/>
      <c r="B641" s="738"/>
      <c r="C641" s="738"/>
      <c r="D641" s="738"/>
      <c r="E641" s="738"/>
      <c r="F641" s="738"/>
      <c r="G641" s="738"/>
      <c r="H641" s="738"/>
      <c r="I641" s="738"/>
      <c r="J641" s="738"/>
      <c r="K641" s="738"/>
      <c r="L641" s="738"/>
      <c r="M641" s="738"/>
      <c r="N641" s="738"/>
      <c r="O641" s="738"/>
      <c r="P641" s="738"/>
      <c r="Q641" s="738"/>
      <c r="R641" s="738"/>
      <c r="S641" s="738"/>
      <c r="T641" s="738"/>
      <c r="U641" s="738"/>
      <c r="V641" s="738"/>
      <c r="W641" s="738"/>
      <c r="X641" s="738"/>
      <c r="Y641" s="738"/>
      <c r="Z641" s="738"/>
      <c r="AA641" s="738"/>
      <c r="AB641" s="738"/>
      <c r="AC641" s="738"/>
      <c r="AD641" s="738"/>
      <c r="AE641" s="738"/>
      <c r="AF641" s="738"/>
      <c r="AG641" s="738"/>
      <c r="AH641" s="738"/>
      <c r="AI641" s="738"/>
      <c r="AJ641" s="738"/>
      <c r="AK641" s="738"/>
      <c r="AL641" s="738"/>
    </row>
    <row r="642">
      <c r="A642" s="738"/>
      <c r="B642" s="738"/>
      <c r="C642" s="738"/>
      <c r="D642" s="738"/>
      <c r="E642" s="738"/>
      <c r="F642" s="738"/>
      <c r="G642" s="738"/>
      <c r="H642" s="738"/>
      <c r="I642" s="738"/>
      <c r="J642" s="738"/>
      <c r="K642" s="738"/>
      <c r="L642" s="738"/>
      <c r="M642" s="738"/>
      <c r="N642" s="738"/>
      <c r="O642" s="738"/>
      <c r="P642" s="738"/>
      <c r="Q642" s="738"/>
      <c r="R642" s="738"/>
      <c r="S642" s="738"/>
      <c r="T642" s="738"/>
      <c r="U642" s="738"/>
      <c r="V642" s="738"/>
      <c r="W642" s="738"/>
      <c r="X642" s="738"/>
      <c r="Y642" s="738"/>
      <c r="Z642" s="738"/>
      <c r="AA642" s="738"/>
      <c r="AB642" s="738"/>
      <c r="AC642" s="738"/>
      <c r="AD642" s="738"/>
      <c r="AE642" s="738"/>
      <c r="AF642" s="738"/>
      <c r="AG642" s="738"/>
      <c r="AH642" s="738"/>
      <c r="AI642" s="738"/>
      <c r="AJ642" s="738"/>
      <c r="AK642" s="738"/>
      <c r="AL642" s="738"/>
    </row>
    <row r="643">
      <c r="A643" s="738"/>
      <c r="B643" s="738"/>
      <c r="C643" s="738"/>
      <c r="D643" s="738"/>
      <c r="E643" s="738"/>
      <c r="F643" s="738"/>
      <c r="G643" s="738"/>
      <c r="H643" s="738"/>
      <c r="I643" s="738"/>
      <c r="J643" s="738"/>
      <c r="K643" s="738"/>
      <c r="L643" s="738"/>
      <c r="M643" s="738"/>
      <c r="N643" s="738"/>
      <c r="O643" s="738"/>
      <c r="P643" s="738"/>
      <c r="Q643" s="738"/>
      <c r="R643" s="738"/>
      <c r="S643" s="738"/>
      <c r="T643" s="738"/>
      <c r="U643" s="738"/>
      <c r="V643" s="738"/>
      <c r="W643" s="738"/>
      <c r="X643" s="738"/>
      <c r="Y643" s="738"/>
      <c r="Z643" s="738"/>
      <c r="AA643" s="738"/>
      <c r="AB643" s="738"/>
      <c r="AC643" s="738"/>
      <c r="AD643" s="738"/>
      <c r="AE643" s="738"/>
      <c r="AF643" s="738"/>
      <c r="AG643" s="738"/>
      <c r="AH643" s="738"/>
      <c r="AI643" s="738"/>
      <c r="AJ643" s="738"/>
      <c r="AK643" s="738"/>
      <c r="AL643" s="738"/>
    </row>
    <row r="644">
      <c r="A644" s="738"/>
      <c r="B644" s="738"/>
      <c r="C644" s="738"/>
      <c r="D644" s="738"/>
      <c r="E644" s="738"/>
      <c r="F644" s="738"/>
      <c r="G644" s="738"/>
      <c r="H644" s="738"/>
      <c r="I644" s="738"/>
      <c r="J644" s="738"/>
      <c r="K644" s="738"/>
      <c r="L644" s="738"/>
      <c r="M644" s="738"/>
      <c r="N644" s="738"/>
      <c r="O644" s="738"/>
      <c r="P644" s="738"/>
      <c r="Q644" s="738"/>
      <c r="R644" s="738"/>
      <c r="S644" s="738"/>
      <c r="T644" s="738"/>
      <c r="U644" s="738"/>
      <c r="V644" s="738"/>
      <c r="W644" s="738"/>
      <c r="X644" s="738"/>
      <c r="Y644" s="738"/>
      <c r="Z644" s="738"/>
      <c r="AA644" s="738"/>
      <c r="AB644" s="738"/>
      <c r="AC644" s="738"/>
      <c r="AD644" s="738"/>
      <c r="AE644" s="738"/>
      <c r="AF644" s="738"/>
      <c r="AG644" s="738"/>
      <c r="AH644" s="738"/>
      <c r="AI644" s="738"/>
      <c r="AJ644" s="738"/>
      <c r="AK644" s="738"/>
      <c r="AL644" s="738"/>
    </row>
    <row r="645">
      <c r="A645" s="738"/>
      <c r="B645" s="738"/>
      <c r="C645" s="738"/>
      <c r="D645" s="738"/>
      <c r="E645" s="738"/>
      <c r="F645" s="738"/>
      <c r="G645" s="738"/>
      <c r="H645" s="738"/>
      <c r="I645" s="738"/>
      <c r="J645" s="738"/>
      <c r="K645" s="738"/>
      <c r="L645" s="738"/>
      <c r="M645" s="738"/>
      <c r="N645" s="738"/>
      <c r="O645" s="738"/>
      <c r="P645" s="738"/>
      <c r="Q645" s="738"/>
      <c r="R645" s="738"/>
      <c r="S645" s="738"/>
      <c r="T645" s="738"/>
      <c r="U645" s="738"/>
      <c r="V645" s="738"/>
      <c r="W645" s="738"/>
      <c r="X645" s="738"/>
      <c r="Y645" s="738"/>
      <c r="Z645" s="738"/>
      <c r="AA645" s="738"/>
      <c r="AB645" s="738"/>
      <c r="AC645" s="738"/>
      <c r="AD645" s="738"/>
      <c r="AE645" s="738"/>
      <c r="AF645" s="738"/>
      <c r="AG645" s="738"/>
      <c r="AH645" s="738"/>
      <c r="AI645" s="738"/>
      <c r="AJ645" s="738"/>
      <c r="AK645" s="738"/>
      <c r="AL645" s="738"/>
    </row>
    <row r="646">
      <c r="A646" s="738"/>
      <c r="B646" s="738"/>
      <c r="C646" s="738"/>
      <c r="D646" s="738"/>
      <c r="E646" s="738"/>
      <c r="F646" s="738"/>
      <c r="G646" s="738"/>
      <c r="H646" s="738"/>
      <c r="I646" s="738"/>
      <c r="J646" s="738"/>
      <c r="K646" s="738"/>
      <c r="L646" s="738"/>
      <c r="M646" s="738"/>
      <c r="N646" s="738"/>
      <c r="O646" s="738"/>
      <c r="P646" s="738"/>
      <c r="Q646" s="738"/>
      <c r="R646" s="738"/>
      <c r="S646" s="738"/>
      <c r="T646" s="738"/>
      <c r="U646" s="738"/>
      <c r="V646" s="738"/>
      <c r="W646" s="738"/>
      <c r="X646" s="738"/>
      <c r="Y646" s="738"/>
      <c r="Z646" s="738"/>
      <c r="AA646" s="738"/>
      <c r="AB646" s="738"/>
      <c r="AC646" s="738"/>
      <c r="AD646" s="738"/>
      <c r="AE646" s="738"/>
      <c r="AF646" s="738"/>
      <c r="AG646" s="738"/>
      <c r="AH646" s="738"/>
      <c r="AI646" s="738"/>
      <c r="AJ646" s="738"/>
      <c r="AK646" s="738"/>
      <c r="AL646" s="738"/>
    </row>
    <row r="647">
      <c r="A647" s="738"/>
      <c r="B647" s="738"/>
      <c r="C647" s="738"/>
      <c r="D647" s="738"/>
      <c r="E647" s="738"/>
      <c r="F647" s="738"/>
      <c r="G647" s="738"/>
      <c r="H647" s="738"/>
      <c r="I647" s="738"/>
      <c r="J647" s="738"/>
      <c r="K647" s="738"/>
      <c r="L647" s="738"/>
      <c r="M647" s="738"/>
      <c r="N647" s="738"/>
      <c r="O647" s="738"/>
      <c r="P647" s="738"/>
      <c r="Q647" s="738"/>
      <c r="R647" s="738"/>
      <c r="S647" s="738"/>
      <c r="T647" s="738"/>
      <c r="U647" s="738"/>
      <c r="V647" s="738"/>
      <c r="W647" s="738"/>
      <c r="X647" s="738"/>
      <c r="Y647" s="738"/>
      <c r="Z647" s="738"/>
      <c r="AA647" s="738"/>
      <c r="AB647" s="738"/>
      <c r="AC647" s="738"/>
      <c r="AD647" s="738"/>
      <c r="AE647" s="738"/>
      <c r="AF647" s="738"/>
      <c r="AG647" s="738"/>
      <c r="AH647" s="738"/>
      <c r="AI647" s="738"/>
      <c r="AJ647" s="738"/>
      <c r="AK647" s="738"/>
      <c r="AL647" s="738"/>
    </row>
    <row r="648">
      <c r="A648" s="738"/>
      <c r="B648" s="738"/>
      <c r="C648" s="738"/>
      <c r="D648" s="738"/>
      <c r="E648" s="738"/>
      <c r="F648" s="738"/>
      <c r="G648" s="738"/>
      <c r="H648" s="738"/>
      <c r="I648" s="738"/>
      <c r="J648" s="738"/>
      <c r="K648" s="738"/>
      <c r="L648" s="738"/>
      <c r="M648" s="738"/>
      <c r="N648" s="738"/>
      <c r="O648" s="738"/>
      <c r="P648" s="738"/>
      <c r="Q648" s="738"/>
      <c r="R648" s="738"/>
      <c r="S648" s="738"/>
      <c r="T648" s="738"/>
      <c r="U648" s="738"/>
      <c r="V648" s="738"/>
      <c r="W648" s="738"/>
      <c r="X648" s="738"/>
      <c r="Y648" s="738"/>
      <c r="Z648" s="738"/>
      <c r="AA648" s="738"/>
      <c r="AB648" s="738"/>
      <c r="AC648" s="738"/>
      <c r="AD648" s="738"/>
      <c r="AE648" s="738"/>
      <c r="AF648" s="738"/>
      <c r="AG648" s="738"/>
      <c r="AH648" s="738"/>
      <c r="AI648" s="738"/>
      <c r="AJ648" s="738"/>
      <c r="AK648" s="738"/>
      <c r="AL648" s="738"/>
    </row>
    <row r="649">
      <c r="A649" s="738"/>
      <c r="B649" s="738"/>
      <c r="C649" s="738"/>
      <c r="D649" s="738"/>
      <c r="E649" s="738"/>
      <c r="F649" s="738"/>
      <c r="G649" s="738"/>
      <c r="H649" s="738"/>
      <c r="I649" s="738"/>
      <c r="J649" s="738"/>
      <c r="K649" s="738"/>
      <c r="L649" s="738"/>
      <c r="M649" s="738"/>
      <c r="N649" s="738"/>
      <c r="O649" s="738"/>
      <c r="P649" s="738"/>
      <c r="Q649" s="738"/>
      <c r="R649" s="738"/>
      <c r="S649" s="738"/>
      <c r="T649" s="738"/>
      <c r="U649" s="738"/>
      <c r="V649" s="738"/>
      <c r="W649" s="738"/>
      <c r="X649" s="738"/>
      <c r="Y649" s="738"/>
      <c r="Z649" s="738"/>
      <c r="AA649" s="738"/>
      <c r="AB649" s="738"/>
      <c r="AC649" s="738"/>
      <c r="AD649" s="738"/>
      <c r="AE649" s="738"/>
      <c r="AF649" s="738"/>
      <c r="AG649" s="738"/>
      <c r="AH649" s="738"/>
      <c r="AI649" s="738"/>
      <c r="AJ649" s="738"/>
      <c r="AK649" s="738"/>
      <c r="AL649" s="738"/>
    </row>
    <row r="650">
      <c r="A650" s="738"/>
      <c r="B650" s="738"/>
      <c r="C650" s="738"/>
      <c r="D650" s="738"/>
      <c r="E650" s="738"/>
      <c r="F650" s="738"/>
      <c r="G650" s="738"/>
      <c r="H650" s="738"/>
      <c r="I650" s="738"/>
      <c r="J650" s="738"/>
      <c r="K650" s="738"/>
      <c r="L650" s="738"/>
      <c r="M650" s="738"/>
      <c r="N650" s="738"/>
      <c r="O650" s="738"/>
      <c r="P650" s="738"/>
      <c r="Q650" s="738"/>
      <c r="R650" s="738"/>
      <c r="S650" s="738"/>
      <c r="T650" s="738"/>
      <c r="U650" s="738"/>
      <c r="V650" s="738"/>
      <c r="W650" s="738"/>
      <c r="X650" s="738"/>
      <c r="Y650" s="738"/>
      <c r="Z650" s="738"/>
      <c r="AA650" s="738"/>
      <c r="AB650" s="738"/>
      <c r="AC650" s="738"/>
      <c r="AD650" s="738"/>
      <c r="AE650" s="738"/>
      <c r="AF650" s="738"/>
      <c r="AG650" s="738"/>
      <c r="AH650" s="738"/>
      <c r="AI650" s="738"/>
      <c r="AJ650" s="738"/>
      <c r="AK650" s="738"/>
      <c r="AL650" s="738"/>
    </row>
    <row r="651">
      <c r="A651" s="738"/>
      <c r="B651" s="738"/>
      <c r="C651" s="738"/>
      <c r="D651" s="738"/>
      <c r="E651" s="738"/>
      <c r="F651" s="738"/>
      <c r="G651" s="738"/>
      <c r="H651" s="738"/>
      <c r="I651" s="738"/>
      <c r="J651" s="738"/>
      <c r="K651" s="738"/>
      <c r="L651" s="738"/>
      <c r="M651" s="738"/>
      <c r="N651" s="738"/>
      <c r="O651" s="738"/>
      <c r="P651" s="738"/>
      <c r="Q651" s="738"/>
      <c r="R651" s="738"/>
      <c r="S651" s="738"/>
      <c r="T651" s="738"/>
      <c r="U651" s="738"/>
      <c r="V651" s="738"/>
      <c r="W651" s="738"/>
      <c r="X651" s="738"/>
      <c r="Y651" s="738"/>
      <c r="Z651" s="738"/>
      <c r="AA651" s="738"/>
      <c r="AB651" s="738"/>
      <c r="AC651" s="738"/>
      <c r="AD651" s="738"/>
      <c r="AE651" s="738"/>
      <c r="AF651" s="738"/>
      <c r="AG651" s="738"/>
      <c r="AH651" s="738"/>
      <c r="AI651" s="738"/>
      <c r="AJ651" s="738"/>
      <c r="AK651" s="738"/>
      <c r="AL651" s="738"/>
    </row>
    <row r="652">
      <c r="A652" s="738"/>
      <c r="B652" s="738"/>
      <c r="C652" s="738"/>
      <c r="D652" s="738"/>
      <c r="E652" s="738"/>
      <c r="F652" s="738"/>
      <c r="G652" s="738"/>
      <c r="H652" s="738"/>
      <c r="I652" s="738"/>
      <c r="J652" s="738"/>
      <c r="K652" s="738"/>
      <c r="L652" s="738"/>
      <c r="M652" s="738"/>
      <c r="N652" s="738"/>
      <c r="O652" s="738"/>
      <c r="P652" s="738"/>
      <c r="Q652" s="738"/>
      <c r="R652" s="738"/>
      <c r="S652" s="738"/>
      <c r="T652" s="738"/>
      <c r="U652" s="738"/>
      <c r="V652" s="738"/>
      <c r="W652" s="738"/>
      <c r="X652" s="738"/>
      <c r="Y652" s="738"/>
      <c r="Z652" s="738"/>
      <c r="AA652" s="738"/>
      <c r="AB652" s="738"/>
      <c r="AC652" s="738"/>
      <c r="AD652" s="738"/>
      <c r="AE652" s="738"/>
      <c r="AF652" s="738"/>
      <c r="AG652" s="738"/>
      <c r="AH652" s="738"/>
      <c r="AI652" s="738"/>
      <c r="AJ652" s="738"/>
      <c r="AK652" s="738"/>
      <c r="AL652" s="738"/>
    </row>
    <row r="653">
      <c r="A653" s="738"/>
      <c r="B653" s="738"/>
      <c r="C653" s="738"/>
      <c r="D653" s="738"/>
      <c r="E653" s="738"/>
      <c r="F653" s="738"/>
      <c r="G653" s="738"/>
      <c r="H653" s="738"/>
      <c r="I653" s="738"/>
      <c r="J653" s="738"/>
      <c r="K653" s="738"/>
      <c r="L653" s="738"/>
      <c r="M653" s="738"/>
      <c r="N653" s="738"/>
      <c r="O653" s="738"/>
      <c r="P653" s="738"/>
      <c r="Q653" s="738"/>
      <c r="R653" s="738"/>
      <c r="S653" s="738"/>
      <c r="T653" s="738"/>
      <c r="U653" s="738"/>
      <c r="V653" s="738"/>
      <c r="W653" s="738"/>
      <c r="X653" s="738"/>
      <c r="Y653" s="738"/>
      <c r="Z653" s="738"/>
      <c r="AA653" s="738"/>
      <c r="AB653" s="738"/>
      <c r="AC653" s="738"/>
      <c r="AD653" s="738"/>
      <c r="AE653" s="738"/>
      <c r="AF653" s="738"/>
      <c r="AG653" s="738"/>
      <c r="AH653" s="738"/>
      <c r="AI653" s="738"/>
      <c r="AJ653" s="738"/>
      <c r="AK653" s="738"/>
      <c r="AL653" s="738"/>
    </row>
    <row r="654">
      <c r="A654" s="738"/>
      <c r="B654" s="738"/>
      <c r="C654" s="738"/>
      <c r="D654" s="738"/>
      <c r="E654" s="738"/>
      <c r="F654" s="738"/>
      <c r="G654" s="738"/>
      <c r="H654" s="738"/>
      <c r="I654" s="738"/>
      <c r="J654" s="738"/>
      <c r="K654" s="738"/>
      <c r="L654" s="738"/>
      <c r="M654" s="738"/>
      <c r="N654" s="738"/>
      <c r="O654" s="738"/>
      <c r="P654" s="738"/>
      <c r="Q654" s="738"/>
      <c r="R654" s="738"/>
      <c r="S654" s="738"/>
      <c r="T654" s="738"/>
      <c r="U654" s="738"/>
      <c r="V654" s="738"/>
      <c r="W654" s="738"/>
      <c r="X654" s="738"/>
      <c r="Y654" s="738"/>
      <c r="Z654" s="738"/>
      <c r="AA654" s="738"/>
      <c r="AB654" s="738"/>
      <c r="AC654" s="738"/>
      <c r="AD654" s="738"/>
      <c r="AE654" s="738"/>
      <c r="AF654" s="738"/>
      <c r="AG654" s="738"/>
      <c r="AH654" s="738"/>
      <c r="AI654" s="738"/>
      <c r="AJ654" s="738"/>
      <c r="AK654" s="738"/>
      <c r="AL654" s="738"/>
    </row>
    <row r="655">
      <c r="A655" s="738"/>
      <c r="B655" s="738"/>
      <c r="C655" s="738"/>
      <c r="D655" s="738"/>
      <c r="E655" s="738"/>
      <c r="F655" s="738"/>
      <c r="G655" s="738"/>
      <c r="H655" s="738"/>
      <c r="I655" s="738"/>
      <c r="J655" s="738"/>
      <c r="K655" s="738"/>
      <c r="L655" s="738"/>
      <c r="M655" s="738"/>
      <c r="N655" s="738"/>
      <c r="O655" s="738"/>
      <c r="P655" s="738"/>
      <c r="Q655" s="738"/>
      <c r="R655" s="738"/>
      <c r="S655" s="738"/>
      <c r="T655" s="738"/>
      <c r="U655" s="738"/>
      <c r="V655" s="738"/>
      <c r="W655" s="738"/>
      <c r="X655" s="738"/>
      <c r="Y655" s="738"/>
      <c r="Z655" s="738"/>
      <c r="AA655" s="738"/>
      <c r="AB655" s="738"/>
      <c r="AC655" s="738"/>
      <c r="AD655" s="738"/>
      <c r="AE655" s="738"/>
      <c r="AF655" s="738"/>
      <c r="AG655" s="738"/>
      <c r="AH655" s="738"/>
      <c r="AI655" s="738"/>
      <c r="AJ655" s="738"/>
      <c r="AK655" s="738"/>
      <c r="AL655" s="738"/>
    </row>
    <row r="656">
      <c r="A656" s="738"/>
      <c r="B656" s="738"/>
      <c r="C656" s="738"/>
      <c r="D656" s="738"/>
      <c r="E656" s="738"/>
      <c r="F656" s="738"/>
      <c r="G656" s="738"/>
      <c r="H656" s="738"/>
      <c r="I656" s="738"/>
      <c r="J656" s="738"/>
      <c r="K656" s="738"/>
      <c r="L656" s="738"/>
      <c r="M656" s="738"/>
      <c r="N656" s="738"/>
      <c r="O656" s="738"/>
      <c r="P656" s="738"/>
      <c r="Q656" s="738"/>
      <c r="R656" s="738"/>
      <c r="S656" s="738"/>
      <c r="T656" s="738"/>
      <c r="U656" s="738"/>
      <c r="V656" s="738"/>
      <c r="W656" s="738"/>
      <c r="X656" s="738"/>
      <c r="Y656" s="738"/>
      <c r="Z656" s="738"/>
      <c r="AA656" s="738"/>
      <c r="AB656" s="738"/>
      <c r="AC656" s="738"/>
      <c r="AD656" s="738"/>
      <c r="AE656" s="738"/>
      <c r="AF656" s="738"/>
      <c r="AG656" s="738"/>
      <c r="AH656" s="738"/>
      <c r="AI656" s="738"/>
      <c r="AJ656" s="738"/>
      <c r="AK656" s="738"/>
      <c r="AL656" s="738"/>
    </row>
    <row r="657">
      <c r="A657" s="738"/>
      <c r="B657" s="738"/>
      <c r="C657" s="738"/>
      <c r="D657" s="738"/>
      <c r="E657" s="738"/>
      <c r="F657" s="738"/>
      <c r="G657" s="738"/>
      <c r="H657" s="738"/>
      <c r="I657" s="738"/>
      <c r="J657" s="738"/>
      <c r="K657" s="738"/>
      <c r="L657" s="738"/>
      <c r="M657" s="738"/>
      <c r="N657" s="738"/>
      <c r="O657" s="738"/>
      <c r="P657" s="738"/>
      <c r="Q657" s="738"/>
      <c r="R657" s="738"/>
      <c r="S657" s="738"/>
      <c r="T657" s="738"/>
      <c r="U657" s="738"/>
      <c r="V657" s="738"/>
      <c r="W657" s="738"/>
      <c r="X657" s="738"/>
      <c r="Y657" s="738"/>
      <c r="Z657" s="738"/>
      <c r="AA657" s="738"/>
      <c r="AB657" s="738"/>
      <c r="AC657" s="738"/>
      <c r="AD657" s="738"/>
      <c r="AE657" s="738"/>
      <c r="AF657" s="738"/>
      <c r="AG657" s="738"/>
      <c r="AH657" s="738"/>
      <c r="AI657" s="738"/>
      <c r="AJ657" s="738"/>
      <c r="AK657" s="738"/>
      <c r="AL657" s="738"/>
    </row>
    <row r="658">
      <c r="A658" s="738"/>
      <c r="B658" s="738"/>
      <c r="C658" s="738"/>
      <c r="D658" s="738"/>
      <c r="E658" s="738"/>
      <c r="F658" s="738"/>
      <c r="G658" s="738"/>
      <c r="H658" s="738"/>
      <c r="I658" s="738"/>
      <c r="J658" s="738"/>
      <c r="K658" s="738"/>
      <c r="L658" s="738"/>
      <c r="M658" s="738"/>
      <c r="N658" s="738"/>
      <c r="O658" s="738"/>
      <c r="P658" s="738"/>
      <c r="Q658" s="738"/>
      <c r="R658" s="738"/>
      <c r="S658" s="738"/>
      <c r="T658" s="738"/>
      <c r="U658" s="738"/>
      <c r="V658" s="738"/>
      <c r="W658" s="738"/>
      <c r="X658" s="738"/>
      <c r="Y658" s="738"/>
      <c r="Z658" s="738"/>
      <c r="AA658" s="738"/>
      <c r="AB658" s="738"/>
      <c r="AC658" s="738"/>
      <c r="AD658" s="738"/>
      <c r="AE658" s="738"/>
      <c r="AF658" s="738"/>
      <c r="AG658" s="738"/>
      <c r="AH658" s="738"/>
      <c r="AI658" s="738"/>
      <c r="AJ658" s="738"/>
      <c r="AK658" s="738"/>
      <c r="AL658" s="738"/>
    </row>
    <row r="659">
      <c r="A659" s="738"/>
      <c r="B659" s="738"/>
      <c r="C659" s="738"/>
      <c r="D659" s="738"/>
      <c r="E659" s="738"/>
      <c r="F659" s="738"/>
      <c r="G659" s="738"/>
      <c r="H659" s="738"/>
      <c r="I659" s="738"/>
      <c r="J659" s="738"/>
      <c r="K659" s="738"/>
      <c r="L659" s="738"/>
      <c r="M659" s="738"/>
      <c r="N659" s="738"/>
      <c r="O659" s="738"/>
      <c r="P659" s="738"/>
      <c r="Q659" s="738"/>
      <c r="R659" s="738"/>
      <c r="S659" s="738"/>
      <c r="T659" s="738"/>
      <c r="U659" s="738"/>
      <c r="V659" s="738"/>
      <c r="W659" s="738"/>
      <c r="X659" s="738"/>
      <c r="Y659" s="738"/>
      <c r="Z659" s="738"/>
      <c r="AA659" s="738"/>
      <c r="AB659" s="738"/>
      <c r="AC659" s="738"/>
      <c r="AD659" s="738"/>
      <c r="AE659" s="738"/>
      <c r="AF659" s="738"/>
      <c r="AG659" s="738"/>
      <c r="AH659" s="738"/>
      <c r="AI659" s="738"/>
      <c r="AJ659" s="738"/>
      <c r="AK659" s="738"/>
      <c r="AL659" s="738"/>
    </row>
    <row r="660">
      <c r="A660" s="738"/>
      <c r="B660" s="738"/>
      <c r="C660" s="738"/>
      <c r="D660" s="738"/>
      <c r="E660" s="738"/>
      <c r="F660" s="738"/>
      <c r="G660" s="738"/>
      <c r="H660" s="738"/>
      <c r="I660" s="738"/>
      <c r="J660" s="738"/>
      <c r="K660" s="738"/>
      <c r="L660" s="738"/>
      <c r="M660" s="738"/>
      <c r="N660" s="738"/>
      <c r="O660" s="738"/>
      <c r="P660" s="738"/>
      <c r="Q660" s="738"/>
      <c r="R660" s="738"/>
      <c r="S660" s="738"/>
      <c r="T660" s="738"/>
      <c r="U660" s="738"/>
      <c r="V660" s="738"/>
      <c r="W660" s="738"/>
      <c r="X660" s="738"/>
      <c r="Y660" s="738"/>
      <c r="Z660" s="738"/>
      <c r="AA660" s="738"/>
      <c r="AB660" s="738"/>
      <c r="AC660" s="738"/>
      <c r="AD660" s="738"/>
      <c r="AE660" s="738"/>
      <c r="AF660" s="738"/>
      <c r="AG660" s="738"/>
      <c r="AH660" s="738"/>
      <c r="AI660" s="738"/>
      <c r="AJ660" s="738"/>
      <c r="AK660" s="738"/>
      <c r="AL660" s="738"/>
    </row>
    <row r="661">
      <c r="A661" s="738"/>
      <c r="B661" s="738"/>
      <c r="C661" s="738"/>
      <c r="D661" s="738"/>
      <c r="E661" s="738"/>
      <c r="F661" s="738"/>
      <c r="G661" s="738"/>
      <c r="H661" s="738"/>
      <c r="I661" s="738"/>
      <c r="J661" s="738"/>
      <c r="K661" s="738"/>
      <c r="L661" s="738"/>
      <c r="M661" s="738"/>
      <c r="N661" s="738"/>
      <c r="O661" s="738"/>
      <c r="P661" s="738"/>
      <c r="Q661" s="738"/>
      <c r="R661" s="738"/>
      <c r="S661" s="738"/>
      <c r="T661" s="738"/>
      <c r="U661" s="738"/>
      <c r="V661" s="738"/>
      <c r="W661" s="738"/>
      <c r="X661" s="738"/>
      <c r="Y661" s="738"/>
      <c r="Z661" s="738"/>
      <c r="AA661" s="738"/>
      <c r="AB661" s="738"/>
      <c r="AC661" s="738"/>
      <c r="AD661" s="738"/>
      <c r="AE661" s="738"/>
      <c r="AF661" s="738"/>
      <c r="AG661" s="738"/>
      <c r="AH661" s="738"/>
      <c r="AI661" s="738"/>
      <c r="AJ661" s="738"/>
      <c r="AK661" s="738"/>
      <c r="AL661" s="738"/>
    </row>
    <row r="662">
      <c r="A662" s="738"/>
      <c r="B662" s="738"/>
      <c r="C662" s="738"/>
      <c r="D662" s="738"/>
      <c r="E662" s="738"/>
      <c r="F662" s="738"/>
      <c r="G662" s="738"/>
      <c r="H662" s="738"/>
      <c r="I662" s="738"/>
      <c r="J662" s="738"/>
      <c r="K662" s="738"/>
      <c r="L662" s="738"/>
      <c r="M662" s="738"/>
      <c r="N662" s="738"/>
      <c r="O662" s="738"/>
      <c r="P662" s="738"/>
      <c r="Q662" s="738"/>
      <c r="R662" s="738"/>
      <c r="S662" s="738"/>
      <c r="T662" s="738"/>
      <c r="U662" s="738"/>
      <c r="V662" s="738"/>
      <c r="W662" s="738"/>
      <c r="X662" s="738"/>
      <c r="Y662" s="738"/>
      <c r="Z662" s="738"/>
      <c r="AA662" s="738"/>
      <c r="AB662" s="738"/>
      <c r="AC662" s="738"/>
      <c r="AD662" s="738"/>
      <c r="AE662" s="738"/>
      <c r="AF662" s="738"/>
      <c r="AG662" s="738"/>
      <c r="AH662" s="738"/>
      <c r="AI662" s="738"/>
      <c r="AJ662" s="738"/>
      <c r="AK662" s="738"/>
      <c r="AL662" s="738"/>
    </row>
    <row r="663">
      <c r="A663" s="738"/>
      <c r="B663" s="738"/>
      <c r="C663" s="738"/>
      <c r="D663" s="738"/>
      <c r="E663" s="738"/>
      <c r="F663" s="738"/>
      <c r="G663" s="738"/>
      <c r="H663" s="738"/>
      <c r="I663" s="738"/>
      <c r="J663" s="738"/>
      <c r="K663" s="738"/>
      <c r="L663" s="738"/>
      <c r="M663" s="738"/>
      <c r="N663" s="738"/>
      <c r="O663" s="738"/>
      <c r="P663" s="738"/>
      <c r="Q663" s="738"/>
      <c r="R663" s="738"/>
      <c r="S663" s="738"/>
      <c r="T663" s="738"/>
      <c r="U663" s="738"/>
      <c r="V663" s="738"/>
      <c r="W663" s="738"/>
      <c r="X663" s="738"/>
      <c r="Y663" s="738"/>
      <c r="Z663" s="738"/>
      <c r="AA663" s="738"/>
      <c r="AB663" s="738"/>
      <c r="AC663" s="738"/>
      <c r="AD663" s="738"/>
      <c r="AE663" s="738"/>
      <c r="AF663" s="738"/>
      <c r="AG663" s="738"/>
      <c r="AH663" s="738"/>
      <c r="AI663" s="738"/>
      <c r="AJ663" s="738"/>
      <c r="AK663" s="738"/>
      <c r="AL663" s="738"/>
    </row>
    <row r="664">
      <c r="A664" s="738"/>
      <c r="B664" s="738"/>
      <c r="C664" s="738"/>
      <c r="D664" s="738"/>
      <c r="E664" s="738"/>
      <c r="F664" s="738"/>
      <c r="G664" s="738"/>
      <c r="H664" s="738"/>
      <c r="I664" s="738"/>
      <c r="J664" s="738"/>
      <c r="K664" s="738"/>
      <c r="L664" s="738"/>
      <c r="M664" s="738"/>
      <c r="N664" s="738"/>
      <c r="O664" s="738"/>
      <c r="P664" s="738"/>
      <c r="Q664" s="738"/>
      <c r="R664" s="738"/>
      <c r="S664" s="738"/>
      <c r="T664" s="738"/>
      <c r="U664" s="738"/>
      <c r="V664" s="738"/>
      <c r="W664" s="738"/>
      <c r="X664" s="738"/>
      <c r="Y664" s="738"/>
      <c r="Z664" s="738"/>
      <c r="AA664" s="738"/>
      <c r="AB664" s="738"/>
      <c r="AC664" s="738"/>
      <c r="AD664" s="738"/>
      <c r="AE664" s="738"/>
      <c r="AF664" s="738"/>
      <c r="AG664" s="738"/>
      <c r="AH664" s="738"/>
      <c r="AI664" s="738"/>
      <c r="AJ664" s="738"/>
      <c r="AK664" s="738"/>
      <c r="AL664" s="738"/>
    </row>
    <row r="665">
      <c r="A665" s="738"/>
      <c r="B665" s="738"/>
      <c r="C665" s="738"/>
      <c r="D665" s="738"/>
      <c r="E665" s="738"/>
      <c r="F665" s="738"/>
      <c r="G665" s="738"/>
      <c r="H665" s="738"/>
      <c r="I665" s="738"/>
      <c r="J665" s="738"/>
      <c r="K665" s="738"/>
      <c r="L665" s="738"/>
      <c r="M665" s="738"/>
      <c r="N665" s="738"/>
      <c r="O665" s="738"/>
      <c r="P665" s="738"/>
      <c r="Q665" s="738"/>
      <c r="R665" s="738"/>
      <c r="S665" s="738"/>
      <c r="T665" s="738"/>
      <c r="U665" s="738"/>
      <c r="V665" s="738"/>
      <c r="W665" s="738"/>
      <c r="X665" s="738"/>
      <c r="Y665" s="738"/>
      <c r="Z665" s="738"/>
      <c r="AA665" s="738"/>
      <c r="AB665" s="738"/>
      <c r="AC665" s="738"/>
      <c r="AD665" s="738"/>
      <c r="AE665" s="738"/>
      <c r="AF665" s="738"/>
      <c r="AG665" s="738"/>
      <c r="AH665" s="738"/>
      <c r="AI665" s="738"/>
      <c r="AJ665" s="738"/>
      <c r="AK665" s="738"/>
      <c r="AL665" s="738"/>
    </row>
    <row r="666">
      <c r="A666" s="738"/>
      <c r="B666" s="738"/>
      <c r="C666" s="738"/>
      <c r="D666" s="738"/>
      <c r="E666" s="738"/>
      <c r="F666" s="738"/>
      <c r="G666" s="738"/>
      <c r="H666" s="738"/>
      <c r="I666" s="738"/>
      <c r="J666" s="738"/>
      <c r="K666" s="738"/>
      <c r="L666" s="738"/>
      <c r="M666" s="738"/>
      <c r="N666" s="738"/>
      <c r="O666" s="738"/>
      <c r="P666" s="738"/>
      <c r="Q666" s="738"/>
      <c r="R666" s="738"/>
      <c r="S666" s="738"/>
      <c r="T666" s="738"/>
      <c r="U666" s="738"/>
      <c r="V666" s="738"/>
      <c r="W666" s="738"/>
      <c r="X666" s="738"/>
      <c r="Y666" s="738"/>
      <c r="Z666" s="738"/>
      <c r="AA666" s="738"/>
      <c r="AB666" s="738"/>
      <c r="AC666" s="738"/>
      <c r="AD666" s="738"/>
      <c r="AE666" s="738"/>
      <c r="AF666" s="738"/>
      <c r="AG666" s="738"/>
      <c r="AH666" s="738"/>
      <c r="AI666" s="738"/>
      <c r="AJ666" s="738"/>
      <c r="AK666" s="738"/>
      <c r="AL666" s="738"/>
    </row>
    <row r="667">
      <c r="A667" s="738"/>
      <c r="B667" s="738"/>
      <c r="C667" s="738"/>
      <c r="D667" s="738"/>
      <c r="E667" s="738"/>
      <c r="F667" s="738"/>
      <c r="G667" s="738"/>
      <c r="H667" s="738"/>
      <c r="I667" s="738"/>
      <c r="J667" s="738"/>
      <c r="K667" s="738"/>
      <c r="L667" s="738"/>
      <c r="M667" s="738"/>
      <c r="N667" s="738"/>
      <c r="O667" s="738"/>
      <c r="P667" s="738"/>
      <c r="Q667" s="738"/>
      <c r="R667" s="738"/>
      <c r="S667" s="738"/>
      <c r="T667" s="738"/>
      <c r="U667" s="738"/>
      <c r="V667" s="738"/>
      <c r="W667" s="738"/>
      <c r="X667" s="738"/>
      <c r="Y667" s="738"/>
      <c r="Z667" s="738"/>
      <c r="AA667" s="738"/>
      <c r="AB667" s="738"/>
      <c r="AC667" s="738"/>
      <c r="AD667" s="738"/>
      <c r="AE667" s="738"/>
      <c r="AF667" s="738"/>
      <c r="AG667" s="738"/>
      <c r="AH667" s="738"/>
      <c r="AI667" s="738"/>
      <c r="AJ667" s="738"/>
      <c r="AK667" s="738"/>
      <c r="AL667" s="738"/>
    </row>
    <row r="668">
      <c r="A668" s="738"/>
      <c r="B668" s="738"/>
      <c r="C668" s="738"/>
      <c r="D668" s="738"/>
      <c r="E668" s="738"/>
      <c r="F668" s="738"/>
      <c r="G668" s="738"/>
      <c r="H668" s="738"/>
      <c r="I668" s="738"/>
      <c r="J668" s="738"/>
      <c r="K668" s="738"/>
      <c r="L668" s="738"/>
      <c r="M668" s="738"/>
      <c r="N668" s="738"/>
      <c r="O668" s="738"/>
      <c r="P668" s="738"/>
      <c r="Q668" s="738"/>
      <c r="R668" s="738"/>
      <c r="S668" s="738"/>
      <c r="T668" s="738"/>
      <c r="U668" s="738"/>
      <c r="V668" s="738"/>
      <c r="W668" s="738"/>
      <c r="X668" s="738"/>
      <c r="Y668" s="738"/>
      <c r="Z668" s="738"/>
      <c r="AA668" s="738"/>
      <c r="AB668" s="738"/>
      <c r="AC668" s="738"/>
      <c r="AD668" s="738"/>
      <c r="AE668" s="738"/>
      <c r="AF668" s="738"/>
      <c r="AG668" s="738"/>
      <c r="AH668" s="738"/>
      <c r="AI668" s="738"/>
      <c r="AJ668" s="738"/>
      <c r="AK668" s="738"/>
      <c r="AL668" s="738"/>
    </row>
    <row r="669">
      <c r="A669" s="738"/>
      <c r="B669" s="738"/>
      <c r="C669" s="738"/>
      <c r="D669" s="738"/>
      <c r="E669" s="738"/>
      <c r="F669" s="738"/>
      <c r="G669" s="738"/>
      <c r="H669" s="738"/>
      <c r="I669" s="738"/>
      <c r="J669" s="738"/>
      <c r="K669" s="738"/>
      <c r="L669" s="738"/>
      <c r="M669" s="738"/>
      <c r="N669" s="738"/>
      <c r="O669" s="738"/>
      <c r="P669" s="738"/>
      <c r="Q669" s="738"/>
      <c r="R669" s="738"/>
      <c r="S669" s="738"/>
      <c r="T669" s="738"/>
      <c r="U669" s="738"/>
      <c r="V669" s="738"/>
      <c r="W669" s="738"/>
      <c r="X669" s="738"/>
      <c r="Y669" s="738"/>
      <c r="Z669" s="738"/>
      <c r="AA669" s="738"/>
      <c r="AB669" s="738"/>
      <c r="AC669" s="738"/>
      <c r="AD669" s="738"/>
      <c r="AE669" s="738"/>
      <c r="AF669" s="738"/>
      <c r="AG669" s="738"/>
      <c r="AH669" s="738"/>
      <c r="AI669" s="738"/>
      <c r="AJ669" s="738"/>
      <c r="AK669" s="738"/>
      <c r="AL669" s="738"/>
    </row>
    <row r="670">
      <c r="A670" s="738"/>
      <c r="B670" s="738"/>
      <c r="C670" s="738"/>
      <c r="D670" s="738"/>
      <c r="E670" s="738"/>
      <c r="F670" s="738"/>
      <c r="G670" s="738"/>
      <c r="H670" s="738"/>
      <c r="I670" s="738"/>
      <c r="J670" s="738"/>
      <c r="K670" s="738"/>
      <c r="L670" s="738"/>
      <c r="M670" s="738"/>
      <c r="N670" s="738"/>
      <c r="O670" s="738"/>
      <c r="P670" s="738"/>
      <c r="Q670" s="738"/>
      <c r="R670" s="738"/>
      <c r="S670" s="738"/>
      <c r="T670" s="738"/>
      <c r="U670" s="738"/>
      <c r="V670" s="738"/>
      <c r="W670" s="738"/>
      <c r="X670" s="738"/>
      <c r="Y670" s="738"/>
      <c r="Z670" s="738"/>
      <c r="AA670" s="738"/>
      <c r="AB670" s="738"/>
      <c r="AC670" s="738"/>
      <c r="AD670" s="738"/>
      <c r="AE670" s="738"/>
      <c r="AF670" s="738"/>
      <c r="AG670" s="738"/>
      <c r="AH670" s="738"/>
      <c r="AI670" s="738"/>
      <c r="AJ670" s="738"/>
      <c r="AK670" s="738"/>
      <c r="AL670" s="738"/>
    </row>
    <row r="671">
      <c r="A671" s="738"/>
      <c r="B671" s="738"/>
      <c r="C671" s="738"/>
      <c r="D671" s="738"/>
      <c r="E671" s="738"/>
      <c r="F671" s="738"/>
      <c r="G671" s="738"/>
      <c r="H671" s="738"/>
      <c r="I671" s="738"/>
      <c r="J671" s="738"/>
      <c r="K671" s="738"/>
      <c r="L671" s="738"/>
      <c r="M671" s="738"/>
      <c r="N671" s="738"/>
      <c r="O671" s="738"/>
      <c r="P671" s="738"/>
      <c r="Q671" s="738"/>
      <c r="R671" s="738"/>
      <c r="S671" s="738"/>
      <c r="T671" s="738"/>
      <c r="U671" s="738"/>
      <c r="V671" s="738"/>
      <c r="W671" s="738"/>
      <c r="X671" s="738"/>
      <c r="Y671" s="738"/>
      <c r="Z671" s="738"/>
      <c r="AA671" s="738"/>
      <c r="AB671" s="738"/>
      <c r="AC671" s="738"/>
      <c r="AD671" s="738"/>
      <c r="AE671" s="738"/>
      <c r="AF671" s="738"/>
      <c r="AG671" s="738"/>
      <c r="AH671" s="738"/>
      <c r="AI671" s="738"/>
      <c r="AJ671" s="738"/>
      <c r="AK671" s="738"/>
      <c r="AL671" s="738"/>
    </row>
    <row r="672">
      <c r="A672" s="738"/>
      <c r="B672" s="738"/>
      <c r="C672" s="738"/>
      <c r="D672" s="738"/>
      <c r="E672" s="738"/>
      <c r="F672" s="738"/>
      <c r="G672" s="738"/>
      <c r="H672" s="738"/>
      <c r="I672" s="738"/>
      <c r="J672" s="738"/>
      <c r="K672" s="738"/>
      <c r="L672" s="738"/>
      <c r="M672" s="738"/>
      <c r="N672" s="738"/>
      <c r="O672" s="738"/>
      <c r="P672" s="738"/>
      <c r="Q672" s="738"/>
      <c r="R672" s="738"/>
      <c r="S672" s="738"/>
      <c r="T672" s="738"/>
      <c r="U672" s="738"/>
      <c r="V672" s="738"/>
      <c r="W672" s="738"/>
      <c r="X672" s="738"/>
      <c r="Y672" s="738"/>
      <c r="Z672" s="738"/>
      <c r="AA672" s="738"/>
      <c r="AB672" s="738"/>
      <c r="AC672" s="738"/>
      <c r="AD672" s="738"/>
      <c r="AE672" s="738"/>
      <c r="AF672" s="738"/>
      <c r="AG672" s="738"/>
      <c r="AH672" s="738"/>
      <c r="AI672" s="738"/>
      <c r="AJ672" s="738"/>
      <c r="AK672" s="738"/>
      <c r="AL672" s="738"/>
    </row>
    <row r="673">
      <c r="A673" s="738"/>
      <c r="B673" s="738"/>
      <c r="C673" s="738"/>
      <c r="D673" s="738"/>
      <c r="E673" s="738"/>
      <c r="F673" s="738"/>
      <c r="G673" s="738"/>
      <c r="H673" s="738"/>
      <c r="I673" s="738"/>
      <c r="J673" s="738"/>
      <c r="K673" s="738"/>
      <c r="L673" s="738"/>
      <c r="M673" s="738"/>
      <c r="N673" s="738"/>
      <c r="O673" s="738"/>
      <c r="P673" s="738"/>
      <c r="Q673" s="738"/>
      <c r="R673" s="738"/>
      <c r="S673" s="738"/>
      <c r="T673" s="738"/>
      <c r="U673" s="738"/>
      <c r="V673" s="738"/>
      <c r="W673" s="738"/>
      <c r="X673" s="738"/>
      <c r="Y673" s="738"/>
      <c r="Z673" s="738"/>
      <c r="AA673" s="738"/>
      <c r="AB673" s="738"/>
      <c r="AC673" s="738"/>
      <c r="AD673" s="738"/>
      <c r="AE673" s="738"/>
      <c r="AF673" s="738"/>
      <c r="AG673" s="738"/>
      <c r="AH673" s="738"/>
      <c r="AI673" s="738"/>
      <c r="AJ673" s="738"/>
      <c r="AK673" s="738"/>
      <c r="AL673" s="738"/>
    </row>
    <row r="674">
      <c r="A674" s="738"/>
      <c r="B674" s="738"/>
      <c r="C674" s="738"/>
      <c r="D674" s="738"/>
      <c r="E674" s="738"/>
      <c r="F674" s="738"/>
      <c r="G674" s="738"/>
      <c r="H674" s="738"/>
      <c r="I674" s="738"/>
      <c r="J674" s="738"/>
      <c r="K674" s="738"/>
      <c r="L674" s="738"/>
      <c r="M674" s="738"/>
      <c r="N674" s="738"/>
      <c r="O674" s="738"/>
      <c r="P674" s="738"/>
      <c r="Q674" s="738"/>
      <c r="R674" s="738"/>
      <c r="S674" s="738"/>
      <c r="T674" s="738"/>
      <c r="U674" s="738"/>
      <c r="V674" s="738"/>
      <c r="W674" s="738"/>
      <c r="X674" s="738"/>
      <c r="Y674" s="738"/>
      <c r="Z674" s="738"/>
      <c r="AA674" s="738"/>
      <c r="AB674" s="738"/>
      <c r="AC674" s="738"/>
      <c r="AD674" s="738"/>
      <c r="AE674" s="738"/>
      <c r="AF674" s="738"/>
      <c r="AG674" s="738"/>
      <c r="AH674" s="738"/>
      <c r="AI674" s="738"/>
      <c r="AJ674" s="738"/>
      <c r="AK674" s="738"/>
      <c r="AL674" s="738"/>
    </row>
    <row r="675">
      <c r="A675" s="738"/>
      <c r="B675" s="738"/>
      <c r="C675" s="738"/>
      <c r="D675" s="738"/>
      <c r="E675" s="738"/>
      <c r="F675" s="738"/>
      <c r="G675" s="738"/>
      <c r="H675" s="738"/>
      <c r="I675" s="738"/>
      <c r="J675" s="738"/>
      <c r="K675" s="738"/>
      <c r="L675" s="738"/>
      <c r="M675" s="738"/>
      <c r="N675" s="738"/>
      <c r="O675" s="738"/>
      <c r="P675" s="738"/>
      <c r="Q675" s="738"/>
      <c r="R675" s="738"/>
      <c r="S675" s="738"/>
      <c r="T675" s="738"/>
      <c r="U675" s="738"/>
      <c r="V675" s="738"/>
      <c r="W675" s="738"/>
      <c r="X675" s="738"/>
      <c r="Y675" s="738"/>
      <c r="Z675" s="738"/>
      <c r="AA675" s="738"/>
      <c r="AB675" s="738"/>
      <c r="AC675" s="738"/>
      <c r="AD675" s="738"/>
      <c r="AE675" s="738"/>
      <c r="AF675" s="738"/>
      <c r="AG675" s="738"/>
      <c r="AH675" s="738"/>
      <c r="AI675" s="738"/>
      <c r="AJ675" s="738"/>
      <c r="AK675" s="738"/>
      <c r="AL675" s="738"/>
    </row>
    <row r="676">
      <c r="A676" s="738"/>
      <c r="B676" s="738"/>
      <c r="C676" s="738"/>
      <c r="D676" s="738"/>
      <c r="E676" s="738"/>
      <c r="F676" s="738"/>
      <c r="G676" s="738"/>
      <c r="H676" s="738"/>
      <c r="I676" s="738"/>
      <c r="J676" s="738"/>
      <c r="K676" s="738"/>
      <c r="L676" s="738"/>
      <c r="M676" s="738"/>
      <c r="N676" s="738"/>
      <c r="O676" s="738"/>
      <c r="P676" s="738"/>
      <c r="Q676" s="738"/>
      <c r="R676" s="738"/>
      <c r="S676" s="738"/>
      <c r="T676" s="738"/>
      <c r="U676" s="738"/>
      <c r="V676" s="738"/>
      <c r="W676" s="738"/>
      <c r="X676" s="738"/>
      <c r="Y676" s="738"/>
      <c r="Z676" s="738"/>
      <c r="AA676" s="738"/>
      <c r="AB676" s="738"/>
      <c r="AC676" s="738"/>
      <c r="AD676" s="738"/>
      <c r="AE676" s="738"/>
      <c r="AF676" s="738"/>
      <c r="AG676" s="738"/>
      <c r="AH676" s="738"/>
      <c r="AI676" s="738"/>
      <c r="AJ676" s="738"/>
      <c r="AK676" s="738"/>
      <c r="AL676" s="738"/>
    </row>
    <row r="677">
      <c r="A677" s="738"/>
      <c r="B677" s="738"/>
      <c r="C677" s="738"/>
      <c r="D677" s="738"/>
      <c r="E677" s="738"/>
      <c r="F677" s="738"/>
      <c r="G677" s="738"/>
      <c r="H677" s="738"/>
      <c r="I677" s="738"/>
      <c r="J677" s="738"/>
      <c r="K677" s="738"/>
      <c r="L677" s="738"/>
      <c r="M677" s="738"/>
      <c r="N677" s="738"/>
      <c r="O677" s="738"/>
      <c r="P677" s="738"/>
      <c r="Q677" s="738"/>
      <c r="R677" s="738"/>
      <c r="S677" s="738"/>
      <c r="T677" s="738"/>
      <c r="U677" s="738"/>
      <c r="V677" s="738"/>
      <c r="W677" s="738"/>
      <c r="X677" s="738"/>
      <c r="Y677" s="738"/>
      <c r="Z677" s="738"/>
      <c r="AA677" s="738"/>
      <c r="AB677" s="738"/>
      <c r="AC677" s="738"/>
      <c r="AD677" s="738"/>
      <c r="AE677" s="738"/>
      <c r="AF677" s="738"/>
      <c r="AG677" s="738"/>
      <c r="AH677" s="738"/>
      <c r="AI677" s="738"/>
      <c r="AJ677" s="738"/>
      <c r="AK677" s="738"/>
      <c r="AL677" s="738"/>
    </row>
    <row r="678">
      <c r="A678" s="738"/>
      <c r="B678" s="738"/>
      <c r="C678" s="738"/>
      <c r="D678" s="738"/>
      <c r="E678" s="738"/>
      <c r="F678" s="738"/>
      <c r="G678" s="738"/>
      <c r="H678" s="738"/>
      <c r="I678" s="738"/>
      <c r="J678" s="738"/>
      <c r="K678" s="738"/>
      <c r="L678" s="738"/>
      <c r="M678" s="738"/>
      <c r="N678" s="738"/>
      <c r="O678" s="738"/>
      <c r="P678" s="738"/>
      <c r="Q678" s="738"/>
      <c r="R678" s="738"/>
      <c r="S678" s="738"/>
      <c r="T678" s="738"/>
      <c r="U678" s="738"/>
      <c r="V678" s="738"/>
      <c r="W678" s="738"/>
      <c r="X678" s="738"/>
      <c r="Y678" s="738"/>
      <c r="Z678" s="738"/>
      <c r="AA678" s="738"/>
      <c r="AB678" s="738"/>
      <c r="AC678" s="738"/>
      <c r="AD678" s="738"/>
      <c r="AE678" s="738"/>
      <c r="AF678" s="738"/>
      <c r="AG678" s="738"/>
      <c r="AH678" s="738"/>
      <c r="AI678" s="738"/>
      <c r="AJ678" s="738"/>
      <c r="AK678" s="738"/>
      <c r="AL678" s="738"/>
    </row>
    <row r="679">
      <c r="A679" s="738"/>
      <c r="B679" s="738"/>
      <c r="C679" s="738"/>
      <c r="D679" s="738"/>
      <c r="E679" s="738"/>
      <c r="F679" s="738"/>
      <c r="G679" s="738"/>
      <c r="H679" s="738"/>
      <c r="I679" s="738"/>
      <c r="J679" s="738"/>
      <c r="K679" s="738"/>
      <c r="L679" s="738"/>
      <c r="M679" s="738"/>
      <c r="N679" s="738"/>
      <c r="O679" s="738"/>
      <c r="P679" s="738"/>
      <c r="Q679" s="738"/>
      <c r="R679" s="738"/>
      <c r="S679" s="738"/>
      <c r="T679" s="738"/>
      <c r="U679" s="738"/>
      <c r="V679" s="738"/>
      <c r="W679" s="738"/>
      <c r="X679" s="738"/>
      <c r="Y679" s="738"/>
      <c r="Z679" s="738"/>
      <c r="AA679" s="738"/>
      <c r="AB679" s="738"/>
      <c r="AC679" s="738"/>
      <c r="AD679" s="738"/>
      <c r="AE679" s="738"/>
      <c r="AF679" s="738"/>
      <c r="AG679" s="738"/>
      <c r="AH679" s="738"/>
      <c r="AI679" s="738"/>
      <c r="AJ679" s="738"/>
      <c r="AK679" s="738"/>
      <c r="AL679" s="738"/>
    </row>
    <row r="680">
      <c r="A680" s="738"/>
      <c r="B680" s="738"/>
      <c r="C680" s="738"/>
      <c r="D680" s="738"/>
      <c r="E680" s="738"/>
      <c r="F680" s="738"/>
      <c r="G680" s="738"/>
      <c r="H680" s="738"/>
      <c r="I680" s="738"/>
      <c r="J680" s="738"/>
      <c r="K680" s="738"/>
      <c r="L680" s="738"/>
      <c r="M680" s="738"/>
      <c r="N680" s="738"/>
      <c r="O680" s="738"/>
      <c r="P680" s="738"/>
      <c r="Q680" s="738"/>
      <c r="R680" s="738"/>
      <c r="S680" s="738"/>
      <c r="T680" s="738"/>
      <c r="U680" s="738"/>
      <c r="V680" s="738"/>
      <c r="W680" s="738"/>
      <c r="X680" s="738"/>
      <c r="Y680" s="738"/>
      <c r="Z680" s="738"/>
      <c r="AA680" s="738"/>
      <c r="AB680" s="738"/>
      <c r="AC680" s="738"/>
      <c r="AD680" s="738"/>
      <c r="AE680" s="738"/>
      <c r="AF680" s="738"/>
      <c r="AG680" s="738"/>
      <c r="AH680" s="738"/>
      <c r="AI680" s="738"/>
      <c r="AJ680" s="738"/>
      <c r="AK680" s="738"/>
      <c r="AL680" s="738"/>
    </row>
    <row r="681">
      <c r="A681" s="738"/>
      <c r="B681" s="738"/>
      <c r="C681" s="738"/>
      <c r="D681" s="738"/>
      <c r="E681" s="738"/>
      <c r="F681" s="738"/>
      <c r="G681" s="738"/>
      <c r="H681" s="738"/>
      <c r="I681" s="738"/>
      <c r="J681" s="738"/>
      <c r="K681" s="738"/>
      <c r="L681" s="738"/>
      <c r="M681" s="738"/>
      <c r="N681" s="738"/>
      <c r="O681" s="738"/>
      <c r="P681" s="738"/>
      <c r="Q681" s="738"/>
      <c r="R681" s="738"/>
      <c r="S681" s="738"/>
      <c r="T681" s="738"/>
      <c r="U681" s="738"/>
      <c r="V681" s="738"/>
      <c r="W681" s="738"/>
      <c r="X681" s="738"/>
      <c r="Y681" s="738"/>
      <c r="Z681" s="738"/>
      <c r="AA681" s="738"/>
      <c r="AB681" s="738"/>
      <c r="AC681" s="738"/>
      <c r="AD681" s="738"/>
      <c r="AE681" s="738"/>
      <c r="AF681" s="738"/>
      <c r="AG681" s="738"/>
      <c r="AH681" s="738"/>
      <c r="AI681" s="738"/>
      <c r="AJ681" s="738"/>
      <c r="AK681" s="738"/>
      <c r="AL681" s="738"/>
    </row>
    <row r="682">
      <c r="A682" s="738"/>
      <c r="B682" s="738"/>
      <c r="C682" s="738"/>
      <c r="D682" s="738"/>
      <c r="E682" s="738"/>
      <c r="F682" s="738"/>
      <c r="G682" s="738"/>
      <c r="H682" s="738"/>
      <c r="I682" s="738"/>
      <c r="J682" s="738"/>
      <c r="K682" s="738"/>
      <c r="L682" s="738"/>
      <c r="M682" s="738"/>
      <c r="N682" s="738"/>
      <c r="O682" s="738"/>
      <c r="P682" s="738"/>
      <c r="Q682" s="738"/>
      <c r="R682" s="738"/>
      <c r="S682" s="738"/>
      <c r="T682" s="738"/>
      <c r="U682" s="738"/>
      <c r="V682" s="738"/>
      <c r="W682" s="738"/>
      <c r="X682" s="738"/>
      <c r="Y682" s="738"/>
      <c r="Z682" s="738"/>
      <c r="AA682" s="738"/>
      <c r="AB682" s="738"/>
      <c r="AC682" s="738"/>
      <c r="AD682" s="738"/>
      <c r="AE682" s="738"/>
      <c r="AF682" s="738"/>
      <c r="AG682" s="738"/>
      <c r="AH682" s="738"/>
      <c r="AI682" s="738"/>
      <c r="AJ682" s="738"/>
      <c r="AK682" s="738"/>
      <c r="AL682" s="738"/>
    </row>
    <row r="683">
      <c r="A683" s="738"/>
      <c r="B683" s="738"/>
      <c r="C683" s="738"/>
      <c r="D683" s="738"/>
      <c r="E683" s="738"/>
      <c r="F683" s="738"/>
      <c r="G683" s="738"/>
      <c r="H683" s="738"/>
      <c r="I683" s="738"/>
      <c r="J683" s="738"/>
      <c r="K683" s="738"/>
      <c r="L683" s="738"/>
      <c r="M683" s="738"/>
      <c r="N683" s="738"/>
      <c r="O683" s="738"/>
      <c r="P683" s="738"/>
      <c r="Q683" s="738"/>
      <c r="R683" s="738"/>
      <c r="S683" s="738"/>
      <c r="T683" s="738"/>
      <c r="U683" s="738"/>
      <c r="V683" s="738"/>
      <c r="W683" s="738"/>
      <c r="X683" s="738"/>
      <c r="Y683" s="738"/>
      <c r="Z683" s="738"/>
      <c r="AA683" s="738"/>
      <c r="AB683" s="738"/>
      <c r="AC683" s="738"/>
      <c r="AD683" s="738"/>
      <c r="AE683" s="738"/>
      <c r="AF683" s="738"/>
      <c r="AG683" s="738"/>
      <c r="AH683" s="738"/>
      <c r="AI683" s="738"/>
      <c r="AJ683" s="738"/>
      <c r="AK683" s="738"/>
      <c r="AL683" s="738"/>
    </row>
    <row r="684">
      <c r="A684" s="738"/>
      <c r="B684" s="738"/>
      <c r="C684" s="738"/>
      <c r="D684" s="738"/>
      <c r="E684" s="738"/>
      <c r="F684" s="738"/>
      <c r="G684" s="738"/>
      <c r="H684" s="738"/>
      <c r="I684" s="738"/>
      <c r="J684" s="738"/>
      <c r="K684" s="738"/>
      <c r="L684" s="738"/>
      <c r="M684" s="738"/>
      <c r="N684" s="738"/>
      <c r="O684" s="738"/>
      <c r="P684" s="738"/>
      <c r="Q684" s="738"/>
      <c r="R684" s="738"/>
      <c r="S684" s="738"/>
      <c r="T684" s="738"/>
      <c r="U684" s="738"/>
      <c r="V684" s="738"/>
      <c r="W684" s="738"/>
      <c r="X684" s="738"/>
      <c r="Y684" s="738"/>
      <c r="Z684" s="738"/>
      <c r="AA684" s="738"/>
      <c r="AB684" s="738"/>
      <c r="AC684" s="738"/>
      <c r="AD684" s="738"/>
      <c r="AE684" s="738"/>
      <c r="AF684" s="738"/>
      <c r="AG684" s="738"/>
      <c r="AH684" s="738"/>
      <c r="AI684" s="738"/>
      <c r="AJ684" s="738"/>
      <c r="AK684" s="738"/>
      <c r="AL684" s="738"/>
    </row>
    <row r="685">
      <c r="A685" s="738"/>
      <c r="B685" s="738"/>
      <c r="C685" s="738"/>
      <c r="D685" s="738"/>
      <c r="E685" s="738"/>
      <c r="F685" s="738"/>
      <c r="G685" s="738"/>
      <c r="H685" s="738"/>
      <c r="I685" s="738"/>
      <c r="J685" s="738"/>
      <c r="K685" s="738"/>
      <c r="L685" s="738"/>
      <c r="M685" s="738"/>
      <c r="N685" s="738"/>
      <c r="O685" s="738"/>
      <c r="P685" s="738"/>
      <c r="Q685" s="738"/>
      <c r="R685" s="738"/>
      <c r="S685" s="738"/>
      <c r="T685" s="738"/>
      <c r="U685" s="738"/>
      <c r="V685" s="738"/>
      <c r="W685" s="738"/>
      <c r="X685" s="738"/>
      <c r="Y685" s="738"/>
      <c r="Z685" s="738"/>
      <c r="AA685" s="738"/>
      <c r="AB685" s="738"/>
      <c r="AC685" s="738"/>
      <c r="AD685" s="738"/>
      <c r="AE685" s="738"/>
      <c r="AF685" s="738"/>
      <c r="AG685" s="738"/>
      <c r="AH685" s="738"/>
      <c r="AI685" s="738"/>
      <c r="AJ685" s="738"/>
      <c r="AK685" s="738"/>
      <c r="AL685" s="738"/>
    </row>
    <row r="686">
      <c r="A686" s="738"/>
      <c r="B686" s="738"/>
      <c r="C686" s="738"/>
      <c r="D686" s="738"/>
      <c r="E686" s="738"/>
      <c r="F686" s="738"/>
      <c r="G686" s="738"/>
      <c r="H686" s="738"/>
      <c r="I686" s="738"/>
      <c r="J686" s="738"/>
      <c r="K686" s="738"/>
      <c r="L686" s="738"/>
      <c r="M686" s="738"/>
      <c r="N686" s="738"/>
      <c r="O686" s="738"/>
      <c r="P686" s="738"/>
      <c r="Q686" s="738"/>
      <c r="R686" s="738"/>
      <c r="S686" s="738"/>
      <c r="T686" s="738"/>
      <c r="U686" s="738"/>
      <c r="V686" s="738"/>
      <c r="W686" s="738"/>
      <c r="X686" s="738"/>
      <c r="Y686" s="738"/>
      <c r="Z686" s="738"/>
      <c r="AA686" s="738"/>
      <c r="AB686" s="738"/>
      <c r="AC686" s="738"/>
      <c r="AD686" s="738"/>
      <c r="AE686" s="738"/>
      <c r="AF686" s="738"/>
      <c r="AG686" s="738"/>
      <c r="AH686" s="738"/>
      <c r="AI686" s="738"/>
      <c r="AJ686" s="738"/>
      <c r="AK686" s="738"/>
      <c r="AL686" s="738"/>
    </row>
    <row r="687">
      <c r="A687" s="738"/>
      <c r="B687" s="738"/>
      <c r="C687" s="738"/>
      <c r="D687" s="738"/>
      <c r="E687" s="738"/>
      <c r="F687" s="738"/>
      <c r="G687" s="738"/>
      <c r="H687" s="738"/>
      <c r="I687" s="738"/>
      <c r="J687" s="738"/>
      <c r="K687" s="738"/>
      <c r="L687" s="738"/>
      <c r="M687" s="738"/>
      <c r="N687" s="738"/>
      <c r="O687" s="738"/>
      <c r="P687" s="738"/>
      <c r="Q687" s="738"/>
      <c r="R687" s="738"/>
      <c r="S687" s="738"/>
      <c r="T687" s="738"/>
      <c r="U687" s="738"/>
      <c r="V687" s="738"/>
      <c r="W687" s="738"/>
      <c r="X687" s="738"/>
      <c r="Y687" s="738"/>
      <c r="Z687" s="738"/>
      <c r="AA687" s="738"/>
      <c r="AB687" s="738"/>
      <c r="AC687" s="738"/>
      <c r="AD687" s="738"/>
      <c r="AE687" s="738"/>
      <c r="AF687" s="738"/>
      <c r="AG687" s="738"/>
      <c r="AH687" s="738"/>
      <c r="AI687" s="738"/>
      <c r="AJ687" s="738"/>
      <c r="AK687" s="738"/>
      <c r="AL687" s="738"/>
    </row>
    <row r="688">
      <c r="A688" s="738"/>
      <c r="B688" s="738"/>
      <c r="C688" s="738"/>
      <c r="D688" s="738"/>
      <c r="E688" s="738"/>
      <c r="F688" s="738"/>
      <c r="G688" s="738"/>
      <c r="H688" s="738"/>
      <c r="I688" s="738"/>
      <c r="J688" s="738"/>
      <c r="K688" s="738"/>
      <c r="L688" s="738"/>
      <c r="M688" s="738"/>
      <c r="N688" s="738"/>
      <c r="O688" s="738"/>
      <c r="P688" s="738"/>
      <c r="Q688" s="738"/>
      <c r="R688" s="738"/>
      <c r="S688" s="738"/>
      <c r="T688" s="738"/>
      <c r="U688" s="738"/>
      <c r="V688" s="738"/>
      <c r="W688" s="738"/>
      <c r="X688" s="738"/>
      <c r="Y688" s="738"/>
      <c r="Z688" s="738"/>
      <c r="AA688" s="738"/>
      <c r="AB688" s="738"/>
      <c r="AC688" s="738"/>
      <c r="AD688" s="738"/>
      <c r="AE688" s="738"/>
      <c r="AF688" s="738"/>
      <c r="AG688" s="738"/>
      <c r="AH688" s="738"/>
      <c r="AI688" s="738"/>
      <c r="AJ688" s="738"/>
      <c r="AK688" s="738"/>
      <c r="AL688" s="738"/>
    </row>
    <row r="689">
      <c r="A689" s="738"/>
      <c r="B689" s="738"/>
      <c r="C689" s="738"/>
      <c r="D689" s="738"/>
      <c r="E689" s="738"/>
      <c r="F689" s="738"/>
      <c r="G689" s="738"/>
      <c r="H689" s="738"/>
      <c r="I689" s="738"/>
      <c r="J689" s="738"/>
      <c r="K689" s="738"/>
      <c r="L689" s="738"/>
      <c r="M689" s="738"/>
      <c r="N689" s="738"/>
      <c r="O689" s="738"/>
      <c r="P689" s="738"/>
      <c r="Q689" s="738"/>
      <c r="R689" s="738"/>
      <c r="S689" s="738"/>
      <c r="T689" s="738"/>
      <c r="U689" s="738"/>
      <c r="V689" s="738"/>
      <c r="W689" s="738"/>
      <c r="X689" s="738"/>
      <c r="Y689" s="738"/>
      <c r="Z689" s="738"/>
      <c r="AA689" s="738"/>
      <c r="AB689" s="738"/>
      <c r="AC689" s="738"/>
      <c r="AD689" s="738"/>
      <c r="AE689" s="738"/>
      <c r="AF689" s="738"/>
      <c r="AG689" s="738"/>
      <c r="AH689" s="738"/>
      <c r="AI689" s="738"/>
      <c r="AJ689" s="738"/>
      <c r="AK689" s="738"/>
      <c r="AL689" s="738"/>
    </row>
    <row r="690">
      <c r="A690" s="738"/>
      <c r="B690" s="738"/>
      <c r="C690" s="738"/>
      <c r="D690" s="738"/>
      <c r="E690" s="738"/>
      <c r="F690" s="738"/>
      <c r="G690" s="738"/>
      <c r="H690" s="738"/>
      <c r="I690" s="738"/>
      <c r="J690" s="738"/>
      <c r="K690" s="738"/>
      <c r="L690" s="738"/>
      <c r="M690" s="738"/>
      <c r="N690" s="738"/>
      <c r="O690" s="738"/>
      <c r="P690" s="738"/>
      <c r="Q690" s="738"/>
      <c r="R690" s="738"/>
      <c r="S690" s="738"/>
      <c r="T690" s="738"/>
      <c r="U690" s="738"/>
      <c r="V690" s="738"/>
      <c r="W690" s="738"/>
      <c r="X690" s="738"/>
      <c r="Y690" s="738"/>
      <c r="Z690" s="738"/>
      <c r="AA690" s="738"/>
      <c r="AB690" s="738"/>
      <c r="AC690" s="738"/>
      <c r="AD690" s="738"/>
      <c r="AE690" s="738"/>
      <c r="AF690" s="738"/>
      <c r="AG690" s="738"/>
      <c r="AH690" s="738"/>
      <c r="AI690" s="738"/>
      <c r="AJ690" s="738"/>
      <c r="AK690" s="738"/>
      <c r="AL690" s="738"/>
    </row>
    <row r="691">
      <c r="A691" s="738"/>
      <c r="B691" s="738"/>
      <c r="C691" s="738"/>
      <c r="D691" s="738"/>
      <c r="E691" s="738"/>
      <c r="F691" s="738"/>
      <c r="G691" s="738"/>
      <c r="H691" s="738"/>
      <c r="I691" s="738"/>
      <c r="J691" s="738"/>
      <c r="K691" s="738"/>
      <c r="L691" s="738"/>
      <c r="M691" s="738"/>
      <c r="N691" s="738"/>
      <c r="O691" s="738"/>
      <c r="P691" s="738"/>
      <c r="Q691" s="738"/>
      <c r="R691" s="738"/>
      <c r="S691" s="738"/>
      <c r="T691" s="738"/>
      <c r="U691" s="738"/>
      <c r="V691" s="738"/>
      <c r="W691" s="738"/>
      <c r="X691" s="738"/>
      <c r="Y691" s="738"/>
      <c r="Z691" s="738"/>
      <c r="AA691" s="738"/>
      <c r="AB691" s="738"/>
      <c r="AC691" s="738"/>
      <c r="AD691" s="738"/>
      <c r="AE691" s="738"/>
      <c r="AF691" s="738"/>
      <c r="AG691" s="738"/>
      <c r="AH691" s="738"/>
      <c r="AI691" s="738"/>
      <c r="AJ691" s="738"/>
      <c r="AK691" s="738"/>
      <c r="AL691" s="738"/>
    </row>
    <row r="692">
      <c r="A692" s="738"/>
      <c r="B692" s="738"/>
      <c r="C692" s="738"/>
      <c r="D692" s="738"/>
      <c r="E692" s="738"/>
      <c r="F692" s="738"/>
      <c r="G692" s="738"/>
      <c r="H692" s="738"/>
      <c r="I692" s="738"/>
      <c r="J692" s="738"/>
      <c r="K692" s="738"/>
      <c r="L692" s="738"/>
      <c r="M692" s="738"/>
      <c r="N692" s="738"/>
      <c r="O692" s="738"/>
      <c r="P692" s="738"/>
      <c r="Q692" s="738"/>
      <c r="R692" s="738"/>
      <c r="S692" s="738"/>
      <c r="T692" s="738"/>
      <c r="U692" s="738"/>
      <c r="V692" s="738"/>
      <c r="W692" s="738"/>
      <c r="X692" s="738"/>
      <c r="Y692" s="738"/>
      <c r="Z692" s="738"/>
      <c r="AA692" s="738"/>
      <c r="AB692" s="738"/>
      <c r="AC692" s="738"/>
      <c r="AD692" s="738"/>
      <c r="AE692" s="738"/>
      <c r="AF692" s="738"/>
      <c r="AG692" s="738"/>
      <c r="AH692" s="738"/>
      <c r="AI692" s="738"/>
      <c r="AJ692" s="738"/>
      <c r="AK692" s="738"/>
      <c r="AL692" s="738"/>
    </row>
    <row r="693">
      <c r="A693" s="738"/>
      <c r="B693" s="738"/>
      <c r="C693" s="738"/>
      <c r="D693" s="738"/>
      <c r="E693" s="738"/>
      <c r="F693" s="738"/>
      <c r="G693" s="738"/>
      <c r="H693" s="738"/>
      <c r="I693" s="738"/>
      <c r="J693" s="738"/>
      <c r="K693" s="738"/>
      <c r="L693" s="738"/>
      <c r="M693" s="738"/>
      <c r="N693" s="738"/>
      <c r="O693" s="738"/>
      <c r="P693" s="738"/>
      <c r="Q693" s="738"/>
      <c r="R693" s="738"/>
      <c r="S693" s="738"/>
      <c r="T693" s="738"/>
      <c r="U693" s="738"/>
      <c r="V693" s="738"/>
      <c r="W693" s="738"/>
      <c r="X693" s="738"/>
      <c r="Y693" s="738"/>
      <c r="Z693" s="738"/>
      <c r="AA693" s="738"/>
      <c r="AB693" s="738"/>
      <c r="AC693" s="738"/>
      <c r="AD693" s="738"/>
      <c r="AE693" s="738"/>
      <c r="AF693" s="738"/>
      <c r="AG693" s="738"/>
      <c r="AH693" s="738"/>
      <c r="AI693" s="738"/>
      <c r="AJ693" s="738"/>
      <c r="AK693" s="738"/>
      <c r="AL693" s="738"/>
    </row>
    <row r="694">
      <c r="A694" s="738"/>
      <c r="B694" s="738"/>
      <c r="C694" s="738"/>
      <c r="D694" s="738"/>
      <c r="E694" s="738"/>
      <c r="F694" s="738"/>
      <c r="G694" s="738"/>
      <c r="H694" s="738"/>
      <c r="I694" s="738"/>
      <c r="J694" s="738"/>
      <c r="K694" s="738"/>
      <c r="L694" s="738"/>
      <c r="M694" s="738"/>
      <c r="N694" s="738"/>
      <c r="O694" s="738"/>
      <c r="P694" s="738"/>
      <c r="Q694" s="738"/>
      <c r="R694" s="738"/>
      <c r="S694" s="738"/>
      <c r="T694" s="738"/>
      <c r="U694" s="738"/>
      <c r="V694" s="738"/>
      <c r="W694" s="738"/>
      <c r="X694" s="738"/>
      <c r="Y694" s="738"/>
      <c r="Z694" s="738"/>
      <c r="AA694" s="738"/>
      <c r="AB694" s="738"/>
      <c r="AC694" s="738"/>
      <c r="AD694" s="738"/>
      <c r="AE694" s="738"/>
      <c r="AF694" s="738"/>
      <c r="AG694" s="738"/>
      <c r="AH694" s="738"/>
      <c r="AI694" s="738"/>
      <c r="AJ694" s="738"/>
      <c r="AK694" s="738"/>
      <c r="AL694" s="738"/>
    </row>
    <row r="695">
      <c r="A695" s="738"/>
      <c r="B695" s="738"/>
      <c r="C695" s="738"/>
      <c r="D695" s="738"/>
      <c r="E695" s="738"/>
      <c r="F695" s="738"/>
      <c r="G695" s="738"/>
      <c r="H695" s="738"/>
      <c r="I695" s="738"/>
      <c r="J695" s="738"/>
      <c r="K695" s="738"/>
      <c r="L695" s="738"/>
      <c r="M695" s="738"/>
      <c r="N695" s="738"/>
      <c r="O695" s="738"/>
      <c r="P695" s="738"/>
      <c r="Q695" s="738"/>
      <c r="R695" s="738"/>
      <c r="S695" s="738"/>
      <c r="T695" s="738"/>
      <c r="U695" s="738"/>
      <c r="V695" s="738"/>
      <c r="W695" s="738"/>
      <c r="X695" s="738"/>
      <c r="Y695" s="738"/>
      <c r="Z695" s="738"/>
      <c r="AA695" s="738"/>
      <c r="AB695" s="738"/>
      <c r="AC695" s="738"/>
      <c r="AD695" s="738"/>
      <c r="AE695" s="738"/>
      <c r="AF695" s="738"/>
      <c r="AG695" s="738"/>
      <c r="AH695" s="738"/>
      <c r="AI695" s="738"/>
      <c r="AJ695" s="738"/>
      <c r="AK695" s="738"/>
      <c r="AL695" s="738"/>
    </row>
    <row r="696">
      <c r="A696" s="738"/>
      <c r="B696" s="738"/>
      <c r="C696" s="738"/>
      <c r="D696" s="738"/>
      <c r="E696" s="738"/>
      <c r="F696" s="738"/>
      <c r="G696" s="738"/>
      <c r="H696" s="738"/>
      <c r="I696" s="738"/>
      <c r="J696" s="738"/>
      <c r="K696" s="738"/>
      <c r="L696" s="738"/>
      <c r="M696" s="738"/>
      <c r="N696" s="738"/>
      <c r="O696" s="738"/>
      <c r="P696" s="738"/>
      <c r="Q696" s="738"/>
      <c r="R696" s="738"/>
      <c r="S696" s="738"/>
      <c r="T696" s="738"/>
      <c r="U696" s="738"/>
      <c r="V696" s="738"/>
      <c r="W696" s="738"/>
      <c r="X696" s="738"/>
      <c r="Y696" s="738"/>
      <c r="Z696" s="738"/>
      <c r="AA696" s="738"/>
      <c r="AB696" s="738"/>
      <c r="AC696" s="738"/>
      <c r="AD696" s="738"/>
      <c r="AE696" s="738"/>
      <c r="AF696" s="738"/>
      <c r="AG696" s="738"/>
      <c r="AH696" s="738"/>
      <c r="AI696" s="738"/>
      <c r="AJ696" s="738"/>
      <c r="AK696" s="738"/>
      <c r="AL696" s="738"/>
    </row>
    <row r="697">
      <c r="A697" s="738"/>
      <c r="B697" s="738"/>
      <c r="C697" s="738"/>
      <c r="D697" s="738"/>
      <c r="E697" s="738"/>
      <c r="F697" s="738"/>
      <c r="G697" s="738"/>
      <c r="H697" s="738"/>
      <c r="I697" s="738"/>
      <c r="J697" s="738"/>
      <c r="K697" s="738"/>
      <c r="L697" s="738"/>
      <c r="M697" s="738"/>
      <c r="N697" s="738"/>
      <c r="O697" s="738"/>
      <c r="P697" s="738"/>
      <c r="Q697" s="738"/>
      <c r="R697" s="738"/>
      <c r="S697" s="738"/>
      <c r="T697" s="738"/>
      <c r="U697" s="738"/>
      <c r="V697" s="738"/>
      <c r="W697" s="738"/>
      <c r="X697" s="738"/>
      <c r="Y697" s="738"/>
      <c r="Z697" s="738"/>
      <c r="AA697" s="738"/>
      <c r="AB697" s="738"/>
      <c r="AC697" s="738"/>
      <c r="AD697" s="738"/>
      <c r="AE697" s="738"/>
      <c r="AF697" s="738"/>
      <c r="AG697" s="738"/>
      <c r="AH697" s="738"/>
      <c r="AI697" s="738"/>
      <c r="AJ697" s="738"/>
      <c r="AK697" s="738"/>
      <c r="AL697" s="738"/>
    </row>
    <row r="698">
      <c r="A698" s="738"/>
      <c r="B698" s="738"/>
      <c r="C698" s="738"/>
      <c r="D698" s="738"/>
      <c r="E698" s="738"/>
      <c r="F698" s="738"/>
      <c r="G698" s="738"/>
      <c r="H698" s="738"/>
      <c r="I698" s="738"/>
      <c r="J698" s="738"/>
      <c r="K698" s="738"/>
      <c r="L698" s="738"/>
      <c r="M698" s="738"/>
      <c r="N698" s="738"/>
      <c r="O698" s="738"/>
      <c r="P698" s="738"/>
      <c r="Q698" s="738"/>
      <c r="R698" s="738"/>
      <c r="S698" s="738"/>
      <c r="T698" s="738"/>
      <c r="U698" s="738"/>
      <c r="V698" s="738"/>
      <c r="W698" s="738"/>
      <c r="X698" s="738"/>
      <c r="Y698" s="738"/>
      <c r="Z698" s="738"/>
      <c r="AA698" s="738"/>
      <c r="AB698" s="738"/>
      <c r="AC698" s="738"/>
      <c r="AD698" s="738"/>
      <c r="AE698" s="738"/>
      <c r="AF698" s="738"/>
      <c r="AG698" s="738"/>
      <c r="AH698" s="738"/>
      <c r="AI698" s="738"/>
      <c r="AJ698" s="738"/>
      <c r="AK698" s="738"/>
      <c r="AL698" s="738"/>
    </row>
    <row r="699">
      <c r="A699" s="738"/>
      <c r="B699" s="738"/>
      <c r="C699" s="738"/>
      <c r="D699" s="738"/>
      <c r="E699" s="738"/>
      <c r="F699" s="738"/>
      <c r="G699" s="738"/>
      <c r="H699" s="738"/>
      <c r="I699" s="738"/>
      <c r="J699" s="738"/>
      <c r="K699" s="738"/>
      <c r="L699" s="738"/>
      <c r="M699" s="738"/>
      <c r="N699" s="738"/>
      <c r="O699" s="738"/>
      <c r="P699" s="738"/>
      <c r="Q699" s="738"/>
      <c r="R699" s="738"/>
      <c r="S699" s="738"/>
      <c r="T699" s="738"/>
      <c r="U699" s="738"/>
      <c r="V699" s="738"/>
      <c r="W699" s="738"/>
      <c r="X699" s="738"/>
      <c r="Y699" s="738"/>
      <c r="Z699" s="738"/>
      <c r="AA699" s="738"/>
      <c r="AB699" s="738"/>
      <c r="AC699" s="738"/>
      <c r="AD699" s="738"/>
      <c r="AE699" s="738"/>
      <c r="AF699" s="738"/>
      <c r="AG699" s="738"/>
      <c r="AH699" s="738"/>
      <c r="AI699" s="738"/>
      <c r="AJ699" s="738"/>
      <c r="AK699" s="738"/>
      <c r="AL699" s="738"/>
    </row>
    <row r="700">
      <c r="A700" s="738"/>
      <c r="B700" s="738"/>
      <c r="C700" s="738"/>
      <c r="D700" s="738"/>
      <c r="E700" s="738"/>
      <c r="F700" s="738"/>
      <c r="G700" s="738"/>
      <c r="H700" s="738"/>
      <c r="I700" s="738"/>
      <c r="J700" s="738"/>
      <c r="K700" s="738"/>
      <c r="L700" s="738"/>
      <c r="M700" s="738"/>
      <c r="N700" s="738"/>
      <c r="O700" s="738"/>
      <c r="P700" s="738"/>
      <c r="Q700" s="738"/>
      <c r="R700" s="738"/>
      <c r="S700" s="738"/>
      <c r="T700" s="738"/>
      <c r="U700" s="738"/>
      <c r="V700" s="738"/>
      <c r="W700" s="738"/>
      <c r="X700" s="738"/>
      <c r="Y700" s="738"/>
      <c r="Z700" s="738"/>
      <c r="AA700" s="738"/>
      <c r="AB700" s="738"/>
      <c r="AC700" s="738"/>
      <c r="AD700" s="738"/>
      <c r="AE700" s="738"/>
      <c r="AF700" s="738"/>
      <c r="AG700" s="738"/>
      <c r="AH700" s="738"/>
      <c r="AI700" s="738"/>
      <c r="AJ700" s="738"/>
      <c r="AK700" s="738"/>
      <c r="AL700" s="738"/>
    </row>
    <row r="701">
      <c r="A701" s="738"/>
      <c r="B701" s="738"/>
      <c r="C701" s="738"/>
      <c r="D701" s="738"/>
      <c r="E701" s="738"/>
      <c r="F701" s="738"/>
      <c r="G701" s="738"/>
      <c r="H701" s="738"/>
      <c r="I701" s="738"/>
      <c r="J701" s="738"/>
      <c r="K701" s="738"/>
      <c r="L701" s="738"/>
      <c r="M701" s="738"/>
      <c r="N701" s="738"/>
      <c r="O701" s="738"/>
      <c r="P701" s="738"/>
      <c r="Q701" s="738"/>
      <c r="R701" s="738"/>
      <c r="S701" s="738"/>
      <c r="T701" s="738"/>
      <c r="U701" s="738"/>
      <c r="V701" s="738"/>
      <c r="W701" s="738"/>
      <c r="X701" s="738"/>
      <c r="Y701" s="738"/>
      <c r="Z701" s="738"/>
      <c r="AA701" s="738"/>
      <c r="AB701" s="738"/>
      <c r="AC701" s="738"/>
      <c r="AD701" s="738"/>
      <c r="AE701" s="738"/>
      <c r="AF701" s="738"/>
      <c r="AG701" s="738"/>
      <c r="AH701" s="738"/>
      <c r="AI701" s="738"/>
      <c r="AJ701" s="738"/>
      <c r="AK701" s="738"/>
      <c r="AL701" s="738"/>
    </row>
    <row r="702">
      <c r="A702" s="738"/>
      <c r="B702" s="738"/>
      <c r="C702" s="738"/>
      <c r="D702" s="738"/>
      <c r="E702" s="738"/>
      <c r="F702" s="738"/>
      <c r="G702" s="738"/>
      <c r="H702" s="738"/>
      <c r="I702" s="738"/>
      <c r="J702" s="738"/>
      <c r="K702" s="738"/>
      <c r="L702" s="738"/>
      <c r="M702" s="738"/>
      <c r="N702" s="738"/>
      <c r="O702" s="738"/>
      <c r="P702" s="738"/>
      <c r="Q702" s="738"/>
      <c r="R702" s="738"/>
      <c r="S702" s="738"/>
      <c r="T702" s="738"/>
      <c r="U702" s="738"/>
      <c r="V702" s="738"/>
      <c r="W702" s="738"/>
      <c r="X702" s="738"/>
      <c r="Y702" s="738"/>
      <c r="Z702" s="738"/>
      <c r="AA702" s="738"/>
      <c r="AB702" s="738"/>
      <c r="AC702" s="738"/>
      <c r="AD702" s="738"/>
      <c r="AE702" s="738"/>
      <c r="AF702" s="738"/>
      <c r="AG702" s="738"/>
      <c r="AH702" s="738"/>
      <c r="AI702" s="738"/>
      <c r="AJ702" s="738"/>
      <c r="AK702" s="738"/>
      <c r="AL702" s="738"/>
    </row>
    <row r="703">
      <c r="A703" s="738"/>
      <c r="B703" s="738"/>
      <c r="C703" s="738"/>
      <c r="D703" s="738"/>
      <c r="E703" s="738"/>
      <c r="F703" s="738"/>
      <c r="G703" s="738"/>
      <c r="H703" s="738"/>
      <c r="I703" s="738"/>
      <c r="J703" s="738"/>
      <c r="K703" s="738"/>
      <c r="L703" s="738"/>
      <c r="M703" s="738"/>
      <c r="N703" s="738"/>
      <c r="O703" s="738"/>
      <c r="P703" s="738"/>
      <c r="Q703" s="738"/>
      <c r="R703" s="738"/>
      <c r="S703" s="738"/>
      <c r="T703" s="738"/>
      <c r="U703" s="738"/>
      <c r="V703" s="738"/>
      <c r="W703" s="738"/>
      <c r="X703" s="738"/>
      <c r="Y703" s="738"/>
      <c r="Z703" s="738"/>
      <c r="AA703" s="738"/>
      <c r="AB703" s="738"/>
      <c r="AC703" s="738"/>
      <c r="AD703" s="738"/>
      <c r="AE703" s="738"/>
      <c r="AF703" s="738"/>
      <c r="AG703" s="738"/>
      <c r="AH703" s="738"/>
      <c r="AI703" s="738"/>
      <c r="AJ703" s="738"/>
      <c r="AK703" s="738"/>
      <c r="AL703" s="738"/>
    </row>
    <row r="704">
      <c r="A704" s="738"/>
      <c r="B704" s="738"/>
      <c r="C704" s="738"/>
      <c r="D704" s="738"/>
      <c r="E704" s="738"/>
      <c r="F704" s="738"/>
      <c r="G704" s="738"/>
      <c r="H704" s="738"/>
      <c r="I704" s="738"/>
      <c r="J704" s="738"/>
      <c r="K704" s="738"/>
      <c r="L704" s="738"/>
      <c r="M704" s="738"/>
      <c r="N704" s="738"/>
      <c r="O704" s="738"/>
      <c r="P704" s="738"/>
      <c r="Q704" s="738"/>
      <c r="R704" s="738"/>
      <c r="S704" s="738"/>
      <c r="T704" s="738"/>
      <c r="U704" s="738"/>
      <c r="V704" s="738"/>
      <c r="W704" s="738"/>
      <c r="X704" s="738"/>
      <c r="Y704" s="738"/>
      <c r="Z704" s="738"/>
      <c r="AA704" s="738"/>
      <c r="AB704" s="738"/>
      <c r="AC704" s="738"/>
      <c r="AD704" s="738"/>
      <c r="AE704" s="738"/>
      <c r="AF704" s="738"/>
      <c r="AG704" s="738"/>
      <c r="AH704" s="738"/>
      <c r="AI704" s="738"/>
      <c r="AJ704" s="738"/>
      <c r="AK704" s="738"/>
      <c r="AL704" s="738"/>
    </row>
    <row r="705">
      <c r="A705" s="738"/>
      <c r="B705" s="738"/>
      <c r="C705" s="738"/>
      <c r="D705" s="738"/>
      <c r="E705" s="738"/>
      <c r="F705" s="738"/>
      <c r="G705" s="738"/>
      <c r="H705" s="738"/>
      <c r="I705" s="738"/>
      <c r="J705" s="738"/>
      <c r="K705" s="738"/>
      <c r="L705" s="738"/>
      <c r="M705" s="738"/>
      <c r="N705" s="738"/>
      <c r="O705" s="738"/>
      <c r="P705" s="738"/>
      <c r="Q705" s="738"/>
      <c r="R705" s="738"/>
      <c r="S705" s="738"/>
      <c r="T705" s="738"/>
      <c r="U705" s="738"/>
      <c r="V705" s="738"/>
      <c r="W705" s="738"/>
      <c r="X705" s="738"/>
      <c r="Y705" s="738"/>
      <c r="Z705" s="738"/>
      <c r="AA705" s="738"/>
      <c r="AB705" s="738"/>
      <c r="AC705" s="738"/>
      <c r="AD705" s="738"/>
      <c r="AE705" s="738"/>
      <c r="AF705" s="738"/>
      <c r="AG705" s="738"/>
      <c r="AH705" s="738"/>
      <c r="AI705" s="738"/>
      <c r="AJ705" s="738"/>
      <c r="AK705" s="738"/>
      <c r="AL705" s="738"/>
    </row>
    <row r="706">
      <c r="A706" s="738"/>
      <c r="B706" s="738"/>
      <c r="C706" s="738"/>
      <c r="D706" s="738"/>
      <c r="E706" s="738"/>
      <c r="F706" s="738"/>
      <c r="G706" s="738"/>
      <c r="H706" s="738"/>
      <c r="I706" s="738"/>
      <c r="J706" s="738"/>
      <c r="K706" s="738"/>
      <c r="L706" s="738"/>
      <c r="M706" s="738"/>
      <c r="N706" s="738"/>
      <c r="O706" s="738"/>
      <c r="P706" s="738"/>
      <c r="Q706" s="738"/>
      <c r="R706" s="738"/>
      <c r="S706" s="738"/>
      <c r="T706" s="738"/>
      <c r="U706" s="738"/>
      <c r="V706" s="738"/>
      <c r="W706" s="738"/>
      <c r="X706" s="738"/>
      <c r="Y706" s="738"/>
      <c r="Z706" s="738"/>
      <c r="AA706" s="738"/>
      <c r="AB706" s="738"/>
      <c r="AC706" s="738"/>
      <c r="AD706" s="738"/>
      <c r="AE706" s="738"/>
      <c r="AF706" s="738"/>
      <c r="AG706" s="738"/>
      <c r="AH706" s="738"/>
      <c r="AI706" s="738"/>
      <c r="AJ706" s="738"/>
      <c r="AK706" s="738"/>
      <c r="AL706" s="738"/>
    </row>
    <row r="707">
      <c r="A707" s="738"/>
      <c r="B707" s="738"/>
      <c r="C707" s="738"/>
      <c r="D707" s="738"/>
      <c r="E707" s="738"/>
      <c r="F707" s="738"/>
      <c r="G707" s="738"/>
      <c r="H707" s="738"/>
      <c r="I707" s="738"/>
      <c r="J707" s="738"/>
      <c r="K707" s="738"/>
      <c r="L707" s="738"/>
      <c r="M707" s="738"/>
      <c r="N707" s="738"/>
      <c r="O707" s="738"/>
      <c r="P707" s="738"/>
      <c r="Q707" s="738"/>
      <c r="R707" s="738"/>
      <c r="S707" s="738"/>
      <c r="T707" s="738"/>
      <c r="U707" s="738"/>
      <c r="V707" s="738"/>
      <c r="W707" s="738"/>
      <c r="X707" s="738"/>
      <c r="Y707" s="738"/>
      <c r="Z707" s="738"/>
      <c r="AA707" s="738"/>
      <c r="AB707" s="738"/>
      <c r="AC707" s="738"/>
      <c r="AD707" s="738"/>
      <c r="AE707" s="738"/>
      <c r="AF707" s="738"/>
      <c r="AG707" s="738"/>
      <c r="AH707" s="738"/>
      <c r="AI707" s="738"/>
      <c r="AJ707" s="738"/>
      <c r="AK707" s="738"/>
      <c r="AL707" s="738"/>
    </row>
    <row r="708">
      <c r="A708" s="738"/>
      <c r="B708" s="738"/>
      <c r="C708" s="738"/>
      <c r="D708" s="738"/>
      <c r="E708" s="738"/>
      <c r="F708" s="738"/>
      <c r="G708" s="738"/>
      <c r="H708" s="738"/>
      <c r="I708" s="738"/>
      <c r="J708" s="738"/>
      <c r="K708" s="738"/>
      <c r="L708" s="738"/>
      <c r="M708" s="738"/>
      <c r="N708" s="738"/>
      <c r="O708" s="738"/>
      <c r="P708" s="738"/>
      <c r="Q708" s="738"/>
      <c r="R708" s="738"/>
      <c r="S708" s="738"/>
      <c r="T708" s="738"/>
      <c r="U708" s="738"/>
      <c r="V708" s="738"/>
      <c r="W708" s="738"/>
      <c r="X708" s="738"/>
      <c r="Y708" s="738"/>
      <c r="Z708" s="738"/>
      <c r="AA708" s="738"/>
      <c r="AB708" s="738"/>
      <c r="AC708" s="738"/>
      <c r="AD708" s="738"/>
      <c r="AE708" s="738"/>
      <c r="AF708" s="738"/>
      <c r="AG708" s="738"/>
      <c r="AH708" s="738"/>
      <c r="AI708" s="738"/>
      <c r="AJ708" s="738"/>
      <c r="AK708" s="738"/>
      <c r="AL708" s="738"/>
    </row>
    <row r="709">
      <c r="A709" s="738"/>
      <c r="B709" s="738"/>
      <c r="C709" s="738"/>
      <c r="D709" s="738"/>
      <c r="E709" s="738"/>
      <c r="F709" s="738"/>
      <c r="G709" s="738"/>
      <c r="H709" s="738"/>
      <c r="I709" s="738"/>
      <c r="J709" s="738"/>
      <c r="K709" s="738"/>
      <c r="L709" s="738"/>
      <c r="M709" s="738"/>
      <c r="N709" s="738"/>
      <c r="O709" s="738"/>
      <c r="P709" s="738"/>
      <c r="Q709" s="738"/>
      <c r="R709" s="738"/>
      <c r="S709" s="738"/>
      <c r="T709" s="738"/>
      <c r="U709" s="738"/>
      <c r="V709" s="738"/>
      <c r="W709" s="738"/>
      <c r="X709" s="738"/>
      <c r="Y709" s="738"/>
      <c r="Z709" s="738"/>
      <c r="AA709" s="738"/>
      <c r="AB709" s="738"/>
      <c r="AC709" s="738"/>
      <c r="AD709" s="738"/>
      <c r="AE709" s="738"/>
      <c r="AF709" s="738"/>
      <c r="AG709" s="738"/>
      <c r="AH709" s="738"/>
      <c r="AI709" s="738"/>
      <c r="AJ709" s="738"/>
      <c r="AK709" s="738"/>
      <c r="AL709" s="738"/>
    </row>
    <row r="710">
      <c r="A710" s="738"/>
      <c r="B710" s="738"/>
      <c r="C710" s="738"/>
      <c r="D710" s="738"/>
      <c r="E710" s="738"/>
      <c r="F710" s="738"/>
      <c r="G710" s="738"/>
      <c r="H710" s="738"/>
      <c r="I710" s="738"/>
      <c r="J710" s="738"/>
      <c r="K710" s="738"/>
      <c r="L710" s="738"/>
      <c r="M710" s="738"/>
      <c r="N710" s="738"/>
      <c r="O710" s="738"/>
      <c r="P710" s="738"/>
      <c r="Q710" s="738"/>
      <c r="R710" s="738"/>
      <c r="S710" s="738"/>
      <c r="T710" s="738"/>
      <c r="U710" s="738"/>
      <c r="V710" s="738"/>
      <c r="W710" s="738"/>
      <c r="X710" s="738"/>
      <c r="Y710" s="738"/>
      <c r="Z710" s="738"/>
      <c r="AA710" s="738"/>
      <c r="AB710" s="738"/>
      <c r="AC710" s="738"/>
      <c r="AD710" s="738"/>
      <c r="AE710" s="738"/>
      <c r="AF710" s="738"/>
      <c r="AG710" s="738"/>
      <c r="AH710" s="738"/>
      <c r="AI710" s="738"/>
      <c r="AJ710" s="738"/>
      <c r="AK710" s="738"/>
      <c r="AL710" s="738"/>
    </row>
    <row r="711">
      <c r="A711" s="738"/>
      <c r="B711" s="738"/>
      <c r="C711" s="738"/>
      <c r="D711" s="738"/>
      <c r="E711" s="738"/>
      <c r="F711" s="738"/>
      <c r="G711" s="738"/>
      <c r="H711" s="738"/>
      <c r="I711" s="738"/>
      <c r="J711" s="738"/>
      <c r="K711" s="738"/>
      <c r="L711" s="738"/>
      <c r="M711" s="738"/>
      <c r="N711" s="738"/>
      <c r="O711" s="738"/>
      <c r="P711" s="738"/>
      <c r="Q711" s="738"/>
      <c r="R711" s="738"/>
      <c r="S711" s="738"/>
      <c r="T711" s="738"/>
      <c r="U711" s="738"/>
      <c r="V711" s="738"/>
      <c r="W711" s="738"/>
      <c r="X711" s="738"/>
      <c r="Y711" s="738"/>
      <c r="Z711" s="738"/>
      <c r="AA711" s="738"/>
      <c r="AB711" s="738"/>
      <c r="AC711" s="738"/>
      <c r="AD711" s="738"/>
      <c r="AE711" s="738"/>
      <c r="AF711" s="738"/>
      <c r="AG711" s="738"/>
      <c r="AH711" s="738"/>
      <c r="AI711" s="738"/>
      <c r="AJ711" s="738"/>
      <c r="AK711" s="738"/>
      <c r="AL711" s="738"/>
    </row>
    <row r="712">
      <c r="A712" s="738"/>
      <c r="B712" s="738"/>
      <c r="C712" s="738"/>
      <c r="D712" s="738"/>
      <c r="E712" s="738"/>
      <c r="F712" s="738"/>
      <c r="G712" s="738"/>
      <c r="H712" s="738"/>
      <c r="I712" s="738"/>
      <c r="J712" s="738"/>
      <c r="K712" s="738"/>
      <c r="L712" s="738"/>
      <c r="M712" s="738"/>
      <c r="N712" s="738"/>
      <c r="O712" s="738"/>
      <c r="P712" s="738"/>
      <c r="Q712" s="738"/>
      <c r="R712" s="738"/>
      <c r="S712" s="738"/>
      <c r="T712" s="738"/>
      <c r="U712" s="738"/>
      <c r="V712" s="738"/>
      <c r="W712" s="738"/>
      <c r="X712" s="738"/>
      <c r="Y712" s="738"/>
      <c r="Z712" s="738"/>
      <c r="AA712" s="738"/>
      <c r="AB712" s="738"/>
      <c r="AC712" s="738"/>
      <c r="AD712" s="738"/>
      <c r="AE712" s="738"/>
      <c r="AF712" s="738"/>
      <c r="AG712" s="738"/>
      <c r="AH712" s="738"/>
      <c r="AI712" s="738"/>
      <c r="AJ712" s="738"/>
      <c r="AK712" s="738"/>
      <c r="AL712" s="738"/>
    </row>
    <row r="713">
      <c r="A713" s="738"/>
      <c r="B713" s="738"/>
      <c r="C713" s="738"/>
      <c r="D713" s="738"/>
      <c r="E713" s="738"/>
      <c r="F713" s="738"/>
      <c r="G713" s="738"/>
      <c r="H713" s="738"/>
      <c r="I713" s="738"/>
      <c r="J713" s="738"/>
      <c r="K713" s="738"/>
      <c r="L713" s="738"/>
      <c r="M713" s="738"/>
      <c r="N713" s="738"/>
      <c r="O713" s="738"/>
      <c r="P713" s="738"/>
      <c r="Q713" s="738"/>
      <c r="R713" s="738"/>
      <c r="S713" s="738"/>
      <c r="T713" s="738"/>
      <c r="U713" s="738"/>
      <c r="V713" s="738"/>
      <c r="W713" s="738"/>
      <c r="X713" s="738"/>
      <c r="Y713" s="738"/>
      <c r="Z713" s="738"/>
      <c r="AA713" s="738"/>
      <c r="AB713" s="738"/>
      <c r="AC713" s="738"/>
      <c r="AD713" s="738"/>
      <c r="AE713" s="738"/>
      <c r="AF713" s="738"/>
      <c r="AG713" s="738"/>
      <c r="AH713" s="738"/>
      <c r="AI713" s="738"/>
      <c r="AJ713" s="738"/>
      <c r="AK713" s="738"/>
      <c r="AL713" s="738"/>
    </row>
    <row r="714">
      <c r="A714" s="738"/>
      <c r="B714" s="738"/>
      <c r="C714" s="738"/>
      <c r="D714" s="738"/>
      <c r="E714" s="738"/>
      <c r="F714" s="738"/>
      <c r="G714" s="738"/>
      <c r="H714" s="738"/>
      <c r="I714" s="738"/>
      <c r="J714" s="738"/>
      <c r="K714" s="738"/>
      <c r="L714" s="738"/>
      <c r="M714" s="738"/>
      <c r="N714" s="738"/>
      <c r="O714" s="738"/>
      <c r="P714" s="738"/>
      <c r="Q714" s="738"/>
      <c r="R714" s="738"/>
      <c r="S714" s="738"/>
      <c r="T714" s="738"/>
      <c r="U714" s="738"/>
      <c r="V714" s="738"/>
      <c r="W714" s="738"/>
      <c r="X714" s="738"/>
      <c r="Y714" s="738"/>
      <c r="Z714" s="738"/>
      <c r="AA714" s="738"/>
      <c r="AB714" s="738"/>
      <c r="AC714" s="738"/>
      <c r="AD714" s="738"/>
      <c r="AE714" s="738"/>
      <c r="AF714" s="738"/>
      <c r="AG714" s="738"/>
      <c r="AH714" s="738"/>
      <c r="AI714" s="738"/>
      <c r="AJ714" s="738"/>
      <c r="AK714" s="738"/>
      <c r="AL714" s="738"/>
    </row>
    <row r="715">
      <c r="A715" s="738"/>
      <c r="B715" s="738"/>
      <c r="C715" s="738"/>
      <c r="D715" s="738"/>
      <c r="E715" s="738"/>
      <c r="F715" s="738"/>
      <c r="G715" s="738"/>
      <c r="H715" s="738"/>
      <c r="I715" s="738"/>
      <c r="J715" s="738"/>
      <c r="K715" s="738"/>
      <c r="L715" s="738"/>
      <c r="M715" s="738"/>
      <c r="N715" s="738"/>
      <c r="O715" s="738"/>
      <c r="P715" s="738"/>
      <c r="Q715" s="738"/>
      <c r="R715" s="738"/>
      <c r="S715" s="738"/>
      <c r="T715" s="738"/>
      <c r="U715" s="738"/>
      <c r="V715" s="738"/>
      <c r="W715" s="738"/>
      <c r="X715" s="738"/>
      <c r="Y715" s="738"/>
      <c r="Z715" s="738"/>
      <c r="AA715" s="738"/>
      <c r="AB715" s="738"/>
      <c r="AC715" s="738"/>
      <c r="AD715" s="738"/>
      <c r="AE715" s="738"/>
      <c r="AF715" s="738"/>
      <c r="AG715" s="738"/>
      <c r="AH715" s="738"/>
      <c r="AI715" s="738"/>
      <c r="AJ715" s="738"/>
      <c r="AK715" s="738"/>
      <c r="AL715" s="738"/>
    </row>
    <row r="716">
      <c r="A716" s="738"/>
      <c r="B716" s="738"/>
      <c r="C716" s="738"/>
      <c r="D716" s="738"/>
      <c r="E716" s="738"/>
      <c r="F716" s="738"/>
      <c r="G716" s="738"/>
      <c r="H716" s="738"/>
      <c r="I716" s="738"/>
      <c r="J716" s="738"/>
      <c r="K716" s="738"/>
      <c r="L716" s="738"/>
      <c r="M716" s="738"/>
      <c r="N716" s="738"/>
      <c r="O716" s="738"/>
      <c r="P716" s="738"/>
      <c r="Q716" s="738"/>
      <c r="R716" s="738"/>
      <c r="S716" s="738"/>
      <c r="T716" s="738"/>
      <c r="U716" s="738"/>
      <c r="V716" s="738"/>
      <c r="W716" s="738"/>
      <c r="X716" s="738"/>
      <c r="Y716" s="738"/>
      <c r="Z716" s="738"/>
      <c r="AA716" s="738"/>
      <c r="AB716" s="738"/>
      <c r="AC716" s="738"/>
      <c r="AD716" s="738"/>
      <c r="AE716" s="738"/>
      <c r="AF716" s="738"/>
      <c r="AG716" s="738"/>
      <c r="AH716" s="738"/>
      <c r="AI716" s="738"/>
      <c r="AJ716" s="738"/>
      <c r="AK716" s="738"/>
      <c r="AL716" s="738"/>
    </row>
    <row r="717">
      <c r="A717" s="738"/>
      <c r="B717" s="738"/>
      <c r="C717" s="738"/>
      <c r="D717" s="738"/>
      <c r="E717" s="738"/>
      <c r="F717" s="738"/>
      <c r="G717" s="738"/>
      <c r="H717" s="738"/>
      <c r="I717" s="738"/>
      <c r="J717" s="738"/>
      <c r="K717" s="738"/>
      <c r="L717" s="738"/>
      <c r="M717" s="738"/>
      <c r="N717" s="738"/>
      <c r="O717" s="738"/>
      <c r="P717" s="738"/>
      <c r="Q717" s="738"/>
      <c r="R717" s="738"/>
      <c r="S717" s="738"/>
      <c r="T717" s="738"/>
      <c r="U717" s="738"/>
      <c r="V717" s="738"/>
      <c r="W717" s="738"/>
      <c r="X717" s="738"/>
      <c r="Y717" s="738"/>
      <c r="Z717" s="738"/>
      <c r="AA717" s="738"/>
      <c r="AB717" s="738"/>
      <c r="AC717" s="738"/>
      <c r="AD717" s="738"/>
      <c r="AE717" s="738"/>
      <c r="AF717" s="738"/>
      <c r="AG717" s="738"/>
      <c r="AH717" s="738"/>
      <c r="AI717" s="738"/>
      <c r="AJ717" s="738"/>
      <c r="AK717" s="738"/>
      <c r="AL717" s="738"/>
    </row>
    <row r="718">
      <c r="A718" s="738"/>
      <c r="B718" s="738"/>
      <c r="C718" s="738"/>
      <c r="D718" s="738"/>
      <c r="E718" s="738"/>
      <c r="F718" s="738"/>
      <c r="G718" s="738"/>
      <c r="H718" s="738"/>
      <c r="I718" s="738"/>
      <c r="J718" s="738"/>
      <c r="K718" s="738"/>
      <c r="L718" s="738"/>
      <c r="M718" s="738"/>
      <c r="N718" s="738"/>
      <c r="O718" s="738"/>
      <c r="P718" s="738"/>
      <c r="Q718" s="738"/>
      <c r="R718" s="738"/>
      <c r="S718" s="738"/>
      <c r="T718" s="738"/>
      <c r="U718" s="738"/>
      <c r="V718" s="738"/>
      <c r="W718" s="738"/>
      <c r="X718" s="738"/>
      <c r="Y718" s="738"/>
      <c r="Z718" s="738"/>
      <c r="AA718" s="738"/>
      <c r="AB718" s="738"/>
      <c r="AC718" s="738"/>
      <c r="AD718" s="738"/>
      <c r="AE718" s="738"/>
      <c r="AF718" s="738"/>
      <c r="AG718" s="738"/>
      <c r="AH718" s="738"/>
      <c r="AI718" s="738"/>
      <c r="AJ718" s="738"/>
      <c r="AK718" s="738"/>
      <c r="AL718" s="738"/>
    </row>
    <row r="719">
      <c r="A719" s="738"/>
      <c r="B719" s="738"/>
      <c r="C719" s="738"/>
      <c r="D719" s="738"/>
      <c r="E719" s="738"/>
      <c r="F719" s="738"/>
      <c r="G719" s="738"/>
      <c r="H719" s="738"/>
      <c r="I719" s="738"/>
      <c r="J719" s="738"/>
      <c r="K719" s="738"/>
      <c r="L719" s="738"/>
      <c r="M719" s="738"/>
      <c r="N719" s="738"/>
      <c r="O719" s="738"/>
      <c r="P719" s="738"/>
      <c r="Q719" s="738"/>
      <c r="R719" s="738"/>
      <c r="S719" s="738"/>
      <c r="T719" s="738"/>
      <c r="U719" s="738"/>
      <c r="V719" s="738"/>
      <c r="W719" s="738"/>
      <c r="X719" s="738"/>
      <c r="Y719" s="738"/>
      <c r="Z719" s="738"/>
      <c r="AA719" s="738"/>
      <c r="AB719" s="738"/>
      <c r="AC719" s="738"/>
      <c r="AD719" s="738"/>
      <c r="AE719" s="738"/>
      <c r="AF719" s="738"/>
      <c r="AG719" s="738"/>
      <c r="AH719" s="738"/>
      <c r="AI719" s="738"/>
      <c r="AJ719" s="738"/>
      <c r="AK719" s="738"/>
      <c r="AL719" s="738"/>
    </row>
    <row r="720">
      <c r="A720" s="738"/>
      <c r="B720" s="738"/>
      <c r="C720" s="738"/>
      <c r="D720" s="738"/>
      <c r="E720" s="738"/>
      <c r="F720" s="738"/>
      <c r="G720" s="738"/>
      <c r="H720" s="738"/>
      <c r="I720" s="738"/>
      <c r="J720" s="738"/>
      <c r="K720" s="738"/>
      <c r="L720" s="738"/>
      <c r="M720" s="738"/>
      <c r="N720" s="738"/>
      <c r="O720" s="738"/>
      <c r="P720" s="738"/>
      <c r="Q720" s="738"/>
      <c r="R720" s="738"/>
      <c r="S720" s="738"/>
      <c r="T720" s="738"/>
      <c r="U720" s="738"/>
      <c r="V720" s="738"/>
      <c r="W720" s="738"/>
      <c r="X720" s="738"/>
      <c r="Y720" s="738"/>
      <c r="Z720" s="738"/>
      <c r="AA720" s="738"/>
      <c r="AB720" s="738"/>
      <c r="AC720" s="738"/>
      <c r="AD720" s="738"/>
      <c r="AE720" s="738"/>
      <c r="AF720" s="738"/>
      <c r="AG720" s="738"/>
      <c r="AH720" s="738"/>
      <c r="AI720" s="738"/>
      <c r="AJ720" s="738"/>
      <c r="AK720" s="738"/>
      <c r="AL720" s="738"/>
    </row>
    <row r="721">
      <c r="A721" s="738"/>
      <c r="B721" s="738"/>
      <c r="C721" s="738"/>
      <c r="D721" s="738"/>
      <c r="E721" s="738"/>
      <c r="F721" s="738"/>
      <c r="G721" s="738"/>
      <c r="H721" s="738"/>
      <c r="I721" s="738"/>
      <c r="J721" s="738"/>
      <c r="K721" s="738"/>
      <c r="L721" s="738"/>
      <c r="M721" s="738"/>
      <c r="N721" s="738"/>
      <c r="O721" s="738"/>
      <c r="P721" s="738"/>
      <c r="Q721" s="738"/>
      <c r="R721" s="738"/>
      <c r="S721" s="738"/>
      <c r="T721" s="738"/>
      <c r="U721" s="738"/>
      <c r="V721" s="738"/>
      <c r="W721" s="738"/>
      <c r="X721" s="738"/>
      <c r="Y721" s="738"/>
      <c r="Z721" s="738"/>
      <c r="AA721" s="738"/>
      <c r="AB721" s="738"/>
      <c r="AC721" s="738"/>
      <c r="AD721" s="738"/>
      <c r="AE721" s="738"/>
      <c r="AF721" s="738"/>
      <c r="AG721" s="738"/>
      <c r="AH721" s="738"/>
      <c r="AI721" s="738"/>
      <c r="AJ721" s="738"/>
      <c r="AK721" s="738"/>
      <c r="AL721" s="738"/>
    </row>
    <row r="722">
      <c r="A722" s="738"/>
      <c r="B722" s="738"/>
      <c r="C722" s="738"/>
      <c r="D722" s="738"/>
      <c r="E722" s="738"/>
      <c r="F722" s="738"/>
      <c r="G722" s="738"/>
      <c r="H722" s="738"/>
      <c r="I722" s="738"/>
      <c r="J722" s="738"/>
      <c r="K722" s="738"/>
      <c r="L722" s="738"/>
      <c r="M722" s="738"/>
      <c r="N722" s="738"/>
      <c r="O722" s="738"/>
      <c r="P722" s="738"/>
      <c r="Q722" s="738"/>
      <c r="R722" s="738"/>
      <c r="S722" s="738"/>
      <c r="T722" s="738"/>
      <c r="U722" s="738"/>
      <c r="V722" s="738"/>
      <c r="W722" s="738"/>
      <c r="X722" s="738"/>
      <c r="Y722" s="738"/>
      <c r="Z722" s="738"/>
      <c r="AA722" s="738"/>
      <c r="AB722" s="738"/>
      <c r="AC722" s="738"/>
      <c r="AD722" s="738"/>
      <c r="AE722" s="738"/>
      <c r="AF722" s="738"/>
      <c r="AG722" s="738"/>
      <c r="AH722" s="738"/>
      <c r="AI722" s="738"/>
      <c r="AJ722" s="738"/>
      <c r="AK722" s="738"/>
      <c r="AL722" s="738"/>
    </row>
    <row r="723">
      <c r="A723" s="738"/>
      <c r="B723" s="738"/>
      <c r="C723" s="738"/>
      <c r="D723" s="738"/>
      <c r="E723" s="738"/>
      <c r="F723" s="738"/>
      <c r="G723" s="738"/>
      <c r="H723" s="738"/>
      <c r="I723" s="738"/>
      <c r="J723" s="738"/>
      <c r="K723" s="738"/>
      <c r="L723" s="738"/>
      <c r="M723" s="738"/>
      <c r="N723" s="738"/>
      <c r="O723" s="738"/>
      <c r="P723" s="738"/>
      <c r="Q723" s="738"/>
      <c r="R723" s="738"/>
      <c r="S723" s="738"/>
      <c r="T723" s="738"/>
      <c r="U723" s="738"/>
      <c r="V723" s="738"/>
      <c r="W723" s="738"/>
      <c r="X723" s="738"/>
      <c r="Y723" s="738"/>
      <c r="Z723" s="738"/>
      <c r="AA723" s="738"/>
      <c r="AB723" s="738"/>
      <c r="AC723" s="738"/>
      <c r="AD723" s="738"/>
      <c r="AE723" s="738"/>
      <c r="AF723" s="738"/>
      <c r="AG723" s="738"/>
      <c r="AH723" s="738"/>
      <c r="AI723" s="738"/>
      <c r="AJ723" s="738"/>
      <c r="AK723" s="738"/>
      <c r="AL723" s="738"/>
    </row>
    <row r="724">
      <c r="A724" s="738"/>
      <c r="B724" s="738"/>
      <c r="C724" s="738"/>
      <c r="D724" s="738"/>
      <c r="E724" s="738"/>
      <c r="F724" s="738"/>
      <c r="G724" s="738"/>
      <c r="H724" s="738"/>
      <c r="I724" s="738"/>
      <c r="J724" s="738"/>
      <c r="K724" s="738"/>
      <c r="L724" s="738"/>
      <c r="M724" s="738"/>
      <c r="N724" s="738"/>
      <c r="O724" s="738"/>
      <c r="P724" s="738"/>
      <c r="Q724" s="738"/>
      <c r="R724" s="738"/>
      <c r="S724" s="738"/>
      <c r="T724" s="738"/>
      <c r="U724" s="738"/>
      <c r="V724" s="738"/>
      <c r="W724" s="738"/>
      <c r="X724" s="738"/>
      <c r="Y724" s="738"/>
      <c r="Z724" s="738"/>
      <c r="AA724" s="738"/>
      <c r="AB724" s="738"/>
      <c r="AC724" s="738"/>
      <c r="AD724" s="738"/>
      <c r="AE724" s="738"/>
      <c r="AF724" s="738"/>
      <c r="AG724" s="738"/>
      <c r="AH724" s="738"/>
      <c r="AI724" s="738"/>
      <c r="AJ724" s="738"/>
      <c r="AK724" s="738"/>
      <c r="AL724" s="738"/>
    </row>
    <row r="725">
      <c r="A725" s="738"/>
      <c r="B725" s="738"/>
      <c r="C725" s="738"/>
      <c r="D725" s="738"/>
      <c r="E725" s="738"/>
      <c r="F725" s="738"/>
      <c r="G725" s="738"/>
      <c r="H725" s="738"/>
      <c r="I725" s="738"/>
      <c r="J725" s="738"/>
      <c r="K725" s="738"/>
      <c r="L725" s="738"/>
      <c r="M725" s="738"/>
      <c r="N725" s="738"/>
      <c r="O725" s="738"/>
      <c r="P725" s="738"/>
      <c r="Q725" s="738"/>
      <c r="R725" s="738"/>
      <c r="S725" s="738"/>
      <c r="T725" s="738"/>
      <c r="U725" s="738"/>
      <c r="V725" s="738"/>
      <c r="W725" s="738"/>
      <c r="X725" s="738"/>
      <c r="Y725" s="738"/>
      <c r="Z725" s="738"/>
      <c r="AA725" s="738"/>
      <c r="AB725" s="738"/>
      <c r="AC725" s="738"/>
      <c r="AD725" s="738"/>
      <c r="AE725" s="738"/>
      <c r="AF725" s="738"/>
      <c r="AG725" s="738"/>
      <c r="AH725" s="738"/>
      <c r="AI725" s="738"/>
      <c r="AJ725" s="738"/>
      <c r="AK725" s="738"/>
      <c r="AL725" s="738"/>
    </row>
    <row r="726">
      <c r="A726" s="738"/>
      <c r="B726" s="738"/>
      <c r="C726" s="738"/>
      <c r="D726" s="738"/>
      <c r="E726" s="738"/>
      <c r="F726" s="738"/>
      <c r="G726" s="738"/>
      <c r="H726" s="738"/>
      <c r="I726" s="738"/>
      <c r="J726" s="738"/>
      <c r="K726" s="738"/>
      <c r="L726" s="738"/>
      <c r="M726" s="738"/>
      <c r="N726" s="738"/>
      <c r="O726" s="738"/>
      <c r="P726" s="738"/>
      <c r="Q726" s="738"/>
      <c r="R726" s="738"/>
      <c r="S726" s="738"/>
      <c r="T726" s="738"/>
      <c r="U726" s="738"/>
      <c r="V726" s="738"/>
      <c r="W726" s="738"/>
      <c r="X726" s="738"/>
      <c r="Y726" s="738"/>
      <c r="Z726" s="738"/>
      <c r="AA726" s="738"/>
      <c r="AB726" s="738"/>
      <c r="AC726" s="738"/>
      <c r="AD726" s="738"/>
      <c r="AE726" s="738"/>
      <c r="AF726" s="738"/>
      <c r="AG726" s="738"/>
      <c r="AH726" s="738"/>
      <c r="AI726" s="738"/>
      <c r="AJ726" s="738"/>
      <c r="AK726" s="738"/>
      <c r="AL726" s="738"/>
    </row>
    <row r="727">
      <c r="A727" s="738"/>
      <c r="B727" s="738"/>
      <c r="C727" s="738"/>
      <c r="D727" s="738"/>
      <c r="E727" s="738"/>
      <c r="F727" s="738"/>
      <c r="G727" s="738"/>
      <c r="H727" s="738"/>
      <c r="I727" s="738"/>
      <c r="J727" s="738"/>
      <c r="K727" s="738"/>
      <c r="L727" s="738"/>
      <c r="M727" s="738"/>
      <c r="N727" s="738"/>
      <c r="O727" s="738"/>
      <c r="P727" s="738"/>
      <c r="Q727" s="738"/>
      <c r="R727" s="738"/>
      <c r="S727" s="738"/>
      <c r="T727" s="738"/>
      <c r="U727" s="738"/>
      <c r="V727" s="738"/>
      <c r="W727" s="738"/>
      <c r="X727" s="738"/>
      <c r="Y727" s="738"/>
      <c r="Z727" s="738"/>
      <c r="AA727" s="738"/>
      <c r="AB727" s="738"/>
      <c r="AC727" s="738"/>
      <c r="AD727" s="738"/>
      <c r="AE727" s="738"/>
      <c r="AF727" s="738"/>
      <c r="AG727" s="738"/>
      <c r="AH727" s="738"/>
      <c r="AI727" s="738"/>
      <c r="AJ727" s="738"/>
      <c r="AK727" s="738"/>
      <c r="AL727" s="738"/>
    </row>
    <row r="728">
      <c r="A728" s="738"/>
      <c r="B728" s="738"/>
      <c r="C728" s="738"/>
      <c r="D728" s="738"/>
      <c r="E728" s="738"/>
      <c r="F728" s="738"/>
      <c r="G728" s="738"/>
      <c r="H728" s="738"/>
      <c r="I728" s="738"/>
      <c r="J728" s="738"/>
      <c r="K728" s="738"/>
      <c r="L728" s="738"/>
      <c r="M728" s="738"/>
      <c r="N728" s="738"/>
      <c r="O728" s="738"/>
      <c r="P728" s="738"/>
      <c r="Q728" s="738"/>
      <c r="R728" s="738"/>
      <c r="S728" s="738"/>
      <c r="T728" s="738"/>
      <c r="U728" s="738"/>
      <c r="V728" s="738"/>
      <c r="W728" s="738"/>
      <c r="X728" s="738"/>
      <c r="Y728" s="738"/>
      <c r="Z728" s="738"/>
      <c r="AA728" s="738"/>
      <c r="AB728" s="738"/>
      <c r="AC728" s="738"/>
      <c r="AD728" s="738"/>
      <c r="AE728" s="738"/>
      <c r="AF728" s="738"/>
      <c r="AG728" s="738"/>
      <c r="AH728" s="738"/>
      <c r="AI728" s="738"/>
      <c r="AJ728" s="738"/>
      <c r="AK728" s="738"/>
      <c r="AL728" s="738"/>
    </row>
    <row r="729">
      <c r="A729" s="738"/>
      <c r="B729" s="738"/>
      <c r="C729" s="738"/>
      <c r="D729" s="738"/>
      <c r="E729" s="738"/>
      <c r="F729" s="738"/>
      <c r="G729" s="738"/>
      <c r="H729" s="738"/>
      <c r="I729" s="738"/>
      <c r="J729" s="738"/>
      <c r="K729" s="738"/>
      <c r="L729" s="738"/>
      <c r="M729" s="738"/>
      <c r="N729" s="738"/>
      <c r="O729" s="738"/>
      <c r="P729" s="738"/>
      <c r="Q729" s="738"/>
      <c r="R729" s="738"/>
      <c r="S729" s="738"/>
      <c r="T729" s="738"/>
      <c r="U729" s="738"/>
      <c r="V729" s="738"/>
      <c r="W729" s="738"/>
      <c r="X729" s="738"/>
      <c r="Y729" s="738"/>
      <c r="Z729" s="738"/>
      <c r="AA729" s="738"/>
      <c r="AB729" s="738"/>
      <c r="AC729" s="738"/>
      <c r="AD729" s="738"/>
      <c r="AE729" s="738"/>
      <c r="AF729" s="738"/>
      <c r="AG729" s="738"/>
      <c r="AH729" s="738"/>
      <c r="AI729" s="738"/>
      <c r="AJ729" s="738"/>
      <c r="AK729" s="738"/>
      <c r="AL729" s="738"/>
    </row>
    <row r="730">
      <c r="A730" s="738"/>
      <c r="B730" s="738"/>
      <c r="C730" s="738"/>
      <c r="D730" s="738"/>
      <c r="E730" s="738"/>
      <c r="F730" s="738"/>
      <c r="G730" s="738"/>
      <c r="H730" s="738"/>
      <c r="I730" s="738"/>
      <c r="J730" s="738"/>
      <c r="K730" s="738"/>
      <c r="L730" s="738"/>
      <c r="M730" s="738"/>
      <c r="N730" s="738"/>
      <c r="O730" s="738"/>
      <c r="P730" s="738"/>
      <c r="Q730" s="738"/>
      <c r="R730" s="738"/>
      <c r="S730" s="738"/>
      <c r="T730" s="738"/>
      <c r="U730" s="738"/>
      <c r="V730" s="738"/>
      <c r="W730" s="738"/>
      <c r="X730" s="738"/>
      <c r="Y730" s="738"/>
      <c r="Z730" s="738"/>
      <c r="AA730" s="738"/>
      <c r="AB730" s="738"/>
      <c r="AC730" s="738"/>
      <c r="AD730" s="738"/>
      <c r="AE730" s="738"/>
      <c r="AF730" s="738"/>
      <c r="AG730" s="738"/>
      <c r="AH730" s="738"/>
      <c r="AI730" s="738"/>
      <c r="AJ730" s="738"/>
      <c r="AK730" s="738"/>
      <c r="AL730" s="738"/>
    </row>
    <row r="731">
      <c r="A731" s="738"/>
      <c r="B731" s="738"/>
      <c r="C731" s="738"/>
      <c r="D731" s="738"/>
      <c r="E731" s="738"/>
      <c r="F731" s="738"/>
      <c r="G731" s="738"/>
      <c r="H731" s="738"/>
      <c r="I731" s="738"/>
      <c r="J731" s="738"/>
      <c r="K731" s="738"/>
      <c r="L731" s="738"/>
      <c r="M731" s="738"/>
      <c r="N731" s="738"/>
      <c r="O731" s="738"/>
      <c r="P731" s="738"/>
      <c r="Q731" s="738"/>
      <c r="R731" s="738"/>
      <c r="S731" s="738"/>
      <c r="T731" s="738"/>
      <c r="U731" s="738"/>
      <c r="V731" s="738"/>
      <c r="W731" s="738"/>
      <c r="X731" s="738"/>
      <c r="Y731" s="738"/>
      <c r="Z731" s="738"/>
      <c r="AA731" s="738"/>
      <c r="AB731" s="738"/>
      <c r="AC731" s="738"/>
      <c r="AD731" s="738"/>
      <c r="AE731" s="738"/>
      <c r="AF731" s="738"/>
      <c r="AG731" s="738"/>
      <c r="AH731" s="738"/>
      <c r="AI731" s="738"/>
      <c r="AJ731" s="738"/>
      <c r="AK731" s="738"/>
      <c r="AL731" s="738"/>
    </row>
    <row r="732">
      <c r="A732" s="738"/>
      <c r="B732" s="738"/>
      <c r="C732" s="738"/>
      <c r="D732" s="738"/>
      <c r="E732" s="738"/>
      <c r="F732" s="738"/>
      <c r="G732" s="738"/>
      <c r="H732" s="738"/>
      <c r="I732" s="738"/>
      <c r="J732" s="738"/>
      <c r="K732" s="738"/>
      <c r="L732" s="738"/>
      <c r="M732" s="738"/>
      <c r="N732" s="738"/>
      <c r="O732" s="738"/>
      <c r="P732" s="738"/>
      <c r="Q732" s="738"/>
      <c r="R732" s="738"/>
      <c r="S732" s="738"/>
      <c r="T732" s="738"/>
      <c r="U732" s="738"/>
      <c r="V732" s="738"/>
      <c r="W732" s="738"/>
      <c r="X732" s="738"/>
      <c r="Y732" s="738"/>
      <c r="Z732" s="738"/>
      <c r="AA732" s="738"/>
      <c r="AB732" s="738"/>
      <c r="AC732" s="738"/>
      <c r="AD732" s="738"/>
      <c r="AE732" s="738"/>
      <c r="AF732" s="738"/>
      <c r="AG732" s="738"/>
      <c r="AH732" s="738"/>
      <c r="AI732" s="738"/>
      <c r="AJ732" s="738"/>
      <c r="AK732" s="738"/>
      <c r="AL732" s="738"/>
    </row>
    <row r="733">
      <c r="A733" s="738"/>
      <c r="B733" s="738"/>
      <c r="C733" s="738"/>
      <c r="D733" s="738"/>
      <c r="E733" s="738"/>
      <c r="F733" s="738"/>
      <c r="G733" s="738"/>
      <c r="H733" s="738"/>
      <c r="I733" s="738"/>
      <c r="J733" s="738"/>
      <c r="K733" s="738"/>
      <c r="L733" s="738"/>
      <c r="M733" s="738"/>
      <c r="N733" s="738"/>
      <c r="O733" s="738"/>
      <c r="P733" s="738"/>
      <c r="Q733" s="738"/>
      <c r="R733" s="738"/>
      <c r="S733" s="738"/>
      <c r="T733" s="738"/>
      <c r="U733" s="738"/>
      <c r="V733" s="738"/>
      <c r="W733" s="738"/>
      <c r="X733" s="738"/>
      <c r="Y733" s="738"/>
      <c r="Z733" s="738"/>
      <c r="AA733" s="738"/>
      <c r="AB733" s="738"/>
      <c r="AC733" s="738"/>
      <c r="AD733" s="738"/>
      <c r="AE733" s="738"/>
      <c r="AF733" s="738"/>
      <c r="AG733" s="738"/>
      <c r="AH733" s="738"/>
      <c r="AI733" s="738"/>
      <c r="AJ733" s="738"/>
      <c r="AK733" s="738"/>
      <c r="AL733" s="738"/>
    </row>
    <row r="734">
      <c r="A734" s="738"/>
      <c r="B734" s="738"/>
      <c r="C734" s="738"/>
      <c r="D734" s="738"/>
      <c r="E734" s="738"/>
      <c r="F734" s="738"/>
      <c r="G734" s="738"/>
      <c r="H734" s="738"/>
      <c r="I734" s="738"/>
      <c r="J734" s="738"/>
      <c r="K734" s="738"/>
      <c r="L734" s="738"/>
      <c r="M734" s="738"/>
      <c r="N734" s="738"/>
      <c r="O734" s="738"/>
      <c r="P734" s="738"/>
      <c r="Q734" s="738"/>
      <c r="R734" s="738"/>
      <c r="S734" s="738"/>
      <c r="T734" s="738"/>
      <c r="U734" s="738"/>
      <c r="V734" s="738"/>
      <c r="W734" s="738"/>
      <c r="X734" s="738"/>
      <c r="Y734" s="738"/>
      <c r="Z734" s="738"/>
      <c r="AA734" s="738"/>
      <c r="AB734" s="738"/>
      <c r="AC734" s="738"/>
      <c r="AD734" s="738"/>
      <c r="AE734" s="738"/>
      <c r="AF734" s="738"/>
      <c r="AG734" s="738"/>
      <c r="AH734" s="738"/>
      <c r="AI734" s="738"/>
      <c r="AJ734" s="738"/>
      <c r="AK734" s="738"/>
      <c r="AL734" s="738"/>
    </row>
    <row r="735">
      <c r="A735" s="738"/>
      <c r="B735" s="738"/>
      <c r="C735" s="738"/>
      <c r="D735" s="738"/>
      <c r="E735" s="738"/>
      <c r="F735" s="738"/>
      <c r="G735" s="738"/>
      <c r="H735" s="738"/>
      <c r="I735" s="738"/>
      <c r="J735" s="738"/>
      <c r="K735" s="738"/>
      <c r="L735" s="738"/>
      <c r="M735" s="738"/>
      <c r="N735" s="738"/>
      <c r="O735" s="738"/>
      <c r="P735" s="738"/>
      <c r="Q735" s="738"/>
      <c r="R735" s="738"/>
      <c r="S735" s="738"/>
      <c r="T735" s="738"/>
      <c r="U735" s="738"/>
      <c r="V735" s="738"/>
      <c r="W735" s="738"/>
      <c r="X735" s="738"/>
      <c r="Y735" s="738"/>
      <c r="Z735" s="738"/>
      <c r="AA735" s="738"/>
      <c r="AB735" s="738"/>
      <c r="AC735" s="738"/>
      <c r="AD735" s="738"/>
      <c r="AE735" s="738"/>
      <c r="AF735" s="738"/>
      <c r="AG735" s="738"/>
      <c r="AH735" s="738"/>
      <c r="AI735" s="738"/>
      <c r="AJ735" s="738"/>
      <c r="AK735" s="738"/>
      <c r="AL735" s="738"/>
    </row>
    <row r="736">
      <c r="A736" s="738"/>
      <c r="B736" s="738"/>
      <c r="C736" s="738"/>
      <c r="D736" s="738"/>
      <c r="E736" s="738"/>
      <c r="F736" s="738"/>
      <c r="G736" s="738"/>
      <c r="H736" s="738"/>
      <c r="I736" s="738"/>
      <c r="J736" s="738"/>
      <c r="K736" s="738"/>
      <c r="L736" s="738"/>
      <c r="M736" s="738"/>
      <c r="N736" s="738"/>
      <c r="O736" s="738"/>
      <c r="P736" s="738"/>
      <c r="Q736" s="738"/>
      <c r="R736" s="738"/>
      <c r="S736" s="738"/>
      <c r="T736" s="738"/>
      <c r="U736" s="738"/>
      <c r="V736" s="738"/>
      <c r="W736" s="738"/>
      <c r="X736" s="738"/>
      <c r="Y736" s="738"/>
      <c r="Z736" s="738"/>
      <c r="AA736" s="738"/>
      <c r="AB736" s="738"/>
      <c r="AC736" s="738"/>
      <c r="AD736" s="738"/>
      <c r="AE736" s="738"/>
      <c r="AF736" s="738"/>
      <c r="AG736" s="738"/>
      <c r="AH736" s="738"/>
      <c r="AI736" s="738"/>
      <c r="AJ736" s="738"/>
      <c r="AK736" s="738"/>
      <c r="AL736" s="738"/>
    </row>
    <row r="737">
      <c r="A737" s="738"/>
      <c r="B737" s="738"/>
      <c r="C737" s="738"/>
      <c r="D737" s="738"/>
      <c r="E737" s="738"/>
      <c r="F737" s="738"/>
      <c r="G737" s="738"/>
      <c r="H737" s="738"/>
      <c r="I737" s="738"/>
      <c r="J737" s="738"/>
      <c r="K737" s="738"/>
      <c r="L737" s="738"/>
      <c r="M737" s="738"/>
      <c r="N737" s="738"/>
      <c r="O737" s="738"/>
      <c r="P737" s="738"/>
      <c r="Q737" s="738"/>
      <c r="R737" s="738"/>
      <c r="S737" s="738"/>
      <c r="T737" s="738"/>
      <c r="U737" s="738"/>
      <c r="V737" s="738"/>
      <c r="W737" s="738"/>
      <c r="X737" s="738"/>
      <c r="Y737" s="738"/>
      <c r="Z737" s="738"/>
      <c r="AA737" s="738"/>
      <c r="AB737" s="738"/>
      <c r="AC737" s="738"/>
      <c r="AD737" s="738"/>
      <c r="AE737" s="738"/>
      <c r="AF737" s="738"/>
      <c r="AG737" s="738"/>
      <c r="AH737" s="738"/>
      <c r="AI737" s="738"/>
      <c r="AJ737" s="738"/>
      <c r="AK737" s="738"/>
      <c r="AL737" s="738"/>
    </row>
    <row r="738">
      <c r="A738" s="738"/>
      <c r="B738" s="738"/>
      <c r="C738" s="738"/>
      <c r="D738" s="738"/>
      <c r="E738" s="738"/>
      <c r="F738" s="738"/>
      <c r="G738" s="738"/>
      <c r="H738" s="738"/>
      <c r="I738" s="738"/>
      <c r="J738" s="738"/>
      <c r="K738" s="738"/>
      <c r="L738" s="738"/>
      <c r="M738" s="738"/>
      <c r="N738" s="738"/>
      <c r="O738" s="738"/>
      <c r="P738" s="738"/>
      <c r="Q738" s="738"/>
      <c r="R738" s="738"/>
      <c r="S738" s="738"/>
      <c r="T738" s="738"/>
      <c r="U738" s="738"/>
      <c r="V738" s="738"/>
      <c r="W738" s="738"/>
      <c r="X738" s="738"/>
      <c r="Y738" s="738"/>
      <c r="Z738" s="738"/>
      <c r="AA738" s="738"/>
      <c r="AB738" s="738"/>
      <c r="AC738" s="738"/>
      <c r="AD738" s="738"/>
      <c r="AE738" s="738"/>
      <c r="AF738" s="738"/>
      <c r="AG738" s="738"/>
      <c r="AH738" s="738"/>
      <c r="AI738" s="738"/>
      <c r="AJ738" s="738"/>
      <c r="AK738" s="738"/>
      <c r="AL738" s="738"/>
    </row>
    <row r="739">
      <c r="A739" s="738"/>
      <c r="B739" s="738"/>
      <c r="C739" s="738"/>
      <c r="D739" s="738"/>
      <c r="E739" s="738"/>
      <c r="F739" s="738"/>
      <c r="G739" s="738"/>
      <c r="H739" s="738"/>
      <c r="I739" s="738"/>
      <c r="J739" s="738"/>
      <c r="K739" s="738"/>
      <c r="L739" s="738"/>
      <c r="M739" s="738"/>
      <c r="N739" s="738"/>
      <c r="O739" s="738"/>
      <c r="P739" s="738"/>
      <c r="Q739" s="738"/>
      <c r="R739" s="738"/>
      <c r="S739" s="738"/>
      <c r="T739" s="738"/>
      <c r="U739" s="738"/>
      <c r="V739" s="738"/>
      <c r="W739" s="738"/>
      <c r="X739" s="738"/>
      <c r="Y739" s="738"/>
      <c r="Z739" s="738"/>
      <c r="AA739" s="738"/>
      <c r="AB739" s="738"/>
      <c r="AC739" s="738"/>
      <c r="AD739" s="738"/>
      <c r="AE739" s="738"/>
      <c r="AF739" s="738"/>
      <c r="AG739" s="738"/>
      <c r="AH739" s="738"/>
      <c r="AI739" s="738"/>
      <c r="AJ739" s="738"/>
      <c r="AK739" s="738"/>
      <c r="AL739" s="738"/>
    </row>
    <row r="740">
      <c r="A740" s="738"/>
      <c r="B740" s="738"/>
      <c r="C740" s="738"/>
      <c r="D740" s="738"/>
      <c r="E740" s="738"/>
      <c r="F740" s="738"/>
      <c r="G740" s="738"/>
      <c r="H740" s="738"/>
      <c r="I740" s="738"/>
      <c r="J740" s="738"/>
      <c r="K740" s="738"/>
      <c r="L740" s="738"/>
      <c r="M740" s="738"/>
      <c r="N740" s="738"/>
      <c r="O740" s="738"/>
      <c r="P740" s="738"/>
      <c r="Q740" s="738"/>
      <c r="R740" s="738"/>
      <c r="S740" s="738"/>
      <c r="T740" s="738"/>
      <c r="U740" s="738"/>
      <c r="V740" s="738"/>
      <c r="W740" s="738"/>
      <c r="X740" s="738"/>
      <c r="Y740" s="738"/>
      <c r="Z740" s="738"/>
      <c r="AA740" s="738"/>
      <c r="AB740" s="738"/>
      <c r="AC740" s="738"/>
      <c r="AD740" s="738"/>
      <c r="AE740" s="738"/>
      <c r="AF740" s="738"/>
      <c r="AG740" s="738"/>
      <c r="AH740" s="738"/>
      <c r="AI740" s="738"/>
      <c r="AJ740" s="738"/>
      <c r="AK740" s="738"/>
      <c r="AL740" s="738"/>
    </row>
    <row r="741">
      <c r="A741" s="738"/>
      <c r="B741" s="738"/>
      <c r="C741" s="738"/>
      <c r="D741" s="738"/>
      <c r="E741" s="738"/>
      <c r="F741" s="738"/>
      <c r="G741" s="738"/>
      <c r="H741" s="738"/>
      <c r="I741" s="738"/>
      <c r="J741" s="738"/>
      <c r="K741" s="738"/>
      <c r="L741" s="738"/>
      <c r="M741" s="738"/>
      <c r="N741" s="738"/>
      <c r="O741" s="738"/>
      <c r="P741" s="738"/>
      <c r="Q741" s="738"/>
      <c r="R741" s="738"/>
      <c r="S741" s="738"/>
      <c r="T741" s="738"/>
      <c r="U741" s="738"/>
      <c r="V741" s="738"/>
      <c r="W741" s="738"/>
      <c r="X741" s="738"/>
      <c r="Y741" s="738"/>
      <c r="Z741" s="738"/>
      <c r="AA741" s="738"/>
      <c r="AB741" s="738"/>
      <c r="AC741" s="738"/>
      <c r="AD741" s="738"/>
      <c r="AE741" s="738"/>
      <c r="AF741" s="738"/>
      <c r="AG741" s="738"/>
      <c r="AH741" s="738"/>
      <c r="AI741" s="738"/>
      <c r="AJ741" s="738"/>
      <c r="AK741" s="738"/>
      <c r="AL741" s="738"/>
    </row>
    <row r="742">
      <c r="A742" s="738"/>
      <c r="B742" s="738"/>
      <c r="C742" s="738"/>
      <c r="D742" s="738"/>
      <c r="E742" s="738"/>
      <c r="F742" s="738"/>
      <c r="G742" s="738"/>
      <c r="H742" s="738"/>
      <c r="I742" s="738"/>
      <c r="J742" s="738"/>
      <c r="K742" s="738"/>
      <c r="L742" s="738"/>
      <c r="M742" s="738"/>
      <c r="N742" s="738"/>
      <c r="O742" s="738"/>
      <c r="P742" s="738"/>
      <c r="Q742" s="738"/>
      <c r="R742" s="738"/>
      <c r="S742" s="738"/>
      <c r="T742" s="738"/>
      <c r="U742" s="738"/>
      <c r="V742" s="738"/>
      <c r="W742" s="738"/>
      <c r="X742" s="738"/>
      <c r="Y742" s="738"/>
      <c r="Z742" s="738"/>
      <c r="AA742" s="738"/>
      <c r="AB742" s="738"/>
      <c r="AC742" s="738"/>
      <c r="AD742" s="738"/>
      <c r="AE742" s="738"/>
      <c r="AF742" s="738"/>
      <c r="AG742" s="738"/>
      <c r="AH742" s="738"/>
      <c r="AI742" s="738"/>
      <c r="AJ742" s="738"/>
      <c r="AK742" s="738"/>
      <c r="AL742" s="738"/>
    </row>
    <row r="743">
      <c r="A743" s="738"/>
      <c r="B743" s="738"/>
      <c r="C743" s="738"/>
      <c r="D743" s="738"/>
      <c r="E743" s="738"/>
      <c r="F743" s="738"/>
      <c r="G743" s="738"/>
      <c r="H743" s="738"/>
      <c r="I743" s="738"/>
      <c r="J743" s="738"/>
      <c r="K743" s="738"/>
      <c r="L743" s="738"/>
      <c r="M743" s="738"/>
      <c r="N743" s="738"/>
      <c r="O743" s="738"/>
      <c r="P743" s="738"/>
      <c r="Q743" s="738"/>
      <c r="R743" s="738"/>
      <c r="S743" s="738"/>
      <c r="T743" s="738"/>
      <c r="U743" s="738"/>
      <c r="V743" s="738"/>
      <c r="W743" s="738"/>
      <c r="X743" s="738"/>
      <c r="Y743" s="738"/>
      <c r="Z743" s="738"/>
      <c r="AA743" s="738"/>
      <c r="AB743" s="738"/>
      <c r="AC743" s="738"/>
      <c r="AD743" s="738"/>
      <c r="AE743" s="738"/>
      <c r="AF743" s="738"/>
      <c r="AG743" s="738"/>
      <c r="AH743" s="738"/>
      <c r="AI743" s="738"/>
      <c r="AJ743" s="738"/>
      <c r="AK743" s="738"/>
      <c r="AL743" s="738"/>
    </row>
    <row r="744">
      <c r="A744" s="738"/>
      <c r="B744" s="738"/>
      <c r="C744" s="738"/>
      <c r="D744" s="738"/>
      <c r="E744" s="738"/>
      <c r="F744" s="738"/>
      <c r="G744" s="738"/>
      <c r="H744" s="738"/>
      <c r="I744" s="738"/>
      <c r="J744" s="738"/>
      <c r="K744" s="738"/>
      <c r="L744" s="738"/>
      <c r="M744" s="738"/>
      <c r="N744" s="738"/>
      <c r="O744" s="738"/>
      <c r="P744" s="738"/>
      <c r="Q744" s="738"/>
      <c r="R744" s="738"/>
      <c r="S744" s="738"/>
      <c r="T744" s="738"/>
      <c r="U744" s="738"/>
      <c r="V744" s="738"/>
      <c r="W744" s="738"/>
      <c r="X744" s="738"/>
      <c r="Y744" s="738"/>
      <c r="Z744" s="738"/>
      <c r="AA744" s="738"/>
      <c r="AB744" s="738"/>
      <c r="AC744" s="738"/>
      <c r="AD744" s="738"/>
      <c r="AE744" s="738"/>
      <c r="AF744" s="738"/>
      <c r="AG744" s="738"/>
      <c r="AH744" s="738"/>
      <c r="AI744" s="738"/>
      <c r="AJ744" s="738"/>
      <c r="AK744" s="738"/>
      <c r="AL744" s="738"/>
    </row>
    <row r="745">
      <c r="A745" s="738"/>
      <c r="B745" s="738"/>
      <c r="C745" s="738"/>
      <c r="D745" s="738"/>
      <c r="E745" s="738"/>
      <c r="F745" s="738"/>
      <c r="G745" s="738"/>
      <c r="H745" s="738"/>
      <c r="I745" s="738"/>
      <c r="J745" s="738"/>
      <c r="K745" s="738"/>
      <c r="L745" s="738"/>
      <c r="M745" s="738"/>
      <c r="N745" s="738"/>
      <c r="O745" s="738"/>
      <c r="P745" s="738"/>
      <c r="Q745" s="738"/>
      <c r="R745" s="738"/>
      <c r="S745" s="738"/>
      <c r="T745" s="738"/>
      <c r="U745" s="738"/>
      <c r="V745" s="738"/>
      <c r="W745" s="738"/>
      <c r="X745" s="738"/>
      <c r="Y745" s="738"/>
      <c r="Z745" s="738"/>
      <c r="AA745" s="738"/>
      <c r="AB745" s="738"/>
      <c r="AC745" s="738"/>
      <c r="AD745" s="738"/>
      <c r="AE745" s="738"/>
      <c r="AF745" s="738"/>
      <c r="AG745" s="738"/>
      <c r="AH745" s="738"/>
      <c r="AI745" s="738"/>
      <c r="AJ745" s="738"/>
      <c r="AK745" s="738"/>
      <c r="AL745" s="738"/>
    </row>
    <row r="746">
      <c r="A746" s="738"/>
      <c r="B746" s="738"/>
      <c r="C746" s="738"/>
      <c r="D746" s="738"/>
      <c r="E746" s="738"/>
      <c r="F746" s="738"/>
      <c r="G746" s="738"/>
      <c r="H746" s="738"/>
      <c r="I746" s="738"/>
      <c r="J746" s="738"/>
      <c r="K746" s="738"/>
      <c r="L746" s="738"/>
      <c r="M746" s="738"/>
      <c r="N746" s="738"/>
      <c r="O746" s="738"/>
      <c r="P746" s="738"/>
      <c r="Q746" s="738"/>
      <c r="R746" s="738"/>
      <c r="S746" s="738"/>
      <c r="T746" s="738"/>
      <c r="U746" s="738"/>
      <c r="V746" s="738"/>
      <c r="W746" s="738"/>
      <c r="X746" s="738"/>
      <c r="Y746" s="738"/>
      <c r="Z746" s="738"/>
      <c r="AA746" s="738"/>
      <c r="AB746" s="738"/>
      <c r="AC746" s="738"/>
      <c r="AD746" s="738"/>
      <c r="AE746" s="738"/>
      <c r="AF746" s="738"/>
      <c r="AG746" s="738"/>
      <c r="AH746" s="738"/>
      <c r="AI746" s="738"/>
      <c r="AJ746" s="738"/>
      <c r="AK746" s="738"/>
      <c r="AL746" s="738"/>
    </row>
    <row r="747">
      <c r="A747" s="738"/>
      <c r="B747" s="738"/>
      <c r="C747" s="738"/>
      <c r="D747" s="738"/>
      <c r="E747" s="738"/>
      <c r="F747" s="738"/>
      <c r="G747" s="738"/>
      <c r="H747" s="738"/>
      <c r="I747" s="738"/>
      <c r="J747" s="738"/>
      <c r="K747" s="738"/>
      <c r="L747" s="738"/>
      <c r="M747" s="738"/>
      <c r="N747" s="738"/>
      <c r="O747" s="738"/>
      <c r="P747" s="738"/>
      <c r="Q747" s="738"/>
      <c r="R747" s="738"/>
      <c r="S747" s="738"/>
      <c r="T747" s="738"/>
      <c r="U747" s="738"/>
      <c r="V747" s="738"/>
      <c r="W747" s="738"/>
      <c r="X747" s="738"/>
      <c r="Y747" s="738"/>
      <c r="Z747" s="738"/>
      <c r="AA747" s="738"/>
      <c r="AB747" s="738"/>
      <c r="AC747" s="738"/>
      <c r="AD747" s="738"/>
      <c r="AE747" s="738"/>
      <c r="AF747" s="738"/>
      <c r="AG747" s="738"/>
      <c r="AH747" s="738"/>
      <c r="AI747" s="738"/>
      <c r="AJ747" s="738"/>
      <c r="AK747" s="738"/>
      <c r="AL747" s="738"/>
    </row>
    <row r="748">
      <c r="A748" s="738"/>
      <c r="B748" s="738"/>
      <c r="C748" s="738"/>
      <c r="D748" s="738"/>
      <c r="E748" s="738"/>
      <c r="F748" s="738"/>
      <c r="G748" s="738"/>
      <c r="H748" s="738"/>
      <c r="I748" s="738"/>
      <c r="J748" s="738"/>
      <c r="K748" s="738"/>
      <c r="L748" s="738"/>
      <c r="M748" s="738"/>
      <c r="N748" s="738"/>
      <c r="O748" s="738"/>
      <c r="P748" s="738"/>
      <c r="Q748" s="738"/>
      <c r="R748" s="738"/>
      <c r="S748" s="738"/>
      <c r="T748" s="738"/>
      <c r="U748" s="738"/>
      <c r="V748" s="738"/>
      <c r="W748" s="738"/>
      <c r="X748" s="738"/>
      <c r="Y748" s="738"/>
      <c r="Z748" s="738"/>
      <c r="AA748" s="738"/>
      <c r="AB748" s="738"/>
      <c r="AC748" s="738"/>
      <c r="AD748" s="738"/>
      <c r="AE748" s="738"/>
      <c r="AF748" s="738"/>
      <c r="AG748" s="738"/>
      <c r="AH748" s="738"/>
      <c r="AI748" s="738"/>
      <c r="AJ748" s="738"/>
      <c r="AK748" s="738"/>
      <c r="AL748" s="738"/>
    </row>
    <row r="749">
      <c r="A749" s="738"/>
      <c r="B749" s="738"/>
      <c r="C749" s="738"/>
      <c r="D749" s="738"/>
      <c r="E749" s="738"/>
      <c r="F749" s="738"/>
      <c r="G749" s="738"/>
      <c r="H749" s="738"/>
      <c r="I749" s="738"/>
      <c r="J749" s="738"/>
      <c r="K749" s="738"/>
      <c r="L749" s="738"/>
      <c r="M749" s="738"/>
      <c r="N749" s="738"/>
      <c r="O749" s="738"/>
      <c r="P749" s="738"/>
      <c r="Q749" s="738"/>
      <c r="R749" s="738"/>
      <c r="S749" s="738"/>
      <c r="T749" s="738"/>
      <c r="U749" s="738"/>
      <c r="V749" s="738"/>
      <c r="W749" s="738"/>
      <c r="X749" s="738"/>
      <c r="Y749" s="738"/>
      <c r="Z749" s="738"/>
      <c r="AA749" s="738"/>
      <c r="AB749" s="738"/>
      <c r="AC749" s="738"/>
      <c r="AD749" s="738"/>
      <c r="AE749" s="738"/>
      <c r="AF749" s="738"/>
      <c r="AG749" s="738"/>
      <c r="AH749" s="738"/>
      <c r="AI749" s="738"/>
      <c r="AJ749" s="738"/>
      <c r="AK749" s="738"/>
      <c r="AL749" s="738"/>
    </row>
    <row r="750">
      <c r="A750" s="738"/>
      <c r="B750" s="738"/>
      <c r="C750" s="738"/>
      <c r="D750" s="738"/>
      <c r="E750" s="738"/>
      <c r="F750" s="738"/>
      <c r="G750" s="738"/>
      <c r="H750" s="738"/>
      <c r="I750" s="738"/>
      <c r="J750" s="738"/>
      <c r="K750" s="738"/>
      <c r="L750" s="738"/>
      <c r="M750" s="738"/>
      <c r="N750" s="738"/>
      <c r="O750" s="738"/>
      <c r="P750" s="738"/>
      <c r="Q750" s="738"/>
      <c r="R750" s="738"/>
      <c r="S750" s="738"/>
      <c r="T750" s="738"/>
      <c r="U750" s="738"/>
      <c r="V750" s="738"/>
      <c r="W750" s="738"/>
      <c r="X750" s="738"/>
      <c r="Y750" s="738"/>
      <c r="Z750" s="738"/>
      <c r="AA750" s="738"/>
      <c r="AB750" s="738"/>
      <c r="AC750" s="738"/>
      <c r="AD750" s="738"/>
      <c r="AE750" s="738"/>
      <c r="AF750" s="738"/>
      <c r="AG750" s="738"/>
      <c r="AH750" s="738"/>
      <c r="AI750" s="738"/>
      <c r="AJ750" s="738"/>
      <c r="AK750" s="738"/>
      <c r="AL750" s="738"/>
    </row>
    <row r="751">
      <c r="A751" s="738"/>
      <c r="B751" s="738"/>
      <c r="C751" s="738"/>
      <c r="D751" s="738"/>
      <c r="E751" s="738"/>
      <c r="F751" s="738"/>
      <c r="G751" s="738"/>
      <c r="H751" s="738"/>
      <c r="I751" s="738"/>
      <c r="J751" s="738"/>
      <c r="K751" s="738"/>
      <c r="L751" s="738"/>
      <c r="M751" s="738"/>
      <c r="N751" s="738"/>
      <c r="O751" s="738"/>
      <c r="P751" s="738"/>
      <c r="Q751" s="738"/>
      <c r="R751" s="738"/>
      <c r="S751" s="738"/>
      <c r="T751" s="738"/>
      <c r="U751" s="738"/>
      <c r="V751" s="738"/>
      <c r="W751" s="738"/>
      <c r="X751" s="738"/>
      <c r="Y751" s="738"/>
      <c r="Z751" s="738"/>
      <c r="AA751" s="738"/>
      <c r="AB751" s="738"/>
      <c r="AC751" s="738"/>
      <c r="AD751" s="738"/>
      <c r="AE751" s="738"/>
      <c r="AF751" s="738"/>
      <c r="AG751" s="738"/>
      <c r="AH751" s="738"/>
      <c r="AI751" s="738"/>
      <c r="AJ751" s="738"/>
      <c r="AK751" s="738"/>
      <c r="AL751" s="738"/>
    </row>
    <row r="752">
      <c r="A752" s="738"/>
      <c r="B752" s="738"/>
      <c r="C752" s="738"/>
      <c r="D752" s="738"/>
      <c r="E752" s="738"/>
      <c r="F752" s="738"/>
      <c r="G752" s="738"/>
      <c r="H752" s="738"/>
      <c r="I752" s="738"/>
      <c r="J752" s="738"/>
      <c r="K752" s="738"/>
      <c r="L752" s="738"/>
      <c r="M752" s="738"/>
      <c r="N752" s="738"/>
      <c r="O752" s="738"/>
      <c r="P752" s="738"/>
      <c r="Q752" s="738"/>
      <c r="R752" s="738"/>
      <c r="S752" s="738"/>
      <c r="T752" s="738"/>
      <c r="U752" s="738"/>
      <c r="V752" s="738"/>
      <c r="W752" s="738"/>
      <c r="X752" s="738"/>
      <c r="Y752" s="738"/>
      <c r="Z752" s="738"/>
      <c r="AA752" s="738"/>
      <c r="AB752" s="738"/>
      <c r="AC752" s="738"/>
      <c r="AD752" s="738"/>
      <c r="AE752" s="738"/>
      <c r="AF752" s="738"/>
      <c r="AG752" s="738"/>
      <c r="AH752" s="738"/>
      <c r="AI752" s="738"/>
      <c r="AJ752" s="738"/>
      <c r="AK752" s="738"/>
      <c r="AL752" s="738"/>
    </row>
    <row r="753">
      <c r="A753" s="738"/>
      <c r="B753" s="738"/>
      <c r="C753" s="738"/>
      <c r="D753" s="738"/>
      <c r="E753" s="738"/>
      <c r="F753" s="738"/>
      <c r="G753" s="738"/>
      <c r="H753" s="738"/>
      <c r="I753" s="738"/>
      <c r="J753" s="738"/>
      <c r="K753" s="738"/>
      <c r="L753" s="738"/>
      <c r="M753" s="738"/>
      <c r="N753" s="738"/>
      <c r="O753" s="738"/>
      <c r="P753" s="738"/>
      <c r="Q753" s="738"/>
      <c r="R753" s="738"/>
      <c r="S753" s="738"/>
      <c r="T753" s="738"/>
      <c r="U753" s="738"/>
      <c r="V753" s="738"/>
      <c r="W753" s="738"/>
      <c r="X753" s="738"/>
      <c r="Y753" s="738"/>
      <c r="Z753" s="738"/>
      <c r="AA753" s="738"/>
      <c r="AB753" s="738"/>
      <c r="AC753" s="738"/>
      <c r="AD753" s="738"/>
      <c r="AE753" s="738"/>
      <c r="AF753" s="738"/>
      <c r="AG753" s="738"/>
      <c r="AH753" s="738"/>
      <c r="AI753" s="738"/>
      <c r="AJ753" s="738"/>
      <c r="AK753" s="738"/>
      <c r="AL753" s="738"/>
    </row>
    <row r="754">
      <c r="A754" s="738"/>
      <c r="B754" s="738"/>
      <c r="C754" s="738"/>
      <c r="D754" s="738"/>
      <c r="E754" s="738"/>
      <c r="F754" s="738"/>
      <c r="G754" s="738"/>
      <c r="H754" s="738"/>
      <c r="I754" s="738"/>
      <c r="J754" s="738"/>
      <c r="K754" s="738"/>
      <c r="L754" s="738"/>
      <c r="M754" s="738"/>
      <c r="N754" s="738"/>
      <c r="O754" s="738"/>
      <c r="P754" s="738"/>
      <c r="Q754" s="738"/>
      <c r="R754" s="738"/>
      <c r="S754" s="738"/>
      <c r="T754" s="738"/>
      <c r="U754" s="738"/>
      <c r="V754" s="738"/>
      <c r="W754" s="738"/>
      <c r="X754" s="738"/>
      <c r="Y754" s="738"/>
      <c r="Z754" s="738"/>
      <c r="AA754" s="738"/>
      <c r="AB754" s="738"/>
      <c r="AC754" s="738"/>
      <c r="AD754" s="738"/>
      <c r="AE754" s="738"/>
      <c r="AF754" s="738"/>
      <c r="AG754" s="738"/>
      <c r="AH754" s="738"/>
      <c r="AI754" s="738"/>
      <c r="AJ754" s="738"/>
      <c r="AK754" s="738"/>
      <c r="AL754" s="738"/>
    </row>
    <row r="755">
      <c r="A755" s="738"/>
      <c r="B755" s="738"/>
      <c r="C755" s="738"/>
      <c r="D755" s="738"/>
      <c r="E755" s="738"/>
      <c r="F755" s="738"/>
      <c r="G755" s="738"/>
      <c r="H755" s="738"/>
      <c r="I755" s="738"/>
      <c r="J755" s="738"/>
      <c r="K755" s="738"/>
      <c r="L755" s="738"/>
      <c r="M755" s="738"/>
      <c r="N755" s="738"/>
      <c r="O755" s="738"/>
      <c r="P755" s="738"/>
      <c r="Q755" s="738"/>
      <c r="R755" s="738"/>
      <c r="S755" s="738"/>
      <c r="T755" s="738"/>
      <c r="U755" s="738"/>
      <c r="V755" s="738"/>
      <c r="W755" s="738"/>
      <c r="X755" s="738"/>
      <c r="Y755" s="738"/>
      <c r="Z755" s="738"/>
      <c r="AA755" s="738"/>
      <c r="AB755" s="738"/>
      <c r="AC755" s="738"/>
      <c r="AD755" s="738"/>
      <c r="AE755" s="738"/>
      <c r="AF755" s="738"/>
      <c r="AG755" s="738"/>
      <c r="AH755" s="738"/>
      <c r="AI755" s="738"/>
      <c r="AJ755" s="738"/>
      <c r="AK755" s="738"/>
      <c r="AL755" s="738"/>
    </row>
    <row r="756">
      <c r="A756" s="738"/>
      <c r="B756" s="738"/>
      <c r="C756" s="738"/>
      <c r="D756" s="738"/>
      <c r="E756" s="738"/>
      <c r="F756" s="738"/>
      <c r="G756" s="738"/>
      <c r="H756" s="738"/>
      <c r="I756" s="738"/>
      <c r="J756" s="738"/>
      <c r="K756" s="738"/>
      <c r="L756" s="738"/>
      <c r="M756" s="738"/>
      <c r="N756" s="738"/>
      <c r="O756" s="738"/>
      <c r="P756" s="738"/>
      <c r="Q756" s="738"/>
      <c r="R756" s="738"/>
      <c r="S756" s="738"/>
      <c r="T756" s="738"/>
      <c r="U756" s="738"/>
      <c r="V756" s="738"/>
      <c r="W756" s="738"/>
      <c r="X756" s="738"/>
      <c r="Y756" s="738"/>
      <c r="Z756" s="738"/>
      <c r="AA756" s="738"/>
      <c r="AB756" s="738"/>
      <c r="AC756" s="738"/>
      <c r="AD756" s="738"/>
      <c r="AE756" s="738"/>
      <c r="AF756" s="738"/>
      <c r="AG756" s="738"/>
      <c r="AH756" s="738"/>
      <c r="AI756" s="738"/>
      <c r="AJ756" s="738"/>
      <c r="AK756" s="738"/>
      <c r="AL756" s="738"/>
    </row>
    <row r="757">
      <c r="A757" s="738"/>
      <c r="B757" s="738"/>
      <c r="C757" s="738"/>
      <c r="D757" s="738"/>
      <c r="E757" s="738"/>
      <c r="F757" s="738"/>
      <c r="G757" s="738"/>
      <c r="H757" s="738"/>
      <c r="I757" s="738"/>
      <c r="J757" s="738"/>
      <c r="K757" s="738"/>
      <c r="L757" s="738"/>
      <c r="M757" s="738"/>
      <c r="N757" s="738"/>
      <c r="O757" s="738"/>
      <c r="P757" s="738"/>
      <c r="Q757" s="738"/>
      <c r="R757" s="738"/>
      <c r="S757" s="738"/>
      <c r="T757" s="738"/>
      <c r="U757" s="738"/>
      <c r="V757" s="738"/>
      <c r="W757" s="738"/>
      <c r="X757" s="738"/>
      <c r="Y757" s="738"/>
      <c r="Z757" s="738"/>
      <c r="AA757" s="738"/>
      <c r="AB757" s="738"/>
      <c r="AC757" s="738"/>
      <c r="AD757" s="738"/>
      <c r="AE757" s="738"/>
      <c r="AF757" s="738"/>
      <c r="AG757" s="738"/>
      <c r="AH757" s="738"/>
      <c r="AI757" s="738"/>
      <c r="AJ757" s="738"/>
      <c r="AK757" s="738"/>
      <c r="AL757" s="738"/>
    </row>
    <row r="758">
      <c r="A758" s="738"/>
      <c r="B758" s="738"/>
      <c r="C758" s="738"/>
      <c r="D758" s="738"/>
      <c r="E758" s="738"/>
      <c r="F758" s="738"/>
      <c r="G758" s="738"/>
      <c r="H758" s="738"/>
      <c r="I758" s="738"/>
      <c r="J758" s="738"/>
      <c r="K758" s="738"/>
      <c r="L758" s="738"/>
      <c r="M758" s="738"/>
      <c r="N758" s="738"/>
      <c r="O758" s="738"/>
      <c r="P758" s="738"/>
      <c r="Q758" s="738"/>
      <c r="R758" s="738"/>
      <c r="S758" s="738"/>
      <c r="T758" s="738"/>
      <c r="U758" s="738"/>
      <c r="V758" s="738"/>
      <c r="W758" s="738"/>
      <c r="X758" s="738"/>
      <c r="Y758" s="738"/>
      <c r="Z758" s="738"/>
      <c r="AA758" s="738"/>
      <c r="AB758" s="738"/>
      <c r="AC758" s="738"/>
      <c r="AD758" s="738"/>
      <c r="AE758" s="738"/>
      <c r="AF758" s="738"/>
      <c r="AG758" s="738"/>
      <c r="AH758" s="738"/>
      <c r="AI758" s="738"/>
      <c r="AJ758" s="738"/>
      <c r="AK758" s="738"/>
      <c r="AL758" s="738"/>
    </row>
    <row r="759">
      <c r="A759" s="738"/>
      <c r="B759" s="738"/>
      <c r="C759" s="738"/>
      <c r="D759" s="738"/>
      <c r="E759" s="738"/>
      <c r="F759" s="738"/>
      <c r="G759" s="738"/>
      <c r="H759" s="738"/>
      <c r="I759" s="738"/>
      <c r="J759" s="738"/>
      <c r="K759" s="738"/>
      <c r="L759" s="738"/>
      <c r="M759" s="738"/>
      <c r="N759" s="738"/>
      <c r="O759" s="738"/>
      <c r="P759" s="738"/>
      <c r="Q759" s="738"/>
      <c r="R759" s="738"/>
      <c r="S759" s="738"/>
      <c r="T759" s="738"/>
      <c r="U759" s="738"/>
      <c r="V759" s="738"/>
      <c r="W759" s="738"/>
      <c r="X759" s="738"/>
      <c r="Y759" s="738"/>
      <c r="Z759" s="738"/>
      <c r="AA759" s="738"/>
      <c r="AB759" s="738"/>
      <c r="AC759" s="738"/>
      <c r="AD759" s="738"/>
      <c r="AE759" s="738"/>
      <c r="AF759" s="738"/>
      <c r="AG759" s="738"/>
      <c r="AH759" s="738"/>
      <c r="AI759" s="738"/>
      <c r="AJ759" s="738"/>
      <c r="AK759" s="738"/>
      <c r="AL759" s="738"/>
    </row>
    <row r="760">
      <c r="A760" s="738"/>
      <c r="B760" s="738"/>
      <c r="C760" s="738"/>
      <c r="D760" s="738"/>
      <c r="E760" s="738"/>
      <c r="F760" s="738"/>
      <c r="G760" s="738"/>
      <c r="H760" s="738"/>
      <c r="I760" s="738"/>
      <c r="J760" s="738"/>
      <c r="K760" s="738"/>
      <c r="L760" s="738"/>
      <c r="M760" s="738"/>
      <c r="N760" s="738"/>
      <c r="O760" s="738"/>
      <c r="P760" s="738"/>
      <c r="Q760" s="738"/>
      <c r="R760" s="738"/>
      <c r="S760" s="738"/>
      <c r="T760" s="738"/>
      <c r="U760" s="738"/>
      <c r="V760" s="738"/>
      <c r="W760" s="738"/>
      <c r="X760" s="738"/>
      <c r="Y760" s="738"/>
      <c r="Z760" s="738"/>
      <c r="AA760" s="738"/>
      <c r="AB760" s="738"/>
      <c r="AC760" s="738"/>
      <c r="AD760" s="738"/>
      <c r="AE760" s="738"/>
      <c r="AF760" s="738"/>
      <c r="AG760" s="738"/>
      <c r="AH760" s="738"/>
      <c r="AI760" s="738"/>
      <c r="AJ760" s="738"/>
      <c r="AK760" s="738"/>
      <c r="AL760" s="738"/>
    </row>
    <row r="761">
      <c r="A761" s="738"/>
      <c r="B761" s="738"/>
      <c r="C761" s="738"/>
      <c r="D761" s="738"/>
      <c r="E761" s="738"/>
      <c r="F761" s="738"/>
      <c r="G761" s="738"/>
      <c r="H761" s="738"/>
      <c r="I761" s="738"/>
      <c r="J761" s="738"/>
      <c r="K761" s="738"/>
      <c r="L761" s="738"/>
      <c r="M761" s="738"/>
      <c r="N761" s="738"/>
      <c r="O761" s="738"/>
      <c r="P761" s="738"/>
      <c r="Q761" s="738"/>
      <c r="R761" s="738"/>
      <c r="S761" s="738"/>
      <c r="T761" s="738"/>
      <c r="U761" s="738"/>
      <c r="V761" s="738"/>
      <c r="W761" s="738"/>
      <c r="X761" s="738"/>
      <c r="Y761" s="738"/>
      <c r="Z761" s="738"/>
      <c r="AA761" s="738"/>
      <c r="AB761" s="738"/>
      <c r="AC761" s="738"/>
      <c r="AD761" s="738"/>
      <c r="AE761" s="738"/>
      <c r="AF761" s="738"/>
      <c r="AG761" s="738"/>
      <c r="AH761" s="738"/>
      <c r="AI761" s="738"/>
      <c r="AJ761" s="738"/>
      <c r="AK761" s="738"/>
      <c r="AL761" s="738"/>
    </row>
    <row r="762">
      <c r="A762" s="738"/>
      <c r="B762" s="738"/>
      <c r="C762" s="738"/>
      <c r="D762" s="738"/>
      <c r="E762" s="738"/>
      <c r="F762" s="738"/>
      <c r="G762" s="738"/>
      <c r="H762" s="738"/>
      <c r="I762" s="738"/>
      <c r="J762" s="738"/>
      <c r="K762" s="738"/>
      <c r="L762" s="738"/>
      <c r="M762" s="738"/>
      <c r="N762" s="738"/>
      <c r="O762" s="738"/>
      <c r="P762" s="738"/>
      <c r="Q762" s="738"/>
      <c r="R762" s="738"/>
      <c r="S762" s="738"/>
      <c r="T762" s="738"/>
      <c r="U762" s="738"/>
      <c r="V762" s="738"/>
      <c r="W762" s="738"/>
      <c r="X762" s="738"/>
      <c r="Y762" s="738"/>
      <c r="Z762" s="738"/>
      <c r="AA762" s="738"/>
      <c r="AB762" s="738"/>
      <c r="AC762" s="738"/>
      <c r="AD762" s="738"/>
      <c r="AE762" s="738"/>
      <c r="AF762" s="738"/>
      <c r="AG762" s="738"/>
      <c r="AH762" s="738"/>
      <c r="AI762" s="738"/>
      <c r="AJ762" s="738"/>
      <c r="AK762" s="738"/>
      <c r="AL762" s="738"/>
    </row>
    <row r="763">
      <c r="A763" s="738"/>
      <c r="B763" s="738"/>
      <c r="C763" s="738"/>
      <c r="D763" s="738"/>
      <c r="E763" s="738"/>
      <c r="F763" s="738"/>
      <c r="G763" s="738"/>
      <c r="H763" s="738"/>
      <c r="I763" s="738"/>
      <c r="J763" s="738"/>
      <c r="K763" s="738"/>
      <c r="L763" s="738"/>
      <c r="M763" s="738"/>
      <c r="N763" s="738"/>
      <c r="O763" s="738"/>
      <c r="P763" s="738"/>
      <c r="Q763" s="738"/>
      <c r="R763" s="738"/>
      <c r="S763" s="738"/>
      <c r="T763" s="738"/>
      <c r="U763" s="738"/>
      <c r="V763" s="738"/>
      <c r="W763" s="738"/>
      <c r="X763" s="738"/>
      <c r="Y763" s="738"/>
      <c r="Z763" s="738"/>
      <c r="AA763" s="738"/>
      <c r="AB763" s="738"/>
      <c r="AC763" s="738"/>
      <c r="AD763" s="738"/>
      <c r="AE763" s="738"/>
      <c r="AF763" s="738"/>
      <c r="AG763" s="738"/>
      <c r="AH763" s="738"/>
      <c r="AI763" s="738"/>
      <c r="AJ763" s="738"/>
      <c r="AK763" s="738"/>
      <c r="AL763" s="738"/>
    </row>
    <row r="764">
      <c r="A764" s="738"/>
      <c r="B764" s="738"/>
      <c r="C764" s="738"/>
      <c r="D764" s="738"/>
      <c r="E764" s="738"/>
      <c r="F764" s="738"/>
      <c r="G764" s="738"/>
      <c r="H764" s="738"/>
      <c r="I764" s="738"/>
      <c r="J764" s="738"/>
      <c r="K764" s="738"/>
      <c r="L764" s="738"/>
      <c r="M764" s="738"/>
      <c r="N764" s="738"/>
      <c r="O764" s="738"/>
      <c r="P764" s="738"/>
      <c r="Q764" s="738"/>
      <c r="R764" s="738"/>
      <c r="S764" s="738"/>
      <c r="T764" s="738"/>
      <c r="U764" s="738"/>
      <c r="V764" s="738"/>
      <c r="W764" s="738"/>
      <c r="X764" s="738"/>
      <c r="Y764" s="738"/>
      <c r="Z764" s="738"/>
      <c r="AA764" s="738"/>
      <c r="AB764" s="738"/>
      <c r="AC764" s="738"/>
      <c r="AD764" s="738"/>
      <c r="AE764" s="738"/>
      <c r="AF764" s="738"/>
      <c r="AG764" s="738"/>
      <c r="AH764" s="738"/>
      <c r="AI764" s="738"/>
      <c r="AJ764" s="738"/>
      <c r="AK764" s="738"/>
      <c r="AL764" s="738"/>
    </row>
    <row r="765">
      <c r="A765" s="738"/>
      <c r="B765" s="738"/>
      <c r="C765" s="738"/>
      <c r="D765" s="738"/>
      <c r="E765" s="738"/>
      <c r="F765" s="738"/>
      <c r="G765" s="738"/>
      <c r="H765" s="738"/>
      <c r="I765" s="738"/>
      <c r="J765" s="738"/>
      <c r="K765" s="738"/>
      <c r="L765" s="738"/>
      <c r="M765" s="738"/>
      <c r="N765" s="738"/>
      <c r="O765" s="738"/>
      <c r="P765" s="738"/>
      <c r="Q765" s="738"/>
      <c r="R765" s="738"/>
      <c r="S765" s="738"/>
      <c r="T765" s="738"/>
      <c r="U765" s="738"/>
      <c r="V765" s="738"/>
      <c r="W765" s="738"/>
      <c r="X765" s="738"/>
      <c r="Y765" s="738"/>
      <c r="Z765" s="738"/>
      <c r="AA765" s="738"/>
      <c r="AB765" s="738"/>
      <c r="AC765" s="738"/>
      <c r="AD765" s="738"/>
      <c r="AE765" s="738"/>
      <c r="AF765" s="738"/>
      <c r="AG765" s="738"/>
      <c r="AH765" s="738"/>
      <c r="AI765" s="738"/>
      <c r="AJ765" s="738"/>
      <c r="AK765" s="738"/>
      <c r="AL765" s="738"/>
    </row>
    <row r="766">
      <c r="A766" s="738"/>
      <c r="B766" s="738"/>
      <c r="C766" s="738"/>
      <c r="D766" s="738"/>
      <c r="E766" s="738"/>
      <c r="F766" s="738"/>
      <c r="G766" s="738"/>
      <c r="H766" s="738"/>
      <c r="I766" s="738"/>
      <c r="J766" s="738"/>
      <c r="K766" s="738"/>
      <c r="L766" s="738"/>
      <c r="M766" s="738"/>
      <c r="N766" s="738"/>
      <c r="O766" s="738"/>
      <c r="P766" s="738"/>
      <c r="Q766" s="738"/>
      <c r="R766" s="738"/>
      <c r="S766" s="738"/>
      <c r="T766" s="738"/>
      <c r="U766" s="738"/>
      <c r="V766" s="738"/>
      <c r="W766" s="738"/>
      <c r="X766" s="738"/>
      <c r="Y766" s="738"/>
      <c r="Z766" s="738"/>
      <c r="AA766" s="738"/>
      <c r="AB766" s="738"/>
      <c r="AC766" s="738"/>
      <c r="AD766" s="738"/>
      <c r="AE766" s="738"/>
      <c r="AF766" s="738"/>
      <c r="AG766" s="738"/>
      <c r="AH766" s="738"/>
      <c r="AI766" s="738"/>
      <c r="AJ766" s="738"/>
      <c r="AK766" s="738"/>
      <c r="AL766" s="738"/>
    </row>
    <row r="767">
      <c r="A767" s="738"/>
      <c r="B767" s="738"/>
      <c r="C767" s="738"/>
      <c r="D767" s="738"/>
      <c r="E767" s="738"/>
      <c r="F767" s="738"/>
      <c r="G767" s="738"/>
      <c r="H767" s="738"/>
      <c r="I767" s="738"/>
      <c r="J767" s="738"/>
      <c r="K767" s="738"/>
      <c r="L767" s="738"/>
      <c r="M767" s="738"/>
      <c r="N767" s="738"/>
      <c r="O767" s="738"/>
      <c r="P767" s="738"/>
      <c r="Q767" s="738"/>
      <c r="R767" s="738"/>
      <c r="S767" s="738"/>
      <c r="T767" s="738"/>
      <c r="U767" s="738"/>
      <c r="V767" s="738"/>
      <c r="W767" s="738"/>
      <c r="X767" s="738"/>
      <c r="Y767" s="738"/>
      <c r="Z767" s="738"/>
      <c r="AA767" s="738"/>
      <c r="AB767" s="738"/>
      <c r="AC767" s="738"/>
      <c r="AD767" s="738"/>
      <c r="AE767" s="738"/>
      <c r="AF767" s="738"/>
      <c r="AG767" s="738"/>
      <c r="AH767" s="738"/>
      <c r="AI767" s="738"/>
      <c r="AJ767" s="738"/>
      <c r="AK767" s="738"/>
      <c r="AL767" s="738"/>
    </row>
    <row r="768">
      <c r="A768" s="738"/>
      <c r="B768" s="738"/>
      <c r="C768" s="738"/>
      <c r="D768" s="738"/>
      <c r="E768" s="738"/>
      <c r="F768" s="738"/>
      <c r="G768" s="738"/>
      <c r="H768" s="738"/>
      <c r="I768" s="738"/>
      <c r="J768" s="738"/>
      <c r="K768" s="738"/>
      <c r="L768" s="738"/>
      <c r="M768" s="738"/>
      <c r="N768" s="738"/>
      <c r="O768" s="738"/>
      <c r="P768" s="738"/>
      <c r="Q768" s="738"/>
      <c r="R768" s="738"/>
      <c r="S768" s="738"/>
      <c r="T768" s="738"/>
      <c r="U768" s="738"/>
      <c r="V768" s="738"/>
      <c r="W768" s="738"/>
      <c r="X768" s="738"/>
      <c r="Y768" s="738"/>
      <c r="Z768" s="738"/>
      <c r="AA768" s="738"/>
      <c r="AB768" s="738"/>
      <c r="AC768" s="738"/>
      <c r="AD768" s="738"/>
      <c r="AE768" s="738"/>
      <c r="AF768" s="738"/>
      <c r="AG768" s="738"/>
      <c r="AH768" s="738"/>
      <c r="AI768" s="738"/>
      <c r="AJ768" s="738"/>
      <c r="AK768" s="738"/>
      <c r="AL768" s="738"/>
    </row>
    <row r="769">
      <c r="A769" s="738"/>
      <c r="B769" s="738"/>
      <c r="C769" s="738"/>
      <c r="D769" s="738"/>
      <c r="E769" s="738"/>
      <c r="F769" s="738"/>
      <c r="G769" s="738"/>
      <c r="H769" s="738"/>
      <c r="I769" s="738"/>
      <c r="J769" s="738"/>
      <c r="K769" s="738"/>
      <c r="L769" s="738"/>
      <c r="M769" s="738"/>
      <c r="N769" s="738"/>
      <c r="O769" s="738"/>
      <c r="P769" s="738"/>
      <c r="Q769" s="738"/>
      <c r="R769" s="738"/>
      <c r="S769" s="738"/>
      <c r="T769" s="738"/>
      <c r="U769" s="738"/>
      <c r="V769" s="738"/>
      <c r="W769" s="738"/>
      <c r="X769" s="738"/>
      <c r="Y769" s="738"/>
      <c r="Z769" s="738"/>
      <c r="AA769" s="738"/>
      <c r="AB769" s="738"/>
      <c r="AC769" s="738"/>
      <c r="AD769" s="738"/>
      <c r="AE769" s="738"/>
      <c r="AF769" s="738"/>
      <c r="AG769" s="738"/>
      <c r="AH769" s="738"/>
      <c r="AI769" s="738"/>
      <c r="AJ769" s="738"/>
      <c r="AK769" s="738"/>
      <c r="AL769" s="738"/>
    </row>
    <row r="770">
      <c r="A770" s="738"/>
      <c r="B770" s="738"/>
      <c r="C770" s="738"/>
      <c r="D770" s="738"/>
      <c r="E770" s="738"/>
      <c r="F770" s="738"/>
      <c r="G770" s="738"/>
      <c r="H770" s="738"/>
      <c r="I770" s="738"/>
      <c r="J770" s="738"/>
      <c r="K770" s="738"/>
      <c r="L770" s="738"/>
      <c r="M770" s="738"/>
      <c r="N770" s="738"/>
      <c r="O770" s="738"/>
      <c r="P770" s="738"/>
      <c r="Q770" s="738"/>
      <c r="R770" s="738"/>
      <c r="S770" s="738"/>
      <c r="T770" s="738"/>
      <c r="U770" s="738"/>
      <c r="V770" s="738"/>
      <c r="W770" s="738"/>
      <c r="X770" s="738"/>
      <c r="Y770" s="738"/>
      <c r="Z770" s="738"/>
      <c r="AA770" s="738"/>
      <c r="AB770" s="738"/>
      <c r="AC770" s="738"/>
      <c r="AD770" s="738"/>
      <c r="AE770" s="738"/>
      <c r="AF770" s="738"/>
      <c r="AG770" s="738"/>
      <c r="AH770" s="738"/>
      <c r="AI770" s="738"/>
      <c r="AJ770" s="738"/>
      <c r="AK770" s="738"/>
      <c r="AL770" s="738"/>
    </row>
    <row r="771">
      <c r="A771" s="738"/>
      <c r="B771" s="738"/>
      <c r="C771" s="738"/>
      <c r="D771" s="738"/>
      <c r="E771" s="738"/>
      <c r="F771" s="738"/>
      <c r="G771" s="738"/>
      <c r="H771" s="738"/>
      <c r="I771" s="738"/>
      <c r="J771" s="738"/>
      <c r="K771" s="738"/>
      <c r="L771" s="738"/>
      <c r="M771" s="738"/>
      <c r="N771" s="738"/>
      <c r="O771" s="738"/>
      <c r="P771" s="738"/>
      <c r="Q771" s="738"/>
      <c r="R771" s="738"/>
      <c r="S771" s="738"/>
      <c r="T771" s="738"/>
      <c r="U771" s="738"/>
      <c r="V771" s="738"/>
      <c r="W771" s="738"/>
      <c r="X771" s="738"/>
      <c r="Y771" s="738"/>
      <c r="Z771" s="738"/>
      <c r="AA771" s="738"/>
      <c r="AB771" s="738"/>
      <c r="AC771" s="738"/>
      <c r="AD771" s="738"/>
      <c r="AE771" s="738"/>
      <c r="AF771" s="738"/>
      <c r="AG771" s="738"/>
      <c r="AH771" s="738"/>
      <c r="AI771" s="738"/>
      <c r="AJ771" s="738"/>
      <c r="AK771" s="738"/>
      <c r="AL771" s="738"/>
    </row>
    <row r="772">
      <c r="A772" s="738"/>
      <c r="B772" s="738"/>
      <c r="C772" s="738"/>
      <c r="D772" s="738"/>
      <c r="E772" s="738"/>
      <c r="F772" s="738"/>
      <c r="G772" s="738"/>
      <c r="H772" s="738"/>
      <c r="I772" s="738"/>
      <c r="J772" s="738"/>
      <c r="K772" s="738"/>
      <c r="L772" s="738"/>
      <c r="M772" s="738"/>
      <c r="N772" s="738"/>
      <c r="O772" s="738"/>
      <c r="P772" s="738"/>
      <c r="Q772" s="738"/>
      <c r="R772" s="738"/>
      <c r="S772" s="738"/>
      <c r="T772" s="738"/>
      <c r="U772" s="738"/>
      <c r="V772" s="738"/>
      <c r="W772" s="738"/>
      <c r="X772" s="738"/>
      <c r="Y772" s="738"/>
      <c r="Z772" s="738"/>
      <c r="AA772" s="738"/>
      <c r="AB772" s="738"/>
      <c r="AC772" s="738"/>
      <c r="AD772" s="738"/>
      <c r="AE772" s="738"/>
      <c r="AF772" s="738"/>
      <c r="AG772" s="738"/>
      <c r="AH772" s="738"/>
      <c r="AI772" s="738"/>
      <c r="AJ772" s="738"/>
      <c r="AK772" s="738"/>
      <c r="AL772" s="738"/>
    </row>
    <row r="773">
      <c r="A773" s="738"/>
      <c r="B773" s="738"/>
      <c r="C773" s="738"/>
      <c r="D773" s="738"/>
      <c r="E773" s="738"/>
      <c r="F773" s="738"/>
      <c r="G773" s="738"/>
      <c r="H773" s="738"/>
      <c r="I773" s="738"/>
      <c r="J773" s="738"/>
      <c r="K773" s="738"/>
      <c r="L773" s="738"/>
      <c r="M773" s="738"/>
      <c r="N773" s="738"/>
      <c r="O773" s="738"/>
      <c r="P773" s="738"/>
      <c r="Q773" s="738"/>
      <c r="R773" s="738"/>
      <c r="S773" s="738"/>
      <c r="T773" s="738"/>
      <c r="U773" s="738"/>
      <c r="V773" s="738"/>
      <c r="W773" s="738"/>
      <c r="X773" s="738"/>
      <c r="Y773" s="738"/>
      <c r="Z773" s="738"/>
      <c r="AA773" s="738"/>
      <c r="AB773" s="738"/>
      <c r="AC773" s="738"/>
      <c r="AD773" s="738"/>
      <c r="AE773" s="738"/>
      <c r="AF773" s="738"/>
      <c r="AG773" s="738"/>
      <c r="AH773" s="738"/>
      <c r="AI773" s="738"/>
      <c r="AJ773" s="738"/>
      <c r="AK773" s="738"/>
      <c r="AL773" s="738"/>
    </row>
    <row r="774">
      <c r="A774" s="738"/>
      <c r="B774" s="738"/>
      <c r="C774" s="738"/>
      <c r="D774" s="738"/>
      <c r="E774" s="738"/>
      <c r="F774" s="738"/>
      <c r="G774" s="738"/>
      <c r="H774" s="738"/>
      <c r="I774" s="738"/>
      <c r="J774" s="738"/>
      <c r="K774" s="738"/>
      <c r="L774" s="738"/>
      <c r="M774" s="738"/>
      <c r="N774" s="738"/>
      <c r="O774" s="738"/>
      <c r="P774" s="738"/>
      <c r="Q774" s="738"/>
      <c r="R774" s="738"/>
      <c r="S774" s="738"/>
      <c r="T774" s="738"/>
      <c r="U774" s="738"/>
      <c r="V774" s="738"/>
      <c r="W774" s="738"/>
      <c r="X774" s="738"/>
      <c r="Y774" s="738"/>
      <c r="Z774" s="738"/>
      <c r="AA774" s="738"/>
      <c r="AB774" s="738"/>
      <c r="AC774" s="738"/>
      <c r="AD774" s="738"/>
      <c r="AE774" s="738"/>
      <c r="AF774" s="738"/>
      <c r="AG774" s="738"/>
      <c r="AH774" s="738"/>
      <c r="AI774" s="738"/>
      <c r="AJ774" s="738"/>
      <c r="AK774" s="738"/>
      <c r="AL774" s="738"/>
    </row>
    <row r="775">
      <c r="A775" s="738"/>
      <c r="B775" s="738"/>
      <c r="C775" s="738"/>
      <c r="D775" s="738"/>
      <c r="E775" s="738"/>
      <c r="F775" s="738"/>
      <c r="G775" s="738"/>
      <c r="H775" s="738"/>
      <c r="I775" s="738"/>
      <c r="J775" s="738"/>
      <c r="K775" s="738"/>
      <c r="L775" s="738"/>
      <c r="M775" s="738"/>
      <c r="N775" s="738"/>
      <c r="O775" s="738"/>
      <c r="P775" s="738"/>
      <c r="Q775" s="738"/>
      <c r="R775" s="738"/>
      <c r="S775" s="738"/>
      <c r="T775" s="738"/>
      <c r="U775" s="738"/>
      <c r="V775" s="738"/>
      <c r="W775" s="738"/>
      <c r="X775" s="738"/>
      <c r="Y775" s="738"/>
      <c r="Z775" s="738"/>
      <c r="AA775" s="738"/>
      <c r="AB775" s="738"/>
      <c r="AC775" s="738"/>
      <c r="AD775" s="738"/>
      <c r="AE775" s="738"/>
      <c r="AF775" s="738"/>
      <c r="AG775" s="738"/>
      <c r="AH775" s="738"/>
      <c r="AI775" s="738"/>
      <c r="AJ775" s="738"/>
      <c r="AK775" s="738"/>
      <c r="AL775" s="738"/>
    </row>
    <row r="776">
      <c r="A776" s="738"/>
      <c r="B776" s="738"/>
      <c r="C776" s="738"/>
      <c r="D776" s="738"/>
      <c r="E776" s="738"/>
      <c r="F776" s="738"/>
      <c r="G776" s="738"/>
      <c r="H776" s="738"/>
      <c r="I776" s="738"/>
      <c r="J776" s="738"/>
      <c r="K776" s="738"/>
      <c r="L776" s="738"/>
      <c r="M776" s="738"/>
      <c r="N776" s="738"/>
      <c r="O776" s="738"/>
      <c r="P776" s="738"/>
      <c r="Q776" s="738"/>
      <c r="R776" s="738"/>
      <c r="S776" s="738"/>
      <c r="T776" s="738"/>
      <c r="U776" s="738"/>
      <c r="V776" s="738"/>
      <c r="W776" s="738"/>
      <c r="X776" s="738"/>
      <c r="Y776" s="738"/>
      <c r="Z776" s="738"/>
      <c r="AA776" s="738"/>
      <c r="AB776" s="738"/>
      <c r="AC776" s="738"/>
      <c r="AD776" s="738"/>
      <c r="AE776" s="738"/>
      <c r="AF776" s="738"/>
      <c r="AG776" s="738"/>
      <c r="AH776" s="738"/>
      <c r="AI776" s="738"/>
      <c r="AJ776" s="738"/>
      <c r="AK776" s="738"/>
      <c r="AL776" s="738"/>
    </row>
    <row r="777">
      <c r="A777" s="738"/>
      <c r="B777" s="738"/>
      <c r="C777" s="738"/>
      <c r="D777" s="738"/>
      <c r="E777" s="738"/>
      <c r="F777" s="738"/>
      <c r="G777" s="738"/>
      <c r="H777" s="738"/>
      <c r="I777" s="738"/>
      <c r="J777" s="738"/>
      <c r="K777" s="738"/>
      <c r="L777" s="738"/>
      <c r="M777" s="738"/>
      <c r="N777" s="738"/>
      <c r="O777" s="738"/>
      <c r="P777" s="738"/>
      <c r="Q777" s="738"/>
      <c r="R777" s="738"/>
      <c r="S777" s="738"/>
      <c r="T777" s="738"/>
      <c r="U777" s="738"/>
      <c r="V777" s="738"/>
      <c r="W777" s="738"/>
      <c r="X777" s="738"/>
      <c r="Y777" s="738"/>
      <c r="Z777" s="738"/>
      <c r="AA777" s="738"/>
      <c r="AB777" s="738"/>
      <c r="AC777" s="738"/>
      <c r="AD777" s="738"/>
      <c r="AE777" s="738"/>
      <c r="AF777" s="738"/>
      <c r="AG777" s="738"/>
      <c r="AH777" s="738"/>
      <c r="AI777" s="738"/>
      <c r="AJ777" s="738"/>
      <c r="AK777" s="738"/>
      <c r="AL777" s="738"/>
    </row>
    <row r="778">
      <c r="A778" s="738"/>
      <c r="B778" s="738"/>
      <c r="C778" s="738"/>
      <c r="D778" s="738"/>
      <c r="E778" s="738"/>
      <c r="F778" s="738"/>
      <c r="G778" s="738"/>
      <c r="H778" s="738"/>
      <c r="I778" s="738"/>
      <c r="J778" s="738"/>
      <c r="K778" s="738"/>
      <c r="L778" s="738"/>
      <c r="M778" s="738"/>
      <c r="N778" s="738"/>
      <c r="O778" s="738"/>
      <c r="P778" s="738"/>
      <c r="Q778" s="738"/>
      <c r="R778" s="738"/>
      <c r="S778" s="738"/>
      <c r="T778" s="738"/>
      <c r="U778" s="738"/>
      <c r="V778" s="738"/>
      <c r="W778" s="738"/>
      <c r="X778" s="738"/>
      <c r="Y778" s="738"/>
      <c r="Z778" s="738"/>
      <c r="AA778" s="738"/>
      <c r="AB778" s="738"/>
      <c r="AC778" s="738"/>
      <c r="AD778" s="738"/>
      <c r="AE778" s="738"/>
      <c r="AF778" s="738"/>
      <c r="AG778" s="738"/>
      <c r="AH778" s="738"/>
      <c r="AI778" s="738"/>
      <c r="AJ778" s="738"/>
      <c r="AK778" s="738"/>
      <c r="AL778" s="738"/>
    </row>
    <row r="779">
      <c r="A779" s="738"/>
      <c r="B779" s="738"/>
      <c r="C779" s="738"/>
      <c r="D779" s="738"/>
      <c r="E779" s="738"/>
      <c r="F779" s="738"/>
      <c r="G779" s="738"/>
      <c r="H779" s="738"/>
      <c r="I779" s="738"/>
      <c r="J779" s="738"/>
      <c r="K779" s="738"/>
      <c r="L779" s="738"/>
      <c r="M779" s="738"/>
      <c r="N779" s="738"/>
      <c r="O779" s="738"/>
      <c r="P779" s="738"/>
      <c r="Q779" s="738"/>
      <c r="R779" s="738"/>
      <c r="S779" s="738"/>
      <c r="T779" s="738"/>
      <c r="U779" s="738"/>
      <c r="V779" s="738"/>
      <c r="W779" s="738"/>
      <c r="X779" s="738"/>
      <c r="Y779" s="738"/>
      <c r="Z779" s="738"/>
      <c r="AA779" s="738"/>
      <c r="AB779" s="738"/>
      <c r="AC779" s="738"/>
      <c r="AD779" s="738"/>
      <c r="AE779" s="738"/>
      <c r="AF779" s="738"/>
      <c r="AG779" s="738"/>
      <c r="AH779" s="738"/>
      <c r="AI779" s="738"/>
      <c r="AJ779" s="738"/>
      <c r="AK779" s="738"/>
      <c r="AL779" s="738"/>
    </row>
    <row r="780">
      <c r="A780" s="738"/>
      <c r="B780" s="738"/>
      <c r="C780" s="738"/>
      <c r="D780" s="738"/>
      <c r="E780" s="738"/>
      <c r="F780" s="738"/>
      <c r="G780" s="738"/>
      <c r="H780" s="738"/>
      <c r="I780" s="738"/>
      <c r="J780" s="738"/>
      <c r="K780" s="738"/>
      <c r="L780" s="738"/>
      <c r="M780" s="738"/>
      <c r="N780" s="738"/>
      <c r="O780" s="738"/>
      <c r="P780" s="738"/>
      <c r="Q780" s="738"/>
      <c r="R780" s="738"/>
      <c r="S780" s="738"/>
      <c r="T780" s="738"/>
      <c r="U780" s="738"/>
      <c r="V780" s="738"/>
      <c r="W780" s="738"/>
      <c r="X780" s="738"/>
      <c r="Y780" s="738"/>
      <c r="Z780" s="738"/>
      <c r="AA780" s="738"/>
      <c r="AB780" s="738"/>
      <c r="AC780" s="738"/>
      <c r="AD780" s="738"/>
      <c r="AE780" s="738"/>
      <c r="AF780" s="738"/>
      <c r="AG780" s="738"/>
      <c r="AH780" s="738"/>
      <c r="AI780" s="738"/>
      <c r="AJ780" s="738"/>
      <c r="AK780" s="738"/>
      <c r="AL780" s="738"/>
    </row>
    <row r="781">
      <c r="A781" s="738"/>
      <c r="B781" s="738"/>
      <c r="C781" s="738"/>
      <c r="D781" s="738"/>
      <c r="E781" s="738"/>
      <c r="F781" s="738"/>
      <c r="G781" s="738"/>
      <c r="H781" s="738"/>
      <c r="I781" s="738"/>
      <c r="J781" s="738"/>
      <c r="K781" s="738"/>
      <c r="L781" s="738"/>
      <c r="M781" s="738"/>
      <c r="N781" s="738"/>
      <c r="O781" s="738"/>
      <c r="P781" s="738"/>
      <c r="Q781" s="738"/>
      <c r="R781" s="738"/>
      <c r="S781" s="738"/>
      <c r="T781" s="738"/>
      <c r="U781" s="738"/>
      <c r="V781" s="738"/>
      <c r="W781" s="738"/>
      <c r="X781" s="738"/>
      <c r="Y781" s="738"/>
      <c r="Z781" s="738"/>
      <c r="AA781" s="738"/>
      <c r="AB781" s="738"/>
      <c r="AC781" s="738"/>
      <c r="AD781" s="738"/>
      <c r="AE781" s="738"/>
      <c r="AF781" s="738"/>
      <c r="AG781" s="738"/>
      <c r="AH781" s="738"/>
      <c r="AI781" s="738"/>
      <c r="AJ781" s="738"/>
      <c r="AK781" s="738"/>
      <c r="AL781" s="738"/>
    </row>
    <row r="782">
      <c r="A782" s="738"/>
      <c r="B782" s="738"/>
      <c r="C782" s="738"/>
      <c r="D782" s="738"/>
      <c r="E782" s="738"/>
      <c r="F782" s="738"/>
      <c r="G782" s="738"/>
      <c r="H782" s="738"/>
      <c r="I782" s="738"/>
      <c r="J782" s="738"/>
      <c r="K782" s="738"/>
      <c r="L782" s="738"/>
      <c r="M782" s="738"/>
      <c r="N782" s="738"/>
      <c r="O782" s="738"/>
      <c r="P782" s="738"/>
      <c r="Q782" s="738"/>
      <c r="R782" s="738"/>
      <c r="S782" s="738"/>
      <c r="T782" s="738"/>
      <c r="U782" s="738"/>
      <c r="V782" s="738"/>
      <c r="W782" s="738"/>
      <c r="X782" s="738"/>
      <c r="Y782" s="738"/>
      <c r="Z782" s="738"/>
      <c r="AA782" s="738"/>
      <c r="AB782" s="738"/>
      <c r="AC782" s="738"/>
      <c r="AD782" s="738"/>
      <c r="AE782" s="738"/>
      <c r="AF782" s="738"/>
      <c r="AG782" s="738"/>
      <c r="AH782" s="738"/>
      <c r="AI782" s="738"/>
      <c r="AJ782" s="738"/>
      <c r="AK782" s="738"/>
      <c r="AL782" s="738"/>
    </row>
    <row r="783">
      <c r="A783" s="738"/>
      <c r="B783" s="738"/>
      <c r="C783" s="738"/>
      <c r="D783" s="738"/>
      <c r="E783" s="738"/>
      <c r="F783" s="738"/>
      <c r="G783" s="738"/>
      <c r="H783" s="738"/>
      <c r="I783" s="738"/>
      <c r="J783" s="738"/>
      <c r="K783" s="738"/>
      <c r="L783" s="738"/>
      <c r="M783" s="738"/>
      <c r="N783" s="738"/>
      <c r="O783" s="738"/>
      <c r="P783" s="738"/>
      <c r="Q783" s="738"/>
      <c r="R783" s="738"/>
      <c r="S783" s="738"/>
      <c r="T783" s="738"/>
      <c r="U783" s="738"/>
      <c r="V783" s="738"/>
      <c r="W783" s="738"/>
      <c r="X783" s="738"/>
      <c r="Y783" s="738"/>
      <c r="Z783" s="738"/>
      <c r="AA783" s="738"/>
      <c r="AB783" s="738"/>
      <c r="AC783" s="738"/>
      <c r="AD783" s="738"/>
      <c r="AE783" s="738"/>
      <c r="AF783" s="738"/>
      <c r="AG783" s="738"/>
      <c r="AH783" s="738"/>
      <c r="AI783" s="738"/>
      <c r="AJ783" s="738"/>
      <c r="AK783" s="738"/>
      <c r="AL783" s="738"/>
    </row>
    <row r="784">
      <c r="A784" s="738"/>
      <c r="B784" s="738"/>
      <c r="C784" s="738"/>
      <c r="D784" s="738"/>
      <c r="E784" s="738"/>
      <c r="F784" s="738"/>
      <c r="G784" s="738"/>
      <c r="H784" s="738"/>
      <c r="I784" s="738"/>
      <c r="J784" s="738"/>
      <c r="K784" s="738"/>
      <c r="L784" s="738"/>
      <c r="M784" s="738"/>
      <c r="N784" s="738"/>
      <c r="O784" s="738"/>
      <c r="P784" s="738"/>
      <c r="Q784" s="738"/>
      <c r="R784" s="738"/>
      <c r="S784" s="738"/>
      <c r="T784" s="738"/>
      <c r="U784" s="738"/>
      <c r="V784" s="738"/>
      <c r="W784" s="738"/>
      <c r="X784" s="738"/>
      <c r="Y784" s="738"/>
      <c r="Z784" s="738"/>
      <c r="AA784" s="738"/>
      <c r="AB784" s="738"/>
      <c r="AC784" s="738"/>
      <c r="AD784" s="738"/>
      <c r="AE784" s="738"/>
      <c r="AF784" s="738"/>
      <c r="AG784" s="738"/>
      <c r="AH784" s="738"/>
      <c r="AI784" s="738"/>
      <c r="AJ784" s="738"/>
      <c r="AK784" s="738"/>
      <c r="AL784" s="738"/>
    </row>
    <row r="785">
      <c r="A785" s="738"/>
      <c r="B785" s="738"/>
      <c r="C785" s="738"/>
      <c r="D785" s="738"/>
      <c r="E785" s="738"/>
      <c r="F785" s="738"/>
      <c r="G785" s="738"/>
      <c r="H785" s="738"/>
      <c r="I785" s="738"/>
      <c r="J785" s="738"/>
      <c r="K785" s="738"/>
      <c r="L785" s="738"/>
      <c r="M785" s="738"/>
      <c r="N785" s="738"/>
      <c r="O785" s="738"/>
      <c r="P785" s="738"/>
      <c r="Q785" s="738"/>
      <c r="R785" s="738"/>
      <c r="S785" s="738"/>
      <c r="T785" s="738"/>
      <c r="U785" s="738"/>
      <c r="V785" s="738"/>
      <c r="W785" s="738"/>
      <c r="X785" s="738"/>
      <c r="Y785" s="738"/>
      <c r="Z785" s="738"/>
      <c r="AA785" s="738"/>
      <c r="AB785" s="738"/>
      <c r="AC785" s="738"/>
      <c r="AD785" s="738"/>
      <c r="AE785" s="738"/>
      <c r="AF785" s="738"/>
      <c r="AG785" s="738"/>
      <c r="AH785" s="738"/>
      <c r="AI785" s="738"/>
      <c r="AJ785" s="738"/>
      <c r="AK785" s="738"/>
      <c r="AL785" s="738"/>
    </row>
    <row r="786">
      <c r="A786" s="738"/>
      <c r="B786" s="738"/>
      <c r="C786" s="738"/>
      <c r="D786" s="738"/>
      <c r="E786" s="738"/>
      <c r="F786" s="738"/>
      <c r="G786" s="738"/>
      <c r="H786" s="738"/>
      <c r="I786" s="738"/>
      <c r="J786" s="738"/>
      <c r="K786" s="738"/>
      <c r="L786" s="738"/>
      <c r="M786" s="738"/>
      <c r="N786" s="738"/>
      <c r="O786" s="738"/>
      <c r="P786" s="738"/>
      <c r="Q786" s="738"/>
      <c r="R786" s="738"/>
      <c r="S786" s="738"/>
      <c r="T786" s="738"/>
      <c r="U786" s="738"/>
      <c r="V786" s="738"/>
      <c r="W786" s="738"/>
      <c r="X786" s="738"/>
      <c r="Y786" s="738"/>
      <c r="Z786" s="738"/>
      <c r="AA786" s="738"/>
      <c r="AB786" s="738"/>
      <c r="AC786" s="738"/>
      <c r="AD786" s="738"/>
      <c r="AE786" s="738"/>
      <c r="AF786" s="738"/>
      <c r="AG786" s="738"/>
      <c r="AH786" s="738"/>
      <c r="AI786" s="738"/>
      <c r="AJ786" s="738"/>
      <c r="AK786" s="738"/>
      <c r="AL786" s="738"/>
    </row>
    <row r="787">
      <c r="A787" s="738"/>
      <c r="B787" s="738"/>
      <c r="C787" s="738"/>
      <c r="D787" s="738"/>
      <c r="E787" s="738"/>
      <c r="F787" s="738"/>
      <c r="G787" s="738"/>
      <c r="H787" s="738"/>
      <c r="I787" s="738"/>
      <c r="J787" s="738"/>
      <c r="K787" s="738"/>
      <c r="L787" s="738"/>
      <c r="M787" s="738"/>
      <c r="N787" s="738"/>
      <c r="O787" s="738"/>
      <c r="P787" s="738"/>
      <c r="Q787" s="738"/>
      <c r="R787" s="738"/>
      <c r="S787" s="738"/>
      <c r="T787" s="738"/>
      <c r="U787" s="738"/>
      <c r="V787" s="738"/>
      <c r="W787" s="738"/>
      <c r="X787" s="738"/>
      <c r="Y787" s="738"/>
      <c r="Z787" s="738"/>
      <c r="AA787" s="738"/>
      <c r="AB787" s="738"/>
      <c r="AC787" s="738"/>
      <c r="AD787" s="738"/>
      <c r="AE787" s="738"/>
      <c r="AF787" s="738"/>
      <c r="AG787" s="738"/>
      <c r="AH787" s="738"/>
      <c r="AI787" s="738"/>
      <c r="AJ787" s="738"/>
      <c r="AK787" s="738"/>
      <c r="AL787" s="738"/>
    </row>
    <row r="788">
      <c r="A788" s="738"/>
      <c r="B788" s="738"/>
      <c r="C788" s="738"/>
      <c r="D788" s="738"/>
      <c r="E788" s="738"/>
      <c r="F788" s="738"/>
      <c r="G788" s="738"/>
      <c r="H788" s="738"/>
      <c r="I788" s="738"/>
      <c r="J788" s="738"/>
      <c r="K788" s="738"/>
      <c r="L788" s="738"/>
      <c r="M788" s="738"/>
      <c r="N788" s="738"/>
      <c r="O788" s="738"/>
      <c r="P788" s="738"/>
      <c r="Q788" s="738"/>
      <c r="R788" s="738"/>
      <c r="S788" s="738"/>
      <c r="T788" s="738"/>
      <c r="U788" s="738"/>
      <c r="V788" s="738"/>
      <c r="W788" s="738"/>
      <c r="X788" s="738"/>
      <c r="Y788" s="738"/>
      <c r="Z788" s="738"/>
      <c r="AA788" s="738"/>
      <c r="AB788" s="738"/>
      <c r="AC788" s="738"/>
      <c r="AD788" s="738"/>
      <c r="AE788" s="738"/>
      <c r="AF788" s="738"/>
      <c r="AG788" s="738"/>
      <c r="AH788" s="738"/>
      <c r="AI788" s="738"/>
      <c r="AJ788" s="738"/>
      <c r="AK788" s="738"/>
      <c r="AL788" s="738"/>
    </row>
    <row r="789">
      <c r="A789" s="738"/>
      <c r="B789" s="738"/>
      <c r="C789" s="738"/>
      <c r="D789" s="738"/>
      <c r="E789" s="738"/>
      <c r="F789" s="738"/>
      <c r="G789" s="738"/>
      <c r="H789" s="738"/>
      <c r="I789" s="738"/>
      <c r="J789" s="738"/>
      <c r="K789" s="738"/>
      <c r="L789" s="738"/>
      <c r="M789" s="738"/>
      <c r="N789" s="738"/>
      <c r="O789" s="738"/>
      <c r="P789" s="738"/>
      <c r="Q789" s="738"/>
      <c r="R789" s="738"/>
      <c r="S789" s="738"/>
      <c r="T789" s="738"/>
      <c r="U789" s="738"/>
      <c r="V789" s="738"/>
      <c r="W789" s="738"/>
      <c r="X789" s="738"/>
      <c r="Y789" s="738"/>
      <c r="Z789" s="738"/>
      <c r="AA789" s="738"/>
      <c r="AB789" s="738"/>
      <c r="AC789" s="738"/>
      <c r="AD789" s="738"/>
      <c r="AE789" s="738"/>
      <c r="AF789" s="738"/>
      <c r="AG789" s="738"/>
      <c r="AH789" s="738"/>
      <c r="AI789" s="738"/>
      <c r="AJ789" s="738"/>
      <c r="AK789" s="738"/>
      <c r="AL789" s="738"/>
    </row>
    <row r="790">
      <c r="A790" s="738"/>
      <c r="B790" s="738"/>
      <c r="C790" s="738"/>
      <c r="D790" s="738"/>
      <c r="E790" s="738"/>
      <c r="F790" s="738"/>
      <c r="G790" s="738"/>
      <c r="H790" s="738"/>
      <c r="I790" s="738"/>
      <c r="J790" s="738"/>
      <c r="K790" s="738"/>
      <c r="L790" s="738"/>
      <c r="M790" s="738"/>
      <c r="N790" s="738"/>
      <c r="O790" s="738"/>
      <c r="P790" s="738"/>
      <c r="Q790" s="738"/>
      <c r="R790" s="738"/>
      <c r="S790" s="738"/>
      <c r="T790" s="738"/>
      <c r="U790" s="738"/>
      <c r="V790" s="738"/>
      <c r="W790" s="738"/>
      <c r="X790" s="738"/>
      <c r="Y790" s="738"/>
      <c r="Z790" s="738"/>
      <c r="AA790" s="738"/>
      <c r="AB790" s="738"/>
      <c r="AC790" s="738"/>
      <c r="AD790" s="738"/>
      <c r="AE790" s="738"/>
      <c r="AF790" s="738"/>
      <c r="AG790" s="738"/>
      <c r="AH790" s="738"/>
      <c r="AI790" s="738"/>
      <c r="AJ790" s="738"/>
      <c r="AK790" s="738"/>
      <c r="AL790" s="738"/>
    </row>
    <row r="791">
      <c r="A791" s="738"/>
      <c r="B791" s="738"/>
      <c r="C791" s="738"/>
      <c r="D791" s="738"/>
      <c r="E791" s="738"/>
      <c r="F791" s="738"/>
      <c r="G791" s="738"/>
      <c r="H791" s="738"/>
      <c r="I791" s="738"/>
      <c r="J791" s="738"/>
      <c r="K791" s="738"/>
      <c r="L791" s="738"/>
      <c r="M791" s="738"/>
      <c r="N791" s="738"/>
      <c r="O791" s="738"/>
      <c r="P791" s="738"/>
      <c r="Q791" s="738"/>
      <c r="R791" s="738"/>
      <c r="S791" s="738"/>
      <c r="T791" s="738"/>
      <c r="U791" s="738"/>
      <c r="V791" s="738"/>
      <c r="W791" s="738"/>
      <c r="X791" s="738"/>
      <c r="Y791" s="738"/>
      <c r="Z791" s="738"/>
      <c r="AA791" s="738"/>
      <c r="AB791" s="738"/>
      <c r="AC791" s="738"/>
      <c r="AD791" s="738"/>
      <c r="AE791" s="738"/>
      <c r="AF791" s="738"/>
      <c r="AG791" s="738"/>
      <c r="AH791" s="738"/>
      <c r="AI791" s="738"/>
      <c r="AJ791" s="738"/>
      <c r="AK791" s="738"/>
      <c r="AL791" s="738"/>
    </row>
    <row r="792">
      <c r="A792" s="738"/>
      <c r="B792" s="738"/>
      <c r="C792" s="738"/>
      <c r="D792" s="738"/>
      <c r="E792" s="738"/>
      <c r="F792" s="738"/>
      <c r="G792" s="738"/>
      <c r="H792" s="738"/>
      <c r="I792" s="738"/>
      <c r="J792" s="738"/>
      <c r="K792" s="738"/>
      <c r="L792" s="738"/>
      <c r="M792" s="738"/>
      <c r="N792" s="738"/>
      <c r="O792" s="738"/>
      <c r="P792" s="738"/>
      <c r="Q792" s="738"/>
      <c r="R792" s="738"/>
      <c r="S792" s="738"/>
      <c r="T792" s="738"/>
      <c r="U792" s="738"/>
      <c r="V792" s="738"/>
      <c r="W792" s="738"/>
      <c r="X792" s="738"/>
      <c r="Y792" s="738"/>
      <c r="Z792" s="738"/>
      <c r="AA792" s="738"/>
      <c r="AB792" s="738"/>
      <c r="AC792" s="738"/>
      <c r="AD792" s="738"/>
      <c r="AE792" s="738"/>
      <c r="AF792" s="738"/>
      <c r="AG792" s="738"/>
      <c r="AH792" s="738"/>
      <c r="AI792" s="738"/>
      <c r="AJ792" s="738"/>
      <c r="AK792" s="738"/>
      <c r="AL792" s="738"/>
    </row>
    <row r="793">
      <c r="A793" s="738"/>
      <c r="B793" s="738"/>
      <c r="C793" s="738"/>
      <c r="D793" s="738"/>
      <c r="E793" s="738"/>
      <c r="F793" s="738"/>
      <c r="G793" s="738"/>
      <c r="H793" s="738"/>
      <c r="I793" s="738"/>
      <c r="J793" s="738"/>
      <c r="K793" s="738"/>
      <c r="L793" s="738"/>
      <c r="M793" s="738"/>
      <c r="N793" s="738"/>
      <c r="O793" s="738"/>
      <c r="P793" s="738"/>
      <c r="Q793" s="738"/>
      <c r="R793" s="738"/>
      <c r="S793" s="738"/>
      <c r="T793" s="738"/>
      <c r="U793" s="738"/>
      <c r="V793" s="738"/>
      <c r="W793" s="738"/>
      <c r="X793" s="738"/>
      <c r="Y793" s="738"/>
      <c r="Z793" s="738"/>
      <c r="AA793" s="738"/>
      <c r="AB793" s="738"/>
      <c r="AC793" s="738"/>
      <c r="AD793" s="738"/>
      <c r="AE793" s="738"/>
      <c r="AF793" s="738"/>
      <c r="AG793" s="738"/>
      <c r="AH793" s="738"/>
      <c r="AI793" s="738"/>
      <c r="AJ793" s="738"/>
      <c r="AK793" s="738"/>
      <c r="AL793" s="738"/>
    </row>
    <row r="794">
      <c r="A794" s="738"/>
      <c r="B794" s="738"/>
      <c r="C794" s="738"/>
      <c r="D794" s="738"/>
      <c r="E794" s="738"/>
      <c r="F794" s="738"/>
      <c r="G794" s="738"/>
      <c r="H794" s="738"/>
      <c r="I794" s="738"/>
      <c r="J794" s="738"/>
      <c r="K794" s="738"/>
      <c r="L794" s="738"/>
      <c r="M794" s="738"/>
      <c r="N794" s="738"/>
      <c r="O794" s="738"/>
      <c r="P794" s="738"/>
      <c r="Q794" s="738"/>
      <c r="R794" s="738"/>
      <c r="S794" s="738"/>
      <c r="T794" s="738"/>
      <c r="U794" s="738"/>
      <c r="V794" s="738"/>
      <c r="W794" s="738"/>
      <c r="X794" s="738"/>
      <c r="Y794" s="738"/>
      <c r="Z794" s="738"/>
      <c r="AA794" s="738"/>
      <c r="AB794" s="738"/>
      <c r="AC794" s="738"/>
      <c r="AD794" s="738"/>
      <c r="AE794" s="738"/>
      <c r="AF794" s="738"/>
      <c r="AG794" s="738"/>
      <c r="AH794" s="738"/>
      <c r="AI794" s="738"/>
      <c r="AJ794" s="738"/>
      <c r="AK794" s="738"/>
      <c r="AL794" s="738"/>
    </row>
    <row r="795">
      <c r="A795" s="738"/>
      <c r="B795" s="738"/>
      <c r="C795" s="738"/>
      <c r="D795" s="738"/>
      <c r="E795" s="738"/>
      <c r="F795" s="738"/>
      <c r="G795" s="738"/>
      <c r="H795" s="738"/>
      <c r="I795" s="738"/>
      <c r="J795" s="738"/>
      <c r="K795" s="738"/>
      <c r="L795" s="738"/>
      <c r="M795" s="738"/>
      <c r="N795" s="738"/>
      <c r="O795" s="738"/>
      <c r="P795" s="738"/>
      <c r="Q795" s="738"/>
      <c r="R795" s="738"/>
      <c r="S795" s="738"/>
      <c r="T795" s="738"/>
      <c r="U795" s="738"/>
      <c r="V795" s="738"/>
      <c r="W795" s="738"/>
      <c r="X795" s="738"/>
      <c r="Y795" s="738"/>
      <c r="Z795" s="738"/>
      <c r="AA795" s="738"/>
      <c r="AB795" s="738"/>
      <c r="AC795" s="738"/>
      <c r="AD795" s="738"/>
      <c r="AE795" s="738"/>
      <c r="AF795" s="738"/>
      <c r="AG795" s="738"/>
      <c r="AH795" s="738"/>
      <c r="AI795" s="738"/>
      <c r="AJ795" s="738"/>
      <c r="AK795" s="738"/>
      <c r="AL795" s="738"/>
    </row>
    <row r="796">
      <c r="A796" s="738"/>
      <c r="B796" s="738"/>
      <c r="C796" s="738"/>
      <c r="D796" s="738"/>
      <c r="E796" s="738"/>
      <c r="F796" s="738"/>
      <c r="G796" s="738"/>
      <c r="H796" s="738"/>
      <c r="I796" s="738"/>
      <c r="J796" s="738"/>
      <c r="K796" s="738"/>
      <c r="L796" s="738"/>
      <c r="M796" s="738"/>
      <c r="N796" s="738"/>
      <c r="O796" s="738"/>
      <c r="P796" s="738"/>
      <c r="Q796" s="738"/>
      <c r="R796" s="738"/>
      <c r="S796" s="738"/>
      <c r="T796" s="738"/>
      <c r="U796" s="738"/>
      <c r="V796" s="738"/>
      <c r="W796" s="738"/>
      <c r="X796" s="738"/>
      <c r="Y796" s="738"/>
      <c r="Z796" s="738"/>
      <c r="AA796" s="738"/>
      <c r="AB796" s="738"/>
      <c r="AC796" s="738"/>
      <c r="AD796" s="738"/>
      <c r="AE796" s="738"/>
      <c r="AF796" s="738"/>
      <c r="AG796" s="738"/>
      <c r="AH796" s="738"/>
      <c r="AI796" s="738"/>
      <c r="AJ796" s="738"/>
      <c r="AK796" s="738"/>
      <c r="AL796" s="738"/>
    </row>
    <row r="797">
      <c r="A797" s="738"/>
      <c r="B797" s="738"/>
      <c r="C797" s="738"/>
      <c r="D797" s="738"/>
      <c r="E797" s="738"/>
      <c r="F797" s="738"/>
      <c r="G797" s="738"/>
      <c r="H797" s="738"/>
      <c r="I797" s="738"/>
      <c r="J797" s="738"/>
      <c r="K797" s="738"/>
      <c r="L797" s="738"/>
      <c r="M797" s="738"/>
      <c r="N797" s="738"/>
      <c r="O797" s="738"/>
      <c r="P797" s="738"/>
      <c r="Q797" s="738"/>
      <c r="R797" s="738"/>
      <c r="S797" s="738"/>
      <c r="T797" s="738"/>
      <c r="U797" s="738"/>
      <c r="V797" s="738"/>
      <c r="W797" s="738"/>
      <c r="X797" s="738"/>
      <c r="Y797" s="738"/>
      <c r="Z797" s="738"/>
      <c r="AA797" s="738"/>
      <c r="AB797" s="738"/>
      <c r="AC797" s="738"/>
      <c r="AD797" s="738"/>
      <c r="AE797" s="738"/>
      <c r="AF797" s="738"/>
      <c r="AG797" s="738"/>
      <c r="AH797" s="738"/>
      <c r="AI797" s="738"/>
      <c r="AJ797" s="738"/>
      <c r="AK797" s="738"/>
      <c r="AL797" s="738"/>
    </row>
    <row r="798">
      <c r="A798" s="738"/>
      <c r="B798" s="738"/>
      <c r="C798" s="738"/>
      <c r="D798" s="738"/>
      <c r="E798" s="738"/>
      <c r="F798" s="738"/>
      <c r="G798" s="738"/>
      <c r="H798" s="738"/>
      <c r="I798" s="738"/>
      <c r="J798" s="738"/>
      <c r="K798" s="738"/>
      <c r="L798" s="738"/>
      <c r="M798" s="738"/>
      <c r="N798" s="738"/>
      <c r="O798" s="738"/>
      <c r="P798" s="738"/>
      <c r="Q798" s="738"/>
      <c r="R798" s="738"/>
      <c r="S798" s="738"/>
      <c r="T798" s="738"/>
      <c r="U798" s="738"/>
      <c r="V798" s="738"/>
      <c r="W798" s="738"/>
      <c r="X798" s="738"/>
      <c r="Y798" s="738"/>
      <c r="Z798" s="738"/>
      <c r="AA798" s="738"/>
      <c r="AB798" s="738"/>
      <c r="AC798" s="738"/>
      <c r="AD798" s="738"/>
      <c r="AE798" s="738"/>
      <c r="AF798" s="738"/>
      <c r="AG798" s="738"/>
      <c r="AH798" s="738"/>
      <c r="AI798" s="738"/>
      <c r="AJ798" s="738"/>
      <c r="AK798" s="738"/>
      <c r="AL798" s="738"/>
    </row>
    <row r="799">
      <c r="A799" s="738"/>
      <c r="B799" s="738"/>
      <c r="C799" s="738"/>
      <c r="D799" s="738"/>
      <c r="E799" s="738"/>
      <c r="F799" s="738"/>
      <c r="G799" s="738"/>
      <c r="H799" s="738"/>
      <c r="I799" s="738"/>
      <c r="J799" s="738"/>
      <c r="K799" s="738"/>
      <c r="L799" s="738"/>
      <c r="M799" s="738"/>
      <c r="N799" s="738"/>
      <c r="O799" s="738"/>
      <c r="P799" s="738"/>
      <c r="Q799" s="738"/>
      <c r="R799" s="738"/>
      <c r="S799" s="738"/>
      <c r="T799" s="738"/>
      <c r="U799" s="738"/>
      <c r="V799" s="738"/>
      <c r="W799" s="738"/>
      <c r="X799" s="738"/>
      <c r="Y799" s="738"/>
      <c r="Z799" s="738"/>
      <c r="AA799" s="738"/>
      <c r="AB799" s="738"/>
      <c r="AC799" s="738"/>
      <c r="AD799" s="738"/>
      <c r="AE799" s="738"/>
      <c r="AF799" s="738"/>
      <c r="AG799" s="738"/>
      <c r="AH799" s="738"/>
      <c r="AI799" s="738"/>
      <c r="AJ799" s="738"/>
      <c r="AK799" s="738"/>
      <c r="AL799" s="738"/>
    </row>
    <row r="800">
      <c r="A800" s="738"/>
      <c r="B800" s="738"/>
      <c r="C800" s="738"/>
      <c r="D800" s="738"/>
      <c r="E800" s="738"/>
      <c r="F800" s="738"/>
      <c r="G800" s="738"/>
      <c r="H800" s="738"/>
      <c r="I800" s="738"/>
      <c r="J800" s="738"/>
      <c r="K800" s="738"/>
      <c r="L800" s="738"/>
      <c r="M800" s="738"/>
      <c r="N800" s="738"/>
      <c r="O800" s="738"/>
      <c r="P800" s="738"/>
      <c r="Q800" s="738"/>
      <c r="R800" s="738"/>
      <c r="S800" s="738"/>
      <c r="T800" s="738"/>
      <c r="U800" s="738"/>
      <c r="V800" s="738"/>
      <c r="W800" s="738"/>
      <c r="X800" s="738"/>
      <c r="Y800" s="738"/>
      <c r="Z800" s="738"/>
      <c r="AA800" s="738"/>
      <c r="AB800" s="738"/>
      <c r="AC800" s="738"/>
      <c r="AD800" s="738"/>
      <c r="AE800" s="738"/>
      <c r="AF800" s="738"/>
      <c r="AG800" s="738"/>
      <c r="AH800" s="738"/>
      <c r="AI800" s="738"/>
      <c r="AJ800" s="738"/>
      <c r="AK800" s="738"/>
      <c r="AL800" s="738"/>
    </row>
    <row r="801">
      <c r="A801" s="738"/>
      <c r="B801" s="738"/>
      <c r="C801" s="738"/>
      <c r="D801" s="738"/>
      <c r="E801" s="738"/>
      <c r="F801" s="738"/>
      <c r="G801" s="738"/>
      <c r="H801" s="738"/>
      <c r="I801" s="738"/>
      <c r="J801" s="738"/>
      <c r="K801" s="738"/>
      <c r="L801" s="738"/>
      <c r="M801" s="738"/>
      <c r="N801" s="738"/>
      <c r="O801" s="738"/>
      <c r="P801" s="738"/>
      <c r="Q801" s="738"/>
      <c r="R801" s="738"/>
      <c r="S801" s="738"/>
      <c r="T801" s="738"/>
      <c r="U801" s="738"/>
      <c r="V801" s="738"/>
      <c r="W801" s="738"/>
      <c r="X801" s="738"/>
      <c r="Y801" s="738"/>
      <c r="Z801" s="738"/>
      <c r="AA801" s="738"/>
      <c r="AB801" s="738"/>
      <c r="AC801" s="738"/>
      <c r="AD801" s="738"/>
      <c r="AE801" s="738"/>
      <c r="AF801" s="738"/>
      <c r="AG801" s="738"/>
      <c r="AH801" s="738"/>
      <c r="AI801" s="738"/>
      <c r="AJ801" s="738"/>
      <c r="AK801" s="738"/>
      <c r="AL801" s="738"/>
    </row>
    <row r="802">
      <c r="A802" s="738"/>
      <c r="B802" s="738"/>
      <c r="C802" s="738"/>
      <c r="D802" s="738"/>
      <c r="E802" s="738"/>
      <c r="F802" s="738"/>
      <c r="G802" s="738"/>
      <c r="H802" s="738"/>
      <c r="I802" s="738"/>
      <c r="J802" s="738"/>
      <c r="K802" s="738"/>
      <c r="L802" s="738"/>
      <c r="M802" s="738"/>
      <c r="N802" s="738"/>
      <c r="O802" s="738"/>
      <c r="P802" s="738"/>
      <c r="Q802" s="738"/>
      <c r="R802" s="738"/>
      <c r="S802" s="738"/>
      <c r="T802" s="738"/>
      <c r="U802" s="738"/>
      <c r="V802" s="738"/>
      <c r="W802" s="738"/>
      <c r="X802" s="738"/>
      <c r="Y802" s="738"/>
      <c r="Z802" s="738"/>
      <c r="AA802" s="738"/>
      <c r="AB802" s="738"/>
      <c r="AC802" s="738"/>
      <c r="AD802" s="738"/>
      <c r="AE802" s="738"/>
      <c r="AF802" s="738"/>
      <c r="AG802" s="738"/>
      <c r="AH802" s="738"/>
      <c r="AI802" s="738"/>
      <c r="AJ802" s="738"/>
      <c r="AK802" s="738"/>
      <c r="AL802" s="738"/>
    </row>
    <row r="803">
      <c r="A803" s="738"/>
      <c r="B803" s="738"/>
      <c r="C803" s="738"/>
      <c r="D803" s="738"/>
      <c r="E803" s="738"/>
      <c r="F803" s="738"/>
      <c r="G803" s="738"/>
      <c r="H803" s="738"/>
      <c r="I803" s="738"/>
      <c r="J803" s="738"/>
      <c r="K803" s="738"/>
      <c r="L803" s="738"/>
      <c r="M803" s="738"/>
      <c r="N803" s="738"/>
      <c r="O803" s="738"/>
      <c r="P803" s="738"/>
      <c r="Q803" s="738"/>
      <c r="R803" s="738"/>
      <c r="S803" s="738"/>
      <c r="T803" s="738"/>
      <c r="U803" s="738"/>
      <c r="V803" s="738"/>
      <c r="W803" s="738"/>
      <c r="X803" s="738"/>
      <c r="Y803" s="738"/>
      <c r="Z803" s="738"/>
      <c r="AA803" s="738"/>
      <c r="AB803" s="738"/>
      <c r="AC803" s="738"/>
      <c r="AD803" s="738"/>
      <c r="AE803" s="738"/>
      <c r="AF803" s="738"/>
      <c r="AG803" s="738"/>
      <c r="AH803" s="738"/>
      <c r="AI803" s="738"/>
      <c r="AJ803" s="738"/>
      <c r="AK803" s="738"/>
      <c r="AL803" s="738"/>
    </row>
    <row r="804">
      <c r="A804" s="738"/>
      <c r="B804" s="738"/>
      <c r="C804" s="738"/>
      <c r="D804" s="738"/>
      <c r="E804" s="738"/>
      <c r="F804" s="738"/>
      <c r="G804" s="738"/>
      <c r="H804" s="738"/>
      <c r="I804" s="738"/>
      <c r="J804" s="738"/>
      <c r="K804" s="738"/>
      <c r="L804" s="738"/>
      <c r="M804" s="738"/>
      <c r="N804" s="738"/>
      <c r="O804" s="738"/>
      <c r="P804" s="738"/>
      <c r="Q804" s="738"/>
      <c r="R804" s="738"/>
      <c r="S804" s="738"/>
      <c r="T804" s="738"/>
      <c r="U804" s="738"/>
      <c r="V804" s="738"/>
      <c r="W804" s="738"/>
      <c r="X804" s="738"/>
      <c r="Y804" s="738"/>
      <c r="Z804" s="738"/>
      <c r="AA804" s="738"/>
      <c r="AB804" s="738"/>
      <c r="AC804" s="738"/>
      <c r="AD804" s="738"/>
      <c r="AE804" s="738"/>
      <c r="AF804" s="738"/>
      <c r="AG804" s="738"/>
      <c r="AH804" s="738"/>
      <c r="AI804" s="738"/>
      <c r="AJ804" s="738"/>
      <c r="AK804" s="738"/>
      <c r="AL804" s="738"/>
    </row>
    <row r="805">
      <c r="A805" s="738"/>
      <c r="B805" s="738"/>
      <c r="C805" s="738"/>
      <c r="D805" s="738"/>
      <c r="E805" s="738"/>
      <c r="F805" s="738"/>
      <c r="G805" s="738"/>
      <c r="H805" s="738"/>
      <c r="I805" s="738"/>
      <c r="J805" s="738"/>
      <c r="K805" s="738"/>
      <c r="L805" s="738"/>
      <c r="M805" s="738"/>
      <c r="N805" s="738"/>
      <c r="O805" s="738"/>
      <c r="P805" s="738"/>
      <c r="Q805" s="738"/>
      <c r="R805" s="738"/>
      <c r="S805" s="738"/>
      <c r="T805" s="738"/>
      <c r="U805" s="738"/>
      <c r="V805" s="738"/>
      <c r="W805" s="738"/>
      <c r="X805" s="738"/>
      <c r="Y805" s="738"/>
      <c r="Z805" s="738"/>
      <c r="AA805" s="738"/>
      <c r="AB805" s="738"/>
      <c r="AC805" s="738"/>
      <c r="AD805" s="738"/>
      <c r="AE805" s="738"/>
      <c r="AF805" s="738"/>
      <c r="AG805" s="738"/>
      <c r="AH805" s="738"/>
      <c r="AI805" s="738"/>
      <c r="AJ805" s="738"/>
      <c r="AK805" s="738"/>
      <c r="AL805" s="738"/>
    </row>
    <row r="806">
      <c r="A806" s="738"/>
      <c r="B806" s="738"/>
      <c r="C806" s="738"/>
      <c r="D806" s="738"/>
      <c r="E806" s="738"/>
      <c r="F806" s="738"/>
      <c r="G806" s="738"/>
      <c r="H806" s="738"/>
      <c r="I806" s="738"/>
      <c r="J806" s="738"/>
      <c r="K806" s="738"/>
      <c r="L806" s="738"/>
      <c r="M806" s="738"/>
      <c r="N806" s="738"/>
      <c r="O806" s="738"/>
      <c r="P806" s="738"/>
      <c r="Q806" s="738"/>
      <c r="R806" s="738"/>
      <c r="S806" s="738"/>
      <c r="T806" s="738"/>
      <c r="U806" s="738"/>
      <c r="V806" s="738"/>
      <c r="W806" s="738"/>
      <c r="X806" s="738"/>
      <c r="Y806" s="738"/>
      <c r="Z806" s="738"/>
      <c r="AA806" s="738"/>
      <c r="AB806" s="738"/>
      <c r="AC806" s="738"/>
      <c r="AD806" s="738"/>
      <c r="AE806" s="738"/>
      <c r="AF806" s="738"/>
      <c r="AG806" s="738"/>
      <c r="AH806" s="738"/>
      <c r="AI806" s="738"/>
      <c r="AJ806" s="738"/>
      <c r="AK806" s="738"/>
      <c r="AL806" s="738"/>
    </row>
    <row r="807">
      <c r="A807" s="738"/>
      <c r="B807" s="738"/>
      <c r="C807" s="738"/>
      <c r="D807" s="738"/>
      <c r="E807" s="738"/>
      <c r="F807" s="738"/>
      <c r="G807" s="738"/>
      <c r="H807" s="738"/>
      <c r="I807" s="738"/>
      <c r="J807" s="738"/>
      <c r="K807" s="738"/>
      <c r="L807" s="738"/>
      <c r="M807" s="738"/>
      <c r="N807" s="738"/>
      <c r="O807" s="738"/>
      <c r="P807" s="738"/>
      <c r="Q807" s="738"/>
      <c r="R807" s="738"/>
      <c r="S807" s="738"/>
      <c r="T807" s="738"/>
      <c r="U807" s="738"/>
      <c r="V807" s="738"/>
      <c r="W807" s="738"/>
      <c r="X807" s="738"/>
      <c r="Y807" s="738"/>
      <c r="Z807" s="738"/>
      <c r="AA807" s="738"/>
      <c r="AB807" s="738"/>
      <c r="AC807" s="738"/>
      <c r="AD807" s="738"/>
      <c r="AE807" s="738"/>
      <c r="AF807" s="738"/>
      <c r="AG807" s="738"/>
      <c r="AH807" s="738"/>
      <c r="AI807" s="738"/>
      <c r="AJ807" s="738"/>
      <c r="AK807" s="738"/>
      <c r="AL807" s="738"/>
    </row>
    <row r="808">
      <c r="A808" s="738"/>
      <c r="B808" s="738"/>
      <c r="C808" s="738"/>
      <c r="D808" s="738"/>
      <c r="E808" s="738"/>
      <c r="F808" s="738"/>
      <c r="G808" s="738"/>
      <c r="H808" s="738"/>
      <c r="I808" s="738"/>
      <c r="J808" s="738"/>
      <c r="K808" s="738"/>
      <c r="L808" s="738"/>
      <c r="M808" s="738"/>
      <c r="N808" s="738"/>
      <c r="O808" s="738"/>
      <c r="P808" s="738"/>
      <c r="Q808" s="738"/>
      <c r="R808" s="738"/>
      <c r="S808" s="738"/>
      <c r="T808" s="738"/>
      <c r="U808" s="738"/>
      <c r="V808" s="738"/>
      <c r="W808" s="738"/>
      <c r="X808" s="738"/>
      <c r="Y808" s="738"/>
      <c r="Z808" s="738"/>
      <c r="AA808" s="738"/>
      <c r="AB808" s="738"/>
      <c r="AC808" s="738"/>
      <c r="AD808" s="738"/>
      <c r="AE808" s="738"/>
      <c r="AF808" s="738"/>
      <c r="AG808" s="738"/>
      <c r="AH808" s="738"/>
      <c r="AI808" s="738"/>
      <c r="AJ808" s="738"/>
      <c r="AK808" s="738"/>
      <c r="AL808" s="738"/>
    </row>
    <row r="809">
      <c r="A809" s="738"/>
      <c r="B809" s="738"/>
      <c r="C809" s="738"/>
      <c r="D809" s="738"/>
      <c r="E809" s="738"/>
      <c r="F809" s="738"/>
      <c r="G809" s="738"/>
      <c r="H809" s="738"/>
      <c r="I809" s="738"/>
      <c r="J809" s="738"/>
      <c r="K809" s="738"/>
      <c r="L809" s="738"/>
      <c r="M809" s="738"/>
      <c r="N809" s="738"/>
      <c r="O809" s="738"/>
      <c r="P809" s="738"/>
      <c r="Q809" s="738"/>
      <c r="R809" s="738"/>
      <c r="S809" s="738"/>
      <c r="T809" s="738"/>
      <c r="U809" s="738"/>
      <c r="V809" s="738"/>
      <c r="W809" s="738"/>
      <c r="X809" s="738"/>
      <c r="Y809" s="738"/>
      <c r="Z809" s="738"/>
      <c r="AA809" s="738"/>
      <c r="AB809" s="738"/>
      <c r="AC809" s="738"/>
      <c r="AD809" s="738"/>
      <c r="AE809" s="738"/>
      <c r="AF809" s="738"/>
      <c r="AG809" s="738"/>
      <c r="AH809" s="738"/>
      <c r="AI809" s="738"/>
      <c r="AJ809" s="738"/>
      <c r="AK809" s="738"/>
      <c r="AL809" s="738"/>
    </row>
    <row r="810">
      <c r="A810" s="738"/>
      <c r="B810" s="738"/>
      <c r="C810" s="738"/>
      <c r="D810" s="738"/>
      <c r="E810" s="738"/>
      <c r="F810" s="738"/>
      <c r="G810" s="738"/>
      <c r="H810" s="738"/>
      <c r="I810" s="738"/>
      <c r="J810" s="738"/>
      <c r="K810" s="738"/>
      <c r="L810" s="738"/>
      <c r="M810" s="738"/>
      <c r="N810" s="738"/>
      <c r="O810" s="738"/>
      <c r="P810" s="738"/>
      <c r="Q810" s="738"/>
      <c r="R810" s="738"/>
      <c r="S810" s="738"/>
      <c r="T810" s="738"/>
      <c r="U810" s="738"/>
      <c r="V810" s="738"/>
      <c r="W810" s="738"/>
      <c r="X810" s="738"/>
      <c r="Y810" s="738"/>
      <c r="Z810" s="738"/>
      <c r="AA810" s="738"/>
      <c r="AB810" s="738"/>
      <c r="AC810" s="738"/>
      <c r="AD810" s="738"/>
      <c r="AE810" s="738"/>
      <c r="AF810" s="738"/>
      <c r="AG810" s="738"/>
      <c r="AH810" s="738"/>
      <c r="AI810" s="738"/>
      <c r="AJ810" s="738"/>
      <c r="AK810" s="738"/>
      <c r="AL810" s="738"/>
    </row>
    <row r="811">
      <c r="A811" s="738"/>
      <c r="B811" s="738"/>
      <c r="C811" s="738"/>
      <c r="D811" s="738"/>
      <c r="E811" s="738"/>
      <c r="F811" s="738"/>
      <c r="G811" s="738"/>
      <c r="H811" s="738"/>
      <c r="I811" s="738"/>
      <c r="J811" s="738"/>
      <c r="K811" s="738"/>
      <c r="L811" s="738"/>
      <c r="M811" s="738"/>
      <c r="N811" s="738"/>
      <c r="O811" s="738"/>
      <c r="P811" s="738"/>
      <c r="Q811" s="738"/>
      <c r="R811" s="738"/>
      <c r="S811" s="738"/>
      <c r="T811" s="738"/>
      <c r="U811" s="738"/>
      <c r="V811" s="738"/>
      <c r="W811" s="738"/>
      <c r="X811" s="738"/>
      <c r="Y811" s="738"/>
      <c r="Z811" s="738"/>
      <c r="AA811" s="738"/>
      <c r="AB811" s="738"/>
      <c r="AC811" s="738"/>
      <c r="AD811" s="738"/>
      <c r="AE811" s="738"/>
      <c r="AF811" s="738"/>
      <c r="AG811" s="738"/>
      <c r="AH811" s="738"/>
      <c r="AI811" s="738"/>
      <c r="AJ811" s="738"/>
      <c r="AK811" s="738"/>
      <c r="AL811" s="738"/>
    </row>
    <row r="812">
      <c r="A812" s="738"/>
      <c r="B812" s="738"/>
      <c r="C812" s="738"/>
      <c r="D812" s="738"/>
      <c r="E812" s="738"/>
      <c r="F812" s="738"/>
      <c r="G812" s="738"/>
      <c r="H812" s="738"/>
      <c r="I812" s="738"/>
      <c r="J812" s="738"/>
      <c r="K812" s="738"/>
      <c r="L812" s="738"/>
      <c r="M812" s="738"/>
      <c r="N812" s="738"/>
      <c r="O812" s="738"/>
      <c r="P812" s="738"/>
      <c r="Q812" s="738"/>
      <c r="R812" s="738"/>
      <c r="S812" s="738"/>
      <c r="T812" s="738"/>
      <c r="U812" s="738"/>
      <c r="V812" s="738"/>
      <c r="W812" s="738"/>
      <c r="X812" s="738"/>
      <c r="Y812" s="738"/>
      <c r="Z812" s="738"/>
      <c r="AA812" s="738"/>
      <c r="AB812" s="738"/>
      <c r="AC812" s="738"/>
      <c r="AD812" s="738"/>
      <c r="AE812" s="738"/>
      <c r="AF812" s="738"/>
      <c r="AG812" s="738"/>
      <c r="AH812" s="738"/>
      <c r="AI812" s="738"/>
      <c r="AJ812" s="738"/>
      <c r="AK812" s="738"/>
      <c r="AL812" s="738"/>
    </row>
    <row r="813">
      <c r="A813" s="738"/>
      <c r="B813" s="738"/>
      <c r="C813" s="738"/>
      <c r="D813" s="738"/>
      <c r="E813" s="738"/>
      <c r="F813" s="738"/>
      <c r="G813" s="738"/>
      <c r="H813" s="738"/>
      <c r="I813" s="738"/>
      <c r="J813" s="738"/>
      <c r="K813" s="738"/>
      <c r="L813" s="738"/>
      <c r="M813" s="738"/>
      <c r="N813" s="738"/>
      <c r="O813" s="738"/>
      <c r="P813" s="738"/>
      <c r="Q813" s="738"/>
      <c r="R813" s="738"/>
      <c r="S813" s="738"/>
      <c r="T813" s="738"/>
      <c r="U813" s="738"/>
      <c r="V813" s="738"/>
      <c r="W813" s="738"/>
      <c r="X813" s="738"/>
      <c r="Y813" s="738"/>
      <c r="Z813" s="738"/>
      <c r="AA813" s="738"/>
      <c r="AB813" s="738"/>
      <c r="AC813" s="738"/>
      <c r="AD813" s="738"/>
      <c r="AE813" s="738"/>
      <c r="AF813" s="738"/>
      <c r="AG813" s="738"/>
      <c r="AH813" s="738"/>
      <c r="AI813" s="738"/>
      <c r="AJ813" s="738"/>
      <c r="AK813" s="738"/>
      <c r="AL813" s="738"/>
    </row>
    <row r="814">
      <c r="A814" s="738"/>
      <c r="B814" s="738"/>
      <c r="C814" s="738"/>
      <c r="D814" s="738"/>
      <c r="E814" s="738"/>
      <c r="F814" s="738"/>
      <c r="G814" s="738"/>
      <c r="H814" s="738"/>
      <c r="I814" s="738"/>
      <c r="J814" s="738"/>
      <c r="K814" s="738"/>
      <c r="L814" s="738"/>
      <c r="M814" s="738"/>
      <c r="N814" s="738"/>
      <c r="O814" s="738"/>
      <c r="P814" s="738"/>
      <c r="Q814" s="738"/>
      <c r="R814" s="738"/>
      <c r="S814" s="738"/>
      <c r="T814" s="738"/>
      <c r="U814" s="738"/>
      <c r="V814" s="738"/>
      <c r="W814" s="738"/>
      <c r="X814" s="738"/>
      <c r="Y814" s="738"/>
      <c r="Z814" s="738"/>
      <c r="AA814" s="738"/>
      <c r="AB814" s="738"/>
      <c r="AC814" s="738"/>
      <c r="AD814" s="738"/>
      <c r="AE814" s="738"/>
      <c r="AF814" s="738"/>
      <c r="AG814" s="738"/>
      <c r="AH814" s="738"/>
      <c r="AI814" s="738"/>
      <c r="AJ814" s="738"/>
      <c r="AK814" s="738"/>
      <c r="AL814" s="738"/>
    </row>
    <row r="815">
      <c r="A815" s="738"/>
      <c r="B815" s="738"/>
      <c r="C815" s="738"/>
      <c r="D815" s="738"/>
      <c r="E815" s="738"/>
      <c r="F815" s="738"/>
      <c r="G815" s="738"/>
      <c r="H815" s="738"/>
      <c r="I815" s="738"/>
      <c r="J815" s="738"/>
      <c r="K815" s="738"/>
      <c r="L815" s="738"/>
      <c r="M815" s="738"/>
      <c r="N815" s="738"/>
      <c r="O815" s="738"/>
      <c r="P815" s="738"/>
      <c r="Q815" s="738"/>
      <c r="R815" s="738"/>
      <c r="S815" s="738"/>
      <c r="T815" s="738"/>
      <c r="U815" s="738"/>
      <c r="V815" s="738"/>
      <c r="W815" s="738"/>
      <c r="X815" s="738"/>
      <c r="Y815" s="738"/>
      <c r="Z815" s="738"/>
      <c r="AA815" s="738"/>
      <c r="AB815" s="738"/>
      <c r="AC815" s="738"/>
      <c r="AD815" s="738"/>
      <c r="AE815" s="738"/>
      <c r="AF815" s="738"/>
      <c r="AG815" s="738"/>
      <c r="AH815" s="738"/>
      <c r="AI815" s="738"/>
      <c r="AJ815" s="738"/>
      <c r="AK815" s="738"/>
      <c r="AL815" s="738"/>
    </row>
    <row r="816">
      <c r="A816" s="738"/>
      <c r="B816" s="738"/>
      <c r="C816" s="738"/>
      <c r="D816" s="738"/>
      <c r="E816" s="738"/>
      <c r="F816" s="738"/>
      <c r="G816" s="738"/>
      <c r="H816" s="738"/>
      <c r="I816" s="738"/>
      <c r="J816" s="738"/>
      <c r="K816" s="738"/>
      <c r="L816" s="738"/>
      <c r="M816" s="738"/>
      <c r="N816" s="738"/>
      <c r="O816" s="738"/>
      <c r="P816" s="738"/>
      <c r="Q816" s="738"/>
      <c r="R816" s="738"/>
      <c r="S816" s="738"/>
      <c r="T816" s="738"/>
      <c r="U816" s="738"/>
      <c r="V816" s="738"/>
      <c r="W816" s="738"/>
      <c r="X816" s="738"/>
      <c r="Y816" s="738"/>
      <c r="Z816" s="738"/>
      <c r="AA816" s="738"/>
      <c r="AB816" s="738"/>
      <c r="AC816" s="738"/>
      <c r="AD816" s="738"/>
      <c r="AE816" s="738"/>
      <c r="AF816" s="738"/>
      <c r="AG816" s="738"/>
      <c r="AH816" s="738"/>
      <c r="AI816" s="738"/>
      <c r="AJ816" s="738"/>
      <c r="AK816" s="738"/>
      <c r="AL816" s="738"/>
    </row>
    <row r="817">
      <c r="A817" s="738"/>
      <c r="B817" s="738"/>
      <c r="C817" s="738"/>
      <c r="D817" s="738"/>
      <c r="E817" s="738"/>
      <c r="F817" s="738"/>
      <c r="G817" s="738"/>
      <c r="H817" s="738"/>
      <c r="I817" s="738"/>
      <c r="J817" s="738"/>
      <c r="K817" s="738"/>
      <c r="L817" s="738"/>
      <c r="M817" s="738"/>
      <c r="N817" s="738"/>
      <c r="O817" s="738"/>
      <c r="P817" s="738"/>
      <c r="Q817" s="738"/>
      <c r="R817" s="738"/>
      <c r="S817" s="738"/>
      <c r="T817" s="738"/>
      <c r="U817" s="738"/>
      <c r="V817" s="738"/>
      <c r="W817" s="738"/>
      <c r="X817" s="738"/>
      <c r="Y817" s="738"/>
      <c r="Z817" s="738"/>
      <c r="AA817" s="738"/>
      <c r="AB817" s="738"/>
      <c r="AC817" s="738"/>
      <c r="AD817" s="738"/>
      <c r="AE817" s="738"/>
      <c r="AF817" s="738"/>
      <c r="AG817" s="738"/>
      <c r="AH817" s="738"/>
      <c r="AI817" s="738"/>
      <c r="AJ817" s="738"/>
      <c r="AK817" s="738"/>
      <c r="AL817" s="738"/>
    </row>
    <row r="818">
      <c r="A818" s="738"/>
      <c r="B818" s="738"/>
      <c r="C818" s="738"/>
      <c r="D818" s="738"/>
      <c r="E818" s="738"/>
      <c r="F818" s="738"/>
      <c r="G818" s="738"/>
      <c r="H818" s="738"/>
      <c r="I818" s="738"/>
      <c r="J818" s="738"/>
      <c r="K818" s="738"/>
      <c r="L818" s="738"/>
      <c r="M818" s="738"/>
      <c r="N818" s="738"/>
      <c r="O818" s="738"/>
      <c r="P818" s="738"/>
      <c r="Q818" s="738"/>
      <c r="R818" s="738"/>
      <c r="S818" s="738"/>
      <c r="T818" s="738"/>
      <c r="U818" s="738"/>
      <c r="V818" s="738"/>
      <c r="W818" s="738"/>
      <c r="X818" s="738"/>
      <c r="Y818" s="738"/>
      <c r="Z818" s="738"/>
      <c r="AA818" s="738"/>
      <c r="AB818" s="738"/>
      <c r="AC818" s="738"/>
      <c r="AD818" s="738"/>
      <c r="AE818" s="738"/>
      <c r="AF818" s="738"/>
      <c r="AG818" s="738"/>
      <c r="AH818" s="738"/>
      <c r="AI818" s="738"/>
      <c r="AJ818" s="738"/>
      <c r="AK818" s="738"/>
      <c r="AL818" s="738"/>
    </row>
    <row r="819">
      <c r="A819" s="738"/>
      <c r="B819" s="738"/>
      <c r="C819" s="738"/>
      <c r="D819" s="738"/>
      <c r="E819" s="738"/>
      <c r="F819" s="738"/>
      <c r="G819" s="738"/>
      <c r="H819" s="738"/>
      <c r="I819" s="738"/>
      <c r="J819" s="738"/>
      <c r="K819" s="738"/>
      <c r="L819" s="738"/>
      <c r="M819" s="738"/>
      <c r="N819" s="738"/>
      <c r="O819" s="738"/>
      <c r="P819" s="738"/>
      <c r="Q819" s="738"/>
      <c r="R819" s="738"/>
      <c r="S819" s="738"/>
      <c r="T819" s="738"/>
      <c r="U819" s="738"/>
      <c r="V819" s="738"/>
      <c r="W819" s="738"/>
      <c r="X819" s="738"/>
      <c r="Y819" s="738"/>
      <c r="Z819" s="738"/>
      <c r="AA819" s="738"/>
      <c r="AB819" s="738"/>
      <c r="AC819" s="738"/>
      <c r="AD819" s="738"/>
      <c r="AE819" s="738"/>
      <c r="AF819" s="738"/>
      <c r="AG819" s="738"/>
      <c r="AH819" s="738"/>
      <c r="AI819" s="738"/>
      <c r="AJ819" s="738"/>
      <c r="AK819" s="738"/>
      <c r="AL819" s="738"/>
    </row>
    <row r="820">
      <c r="A820" s="738"/>
      <c r="B820" s="738"/>
      <c r="C820" s="738"/>
      <c r="D820" s="738"/>
      <c r="E820" s="738"/>
      <c r="F820" s="738"/>
      <c r="G820" s="738"/>
      <c r="H820" s="738"/>
      <c r="I820" s="738"/>
      <c r="J820" s="738"/>
      <c r="K820" s="738"/>
      <c r="L820" s="738"/>
      <c r="M820" s="738"/>
      <c r="N820" s="738"/>
      <c r="O820" s="738"/>
      <c r="P820" s="738"/>
      <c r="Q820" s="738"/>
      <c r="R820" s="738"/>
      <c r="S820" s="738"/>
      <c r="T820" s="738"/>
      <c r="U820" s="738"/>
      <c r="V820" s="738"/>
      <c r="W820" s="738"/>
      <c r="X820" s="738"/>
      <c r="Y820" s="738"/>
      <c r="Z820" s="738"/>
      <c r="AA820" s="738"/>
      <c r="AB820" s="738"/>
      <c r="AC820" s="738"/>
      <c r="AD820" s="738"/>
      <c r="AE820" s="738"/>
      <c r="AF820" s="738"/>
      <c r="AG820" s="738"/>
      <c r="AH820" s="738"/>
      <c r="AI820" s="738"/>
      <c r="AJ820" s="738"/>
      <c r="AK820" s="738"/>
      <c r="AL820" s="738"/>
    </row>
    <row r="821">
      <c r="A821" s="738"/>
      <c r="B821" s="738"/>
      <c r="C821" s="738"/>
      <c r="D821" s="738"/>
      <c r="E821" s="738"/>
      <c r="F821" s="738"/>
      <c r="G821" s="738"/>
      <c r="H821" s="738"/>
      <c r="I821" s="738"/>
      <c r="J821" s="738"/>
      <c r="K821" s="738"/>
      <c r="L821" s="738"/>
      <c r="M821" s="738"/>
      <c r="N821" s="738"/>
      <c r="O821" s="738"/>
      <c r="P821" s="738"/>
      <c r="Q821" s="738"/>
      <c r="R821" s="738"/>
      <c r="S821" s="738"/>
      <c r="T821" s="738"/>
      <c r="U821" s="738"/>
      <c r="V821" s="738"/>
      <c r="W821" s="738"/>
      <c r="X821" s="738"/>
      <c r="Y821" s="738"/>
      <c r="Z821" s="738"/>
      <c r="AA821" s="738"/>
      <c r="AB821" s="738"/>
      <c r="AC821" s="738"/>
      <c r="AD821" s="738"/>
      <c r="AE821" s="738"/>
      <c r="AF821" s="738"/>
      <c r="AG821" s="738"/>
      <c r="AH821" s="738"/>
      <c r="AI821" s="738"/>
      <c r="AJ821" s="738"/>
      <c r="AK821" s="738"/>
      <c r="AL821" s="738"/>
    </row>
    <row r="822">
      <c r="A822" s="738"/>
      <c r="B822" s="738"/>
      <c r="C822" s="738"/>
      <c r="D822" s="738"/>
      <c r="E822" s="738"/>
      <c r="F822" s="738"/>
      <c r="G822" s="738"/>
      <c r="H822" s="738"/>
      <c r="I822" s="738"/>
      <c r="J822" s="738"/>
      <c r="K822" s="738"/>
      <c r="L822" s="738"/>
      <c r="M822" s="738"/>
      <c r="N822" s="738"/>
      <c r="O822" s="738"/>
      <c r="P822" s="738"/>
      <c r="Q822" s="738"/>
      <c r="R822" s="738"/>
      <c r="S822" s="738"/>
      <c r="T822" s="738"/>
      <c r="U822" s="738"/>
      <c r="V822" s="738"/>
      <c r="W822" s="738"/>
      <c r="X822" s="738"/>
      <c r="Y822" s="738"/>
      <c r="Z822" s="738"/>
      <c r="AA822" s="738"/>
      <c r="AB822" s="738"/>
      <c r="AC822" s="738"/>
      <c r="AD822" s="738"/>
      <c r="AE822" s="738"/>
      <c r="AF822" s="738"/>
      <c r="AG822" s="738"/>
      <c r="AH822" s="738"/>
      <c r="AI822" s="738"/>
      <c r="AJ822" s="738"/>
      <c r="AK822" s="738"/>
      <c r="AL822" s="738"/>
    </row>
    <row r="823">
      <c r="A823" s="738"/>
      <c r="B823" s="738"/>
      <c r="C823" s="738"/>
      <c r="D823" s="738"/>
      <c r="E823" s="738"/>
      <c r="F823" s="738"/>
      <c r="G823" s="738"/>
      <c r="H823" s="738"/>
      <c r="I823" s="738"/>
      <c r="J823" s="738"/>
      <c r="K823" s="738"/>
      <c r="L823" s="738"/>
      <c r="M823" s="738"/>
      <c r="N823" s="738"/>
      <c r="O823" s="738"/>
      <c r="P823" s="738"/>
      <c r="Q823" s="738"/>
      <c r="R823" s="738"/>
      <c r="S823" s="738"/>
      <c r="T823" s="738"/>
      <c r="U823" s="738"/>
      <c r="V823" s="738"/>
      <c r="W823" s="738"/>
      <c r="X823" s="738"/>
      <c r="Y823" s="738"/>
      <c r="Z823" s="738"/>
      <c r="AA823" s="738"/>
      <c r="AB823" s="738"/>
      <c r="AC823" s="738"/>
      <c r="AD823" s="738"/>
      <c r="AE823" s="738"/>
      <c r="AF823" s="738"/>
      <c r="AG823" s="738"/>
      <c r="AH823" s="738"/>
      <c r="AI823" s="738"/>
      <c r="AJ823" s="738"/>
      <c r="AK823" s="738"/>
      <c r="AL823" s="738"/>
    </row>
    <row r="824">
      <c r="A824" s="738"/>
      <c r="B824" s="738"/>
      <c r="C824" s="738"/>
      <c r="D824" s="738"/>
      <c r="E824" s="738"/>
      <c r="F824" s="738"/>
      <c r="G824" s="738"/>
      <c r="H824" s="738"/>
      <c r="I824" s="738"/>
      <c r="J824" s="738"/>
      <c r="K824" s="738"/>
      <c r="L824" s="738"/>
      <c r="M824" s="738"/>
      <c r="N824" s="738"/>
      <c r="O824" s="738"/>
      <c r="P824" s="738"/>
      <c r="Q824" s="738"/>
      <c r="R824" s="738"/>
      <c r="S824" s="738"/>
      <c r="T824" s="738"/>
      <c r="U824" s="738"/>
      <c r="V824" s="738"/>
      <c r="W824" s="738"/>
      <c r="X824" s="738"/>
      <c r="Y824" s="738"/>
      <c r="Z824" s="738"/>
      <c r="AA824" s="738"/>
      <c r="AB824" s="738"/>
      <c r="AC824" s="738"/>
      <c r="AD824" s="738"/>
      <c r="AE824" s="738"/>
      <c r="AF824" s="738"/>
      <c r="AG824" s="738"/>
      <c r="AH824" s="738"/>
      <c r="AI824" s="738"/>
      <c r="AJ824" s="738"/>
      <c r="AK824" s="738"/>
      <c r="AL824" s="738"/>
    </row>
    <row r="825">
      <c r="A825" s="738"/>
      <c r="B825" s="738"/>
      <c r="C825" s="738"/>
      <c r="D825" s="738"/>
      <c r="E825" s="738"/>
      <c r="F825" s="738"/>
      <c r="G825" s="738"/>
      <c r="H825" s="738"/>
      <c r="I825" s="738"/>
      <c r="J825" s="738"/>
      <c r="K825" s="738"/>
      <c r="L825" s="738"/>
      <c r="M825" s="738"/>
      <c r="N825" s="738"/>
      <c r="O825" s="738"/>
      <c r="P825" s="738"/>
      <c r="Q825" s="738"/>
      <c r="R825" s="738"/>
      <c r="S825" s="738"/>
      <c r="T825" s="738"/>
      <c r="U825" s="738"/>
      <c r="V825" s="738"/>
      <c r="W825" s="738"/>
      <c r="X825" s="738"/>
      <c r="Y825" s="738"/>
      <c r="Z825" s="738"/>
      <c r="AA825" s="738"/>
      <c r="AB825" s="738"/>
      <c r="AC825" s="738"/>
      <c r="AD825" s="738"/>
      <c r="AE825" s="738"/>
      <c r="AF825" s="738"/>
      <c r="AG825" s="738"/>
      <c r="AH825" s="738"/>
      <c r="AI825" s="738"/>
      <c r="AJ825" s="738"/>
      <c r="AK825" s="738"/>
      <c r="AL825" s="738"/>
    </row>
    <row r="826">
      <c r="A826" s="738"/>
      <c r="B826" s="738"/>
      <c r="C826" s="738"/>
      <c r="D826" s="738"/>
      <c r="E826" s="738"/>
      <c r="F826" s="738"/>
      <c r="G826" s="738"/>
      <c r="H826" s="738"/>
      <c r="I826" s="738"/>
      <c r="J826" s="738"/>
      <c r="K826" s="738"/>
      <c r="L826" s="738"/>
      <c r="M826" s="738"/>
      <c r="N826" s="738"/>
      <c r="O826" s="738"/>
      <c r="P826" s="738"/>
      <c r="Q826" s="738"/>
      <c r="R826" s="738"/>
      <c r="S826" s="738"/>
      <c r="T826" s="738"/>
      <c r="U826" s="738"/>
      <c r="V826" s="738"/>
      <c r="W826" s="738"/>
      <c r="X826" s="738"/>
      <c r="Y826" s="738"/>
      <c r="Z826" s="738"/>
      <c r="AA826" s="738"/>
      <c r="AB826" s="738"/>
      <c r="AC826" s="738"/>
      <c r="AD826" s="738"/>
      <c r="AE826" s="738"/>
      <c r="AF826" s="738"/>
      <c r="AG826" s="738"/>
      <c r="AH826" s="738"/>
      <c r="AI826" s="738"/>
      <c r="AJ826" s="738"/>
      <c r="AK826" s="738"/>
      <c r="AL826" s="738"/>
    </row>
    <row r="827">
      <c r="A827" s="738"/>
      <c r="B827" s="738"/>
      <c r="C827" s="738"/>
      <c r="D827" s="738"/>
      <c r="E827" s="738"/>
      <c r="F827" s="738"/>
      <c r="G827" s="738"/>
      <c r="H827" s="738"/>
      <c r="I827" s="738"/>
      <c r="J827" s="738"/>
      <c r="K827" s="738"/>
      <c r="L827" s="738"/>
      <c r="M827" s="738"/>
      <c r="N827" s="738"/>
      <c r="O827" s="738"/>
      <c r="P827" s="738"/>
      <c r="Q827" s="738"/>
      <c r="R827" s="738"/>
      <c r="S827" s="738"/>
      <c r="T827" s="738"/>
      <c r="U827" s="738"/>
      <c r="V827" s="738"/>
      <c r="W827" s="738"/>
      <c r="X827" s="738"/>
      <c r="Y827" s="738"/>
      <c r="Z827" s="738"/>
      <c r="AA827" s="738"/>
      <c r="AB827" s="738"/>
      <c r="AC827" s="738"/>
      <c r="AD827" s="738"/>
      <c r="AE827" s="738"/>
      <c r="AF827" s="738"/>
      <c r="AG827" s="738"/>
      <c r="AH827" s="738"/>
      <c r="AI827" s="738"/>
      <c r="AJ827" s="738"/>
      <c r="AK827" s="738"/>
      <c r="AL827" s="738"/>
    </row>
    <row r="828">
      <c r="A828" s="738"/>
      <c r="B828" s="738"/>
      <c r="C828" s="738"/>
      <c r="D828" s="738"/>
      <c r="E828" s="738"/>
      <c r="F828" s="738"/>
      <c r="G828" s="738"/>
      <c r="H828" s="738"/>
      <c r="I828" s="738"/>
      <c r="J828" s="738"/>
      <c r="K828" s="738"/>
      <c r="L828" s="738"/>
      <c r="M828" s="738"/>
      <c r="N828" s="738"/>
      <c r="O828" s="738"/>
      <c r="P828" s="738"/>
      <c r="Q828" s="738"/>
      <c r="R828" s="738"/>
      <c r="S828" s="738"/>
      <c r="T828" s="738"/>
      <c r="U828" s="738"/>
      <c r="V828" s="738"/>
      <c r="W828" s="738"/>
      <c r="X828" s="738"/>
      <c r="Y828" s="738"/>
      <c r="Z828" s="738"/>
      <c r="AA828" s="738"/>
      <c r="AB828" s="738"/>
      <c r="AC828" s="738"/>
      <c r="AD828" s="738"/>
      <c r="AE828" s="738"/>
      <c r="AF828" s="738"/>
      <c r="AG828" s="738"/>
      <c r="AH828" s="738"/>
      <c r="AI828" s="738"/>
      <c r="AJ828" s="738"/>
      <c r="AK828" s="738"/>
      <c r="AL828" s="738"/>
    </row>
    <row r="829">
      <c r="A829" s="738"/>
      <c r="B829" s="738"/>
      <c r="C829" s="738"/>
      <c r="D829" s="738"/>
      <c r="E829" s="738"/>
      <c r="F829" s="738"/>
      <c r="G829" s="738"/>
      <c r="H829" s="738"/>
      <c r="I829" s="738"/>
      <c r="J829" s="738"/>
      <c r="K829" s="738"/>
      <c r="L829" s="738"/>
      <c r="M829" s="738"/>
      <c r="N829" s="738"/>
      <c r="O829" s="738"/>
      <c r="P829" s="738"/>
      <c r="Q829" s="738"/>
      <c r="R829" s="738"/>
      <c r="S829" s="738"/>
      <c r="T829" s="738"/>
      <c r="U829" s="738"/>
      <c r="V829" s="738"/>
      <c r="W829" s="738"/>
      <c r="X829" s="738"/>
      <c r="Y829" s="738"/>
      <c r="Z829" s="738"/>
      <c r="AA829" s="738"/>
      <c r="AB829" s="738"/>
      <c r="AC829" s="738"/>
      <c r="AD829" s="738"/>
      <c r="AE829" s="738"/>
      <c r="AF829" s="738"/>
      <c r="AG829" s="738"/>
      <c r="AH829" s="738"/>
      <c r="AI829" s="738"/>
      <c r="AJ829" s="738"/>
      <c r="AK829" s="738"/>
      <c r="AL829" s="738"/>
    </row>
    <row r="830">
      <c r="A830" s="738"/>
      <c r="B830" s="738"/>
      <c r="C830" s="738"/>
      <c r="D830" s="738"/>
      <c r="E830" s="738"/>
      <c r="F830" s="738"/>
      <c r="G830" s="738"/>
      <c r="H830" s="738"/>
      <c r="I830" s="738"/>
      <c r="J830" s="738"/>
      <c r="K830" s="738"/>
      <c r="L830" s="738"/>
      <c r="M830" s="738"/>
      <c r="N830" s="738"/>
      <c r="O830" s="738"/>
      <c r="P830" s="738"/>
      <c r="Q830" s="738"/>
      <c r="R830" s="738"/>
      <c r="S830" s="738"/>
      <c r="T830" s="738"/>
      <c r="U830" s="738"/>
      <c r="V830" s="738"/>
      <c r="W830" s="738"/>
      <c r="X830" s="738"/>
      <c r="Y830" s="738"/>
      <c r="Z830" s="738"/>
      <c r="AA830" s="738"/>
      <c r="AB830" s="738"/>
      <c r="AC830" s="738"/>
      <c r="AD830" s="738"/>
      <c r="AE830" s="738"/>
      <c r="AF830" s="738"/>
      <c r="AG830" s="738"/>
      <c r="AH830" s="738"/>
      <c r="AI830" s="738"/>
      <c r="AJ830" s="738"/>
      <c r="AK830" s="738"/>
      <c r="AL830" s="738"/>
    </row>
    <row r="831">
      <c r="A831" s="738"/>
      <c r="B831" s="738"/>
      <c r="C831" s="738"/>
      <c r="D831" s="738"/>
      <c r="E831" s="738"/>
      <c r="F831" s="738"/>
      <c r="G831" s="738"/>
      <c r="H831" s="738"/>
      <c r="I831" s="738"/>
      <c r="J831" s="738"/>
      <c r="K831" s="738"/>
      <c r="L831" s="738"/>
      <c r="M831" s="738"/>
      <c r="N831" s="738"/>
      <c r="O831" s="738"/>
      <c r="P831" s="738"/>
      <c r="Q831" s="738"/>
      <c r="R831" s="738"/>
      <c r="S831" s="738"/>
      <c r="T831" s="738"/>
      <c r="U831" s="738"/>
      <c r="V831" s="738"/>
      <c r="W831" s="738"/>
      <c r="X831" s="738"/>
      <c r="Y831" s="738"/>
      <c r="Z831" s="738"/>
      <c r="AA831" s="738"/>
      <c r="AB831" s="738"/>
      <c r="AC831" s="738"/>
      <c r="AD831" s="738"/>
      <c r="AE831" s="738"/>
      <c r="AF831" s="738"/>
      <c r="AG831" s="738"/>
      <c r="AH831" s="738"/>
      <c r="AI831" s="738"/>
      <c r="AJ831" s="738"/>
      <c r="AK831" s="738"/>
      <c r="AL831" s="738"/>
    </row>
    <row r="832">
      <c r="A832" s="738"/>
      <c r="B832" s="738"/>
      <c r="C832" s="738"/>
      <c r="D832" s="738"/>
      <c r="E832" s="738"/>
      <c r="F832" s="738"/>
      <c r="G832" s="738"/>
      <c r="H832" s="738"/>
      <c r="I832" s="738"/>
      <c r="J832" s="738"/>
      <c r="K832" s="738"/>
      <c r="L832" s="738"/>
      <c r="M832" s="738"/>
      <c r="N832" s="738"/>
      <c r="O832" s="738"/>
      <c r="P832" s="738"/>
      <c r="Q832" s="738"/>
      <c r="R832" s="738"/>
      <c r="S832" s="738"/>
      <c r="T832" s="738"/>
      <c r="U832" s="738"/>
      <c r="V832" s="738"/>
      <c r="W832" s="738"/>
      <c r="X832" s="738"/>
      <c r="Y832" s="738"/>
      <c r="Z832" s="738"/>
      <c r="AA832" s="738"/>
      <c r="AB832" s="738"/>
      <c r="AC832" s="738"/>
      <c r="AD832" s="738"/>
      <c r="AE832" s="738"/>
      <c r="AF832" s="738"/>
      <c r="AG832" s="738"/>
      <c r="AH832" s="738"/>
      <c r="AI832" s="738"/>
      <c r="AJ832" s="738"/>
      <c r="AK832" s="738"/>
      <c r="AL832" s="738"/>
    </row>
    <row r="833">
      <c r="A833" s="738"/>
      <c r="B833" s="738"/>
      <c r="C833" s="738"/>
      <c r="D833" s="738"/>
      <c r="E833" s="738"/>
      <c r="F833" s="738"/>
      <c r="G833" s="738"/>
      <c r="H833" s="738"/>
      <c r="I833" s="738"/>
      <c r="J833" s="738"/>
      <c r="K833" s="738"/>
      <c r="L833" s="738"/>
      <c r="M833" s="738"/>
      <c r="N833" s="738"/>
      <c r="O833" s="738"/>
      <c r="P833" s="738"/>
      <c r="Q833" s="738"/>
      <c r="R833" s="738"/>
      <c r="S833" s="738"/>
      <c r="T833" s="738"/>
      <c r="U833" s="738"/>
      <c r="V833" s="738"/>
      <c r="W833" s="738"/>
      <c r="X833" s="738"/>
      <c r="Y833" s="738"/>
      <c r="Z833" s="738"/>
      <c r="AA833" s="738"/>
      <c r="AB833" s="738"/>
      <c r="AC833" s="738"/>
      <c r="AD833" s="738"/>
      <c r="AE833" s="738"/>
      <c r="AF833" s="738"/>
      <c r="AG833" s="738"/>
      <c r="AH833" s="738"/>
      <c r="AI833" s="738"/>
      <c r="AJ833" s="738"/>
      <c r="AK833" s="738"/>
      <c r="AL833" s="738"/>
    </row>
    <row r="834">
      <c r="A834" s="738"/>
      <c r="B834" s="738"/>
      <c r="C834" s="738"/>
      <c r="D834" s="738"/>
      <c r="E834" s="738"/>
      <c r="F834" s="738"/>
      <c r="G834" s="738"/>
      <c r="H834" s="738"/>
      <c r="I834" s="738"/>
      <c r="J834" s="738"/>
      <c r="K834" s="738"/>
      <c r="L834" s="738"/>
      <c r="M834" s="738"/>
      <c r="N834" s="738"/>
      <c r="O834" s="738"/>
      <c r="P834" s="738"/>
      <c r="Q834" s="738"/>
      <c r="R834" s="738"/>
      <c r="S834" s="738"/>
      <c r="T834" s="738"/>
      <c r="U834" s="738"/>
      <c r="V834" s="738"/>
      <c r="W834" s="738"/>
      <c r="X834" s="738"/>
      <c r="Y834" s="738"/>
      <c r="Z834" s="738"/>
      <c r="AA834" s="738"/>
      <c r="AB834" s="738"/>
      <c r="AC834" s="738"/>
      <c r="AD834" s="738"/>
      <c r="AE834" s="738"/>
      <c r="AF834" s="738"/>
      <c r="AG834" s="738"/>
      <c r="AH834" s="738"/>
      <c r="AI834" s="738"/>
      <c r="AJ834" s="738"/>
      <c r="AK834" s="738"/>
      <c r="AL834" s="738"/>
    </row>
    <row r="835">
      <c r="A835" s="738"/>
      <c r="B835" s="738"/>
      <c r="C835" s="738"/>
      <c r="D835" s="738"/>
      <c r="E835" s="738"/>
      <c r="F835" s="738"/>
      <c r="G835" s="738"/>
      <c r="H835" s="738"/>
      <c r="I835" s="738"/>
      <c r="J835" s="738"/>
      <c r="K835" s="738"/>
      <c r="L835" s="738"/>
      <c r="M835" s="738"/>
      <c r="N835" s="738"/>
      <c r="O835" s="738"/>
      <c r="P835" s="738"/>
      <c r="Q835" s="738"/>
      <c r="R835" s="738"/>
      <c r="S835" s="738"/>
      <c r="T835" s="738"/>
      <c r="U835" s="738"/>
      <c r="V835" s="738"/>
      <c r="W835" s="738"/>
      <c r="X835" s="738"/>
      <c r="Y835" s="738"/>
      <c r="Z835" s="738"/>
      <c r="AA835" s="738"/>
      <c r="AB835" s="738"/>
      <c r="AC835" s="738"/>
      <c r="AD835" s="738"/>
      <c r="AE835" s="738"/>
      <c r="AF835" s="738"/>
      <c r="AG835" s="738"/>
      <c r="AH835" s="738"/>
      <c r="AI835" s="738"/>
      <c r="AJ835" s="738"/>
      <c r="AK835" s="738"/>
      <c r="AL835" s="738"/>
    </row>
    <row r="836">
      <c r="A836" s="738"/>
      <c r="B836" s="738"/>
      <c r="C836" s="738"/>
      <c r="D836" s="738"/>
      <c r="E836" s="738"/>
      <c r="F836" s="738"/>
      <c r="G836" s="738"/>
      <c r="H836" s="738"/>
      <c r="I836" s="738"/>
      <c r="J836" s="738"/>
      <c r="K836" s="738"/>
      <c r="L836" s="738"/>
      <c r="M836" s="738"/>
      <c r="N836" s="738"/>
      <c r="O836" s="738"/>
      <c r="P836" s="738"/>
      <c r="Q836" s="738"/>
      <c r="R836" s="738"/>
      <c r="S836" s="738"/>
      <c r="T836" s="738"/>
      <c r="U836" s="738"/>
      <c r="V836" s="738"/>
      <c r="W836" s="738"/>
      <c r="X836" s="738"/>
      <c r="Y836" s="738"/>
      <c r="Z836" s="738"/>
      <c r="AA836" s="738"/>
      <c r="AB836" s="738"/>
      <c r="AC836" s="738"/>
      <c r="AD836" s="738"/>
      <c r="AE836" s="738"/>
      <c r="AF836" s="738"/>
      <c r="AG836" s="738"/>
      <c r="AH836" s="738"/>
      <c r="AI836" s="738"/>
      <c r="AJ836" s="738"/>
      <c r="AK836" s="738"/>
      <c r="AL836" s="738"/>
    </row>
    <row r="837">
      <c r="A837" s="738"/>
      <c r="B837" s="738"/>
      <c r="C837" s="738"/>
      <c r="D837" s="738"/>
      <c r="E837" s="738"/>
      <c r="F837" s="738"/>
      <c r="G837" s="738"/>
      <c r="H837" s="738"/>
      <c r="I837" s="738"/>
      <c r="J837" s="738"/>
      <c r="K837" s="738"/>
      <c r="L837" s="738"/>
      <c r="M837" s="738"/>
      <c r="N837" s="738"/>
      <c r="O837" s="738"/>
      <c r="P837" s="738"/>
      <c r="Q837" s="738"/>
      <c r="R837" s="738"/>
      <c r="S837" s="738"/>
      <c r="T837" s="738"/>
      <c r="U837" s="738"/>
      <c r="V837" s="738"/>
      <c r="W837" s="738"/>
      <c r="X837" s="738"/>
      <c r="Y837" s="738"/>
      <c r="Z837" s="738"/>
      <c r="AA837" s="738"/>
      <c r="AB837" s="738"/>
      <c r="AC837" s="738"/>
      <c r="AD837" s="738"/>
      <c r="AE837" s="738"/>
      <c r="AF837" s="738"/>
      <c r="AG837" s="738"/>
      <c r="AH837" s="738"/>
      <c r="AI837" s="738"/>
      <c r="AJ837" s="738"/>
      <c r="AK837" s="738"/>
      <c r="AL837" s="738"/>
    </row>
    <row r="838">
      <c r="A838" s="738"/>
      <c r="B838" s="738"/>
      <c r="C838" s="738"/>
      <c r="D838" s="738"/>
      <c r="E838" s="738"/>
      <c r="F838" s="738"/>
      <c r="G838" s="738"/>
      <c r="H838" s="738"/>
      <c r="I838" s="738"/>
      <c r="J838" s="738"/>
      <c r="K838" s="738"/>
      <c r="L838" s="738"/>
      <c r="M838" s="738"/>
      <c r="N838" s="738"/>
      <c r="O838" s="738"/>
      <c r="P838" s="738"/>
      <c r="Q838" s="738"/>
      <c r="R838" s="738"/>
      <c r="S838" s="738"/>
      <c r="T838" s="738"/>
      <c r="U838" s="738"/>
      <c r="V838" s="738"/>
      <c r="W838" s="738"/>
      <c r="X838" s="738"/>
      <c r="Y838" s="738"/>
      <c r="Z838" s="738"/>
      <c r="AA838" s="738"/>
      <c r="AB838" s="738"/>
      <c r="AC838" s="738"/>
      <c r="AD838" s="738"/>
      <c r="AE838" s="738"/>
      <c r="AF838" s="738"/>
      <c r="AG838" s="738"/>
      <c r="AH838" s="738"/>
      <c r="AI838" s="738"/>
      <c r="AJ838" s="738"/>
      <c r="AK838" s="738"/>
      <c r="AL838" s="738"/>
    </row>
    <row r="839">
      <c r="A839" s="738"/>
      <c r="B839" s="738"/>
      <c r="C839" s="738"/>
      <c r="D839" s="738"/>
      <c r="E839" s="738"/>
      <c r="F839" s="738"/>
      <c r="G839" s="738"/>
      <c r="H839" s="738"/>
      <c r="I839" s="738"/>
      <c r="J839" s="738"/>
      <c r="K839" s="738"/>
      <c r="L839" s="738"/>
      <c r="M839" s="738"/>
      <c r="N839" s="738"/>
      <c r="O839" s="738"/>
      <c r="P839" s="738"/>
      <c r="Q839" s="738"/>
      <c r="R839" s="738"/>
      <c r="S839" s="738"/>
      <c r="T839" s="738"/>
      <c r="U839" s="738"/>
      <c r="V839" s="738"/>
      <c r="W839" s="738"/>
      <c r="X839" s="738"/>
      <c r="Y839" s="738"/>
      <c r="Z839" s="738"/>
      <c r="AA839" s="738"/>
      <c r="AB839" s="738"/>
      <c r="AC839" s="738"/>
      <c r="AD839" s="738"/>
      <c r="AE839" s="738"/>
      <c r="AF839" s="738"/>
      <c r="AG839" s="738"/>
      <c r="AH839" s="738"/>
      <c r="AI839" s="738"/>
      <c r="AJ839" s="738"/>
      <c r="AK839" s="738"/>
      <c r="AL839" s="738"/>
    </row>
    <row r="840">
      <c r="A840" s="738"/>
      <c r="B840" s="738"/>
      <c r="C840" s="738"/>
      <c r="D840" s="738"/>
      <c r="E840" s="738"/>
      <c r="F840" s="738"/>
      <c r="G840" s="738"/>
      <c r="H840" s="738"/>
      <c r="I840" s="738"/>
      <c r="J840" s="738"/>
      <c r="K840" s="738"/>
      <c r="L840" s="738"/>
      <c r="M840" s="738"/>
      <c r="N840" s="738"/>
      <c r="O840" s="738"/>
      <c r="P840" s="738"/>
      <c r="Q840" s="738"/>
      <c r="R840" s="738"/>
      <c r="S840" s="738"/>
      <c r="T840" s="738"/>
      <c r="U840" s="738"/>
      <c r="V840" s="738"/>
      <c r="W840" s="738"/>
      <c r="X840" s="738"/>
      <c r="Y840" s="738"/>
      <c r="Z840" s="738"/>
      <c r="AA840" s="738"/>
      <c r="AB840" s="738"/>
      <c r="AC840" s="738"/>
      <c r="AD840" s="738"/>
      <c r="AE840" s="738"/>
      <c r="AF840" s="738"/>
      <c r="AG840" s="738"/>
      <c r="AH840" s="738"/>
      <c r="AI840" s="738"/>
      <c r="AJ840" s="738"/>
      <c r="AK840" s="738"/>
      <c r="AL840" s="738"/>
    </row>
    <row r="841">
      <c r="A841" s="738"/>
      <c r="B841" s="738"/>
      <c r="C841" s="738"/>
      <c r="D841" s="738"/>
      <c r="E841" s="738"/>
      <c r="F841" s="738"/>
      <c r="G841" s="738"/>
      <c r="H841" s="738"/>
      <c r="I841" s="738"/>
      <c r="J841" s="738"/>
      <c r="K841" s="738"/>
      <c r="L841" s="738"/>
      <c r="M841" s="738"/>
      <c r="N841" s="738"/>
      <c r="O841" s="738"/>
      <c r="P841" s="738"/>
      <c r="Q841" s="738"/>
      <c r="R841" s="738"/>
      <c r="S841" s="738"/>
      <c r="T841" s="738"/>
      <c r="U841" s="738"/>
      <c r="V841" s="738"/>
      <c r="W841" s="738"/>
      <c r="X841" s="738"/>
      <c r="Y841" s="738"/>
      <c r="Z841" s="738"/>
      <c r="AA841" s="738"/>
      <c r="AB841" s="738"/>
      <c r="AC841" s="738"/>
      <c r="AD841" s="738"/>
      <c r="AE841" s="738"/>
      <c r="AF841" s="738"/>
      <c r="AG841" s="738"/>
      <c r="AH841" s="738"/>
      <c r="AI841" s="738"/>
      <c r="AJ841" s="738"/>
      <c r="AK841" s="738"/>
      <c r="AL841" s="738"/>
    </row>
    <row r="842">
      <c r="A842" s="738"/>
      <c r="B842" s="738"/>
      <c r="C842" s="738"/>
      <c r="D842" s="738"/>
      <c r="E842" s="738"/>
      <c r="F842" s="738"/>
      <c r="G842" s="738"/>
      <c r="H842" s="738"/>
      <c r="I842" s="738"/>
      <c r="J842" s="738"/>
      <c r="K842" s="738"/>
      <c r="L842" s="738"/>
      <c r="M842" s="738"/>
      <c r="N842" s="738"/>
      <c r="O842" s="738"/>
      <c r="P842" s="738"/>
      <c r="Q842" s="738"/>
      <c r="R842" s="738"/>
      <c r="S842" s="738"/>
      <c r="T842" s="738"/>
      <c r="U842" s="738"/>
      <c r="V842" s="738"/>
      <c r="W842" s="738"/>
      <c r="X842" s="738"/>
      <c r="Y842" s="738"/>
      <c r="Z842" s="738"/>
      <c r="AA842" s="738"/>
      <c r="AB842" s="738"/>
      <c r="AC842" s="738"/>
      <c r="AD842" s="738"/>
      <c r="AE842" s="738"/>
      <c r="AF842" s="738"/>
      <c r="AG842" s="738"/>
      <c r="AH842" s="738"/>
      <c r="AI842" s="738"/>
      <c r="AJ842" s="738"/>
      <c r="AK842" s="738"/>
      <c r="AL842" s="738"/>
    </row>
    <row r="843">
      <c r="A843" s="738"/>
      <c r="B843" s="738"/>
      <c r="C843" s="738"/>
      <c r="D843" s="738"/>
      <c r="E843" s="738"/>
      <c r="F843" s="738"/>
      <c r="G843" s="738"/>
      <c r="H843" s="738"/>
      <c r="I843" s="738"/>
      <c r="J843" s="738"/>
      <c r="K843" s="738"/>
      <c r="L843" s="738"/>
      <c r="M843" s="738"/>
      <c r="N843" s="738"/>
      <c r="O843" s="738"/>
      <c r="P843" s="738"/>
      <c r="Q843" s="738"/>
      <c r="R843" s="738"/>
      <c r="S843" s="738"/>
      <c r="T843" s="738"/>
      <c r="U843" s="738"/>
      <c r="V843" s="738"/>
      <c r="W843" s="738"/>
      <c r="X843" s="738"/>
      <c r="Y843" s="738"/>
      <c r="Z843" s="738"/>
      <c r="AA843" s="738"/>
      <c r="AB843" s="738"/>
      <c r="AC843" s="738"/>
      <c r="AD843" s="738"/>
      <c r="AE843" s="738"/>
      <c r="AF843" s="738"/>
      <c r="AG843" s="738"/>
      <c r="AH843" s="738"/>
      <c r="AI843" s="738"/>
      <c r="AJ843" s="738"/>
      <c r="AK843" s="738"/>
      <c r="AL843" s="738"/>
    </row>
    <row r="844">
      <c r="A844" s="738"/>
      <c r="B844" s="738"/>
      <c r="C844" s="738"/>
      <c r="D844" s="738"/>
      <c r="E844" s="738"/>
      <c r="F844" s="738"/>
      <c r="G844" s="738"/>
      <c r="H844" s="738"/>
      <c r="I844" s="738"/>
      <c r="J844" s="738"/>
      <c r="K844" s="738"/>
      <c r="L844" s="738"/>
      <c r="M844" s="738"/>
      <c r="N844" s="738"/>
      <c r="O844" s="738"/>
      <c r="P844" s="738"/>
      <c r="Q844" s="738"/>
      <c r="R844" s="738"/>
      <c r="S844" s="738"/>
      <c r="T844" s="738"/>
      <c r="U844" s="738"/>
      <c r="V844" s="738"/>
      <c r="W844" s="738"/>
      <c r="X844" s="738"/>
      <c r="Y844" s="738"/>
      <c r="Z844" s="738"/>
      <c r="AA844" s="738"/>
      <c r="AB844" s="738"/>
      <c r="AC844" s="738"/>
      <c r="AD844" s="738"/>
      <c r="AE844" s="738"/>
      <c r="AF844" s="738"/>
      <c r="AG844" s="738"/>
      <c r="AH844" s="738"/>
      <c r="AI844" s="738"/>
      <c r="AJ844" s="738"/>
      <c r="AK844" s="738"/>
      <c r="AL844" s="738"/>
    </row>
    <row r="845">
      <c r="A845" s="738"/>
      <c r="B845" s="738"/>
      <c r="C845" s="738"/>
      <c r="D845" s="738"/>
      <c r="E845" s="738"/>
      <c r="F845" s="738"/>
      <c r="G845" s="738"/>
      <c r="H845" s="738"/>
      <c r="I845" s="738"/>
      <c r="J845" s="738"/>
      <c r="K845" s="738"/>
      <c r="L845" s="738"/>
      <c r="M845" s="738"/>
      <c r="N845" s="738"/>
      <c r="O845" s="738"/>
      <c r="P845" s="738"/>
      <c r="Q845" s="738"/>
      <c r="R845" s="738"/>
      <c r="S845" s="738"/>
      <c r="T845" s="738"/>
      <c r="U845" s="738"/>
      <c r="V845" s="738"/>
      <c r="W845" s="738"/>
      <c r="X845" s="738"/>
      <c r="Y845" s="738"/>
      <c r="Z845" s="738"/>
      <c r="AA845" s="738"/>
      <c r="AB845" s="738"/>
      <c r="AC845" s="738"/>
      <c r="AD845" s="738"/>
      <c r="AE845" s="738"/>
      <c r="AF845" s="738"/>
      <c r="AG845" s="738"/>
      <c r="AH845" s="738"/>
      <c r="AI845" s="738"/>
      <c r="AJ845" s="738"/>
      <c r="AK845" s="738"/>
      <c r="AL845" s="738"/>
    </row>
    <row r="846">
      <c r="A846" s="738"/>
      <c r="B846" s="738"/>
      <c r="C846" s="738"/>
      <c r="D846" s="738"/>
      <c r="E846" s="738"/>
      <c r="F846" s="738"/>
      <c r="G846" s="738"/>
      <c r="H846" s="738"/>
      <c r="I846" s="738"/>
      <c r="J846" s="738"/>
      <c r="K846" s="738"/>
      <c r="L846" s="738"/>
      <c r="M846" s="738"/>
      <c r="N846" s="738"/>
      <c r="O846" s="738"/>
      <c r="P846" s="738"/>
      <c r="Q846" s="738"/>
      <c r="R846" s="738"/>
      <c r="S846" s="738"/>
      <c r="T846" s="738"/>
      <c r="U846" s="738"/>
      <c r="V846" s="738"/>
      <c r="W846" s="738"/>
      <c r="X846" s="738"/>
      <c r="Y846" s="738"/>
      <c r="Z846" s="738"/>
      <c r="AA846" s="738"/>
      <c r="AB846" s="738"/>
      <c r="AC846" s="738"/>
      <c r="AD846" s="738"/>
      <c r="AE846" s="738"/>
      <c r="AF846" s="738"/>
      <c r="AG846" s="738"/>
      <c r="AH846" s="738"/>
      <c r="AI846" s="738"/>
      <c r="AJ846" s="738"/>
      <c r="AK846" s="738"/>
      <c r="AL846" s="738"/>
    </row>
    <row r="847">
      <c r="A847" s="738"/>
      <c r="B847" s="738"/>
      <c r="C847" s="738"/>
      <c r="D847" s="738"/>
      <c r="E847" s="738"/>
      <c r="F847" s="738"/>
      <c r="G847" s="738"/>
      <c r="H847" s="738"/>
      <c r="I847" s="738"/>
      <c r="J847" s="738"/>
      <c r="K847" s="738"/>
      <c r="L847" s="738"/>
      <c r="M847" s="738"/>
      <c r="N847" s="738"/>
      <c r="O847" s="738"/>
      <c r="P847" s="738"/>
      <c r="Q847" s="738"/>
      <c r="R847" s="738"/>
      <c r="S847" s="738"/>
      <c r="T847" s="738"/>
      <c r="U847" s="738"/>
      <c r="V847" s="738"/>
      <c r="W847" s="738"/>
      <c r="X847" s="738"/>
      <c r="Y847" s="738"/>
      <c r="Z847" s="738"/>
      <c r="AA847" s="738"/>
      <c r="AB847" s="738"/>
      <c r="AC847" s="738"/>
      <c r="AD847" s="738"/>
      <c r="AE847" s="738"/>
      <c r="AF847" s="738"/>
      <c r="AG847" s="738"/>
      <c r="AH847" s="738"/>
      <c r="AI847" s="738"/>
      <c r="AJ847" s="738"/>
      <c r="AK847" s="738"/>
      <c r="AL847" s="738"/>
    </row>
    <row r="848">
      <c r="A848" s="738"/>
      <c r="B848" s="738"/>
      <c r="C848" s="738"/>
      <c r="D848" s="738"/>
      <c r="E848" s="738"/>
      <c r="F848" s="738"/>
      <c r="G848" s="738"/>
      <c r="H848" s="738"/>
      <c r="I848" s="738"/>
      <c r="J848" s="738"/>
      <c r="K848" s="738"/>
      <c r="L848" s="738"/>
      <c r="M848" s="738"/>
      <c r="N848" s="738"/>
      <c r="O848" s="738"/>
      <c r="P848" s="738"/>
      <c r="Q848" s="738"/>
      <c r="R848" s="738"/>
      <c r="S848" s="738"/>
      <c r="T848" s="738"/>
      <c r="U848" s="738"/>
      <c r="V848" s="738"/>
      <c r="W848" s="738"/>
      <c r="X848" s="738"/>
      <c r="Y848" s="738"/>
      <c r="Z848" s="738"/>
      <c r="AA848" s="738"/>
      <c r="AB848" s="738"/>
      <c r="AC848" s="738"/>
      <c r="AD848" s="738"/>
      <c r="AE848" s="738"/>
      <c r="AF848" s="738"/>
      <c r="AG848" s="738"/>
      <c r="AH848" s="738"/>
      <c r="AI848" s="738"/>
      <c r="AJ848" s="738"/>
      <c r="AK848" s="738"/>
      <c r="AL848" s="738"/>
    </row>
    <row r="849">
      <c r="A849" s="738"/>
      <c r="B849" s="738"/>
      <c r="C849" s="738"/>
      <c r="D849" s="738"/>
      <c r="E849" s="738"/>
      <c r="F849" s="738"/>
      <c r="G849" s="738"/>
      <c r="H849" s="738"/>
      <c r="I849" s="738"/>
      <c r="J849" s="738"/>
      <c r="K849" s="738"/>
      <c r="L849" s="738"/>
      <c r="M849" s="738"/>
      <c r="N849" s="738"/>
      <c r="O849" s="738"/>
      <c r="P849" s="738"/>
      <c r="Q849" s="738"/>
      <c r="R849" s="738"/>
      <c r="S849" s="738"/>
      <c r="T849" s="738"/>
      <c r="U849" s="738"/>
      <c r="V849" s="738"/>
      <c r="W849" s="738"/>
      <c r="X849" s="738"/>
      <c r="Y849" s="738"/>
      <c r="Z849" s="738"/>
      <c r="AA849" s="738"/>
      <c r="AB849" s="738"/>
      <c r="AC849" s="738"/>
      <c r="AD849" s="738"/>
      <c r="AE849" s="738"/>
      <c r="AF849" s="738"/>
      <c r="AG849" s="738"/>
      <c r="AH849" s="738"/>
      <c r="AI849" s="738"/>
      <c r="AJ849" s="738"/>
      <c r="AK849" s="738"/>
      <c r="AL849" s="738"/>
    </row>
    <row r="850">
      <c r="A850" s="738"/>
      <c r="B850" s="738"/>
      <c r="C850" s="738"/>
      <c r="D850" s="738"/>
      <c r="E850" s="738"/>
      <c r="F850" s="738"/>
      <c r="G850" s="738"/>
      <c r="H850" s="738"/>
      <c r="I850" s="738"/>
      <c r="J850" s="738"/>
      <c r="K850" s="738"/>
      <c r="L850" s="738"/>
      <c r="M850" s="738"/>
      <c r="N850" s="738"/>
      <c r="O850" s="738"/>
      <c r="P850" s="738"/>
      <c r="Q850" s="738"/>
      <c r="R850" s="738"/>
      <c r="S850" s="738"/>
      <c r="T850" s="738"/>
      <c r="U850" s="738"/>
      <c r="V850" s="738"/>
      <c r="W850" s="738"/>
      <c r="X850" s="738"/>
      <c r="Y850" s="738"/>
      <c r="Z850" s="738"/>
      <c r="AA850" s="738"/>
      <c r="AB850" s="738"/>
      <c r="AC850" s="738"/>
      <c r="AD850" s="738"/>
      <c r="AE850" s="738"/>
      <c r="AF850" s="738"/>
      <c r="AG850" s="738"/>
      <c r="AH850" s="738"/>
      <c r="AI850" s="738"/>
      <c r="AJ850" s="738"/>
      <c r="AK850" s="738"/>
      <c r="AL850" s="738"/>
    </row>
    <row r="851">
      <c r="A851" s="738"/>
      <c r="B851" s="738"/>
      <c r="C851" s="738"/>
      <c r="D851" s="738"/>
      <c r="E851" s="738"/>
      <c r="F851" s="738"/>
      <c r="G851" s="738"/>
      <c r="H851" s="738"/>
      <c r="I851" s="738"/>
      <c r="J851" s="738"/>
      <c r="K851" s="738"/>
      <c r="L851" s="738"/>
      <c r="M851" s="738"/>
      <c r="N851" s="738"/>
      <c r="O851" s="738"/>
      <c r="P851" s="738"/>
      <c r="Q851" s="738"/>
      <c r="R851" s="738"/>
      <c r="S851" s="738"/>
      <c r="T851" s="738"/>
      <c r="U851" s="738"/>
      <c r="V851" s="738"/>
      <c r="W851" s="738"/>
      <c r="X851" s="738"/>
      <c r="Y851" s="738"/>
      <c r="Z851" s="738"/>
      <c r="AA851" s="738"/>
      <c r="AB851" s="738"/>
      <c r="AC851" s="738"/>
      <c r="AD851" s="738"/>
      <c r="AE851" s="738"/>
      <c r="AF851" s="738"/>
      <c r="AG851" s="738"/>
      <c r="AH851" s="738"/>
      <c r="AI851" s="738"/>
      <c r="AJ851" s="738"/>
      <c r="AK851" s="738"/>
      <c r="AL851" s="738"/>
    </row>
    <row r="852">
      <c r="A852" s="738"/>
      <c r="B852" s="738"/>
      <c r="C852" s="738"/>
      <c r="D852" s="738"/>
      <c r="E852" s="738"/>
      <c r="F852" s="738"/>
      <c r="G852" s="738"/>
      <c r="H852" s="738"/>
      <c r="I852" s="738"/>
      <c r="J852" s="738"/>
      <c r="K852" s="738"/>
      <c r="L852" s="738"/>
      <c r="M852" s="738"/>
      <c r="N852" s="738"/>
      <c r="O852" s="738"/>
      <c r="P852" s="738"/>
      <c r="Q852" s="738"/>
      <c r="R852" s="738"/>
      <c r="S852" s="738"/>
      <c r="T852" s="738"/>
      <c r="U852" s="738"/>
      <c r="V852" s="738"/>
      <c r="W852" s="738"/>
      <c r="X852" s="738"/>
      <c r="Y852" s="738"/>
      <c r="Z852" s="738"/>
      <c r="AA852" s="738"/>
      <c r="AB852" s="738"/>
      <c r="AC852" s="738"/>
      <c r="AD852" s="738"/>
      <c r="AE852" s="738"/>
      <c r="AF852" s="738"/>
      <c r="AG852" s="738"/>
      <c r="AH852" s="738"/>
      <c r="AI852" s="738"/>
      <c r="AJ852" s="738"/>
      <c r="AK852" s="738"/>
      <c r="AL852" s="738"/>
    </row>
    <row r="853">
      <c r="A853" s="738"/>
      <c r="B853" s="738"/>
      <c r="C853" s="738"/>
      <c r="D853" s="738"/>
      <c r="E853" s="738"/>
      <c r="F853" s="738"/>
      <c r="G853" s="738"/>
      <c r="H853" s="738"/>
      <c r="I853" s="738"/>
      <c r="J853" s="738"/>
      <c r="K853" s="738"/>
      <c r="L853" s="738"/>
      <c r="M853" s="738"/>
      <c r="N853" s="738"/>
      <c r="O853" s="738"/>
      <c r="P853" s="738"/>
      <c r="Q853" s="738"/>
      <c r="R853" s="738"/>
      <c r="S853" s="738"/>
      <c r="T853" s="738"/>
      <c r="U853" s="738"/>
      <c r="V853" s="738"/>
      <c r="W853" s="738"/>
      <c r="X853" s="738"/>
      <c r="Y853" s="738"/>
      <c r="Z853" s="738"/>
      <c r="AA853" s="738"/>
      <c r="AB853" s="738"/>
      <c r="AC853" s="738"/>
      <c r="AD853" s="738"/>
      <c r="AE853" s="738"/>
      <c r="AF853" s="738"/>
      <c r="AG853" s="738"/>
      <c r="AH853" s="738"/>
      <c r="AI853" s="738"/>
      <c r="AJ853" s="738"/>
      <c r="AK853" s="738"/>
      <c r="AL853" s="738"/>
    </row>
    <row r="854">
      <c r="A854" s="738"/>
      <c r="B854" s="738"/>
      <c r="C854" s="738"/>
      <c r="D854" s="738"/>
      <c r="E854" s="738"/>
      <c r="F854" s="738"/>
      <c r="G854" s="738"/>
      <c r="H854" s="738"/>
      <c r="I854" s="738"/>
      <c r="J854" s="738"/>
      <c r="K854" s="738"/>
      <c r="L854" s="738"/>
      <c r="M854" s="738"/>
      <c r="N854" s="738"/>
      <c r="O854" s="738"/>
      <c r="P854" s="738"/>
      <c r="Q854" s="738"/>
      <c r="R854" s="738"/>
      <c r="S854" s="738"/>
      <c r="T854" s="738"/>
      <c r="U854" s="738"/>
      <c r="V854" s="738"/>
      <c r="W854" s="738"/>
      <c r="X854" s="738"/>
      <c r="Y854" s="738"/>
      <c r="Z854" s="738"/>
      <c r="AA854" s="738"/>
      <c r="AB854" s="738"/>
      <c r="AC854" s="738"/>
      <c r="AD854" s="738"/>
      <c r="AE854" s="738"/>
      <c r="AF854" s="738"/>
      <c r="AG854" s="738"/>
      <c r="AH854" s="738"/>
      <c r="AI854" s="738"/>
      <c r="AJ854" s="738"/>
      <c r="AK854" s="738"/>
      <c r="AL854" s="738"/>
    </row>
    <row r="855">
      <c r="A855" s="738"/>
      <c r="B855" s="738"/>
      <c r="C855" s="738"/>
      <c r="D855" s="738"/>
      <c r="E855" s="738"/>
      <c r="F855" s="738"/>
      <c r="G855" s="738"/>
      <c r="H855" s="738"/>
      <c r="I855" s="738"/>
      <c r="J855" s="738"/>
      <c r="K855" s="738"/>
      <c r="L855" s="738"/>
      <c r="M855" s="738"/>
      <c r="N855" s="738"/>
      <c r="O855" s="738"/>
      <c r="P855" s="738"/>
      <c r="Q855" s="738"/>
      <c r="R855" s="738"/>
      <c r="S855" s="738"/>
      <c r="T855" s="738"/>
      <c r="U855" s="738"/>
      <c r="V855" s="738"/>
      <c r="W855" s="738"/>
      <c r="X855" s="738"/>
      <c r="Y855" s="738"/>
      <c r="Z855" s="738"/>
      <c r="AA855" s="738"/>
      <c r="AB855" s="738"/>
      <c r="AC855" s="738"/>
      <c r="AD855" s="738"/>
      <c r="AE855" s="738"/>
      <c r="AF855" s="738"/>
      <c r="AG855" s="738"/>
      <c r="AH855" s="738"/>
      <c r="AI855" s="738"/>
      <c r="AJ855" s="738"/>
      <c r="AK855" s="738"/>
      <c r="AL855" s="738"/>
    </row>
    <row r="856">
      <c r="A856" s="738"/>
      <c r="B856" s="738"/>
      <c r="C856" s="738"/>
      <c r="D856" s="738"/>
      <c r="E856" s="738"/>
      <c r="F856" s="738"/>
      <c r="G856" s="738"/>
      <c r="H856" s="738"/>
      <c r="I856" s="738"/>
      <c r="J856" s="738"/>
      <c r="K856" s="738"/>
      <c r="L856" s="738"/>
      <c r="M856" s="738"/>
      <c r="N856" s="738"/>
      <c r="O856" s="738"/>
      <c r="P856" s="738"/>
      <c r="Q856" s="738"/>
      <c r="R856" s="738"/>
      <c r="S856" s="738"/>
      <c r="T856" s="738"/>
      <c r="U856" s="738"/>
      <c r="V856" s="738"/>
      <c r="W856" s="738"/>
      <c r="X856" s="738"/>
      <c r="Y856" s="738"/>
      <c r="Z856" s="738"/>
      <c r="AA856" s="738"/>
      <c r="AB856" s="738"/>
      <c r="AC856" s="738"/>
      <c r="AD856" s="738"/>
      <c r="AE856" s="738"/>
      <c r="AF856" s="738"/>
      <c r="AG856" s="738"/>
      <c r="AH856" s="738"/>
      <c r="AI856" s="738"/>
      <c r="AJ856" s="738"/>
      <c r="AK856" s="738"/>
      <c r="AL856" s="738"/>
    </row>
    <row r="857">
      <c r="A857" s="738"/>
      <c r="B857" s="738"/>
      <c r="C857" s="738"/>
      <c r="D857" s="738"/>
      <c r="E857" s="738"/>
      <c r="F857" s="738"/>
      <c r="G857" s="738"/>
      <c r="H857" s="738"/>
      <c r="I857" s="738"/>
      <c r="J857" s="738"/>
      <c r="K857" s="738"/>
      <c r="L857" s="738"/>
      <c r="M857" s="738"/>
      <c r="N857" s="738"/>
      <c r="O857" s="738"/>
      <c r="P857" s="738"/>
      <c r="Q857" s="738"/>
      <c r="R857" s="738"/>
      <c r="S857" s="738"/>
      <c r="T857" s="738"/>
      <c r="U857" s="738"/>
      <c r="V857" s="738"/>
      <c r="W857" s="738"/>
      <c r="X857" s="738"/>
      <c r="Y857" s="738"/>
      <c r="Z857" s="738"/>
      <c r="AA857" s="738"/>
      <c r="AB857" s="738"/>
      <c r="AC857" s="738"/>
      <c r="AD857" s="738"/>
      <c r="AE857" s="738"/>
      <c r="AF857" s="738"/>
      <c r="AG857" s="738"/>
      <c r="AH857" s="738"/>
      <c r="AI857" s="738"/>
      <c r="AJ857" s="738"/>
      <c r="AK857" s="738"/>
      <c r="AL857" s="738"/>
    </row>
    <row r="858">
      <c r="A858" s="738"/>
      <c r="B858" s="738"/>
      <c r="C858" s="738"/>
      <c r="D858" s="738"/>
      <c r="E858" s="738"/>
      <c r="F858" s="738"/>
      <c r="G858" s="738"/>
      <c r="H858" s="738"/>
      <c r="I858" s="738"/>
      <c r="J858" s="738"/>
      <c r="K858" s="738"/>
      <c r="L858" s="738"/>
      <c r="M858" s="738"/>
      <c r="N858" s="738"/>
      <c r="O858" s="738"/>
      <c r="P858" s="738"/>
      <c r="Q858" s="738"/>
      <c r="R858" s="738"/>
      <c r="S858" s="738"/>
      <c r="T858" s="738"/>
      <c r="U858" s="738"/>
      <c r="V858" s="738"/>
      <c r="W858" s="738"/>
      <c r="X858" s="738"/>
      <c r="Y858" s="738"/>
      <c r="Z858" s="738"/>
      <c r="AA858" s="738"/>
      <c r="AB858" s="738"/>
      <c r="AC858" s="738"/>
      <c r="AD858" s="738"/>
      <c r="AE858" s="738"/>
      <c r="AF858" s="738"/>
      <c r="AG858" s="738"/>
      <c r="AH858" s="738"/>
      <c r="AI858" s="738"/>
      <c r="AJ858" s="738"/>
      <c r="AK858" s="738"/>
      <c r="AL858" s="738"/>
    </row>
    <row r="859">
      <c r="A859" s="738"/>
      <c r="B859" s="738"/>
      <c r="C859" s="738"/>
      <c r="D859" s="738"/>
      <c r="E859" s="738"/>
      <c r="F859" s="738"/>
      <c r="G859" s="738"/>
      <c r="H859" s="738"/>
      <c r="I859" s="738"/>
      <c r="J859" s="738"/>
      <c r="K859" s="738"/>
      <c r="L859" s="738"/>
      <c r="M859" s="738"/>
      <c r="N859" s="738"/>
      <c r="O859" s="738"/>
      <c r="P859" s="738"/>
      <c r="Q859" s="738"/>
      <c r="R859" s="738"/>
      <c r="S859" s="738"/>
      <c r="T859" s="738"/>
      <c r="U859" s="738"/>
      <c r="V859" s="738"/>
      <c r="W859" s="738"/>
      <c r="X859" s="738"/>
      <c r="Y859" s="738"/>
      <c r="Z859" s="738"/>
      <c r="AA859" s="738"/>
      <c r="AB859" s="738"/>
      <c r="AC859" s="738"/>
      <c r="AD859" s="738"/>
      <c r="AE859" s="738"/>
      <c r="AF859" s="738"/>
      <c r="AG859" s="738"/>
      <c r="AH859" s="738"/>
      <c r="AI859" s="738"/>
      <c r="AJ859" s="738"/>
      <c r="AK859" s="738"/>
      <c r="AL859" s="738"/>
    </row>
    <row r="860">
      <c r="A860" s="738"/>
      <c r="B860" s="738"/>
      <c r="C860" s="738"/>
      <c r="D860" s="738"/>
      <c r="E860" s="738"/>
      <c r="F860" s="738"/>
      <c r="G860" s="738"/>
      <c r="H860" s="738"/>
      <c r="I860" s="738"/>
      <c r="J860" s="738"/>
      <c r="K860" s="738"/>
      <c r="L860" s="738"/>
      <c r="M860" s="738"/>
      <c r="N860" s="738"/>
      <c r="O860" s="738"/>
      <c r="P860" s="738"/>
      <c r="Q860" s="738"/>
      <c r="R860" s="738"/>
      <c r="S860" s="738"/>
      <c r="T860" s="738"/>
      <c r="U860" s="738"/>
      <c r="V860" s="738"/>
      <c r="W860" s="738"/>
      <c r="X860" s="738"/>
      <c r="Y860" s="738"/>
      <c r="Z860" s="738"/>
      <c r="AA860" s="738"/>
      <c r="AB860" s="738"/>
      <c r="AC860" s="738"/>
      <c r="AD860" s="738"/>
      <c r="AE860" s="738"/>
      <c r="AF860" s="738"/>
      <c r="AG860" s="738"/>
      <c r="AH860" s="738"/>
      <c r="AI860" s="738"/>
      <c r="AJ860" s="738"/>
      <c r="AK860" s="738"/>
      <c r="AL860" s="738"/>
    </row>
    <row r="861">
      <c r="A861" s="738"/>
      <c r="B861" s="738"/>
      <c r="C861" s="738"/>
      <c r="D861" s="738"/>
      <c r="E861" s="738"/>
      <c r="F861" s="738"/>
      <c r="G861" s="738"/>
      <c r="H861" s="738"/>
      <c r="I861" s="738"/>
      <c r="J861" s="738"/>
      <c r="K861" s="738"/>
      <c r="L861" s="738"/>
      <c r="M861" s="738"/>
      <c r="N861" s="738"/>
      <c r="O861" s="738"/>
      <c r="P861" s="738"/>
      <c r="Q861" s="738"/>
      <c r="R861" s="738"/>
      <c r="S861" s="738"/>
      <c r="T861" s="738"/>
      <c r="U861" s="738"/>
      <c r="V861" s="738"/>
      <c r="W861" s="738"/>
      <c r="X861" s="738"/>
      <c r="Y861" s="738"/>
      <c r="Z861" s="738"/>
      <c r="AA861" s="738"/>
      <c r="AB861" s="738"/>
      <c r="AC861" s="738"/>
      <c r="AD861" s="738"/>
      <c r="AE861" s="738"/>
      <c r="AF861" s="738"/>
      <c r="AG861" s="738"/>
      <c r="AH861" s="738"/>
      <c r="AI861" s="738"/>
      <c r="AJ861" s="738"/>
      <c r="AK861" s="738"/>
      <c r="AL861" s="738"/>
    </row>
    <row r="862">
      <c r="A862" s="738"/>
      <c r="B862" s="738"/>
      <c r="C862" s="738"/>
      <c r="D862" s="738"/>
      <c r="E862" s="738"/>
      <c r="F862" s="738"/>
      <c r="G862" s="738"/>
      <c r="H862" s="738"/>
      <c r="I862" s="738"/>
      <c r="J862" s="738"/>
      <c r="K862" s="738"/>
      <c r="L862" s="738"/>
      <c r="M862" s="738"/>
      <c r="N862" s="738"/>
      <c r="O862" s="738"/>
      <c r="P862" s="738"/>
      <c r="Q862" s="738"/>
      <c r="R862" s="738"/>
      <c r="S862" s="738"/>
      <c r="T862" s="738"/>
      <c r="U862" s="738"/>
      <c r="V862" s="738"/>
      <c r="W862" s="738"/>
      <c r="X862" s="738"/>
      <c r="Y862" s="738"/>
      <c r="Z862" s="738"/>
      <c r="AA862" s="738"/>
      <c r="AB862" s="738"/>
      <c r="AC862" s="738"/>
      <c r="AD862" s="738"/>
      <c r="AE862" s="738"/>
      <c r="AF862" s="738"/>
      <c r="AG862" s="738"/>
      <c r="AH862" s="738"/>
      <c r="AI862" s="738"/>
      <c r="AJ862" s="738"/>
      <c r="AK862" s="738"/>
      <c r="AL862" s="738"/>
    </row>
    <row r="863">
      <c r="A863" s="738"/>
      <c r="B863" s="738"/>
      <c r="C863" s="738"/>
      <c r="D863" s="738"/>
      <c r="E863" s="738"/>
      <c r="F863" s="738"/>
      <c r="G863" s="738"/>
      <c r="H863" s="738"/>
      <c r="I863" s="738"/>
      <c r="J863" s="738"/>
      <c r="K863" s="738"/>
      <c r="L863" s="738"/>
      <c r="M863" s="738"/>
      <c r="N863" s="738"/>
      <c r="O863" s="738"/>
      <c r="P863" s="738"/>
      <c r="Q863" s="738"/>
      <c r="R863" s="738"/>
      <c r="S863" s="738"/>
      <c r="T863" s="738"/>
      <c r="U863" s="738"/>
      <c r="V863" s="738"/>
      <c r="W863" s="738"/>
      <c r="X863" s="738"/>
      <c r="Y863" s="738"/>
      <c r="Z863" s="738"/>
      <c r="AA863" s="738"/>
      <c r="AB863" s="738"/>
      <c r="AC863" s="738"/>
      <c r="AD863" s="738"/>
      <c r="AE863" s="738"/>
      <c r="AF863" s="738"/>
      <c r="AG863" s="738"/>
      <c r="AH863" s="738"/>
      <c r="AI863" s="738"/>
      <c r="AJ863" s="738"/>
      <c r="AK863" s="738"/>
      <c r="AL863" s="738"/>
    </row>
    <row r="864">
      <c r="A864" s="738"/>
      <c r="B864" s="738"/>
      <c r="C864" s="738"/>
      <c r="D864" s="738"/>
      <c r="E864" s="738"/>
      <c r="F864" s="738"/>
      <c r="G864" s="738"/>
      <c r="H864" s="738"/>
      <c r="I864" s="738"/>
      <c r="J864" s="738"/>
      <c r="K864" s="738"/>
      <c r="L864" s="738"/>
      <c r="M864" s="738"/>
      <c r="N864" s="738"/>
      <c r="O864" s="738"/>
      <c r="P864" s="738"/>
      <c r="Q864" s="738"/>
      <c r="R864" s="738"/>
      <c r="S864" s="738"/>
      <c r="T864" s="738"/>
      <c r="U864" s="738"/>
      <c r="V864" s="738"/>
      <c r="W864" s="738"/>
      <c r="X864" s="738"/>
      <c r="Y864" s="738"/>
      <c r="Z864" s="738"/>
      <c r="AA864" s="738"/>
      <c r="AB864" s="738"/>
      <c r="AC864" s="738"/>
      <c r="AD864" s="738"/>
      <c r="AE864" s="738"/>
      <c r="AF864" s="738"/>
      <c r="AG864" s="738"/>
      <c r="AH864" s="738"/>
      <c r="AI864" s="738"/>
      <c r="AJ864" s="738"/>
      <c r="AK864" s="738"/>
      <c r="AL864" s="738"/>
    </row>
    <row r="865">
      <c r="A865" s="738"/>
      <c r="B865" s="738"/>
      <c r="C865" s="738"/>
      <c r="D865" s="738"/>
      <c r="E865" s="738"/>
      <c r="F865" s="738"/>
      <c r="G865" s="738"/>
      <c r="H865" s="738"/>
      <c r="I865" s="738"/>
      <c r="J865" s="738"/>
      <c r="K865" s="738"/>
      <c r="L865" s="738"/>
      <c r="M865" s="738"/>
      <c r="N865" s="738"/>
      <c r="O865" s="738"/>
      <c r="P865" s="738"/>
      <c r="Q865" s="738"/>
      <c r="R865" s="738"/>
      <c r="S865" s="738"/>
      <c r="T865" s="738"/>
      <c r="U865" s="738"/>
      <c r="V865" s="738"/>
      <c r="W865" s="738"/>
      <c r="X865" s="738"/>
      <c r="Y865" s="738"/>
      <c r="Z865" s="738"/>
      <c r="AA865" s="738"/>
      <c r="AB865" s="738"/>
      <c r="AC865" s="738"/>
      <c r="AD865" s="738"/>
      <c r="AE865" s="738"/>
      <c r="AF865" s="738"/>
      <c r="AG865" s="738"/>
      <c r="AH865" s="738"/>
      <c r="AI865" s="738"/>
      <c r="AJ865" s="738"/>
      <c r="AK865" s="738"/>
      <c r="AL865" s="738"/>
    </row>
    <row r="866">
      <c r="A866" s="738"/>
      <c r="B866" s="738"/>
      <c r="C866" s="738"/>
      <c r="D866" s="738"/>
      <c r="E866" s="738"/>
      <c r="F866" s="738"/>
      <c r="G866" s="738"/>
      <c r="H866" s="738"/>
      <c r="I866" s="738"/>
      <c r="J866" s="738"/>
      <c r="K866" s="738"/>
      <c r="L866" s="738"/>
      <c r="M866" s="738"/>
      <c r="N866" s="738"/>
      <c r="O866" s="738"/>
      <c r="P866" s="738"/>
      <c r="Q866" s="738"/>
      <c r="R866" s="738"/>
      <c r="S866" s="738"/>
      <c r="T866" s="738"/>
      <c r="U866" s="738"/>
      <c r="V866" s="738"/>
      <c r="W866" s="738"/>
      <c r="X866" s="738"/>
      <c r="Y866" s="738"/>
      <c r="Z866" s="738"/>
      <c r="AA866" s="738"/>
      <c r="AB866" s="738"/>
      <c r="AC866" s="738"/>
      <c r="AD866" s="738"/>
      <c r="AE866" s="738"/>
      <c r="AF866" s="738"/>
      <c r="AG866" s="738"/>
      <c r="AH866" s="738"/>
      <c r="AI866" s="738"/>
      <c r="AJ866" s="738"/>
      <c r="AK866" s="738"/>
      <c r="AL866" s="738"/>
    </row>
    <row r="867">
      <c r="A867" s="738"/>
      <c r="B867" s="738"/>
      <c r="C867" s="738"/>
      <c r="D867" s="738"/>
      <c r="E867" s="738"/>
      <c r="F867" s="738"/>
      <c r="G867" s="738"/>
      <c r="H867" s="738"/>
      <c r="I867" s="738"/>
      <c r="J867" s="738"/>
      <c r="K867" s="738"/>
      <c r="L867" s="738"/>
      <c r="M867" s="738"/>
      <c r="N867" s="738"/>
      <c r="O867" s="738"/>
      <c r="P867" s="738"/>
      <c r="Q867" s="738"/>
      <c r="R867" s="738"/>
      <c r="S867" s="738"/>
      <c r="T867" s="738"/>
      <c r="U867" s="738"/>
      <c r="V867" s="738"/>
      <c r="W867" s="738"/>
      <c r="X867" s="738"/>
      <c r="Y867" s="738"/>
      <c r="Z867" s="738"/>
      <c r="AA867" s="738"/>
      <c r="AB867" s="738"/>
      <c r="AC867" s="738"/>
      <c r="AD867" s="738"/>
      <c r="AE867" s="738"/>
      <c r="AF867" s="738"/>
      <c r="AG867" s="738"/>
      <c r="AH867" s="738"/>
      <c r="AI867" s="738"/>
      <c r="AJ867" s="738"/>
      <c r="AK867" s="738"/>
      <c r="AL867" s="738"/>
    </row>
    <row r="868">
      <c r="A868" s="738"/>
      <c r="B868" s="738"/>
      <c r="C868" s="738"/>
      <c r="D868" s="738"/>
      <c r="E868" s="738"/>
      <c r="F868" s="738"/>
      <c r="G868" s="738"/>
      <c r="H868" s="738"/>
      <c r="I868" s="738"/>
      <c r="J868" s="738"/>
      <c r="K868" s="738"/>
      <c r="L868" s="738"/>
      <c r="M868" s="738"/>
      <c r="N868" s="738"/>
      <c r="O868" s="738"/>
      <c r="P868" s="738"/>
      <c r="Q868" s="738"/>
      <c r="R868" s="738"/>
      <c r="S868" s="738"/>
      <c r="T868" s="738"/>
      <c r="U868" s="738"/>
      <c r="V868" s="738"/>
      <c r="W868" s="738"/>
      <c r="X868" s="738"/>
      <c r="Y868" s="738"/>
      <c r="Z868" s="738"/>
      <c r="AA868" s="738"/>
      <c r="AB868" s="738"/>
      <c r="AC868" s="738"/>
      <c r="AD868" s="738"/>
      <c r="AE868" s="738"/>
      <c r="AF868" s="738"/>
      <c r="AG868" s="738"/>
      <c r="AH868" s="738"/>
      <c r="AI868" s="738"/>
      <c r="AJ868" s="738"/>
      <c r="AK868" s="738"/>
      <c r="AL868" s="738"/>
    </row>
    <row r="869">
      <c r="A869" s="738"/>
      <c r="B869" s="738"/>
      <c r="C869" s="738"/>
      <c r="D869" s="738"/>
      <c r="E869" s="738"/>
      <c r="F869" s="738"/>
      <c r="G869" s="738"/>
      <c r="H869" s="738"/>
      <c r="I869" s="738"/>
      <c r="J869" s="738"/>
      <c r="K869" s="738"/>
      <c r="L869" s="738"/>
      <c r="M869" s="738"/>
      <c r="N869" s="738"/>
      <c r="O869" s="738"/>
      <c r="P869" s="738"/>
      <c r="Q869" s="738"/>
      <c r="R869" s="738"/>
      <c r="S869" s="738"/>
      <c r="T869" s="738"/>
      <c r="U869" s="738"/>
      <c r="V869" s="738"/>
      <c r="W869" s="738"/>
      <c r="X869" s="738"/>
      <c r="Y869" s="738"/>
      <c r="Z869" s="738"/>
      <c r="AA869" s="738"/>
      <c r="AB869" s="738"/>
      <c r="AC869" s="738"/>
      <c r="AD869" s="738"/>
      <c r="AE869" s="738"/>
      <c r="AF869" s="738"/>
      <c r="AG869" s="738"/>
      <c r="AH869" s="738"/>
      <c r="AI869" s="738"/>
      <c r="AJ869" s="738"/>
      <c r="AK869" s="738"/>
      <c r="AL869" s="738"/>
    </row>
    <row r="870">
      <c r="A870" s="738"/>
      <c r="B870" s="738"/>
      <c r="C870" s="738"/>
      <c r="D870" s="738"/>
      <c r="E870" s="738"/>
      <c r="F870" s="738"/>
      <c r="G870" s="738"/>
      <c r="H870" s="738"/>
      <c r="I870" s="738"/>
      <c r="J870" s="738"/>
      <c r="K870" s="738"/>
      <c r="L870" s="738"/>
      <c r="M870" s="738"/>
      <c r="N870" s="738"/>
      <c r="O870" s="738"/>
      <c r="P870" s="738"/>
      <c r="Q870" s="738"/>
      <c r="R870" s="738"/>
      <c r="S870" s="738"/>
      <c r="T870" s="738"/>
      <c r="U870" s="738"/>
      <c r="V870" s="738"/>
      <c r="W870" s="738"/>
      <c r="X870" s="738"/>
      <c r="Y870" s="738"/>
      <c r="Z870" s="738"/>
      <c r="AA870" s="738"/>
      <c r="AB870" s="738"/>
      <c r="AC870" s="738"/>
      <c r="AD870" s="738"/>
      <c r="AE870" s="738"/>
      <c r="AF870" s="738"/>
      <c r="AG870" s="738"/>
      <c r="AH870" s="738"/>
      <c r="AI870" s="738"/>
      <c r="AJ870" s="738"/>
      <c r="AK870" s="738"/>
      <c r="AL870" s="738"/>
    </row>
    <row r="871">
      <c r="A871" s="738"/>
      <c r="B871" s="738"/>
      <c r="C871" s="738"/>
      <c r="D871" s="738"/>
      <c r="E871" s="738"/>
      <c r="F871" s="738"/>
      <c r="G871" s="738"/>
      <c r="H871" s="738"/>
      <c r="I871" s="738"/>
      <c r="J871" s="738"/>
      <c r="K871" s="738"/>
      <c r="L871" s="738"/>
      <c r="M871" s="738"/>
      <c r="N871" s="738"/>
      <c r="O871" s="738"/>
      <c r="P871" s="738"/>
      <c r="Q871" s="738"/>
      <c r="R871" s="738"/>
      <c r="S871" s="738"/>
      <c r="T871" s="738"/>
      <c r="U871" s="738"/>
      <c r="V871" s="738"/>
      <c r="W871" s="738"/>
      <c r="X871" s="738"/>
      <c r="Y871" s="738"/>
      <c r="Z871" s="738"/>
      <c r="AA871" s="738"/>
      <c r="AB871" s="738"/>
      <c r="AC871" s="738"/>
      <c r="AD871" s="738"/>
      <c r="AE871" s="738"/>
      <c r="AF871" s="738"/>
      <c r="AG871" s="738"/>
      <c r="AH871" s="738"/>
      <c r="AI871" s="738"/>
      <c r="AJ871" s="738"/>
      <c r="AK871" s="738"/>
      <c r="AL871" s="738"/>
    </row>
    <row r="872">
      <c r="A872" s="738"/>
      <c r="B872" s="738"/>
      <c r="C872" s="738"/>
      <c r="D872" s="738"/>
      <c r="E872" s="738"/>
      <c r="F872" s="738"/>
      <c r="G872" s="738"/>
      <c r="H872" s="738"/>
      <c r="I872" s="738"/>
      <c r="J872" s="738"/>
      <c r="K872" s="738"/>
      <c r="L872" s="738"/>
      <c r="M872" s="738"/>
      <c r="N872" s="738"/>
      <c r="O872" s="738"/>
      <c r="P872" s="738"/>
      <c r="Q872" s="738"/>
      <c r="R872" s="738"/>
      <c r="S872" s="738"/>
      <c r="T872" s="738"/>
      <c r="U872" s="738"/>
      <c r="V872" s="738"/>
      <c r="W872" s="738"/>
      <c r="X872" s="738"/>
      <c r="Y872" s="738"/>
      <c r="Z872" s="738"/>
      <c r="AA872" s="738"/>
      <c r="AB872" s="738"/>
      <c r="AC872" s="738"/>
      <c r="AD872" s="738"/>
      <c r="AE872" s="738"/>
      <c r="AF872" s="738"/>
      <c r="AG872" s="738"/>
      <c r="AH872" s="738"/>
      <c r="AI872" s="738"/>
      <c r="AJ872" s="738"/>
      <c r="AK872" s="738"/>
      <c r="AL872" s="738"/>
    </row>
    <row r="873">
      <c r="A873" s="738"/>
      <c r="B873" s="738"/>
      <c r="C873" s="738"/>
      <c r="D873" s="738"/>
      <c r="E873" s="738"/>
      <c r="F873" s="738"/>
      <c r="G873" s="738"/>
      <c r="H873" s="738"/>
      <c r="I873" s="738"/>
      <c r="J873" s="738"/>
      <c r="K873" s="738"/>
      <c r="L873" s="738"/>
      <c r="M873" s="738"/>
      <c r="N873" s="738"/>
      <c r="O873" s="738"/>
      <c r="P873" s="738"/>
      <c r="Q873" s="738"/>
      <c r="R873" s="738"/>
      <c r="S873" s="738"/>
      <c r="T873" s="738"/>
      <c r="U873" s="738"/>
      <c r="V873" s="738"/>
      <c r="W873" s="738"/>
      <c r="X873" s="738"/>
      <c r="Y873" s="738"/>
      <c r="Z873" s="738"/>
      <c r="AA873" s="738"/>
      <c r="AB873" s="738"/>
      <c r="AC873" s="738"/>
      <c r="AD873" s="738"/>
      <c r="AE873" s="738"/>
      <c r="AF873" s="738"/>
      <c r="AG873" s="738"/>
      <c r="AH873" s="738"/>
      <c r="AI873" s="738"/>
      <c r="AJ873" s="738"/>
      <c r="AK873" s="738"/>
      <c r="AL873" s="738"/>
    </row>
    <row r="874">
      <c r="A874" s="738"/>
      <c r="B874" s="738"/>
      <c r="C874" s="738"/>
      <c r="D874" s="738"/>
      <c r="E874" s="738"/>
      <c r="F874" s="738"/>
      <c r="G874" s="738"/>
      <c r="H874" s="738"/>
      <c r="I874" s="738"/>
      <c r="J874" s="738"/>
      <c r="K874" s="738"/>
      <c r="L874" s="738"/>
      <c r="M874" s="738"/>
      <c r="N874" s="738"/>
      <c r="O874" s="738"/>
      <c r="P874" s="738"/>
      <c r="Q874" s="738"/>
      <c r="R874" s="738"/>
      <c r="S874" s="738"/>
      <c r="T874" s="738"/>
      <c r="U874" s="738"/>
      <c r="V874" s="738"/>
      <c r="W874" s="738"/>
      <c r="X874" s="738"/>
      <c r="Y874" s="738"/>
      <c r="Z874" s="738"/>
      <c r="AA874" s="738"/>
      <c r="AB874" s="738"/>
      <c r="AC874" s="738"/>
      <c r="AD874" s="738"/>
      <c r="AE874" s="738"/>
      <c r="AF874" s="738"/>
      <c r="AG874" s="738"/>
      <c r="AH874" s="738"/>
      <c r="AI874" s="738"/>
      <c r="AJ874" s="738"/>
      <c r="AK874" s="738"/>
      <c r="AL874" s="738"/>
    </row>
    <row r="875">
      <c r="A875" s="738"/>
      <c r="B875" s="738"/>
      <c r="C875" s="738"/>
      <c r="D875" s="738"/>
      <c r="E875" s="738"/>
      <c r="F875" s="738"/>
      <c r="G875" s="738"/>
      <c r="H875" s="738"/>
      <c r="I875" s="738"/>
      <c r="J875" s="738"/>
      <c r="K875" s="738"/>
      <c r="L875" s="738"/>
      <c r="M875" s="738"/>
      <c r="N875" s="738"/>
      <c r="O875" s="738"/>
      <c r="P875" s="738"/>
      <c r="Q875" s="738"/>
      <c r="R875" s="738"/>
      <c r="S875" s="738"/>
      <c r="T875" s="738"/>
      <c r="U875" s="738"/>
      <c r="V875" s="738"/>
      <c r="W875" s="738"/>
      <c r="X875" s="738"/>
      <c r="Y875" s="738"/>
      <c r="Z875" s="738"/>
      <c r="AA875" s="738"/>
      <c r="AB875" s="738"/>
      <c r="AC875" s="738"/>
      <c r="AD875" s="738"/>
      <c r="AE875" s="738"/>
      <c r="AF875" s="738"/>
      <c r="AG875" s="738"/>
      <c r="AH875" s="738"/>
      <c r="AI875" s="738"/>
      <c r="AJ875" s="738"/>
      <c r="AK875" s="738"/>
      <c r="AL875" s="738"/>
    </row>
    <row r="876">
      <c r="A876" s="738"/>
      <c r="B876" s="738"/>
      <c r="C876" s="738"/>
      <c r="D876" s="738"/>
      <c r="E876" s="738"/>
      <c r="F876" s="738"/>
      <c r="G876" s="738"/>
      <c r="H876" s="738"/>
      <c r="I876" s="738"/>
      <c r="J876" s="738"/>
      <c r="K876" s="738"/>
      <c r="L876" s="738"/>
      <c r="M876" s="738"/>
      <c r="N876" s="738"/>
      <c r="O876" s="738"/>
      <c r="P876" s="738"/>
      <c r="Q876" s="738"/>
      <c r="R876" s="738"/>
      <c r="S876" s="738"/>
      <c r="T876" s="738"/>
      <c r="U876" s="738"/>
      <c r="V876" s="738"/>
      <c r="W876" s="738"/>
      <c r="X876" s="738"/>
      <c r="Y876" s="738"/>
      <c r="Z876" s="738"/>
      <c r="AA876" s="738"/>
      <c r="AB876" s="738"/>
      <c r="AC876" s="738"/>
      <c r="AD876" s="738"/>
      <c r="AE876" s="738"/>
      <c r="AF876" s="738"/>
      <c r="AG876" s="738"/>
      <c r="AH876" s="738"/>
      <c r="AI876" s="738"/>
      <c r="AJ876" s="738"/>
      <c r="AK876" s="738"/>
      <c r="AL876" s="738"/>
    </row>
    <row r="877">
      <c r="A877" s="738"/>
      <c r="B877" s="738"/>
      <c r="C877" s="738"/>
      <c r="D877" s="738"/>
      <c r="E877" s="738"/>
      <c r="F877" s="738"/>
      <c r="G877" s="738"/>
      <c r="H877" s="738"/>
      <c r="I877" s="738"/>
      <c r="J877" s="738"/>
      <c r="K877" s="738"/>
      <c r="L877" s="738"/>
      <c r="M877" s="738"/>
      <c r="N877" s="738"/>
      <c r="O877" s="738"/>
      <c r="P877" s="738"/>
      <c r="Q877" s="738"/>
      <c r="R877" s="738"/>
      <c r="S877" s="738"/>
      <c r="T877" s="738"/>
      <c r="U877" s="738"/>
      <c r="V877" s="738"/>
      <c r="W877" s="738"/>
      <c r="X877" s="738"/>
      <c r="Y877" s="738"/>
      <c r="Z877" s="738"/>
      <c r="AA877" s="738"/>
      <c r="AB877" s="738"/>
      <c r="AC877" s="738"/>
      <c r="AD877" s="738"/>
      <c r="AE877" s="738"/>
      <c r="AF877" s="738"/>
      <c r="AG877" s="738"/>
      <c r="AH877" s="738"/>
      <c r="AI877" s="738"/>
      <c r="AJ877" s="738"/>
      <c r="AK877" s="738"/>
      <c r="AL877" s="738"/>
    </row>
    <row r="878">
      <c r="A878" s="738"/>
      <c r="B878" s="738"/>
      <c r="C878" s="738"/>
      <c r="D878" s="738"/>
      <c r="E878" s="738"/>
      <c r="F878" s="738"/>
      <c r="G878" s="738"/>
      <c r="H878" s="738"/>
      <c r="I878" s="738"/>
      <c r="J878" s="738"/>
      <c r="K878" s="738"/>
      <c r="L878" s="738"/>
      <c r="M878" s="738"/>
      <c r="N878" s="738"/>
      <c r="O878" s="738"/>
      <c r="P878" s="738"/>
      <c r="Q878" s="738"/>
      <c r="R878" s="738"/>
      <c r="S878" s="738"/>
      <c r="T878" s="738"/>
      <c r="U878" s="738"/>
      <c r="V878" s="738"/>
      <c r="W878" s="738"/>
      <c r="X878" s="738"/>
      <c r="Y878" s="738"/>
      <c r="Z878" s="738"/>
      <c r="AA878" s="738"/>
      <c r="AB878" s="738"/>
      <c r="AC878" s="738"/>
      <c r="AD878" s="738"/>
      <c r="AE878" s="738"/>
      <c r="AF878" s="738"/>
      <c r="AG878" s="738"/>
      <c r="AH878" s="738"/>
      <c r="AI878" s="738"/>
      <c r="AJ878" s="738"/>
      <c r="AK878" s="738"/>
      <c r="AL878" s="738"/>
    </row>
    <row r="879">
      <c r="A879" s="738"/>
      <c r="B879" s="738"/>
      <c r="C879" s="738"/>
      <c r="D879" s="738"/>
      <c r="E879" s="738"/>
      <c r="F879" s="738"/>
      <c r="G879" s="738"/>
      <c r="H879" s="738"/>
      <c r="I879" s="738"/>
      <c r="J879" s="738"/>
      <c r="K879" s="738"/>
      <c r="L879" s="738"/>
      <c r="M879" s="738"/>
      <c r="N879" s="738"/>
      <c r="O879" s="738"/>
      <c r="P879" s="738"/>
      <c r="Q879" s="738"/>
      <c r="R879" s="738"/>
      <c r="S879" s="738"/>
      <c r="T879" s="738"/>
      <c r="U879" s="738"/>
      <c r="V879" s="738"/>
      <c r="W879" s="738"/>
      <c r="X879" s="738"/>
      <c r="Y879" s="738"/>
      <c r="Z879" s="738"/>
      <c r="AA879" s="738"/>
      <c r="AB879" s="738"/>
      <c r="AC879" s="738"/>
      <c r="AD879" s="738"/>
      <c r="AE879" s="738"/>
      <c r="AF879" s="738"/>
      <c r="AG879" s="738"/>
      <c r="AH879" s="738"/>
      <c r="AI879" s="738"/>
      <c r="AJ879" s="738"/>
      <c r="AK879" s="738"/>
      <c r="AL879" s="738"/>
    </row>
    <row r="880">
      <c r="A880" s="738"/>
      <c r="B880" s="738"/>
      <c r="C880" s="738"/>
      <c r="D880" s="738"/>
      <c r="E880" s="738"/>
      <c r="F880" s="738"/>
      <c r="G880" s="738"/>
      <c r="H880" s="738"/>
      <c r="I880" s="738"/>
      <c r="J880" s="738"/>
      <c r="K880" s="738"/>
      <c r="L880" s="738"/>
      <c r="M880" s="738"/>
      <c r="N880" s="738"/>
      <c r="O880" s="738"/>
      <c r="P880" s="738"/>
      <c r="Q880" s="738"/>
      <c r="R880" s="738"/>
      <c r="S880" s="738"/>
      <c r="T880" s="738"/>
      <c r="U880" s="738"/>
      <c r="V880" s="738"/>
      <c r="W880" s="738"/>
      <c r="X880" s="738"/>
      <c r="Y880" s="738"/>
      <c r="Z880" s="738"/>
      <c r="AA880" s="738"/>
      <c r="AB880" s="738"/>
      <c r="AC880" s="738"/>
      <c r="AD880" s="738"/>
      <c r="AE880" s="738"/>
      <c r="AF880" s="738"/>
      <c r="AG880" s="738"/>
      <c r="AH880" s="738"/>
      <c r="AI880" s="738"/>
      <c r="AJ880" s="738"/>
      <c r="AK880" s="738"/>
      <c r="AL880" s="738"/>
    </row>
    <row r="881">
      <c r="A881" s="738"/>
      <c r="B881" s="738"/>
      <c r="C881" s="738"/>
      <c r="D881" s="738"/>
      <c r="E881" s="738"/>
      <c r="F881" s="738"/>
      <c r="G881" s="738"/>
      <c r="H881" s="738"/>
      <c r="I881" s="738"/>
      <c r="J881" s="738"/>
      <c r="K881" s="738"/>
      <c r="L881" s="738"/>
      <c r="M881" s="738"/>
      <c r="N881" s="738"/>
      <c r="O881" s="738"/>
      <c r="P881" s="738"/>
      <c r="Q881" s="738"/>
      <c r="R881" s="738"/>
      <c r="S881" s="738"/>
      <c r="T881" s="738"/>
      <c r="U881" s="738"/>
      <c r="V881" s="738"/>
      <c r="W881" s="738"/>
      <c r="X881" s="738"/>
      <c r="Y881" s="738"/>
      <c r="Z881" s="738"/>
      <c r="AA881" s="738"/>
      <c r="AB881" s="738"/>
      <c r="AC881" s="738"/>
      <c r="AD881" s="738"/>
      <c r="AE881" s="738"/>
      <c r="AF881" s="738"/>
      <c r="AG881" s="738"/>
      <c r="AH881" s="738"/>
      <c r="AI881" s="738"/>
      <c r="AJ881" s="738"/>
      <c r="AK881" s="738"/>
      <c r="AL881" s="738"/>
    </row>
    <row r="882">
      <c r="A882" s="738"/>
      <c r="B882" s="738"/>
      <c r="C882" s="738"/>
      <c r="D882" s="738"/>
      <c r="E882" s="738"/>
      <c r="F882" s="738"/>
      <c r="G882" s="738"/>
      <c r="H882" s="738"/>
      <c r="I882" s="738"/>
      <c r="J882" s="738"/>
      <c r="K882" s="738"/>
      <c r="L882" s="738"/>
      <c r="M882" s="738"/>
      <c r="N882" s="738"/>
      <c r="O882" s="738"/>
      <c r="P882" s="738"/>
      <c r="Q882" s="738"/>
      <c r="R882" s="738"/>
      <c r="S882" s="738"/>
      <c r="T882" s="738"/>
      <c r="U882" s="738"/>
      <c r="V882" s="738"/>
      <c r="W882" s="738"/>
      <c r="X882" s="738"/>
      <c r="Y882" s="738"/>
      <c r="Z882" s="738"/>
      <c r="AA882" s="738"/>
      <c r="AB882" s="738"/>
      <c r="AC882" s="738"/>
      <c r="AD882" s="738"/>
      <c r="AE882" s="738"/>
      <c r="AF882" s="738"/>
      <c r="AG882" s="738"/>
      <c r="AH882" s="738"/>
      <c r="AI882" s="738"/>
      <c r="AJ882" s="738"/>
      <c r="AK882" s="738"/>
      <c r="AL882" s="738"/>
    </row>
    <row r="883">
      <c r="A883" s="738"/>
      <c r="B883" s="738"/>
      <c r="C883" s="738"/>
      <c r="D883" s="738"/>
      <c r="E883" s="738"/>
      <c r="F883" s="738"/>
      <c r="G883" s="738"/>
      <c r="H883" s="738"/>
      <c r="I883" s="738"/>
      <c r="J883" s="738"/>
      <c r="K883" s="738"/>
      <c r="L883" s="738"/>
      <c r="M883" s="738"/>
      <c r="N883" s="738"/>
      <c r="O883" s="738"/>
      <c r="P883" s="738"/>
      <c r="Q883" s="738"/>
      <c r="R883" s="738"/>
      <c r="S883" s="738"/>
      <c r="T883" s="738"/>
      <c r="U883" s="738"/>
      <c r="V883" s="738"/>
      <c r="W883" s="738"/>
      <c r="X883" s="738"/>
      <c r="Y883" s="738"/>
      <c r="Z883" s="738"/>
      <c r="AA883" s="738"/>
      <c r="AB883" s="738"/>
      <c r="AC883" s="738"/>
      <c r="AD883" s="738"/>
      <c r="AE883" s="738"/>
      <c r="AF883" s="738"/>
      <c r="AG883" s="738"/>
      <c r="AH883" s="738"/>
      <c r="AI883" s="738"/>
      <c r="AJ883" s="738"/>
      <c r="AK883" s="738"/>
      <c r="AL883" s="738"/>
    </row>
    <row r="884">
      <c r="A884" s="738"/>
      <c r="B884" s="738"/>
      <c r="C884" s="738"/>
      <c r="D884" s="738"/>
      <c r="E884" s="738"/>
      <c r="F884" s="738"/>
      <c r="G884" s="738"/>
      <c r="H884" s="738"/>
      <c r="I884" s="738"/>
      <c r="J884" s="738"/>
      <c r="K884" s="738"/>
      <c r="L884" s="738"/>
      <c r="M884" s="738"/>
      <c r="N884" s="738"/>
      <c r="O884" s="738"/>
      <c r="P884" s="738"/>
      <c r="Q884" s="738"/>
      <c r="R884" s="738"/>
      <c r="S884" s="738"/>
      <c r="T884" s="738"/>
      <c r="U884" s="738"/>
      <c r="V884" s="738"/>
      <c r="W884" s="738"/>
      <c r="X884" s="738"/>
      <c r="Y884" s="738"/>
      <c r="Z884" s="738"/>
      <c r="AA884" s="738"/>
      <c r="AB884" s="738"/>
      <c r="AC884" s="738"/>
      <c r="AD884" s="738"/>
      <c r="AE884" s="738"/>
      <c r="AF884" s="738"/>
      <c r="AG884" s="738"/>
      <c r="AH884" s="738"/>
      <c r="AI884" s="738"/>
      <c r="AJ884" s="738"/>
      <c r="AK884" s="738"/>
      <c r="AL884" s="738"/>
    </row>
    <row r="885">
      <c r="A885" s="738"/>
      <c r="B885" s="738"/>
      <c r="C885" s="738"/>
      <c r="D885" s="738"/>
      <c r="E885" s="738"/>
      <c r="F885" s="738"/>
      <c r="G885" s="738"/>
      <c r="H885" s="738"/>
      <c r="I885" s="738"/>
      <c r="J885" s="738"/>
      <c r="K885" s="738"/>
      <c r="L885" s="738"/>
      <c r="M885" s="738"/>
      <c r="N885" s="738"/>
      <c r="O885" s="738"/>
      <c r="P885" s="738"/>
      <c r="Q885" s="738"/>
      <c r="R885" s="738"/>
      <c r="S885" s="738"/>
      <c r="T885" s="738"/>
      <c r="U885" s="738"/>
      <c r="V885" s="738"/>
      <c r="W885" s="738"/>
      <c r="X885" s="738"/>
      <c r="Y885" s="738"/>
      <c r="Z885" s="738"/>
      <c r="AA885" s="738"/>
      <c r="AB885" s="738"/>
      <c r="AC885" s="738"/>
      <c r="AD885" s="738"/>
      <c r="AE885" s="738"/>
      <c r="AF885" s="738"/>
      <c r="AG885" s="738"/>
      <c r="AH885" s="738"/>
      <c r="AI885" s="738"/>
      <c r="AJ885" s="738"/>
      <c r="AK885" s="738"/>
      <c r="AL885" s="738"/>
    </row>
    <row r="886">
      <c r="A886" s="738"/>
      <c r="B886" s="738"/>
      <c r="C886" s="738"/>
      <c r="D886" s="738"/>
      <c r="E886" s="738"/>
      <c r="F886" s="738"/>
      <c r="G886" s="738"/>
      <c r="H886" s="738"/>
      <c r="I886" s="738"/>
      <c r="J886" s="738"/>
      <c r="K886" s="738"/>
      <c r="L886" s="738"/>
      <c r="M886" s="738"/>
      <c r="N886" s="738"/>
      <c r="O886" s="738"/>
      <c r="P886" s="738"/>
      <c r="Q886" s="738"/>
      <c r="R886" s="738"/>
      <c r="S886" s="738"/>
      <c r="T886" s="738"/>
      <c r="U886" s="738"/>
      <c r="V886" s="738"/>
      <c r="W886" s="738"/>
      <c r="X886" s="738"/>
      <c r="Y886" s="738"/>
      <c r="Z886" s="738"/>
      <c r="AA886" s="738"/>
      <c r="AB886" s="738"/>
      <c r="AC886" s="738"/>
      <c r="AD886" s="738"/>
      <c r="AE886" s="738"/>
      <c r="AF886" s="738"/>
      <c r="AG886" s="738"/>
      <c r="AH886" s="738"/>
      <c r="AI886" s="738"/>
      <c r="AJ886" s="738"/>
      <c r="AK886" s="738"/>
      <c r="AL886" s="738"/>
    </row>
    <row r="887">
      <c r="A887" s="738"/>
      <c r="B887" s="738"/>
      <c r="C887" s="738"/>
      <c r="D887" s="738"/>
      <c r="E887" s="738"/>
      <c r="F887" s="738"/>
      <c r="G887" s="738"/>
      <c r="H887" s="738"/>
      <c r="I887" s="738"/>
      <c r="J887" s="738"/>
      <c r="K887" s="738"/>
      <c r="L887" s="738"/>
      <c r="M887" s="738"/>
      <c r="N887" s="738"/>
      <c r="O887" s="738"/>
      <c r="P887" s="738"/>
      <c r="Q887" s="738"/>
      <c r="R887" s="738"/>
      <c r="S887" s="738"/>
      <c r="T887" s="738"/>
      <c r="U887" s="738"/>
      <c r="V887" s="738"/>
      <c r="W887" s="738"/>
      <c r="X887" s="738"/>
      <c r="Y887" s="738"/>
      <c r="Z887" s="738"/>
      <c r="AA887" s="738"/>
      <c r="AB887" s="738"/>
      <c r="AC887" s="738"/>
      <c r="AD887" s="738"/>
      <c r="AE887" s="738"/>
      <c r="AF887" s="738"/>
      <c r="AG887" s="738"/>
      <c r="AH887" s="738"/>
      <c r="AI887" s="738"/>
      <c r="AJ887" s="738"/>
      <c r="AK887" s="738"/>
      <c r="AL887" s="738"/>
    </row>
    <row r="888">
      <c r="A888" s="738"/>
      <c r="B888" s="738"/>
      <c r="C888" s="738"/>
      <c r="D888" s="738"/>
      <c r="E888" s="738"/>
      <c r="F888" s="738"/>
      <c r="G888" s="738"/>
      <c r="H888" s="738"/>
      <c r="I888" s="738"/>
      <c r="J888" s="738"/>
      <c r="K888" s="738"/>
      <c r="L888" s="738"/>
      <c r="M888" s="738"/>
      <c r="N888" s="738"/>
      <c r="O888" s="738"/>
      <c r="P888" s="738"/>
      <c r="Q888" s="738"/>
      <c r="R888" s="738"/>
      <c r="S888" s="738"/>
      <c r="T888" s="738"/>
      <c r="U888" s="738"/>
      <c r="V888" s="738"/>
      <c r="W888" s="738"/>
      <c r="X888" s="738"/>
      <c r="Y888" s="738"/>
      <c r="Z888" s="738"/>
      <c r="AA888" s="738"/>
      <c r="AB888" s="738"/>
      <c r="AC888" s="738"/>
      <c r="AD888" s="738"/>
      <c r="AE888" s="738"/>
      <c r="AF888" s="738"/>
      <c r="AG888" s="738"/>
      <c r="AH888" s="738"/>
      <c r="AI888" s="738"/>
      <c r="AJ888" s="738"/>
      <c r="AK888" s="738"/>
      <c r="AL888" s="738"/>
    </row>
    <row r="889">
      <c r="A889" s="738"/>
      <c r="B889" s="738"/>
      <c r="C889" s="738"/>
      <c r="D889" s="738"/>
      <c r="E889" s="738"/>
      <c r="F889" s="738"/>
      <c r="G889" s="738"/>
      <c r="H889" s="738"/>
      <c r="I889" s="738"/>
      <c r="J889" s="738"/>
      <c r="K889" s="738"/>
      <c r="L889" s="738"/>
      <c r="M889" s="738"/>
      <c r="N889" s="738"/>
      <c r="O889" s="738"/>
      <c r="P889" s="738"/>
      <c r="Q889" s="738"/>
      <c r="R889" s="738"/>
      <c r="S889" s="738"/>
      <c r="T889" s="738"/>
      <c r="U889" s="738"/>
      <c r="V889" s="738"/>
      <c r="W889" s="738"/>
      <c r="X889" s="738"/>
      <c r="Y889" s="738"/>
      <c r="Z889" s="738"/>
      <c r="AA889" s="738"/>
      <c r="AB889" s="738"/>
      <c r="AC889" s="738"/>
      <c r="AD889" s="738"/>
      <c r="AE889" s="738"/>
      <c r="AF889" s="738"/>
      <c r="AG889" s="738"/>
      <c r="AH889" s="738"/>
      <c r="AI889" s="738"/>
      <c r="AJ889" s="738"/>
      <c r="AK889" s="738"/>
      <c r="AL889" s="738"/>
    </row>
    <row r="890">
      <c r="A890" s="738"/>
      <c r="B890" s="738"/>
      <c r="C890" s="738"/>
      <c r="D890" s="738"/>
      <c r="E890" s="738"/>
      <c r="F890" s="738"/>
      <c r="G890" s="738"/>
      <c r="H890" s="738"/>
      <c r="I890" s="738"/>
      <c r="J890" s="738"/>
      <c r="K890" s="738"/>
      <c r="L890" s="738"/>
      <c r="M890" s="738"/>
      <c r="N890" s="738"/>
      <c r="O890" s="738"/>
      <c r="P890" s="738"/>
      <c r="Q890" s="738"/>
      <c r="R890" s="738"/>
      <c r="S890" s="738"/>
      <c r="T890" s="738"/>
      <c r="U890" s="738"/>
      <c r="V890" s="738"/>
      <c r="W890" s="738"/>
      <c r="X890" s="738"/>
      <c r="Y890" s="738"/>
      <c r="Z890" s="738"/>
      <c r="AA890" s="738"/>
      <c r="AB890" s="738"/>
      <c r="AC890" s="738"/>
      <c r="AD890" s="738"/>
      <c r="AE890" s="738"/>
      <c r="AF890" s="738"/>
      <c r="AG890" s="738"/>
      <c r="AH890" s="738"/>
      <c r="AI890" s="738"/>
      <c r="AJ890" s="738"/>
      <c r="AK890" s="738"/>
      <c r="AL890" s="738"/>
    </row>
    <row r="891">
      <c r="A891" s="738"/>
      <c r="B891" s="738"/>
      <c r="C891" s="738"/>
      <c r="D891" s="738"/>
      <c r="E891" s="738"/>
      <c r="F891" s="738"/>
      <c r="G891" s="738"/>
      <c r="H891" s="738"/>
      <c r="I891" s="738"/>
      <c r="J891" s="738"/>
      <c r="K891" s="738"/>
      <c r="L891" s="738"/>
      <c r="M891" s="738"/>
      <c r="N891" s="738"/>
      <c r="O891" s="738"/>
      <c r="P891" s="738"/>
      <c r="Q891" s="738"/>
      <c r="R891" s="738"/>
      <c r="S891" s="738"/>
      <c r="T891" s="738"/>
      <c r="U891" s="738"/>
      <c r="V891" s="738"/>
      <c r="W891" s="738"/>
      <c r="X891" s="738"/>
      <c r="Y891" s="738"/>
      <c r="Z891" s="738"/>
      <c r="AA891" s="738"/>
      <c r="AB891" s="738"/>
      <c r="AC891" s="738"/>
      <c r="AD891" s="738"/>
      <c r="AE891" s="738"/>
      <c r="AF891" s="738"/>
      <c r="AG891" s="738"/>
      <c r="AH891" s="738"/>
      <c r="AI891" s="738"/>
      <c r="AJ891" s="738"/>
      <c r="AK891" s="738"/>
      <c r="AL891" s="738"/>
    </row>
    <row r="892">
      <c r="A892" s="738"/>
      <c r="B892" s="738"/>
      <c r="C892" s="738"/>
      <c r="D892" s="738"/>
      <c r="E892" s="738"/>
      <c r="F892" s="738"/>
      <c r="G892" s="738"/>
      <c r="H892" s="738"/>
      <c r="I892" s="738"/>
      <c r="J892" s="738"/>
      <c r="K892" s="738"/>
      <c r="L892" s="738"/>
      <c r="M892" s="738"/>
      <c r="N892" s="738"/>
      <c r="O892" s="738"/>
      <c r="P892" s="738"/>
      <c r="Q892" s="738"/>
      <c r="R892" s="738"/>
      <c r="S892" s="738"/>
      <c r="T892" s="738"/>
      <c r="U892" s="738"/>
      <c r="V892" s="738"/>
      <c r="W892" s="738"/>
      <c r="X892" s="738"/>
      <c r="Y892" s="738"/>
      <c r="Z892" s="738"/>
      <c r="AA892" s="738"/>
      <c r="AB892" s="738"/>
      <c r="AC892" s="738"/>
      <c r="AD892" s="738"/>
      <c r="AE892" s="738"/>
      <c r="AF892" s="738"/>
      <c r="AG892" s="738"/>
      <c r="AH892" s="738"/>
      <c r="AI892" s="738"/>
      <c r="AJ892" s="738"/>
      <c r="AK892" s="738"/>
      <c r="AL892" s="738"/>
    </row>
    <row r="893">
      <c r="A893" s="738"/>
      <c r="B893" s="738"/>
      <c r="C893" s="738"/>
      <c r="D893" s="738"/>
      <c r="E893" s="738"/>
      <c r="F893" s="738"/>
      <c r="G893" s="738"/>
      <c r="H893" s="738"/>
      <c r="I893" s="738"/>
      <c r="J893" s="738"/>
      <c r="K893" s="738"/>
      <c r="L893" s="738"/>
      <c r="M893" s="738"/>
      <c r="N893" s="738"/>
      <c r="O893" s="738"/>
      <c r="P893" s="738"/>
      <c r="Q893" s="738"/>
      <c r="R893" s="738"/>
      <c r="S893" s="738"/>
      <c r="T893" s="738"/>
      <c r="U893" s="738"/>
      <c r="V893" s="738"/>
      <c r="W893" s="738"/>
      <c r="X893" s="738"/>
      <c r="Y893" s="738"/>
      <c r="Z893" s="738"/>
      <c r="AA893" s="738"/>
      <c r="AB893" s="738"/>
      <c r="AC893" s="738"/>
      <c r="AD893" s="738"/>
      <c r="AE893" s="738"/>
      <c r="AF893" s="738"/>
      <c r="AG893" s="738"/>
      <c r="AH893" s="738"/>
      <c r="AI893" s="738"/>
      <c r="AJ893" s="738"/>
      <c r="AK893" s="738"/>
      <c r="AL893" s="738"/>
    </row>
    <row r="894">
      <c r="A894" s="738"/>
      <c r="B894" s="738"/>
      <c r="C894" s="738"/>
      <c r="D894" s="738"/>
      <c r="E894" s="738"/>
      <c r="F894" s="738"/>
      <c r="G894" s="738"/>
      <c r="H894" s="738"/>
      <c r="I894" s="738"/>
      <c r="J894" s="738"/>
      <c r="K894" s="738"/>
      <c r="L894" s="738"/>
      <c r="M894" s="738"/>
      <c r="N894" s="738"/>
      <c r="O894" s="738"/>
      <c r="P894" s="738"/>
      <c r="Q894" s="738"/>
      <c r="R894" s="738"/>
      <c r="S894" s="738"/>
      <c r="T894" s="738"/>
      <c r="U894" s="738"/>
      <c r="V894" s="738"/>
      <c r="W894" s="738"/>
      <c r="X894" s="738"/>
      <c r="Y894" s="738"/>
      <c r="Z894" s="738"/>
      <c r="AA894" s="738"/>
      <c r="AB894" s="738"/>
      <c r="AC894" s="738"/>
      <c r="AD894" s="738"/>
      <c r="AE894" s="738"/>
      <c r="AF894" s="738"/>
      <c r="AG894" s="738"/>
      <c r="AH894" s="738"/>
      <c r="AI894" s="738"/>
      <c r="AJ894" s="738"/>
      <c r="AK894" s="738"/>
      <c r="AL894" s="738"/>
    </row>
    <row r="895">
      <c r="A895" s="738"/>
      <c r="B895" s="738"/>
      <c r="C895" s="738"/>
      <c r="D895" s="738"/>
      <c r="E895" s="738"/>
      <c r="F895" s="738"/>
      <c r="G895" s="738"/>
      <c r="H895" s="738"/>
      <c r="I895" s="738"/>
      <c r="J895" s="738"/>
      <c r="K895" s="738"/>
      <c r="L895" s="738"/>
      <c r="M895" s="738"/>
      <c r="N895" s="738"/>
      <c r="O895" s="738"/>
      <c r="P895" s="738"/>
      <c r="Q895" s="738"/>
      <c r="R895" s="738"/>
      <c r="S895" s="738"/>
      <c r="T895" s="738"/>
      <c r="U895" s="738"/>
      <c r="V895" s="738"/>
      <c r="W895" s="738"/>
      <c r="X895" s="738"/>
      <c r="Y895" s="738"/>
      <c r="Z895" s="738"/>
      <c r="AA895" s="738"/>
      <c r="AB895" s="738"/>
      <c r="AC895" s="738"/>
      <c r="AD895" s="738"/>
      <c r="AE895" s="738"/>
      <c r="AF895" s="738"/>
      <c r="AG895" s="738"/>
      <c r="AH895" s="738"/>
      <c r="AI895" s="738"/>
      <c r="AJ895" s="738"/>
      <c r="AK895" s="738"/>
      <c r="AL895" s="738"/>
    </row>
    <row r="896">
      <c r="A896" s="738"/>
      <c r="B896" s="738"/>
      <c r="C896" s="738"/>
      <c r="D896" s="738"/>
      <c r="E896" s="738"/>
      <c r="F896" s="738"/>
      <c r="G896" s="738"/>
      <c r="H896" s="738"/>
      <c r="I896" s="738"/>
      <c r="J896" s="738"/>
      <c r="K896" s="738"/>
      <c r="L896" s="738"/>
      <c r="M896" s="738"/>
      <c r="N896" s="738"/>
      <c r="O896" s="738"/>
      <c r="P896" s="738"/>
      <c r="Q896" s="738"/>
      <c r="R896" s="738"/>
      <c r="S896" s="738"/>
      <c r="T896" s="738"/>
      <c r="U896" s="738"/>
      <c r="V896" s="738"/>
      <c r="W896" s="738"/>
      <c r="X896" s="738"/>
      <c r="Y896" s="738"/>
      <c r="Z896" s="738"/>
      <c r="AA896" s="738"/>
      <c r="AB896" s="738"/>
      <c r="AC896" s="738"/>
      <c r="AD896" s="738"/>
      <c r="AE896" s="738"/>
      <c r="AF896" s="738"/>
      <c r="AG896" s="738"/>
      <c r="AH896" s="738"/>
      <c r="AI896" s="738"/>
      <c r="AJ896" s="738"/>
      <c r="AK896" s="738"/>
      <c r="AL896" s="738"/>
    </row>
    <row r="897">
      <c r="A897" s="738"/>
      <c r="B897" s="738"/>
      <c r="C897" s="738"/>
      <c r="D897" s="738"/>
      <c r="E897" s="738"/>
      <c r="F897" s="738"/>
      <c r="G897" s="738"/>
      <c r="H897" s="738"/>
      <c r="I897" s="738"/>
      <c r="J897" s="738"/>
      <c r="K897" s="738"/>
      <c r="L897" s="738"/>
      <c r="M897" s="738"/>
      <c r="N897" s="738"/>
      <c r="O897" s="738"/>
      <c r="P897" s="738"/>
      <c r="Q897" s="738"/>
      <c r="R897" s="738"/>
      <c r="S897" s="738"/>
      <c r="T897" s="738"/>
      <c r="U897" s="738"/>
      <c r="V897" s="738"/>
      <c r="W897" s="738"/>
      <c r="X897" s="738"/>
      <c r="Y897" s="738"/>
      <c r="Z897" s="738"/>
      <c r="AA897" s="738"/>
      <c r="AB897" s="738"/>
      <c r="AC897" s="738"/>
      <c r="AD897" s="738"/>
      <c r="AE897" s="738"/>
      <c r="AF897" s="738"/>
      <c r="AG897" s="738"/>
      <c r="AH897" s="738"/>
      <c r="AI897" s="738"/>
      <c r="AJ897" s="738"/>
      <c r="AK897" s="738"/>
      <c r="AL897" s="738"/>
    </row>
    <row r="898">
      <c r="A898" s="738"/>
      <c r="B898" s="738"/>
      <c r="C898" s="738"/>
      <c r="D898" s="738"/>
      <c r="E898" s="738"/>
      <c r="F898" s="738"/>
      <c r="G898" s="738"/>
      <c r="H898" s="738"/>
      <c r="I898" s="738"/>
      <c r="J898" s="738"/>
      <c r="K898" s="738"/>
      <c r="L898" s="738"/>
      <c r="M898" s="738"/>
      <c r="N898" s="738"/>
      <c r="O898" s="738"/>
      <c r="P898" s="738"/>
      <c r="Q898" s="738"/>
      <c r="R898" s="738"/>
      <c r="S898" s="738"/>
      <c r="T898" s="738"/>
      <c r="U898" s="738"/>
      <c r="V898" s="738"/>
      <c r="W898" s="738"/>
      <c r="X898" s="738"/>
      <c r="Y898" s="738"/>
      <c r="Z898" s="738"/>
      <c r="AA898" s="738"/>
      <c r="AB898" s="738"/>
      <c r="AC898" s="738"/>
      <c r="AD898" s="738"/>
      <c r="AE898" s="738"/>
      <c r="AF898" s="738"/>
      <c r="AG898" s="738"/>
      <c r="AH898" s="738"/>
      <c r="AI898" s="738"/>
      <c r="AJ898" s="738"/>
      <c r="AK898" s="738"/>
      <c r="AL898" s="738"/>
    </row>
    <row r="899">
      <c r="A899" s="738"/>
      <c r="B899" s="738"/>
      <c r="C899" s="738"/>
      <c r="D899" s="738"/>
      <c r="E899" s="738"/>
      <c r="F899" s="738"/>
      <c r="G899" s="738"/>
      <c r="H899" s="738"/>
      <c r="I899" s="738"/>
      <c r="J899" s="738"/>
      <c r="K899" s="738"/>
      <c r="L899" s="738"/>
      <c r="M899" s="738"/>
      <c r="N899" s="738"/>
      <c r="O899" s="738"/>
      <c r="P899" s="738"/>
      <c r="Q899" s="738"/>
      <c r="R899" s="738"/>
      <c r="S899" s="738"/>
      <c r="T899" s="738"/>
      <c r="U899" s="738"/>
      <c r="V899" s="738"/>
      <c r="W899" s="738"/>
      <c r="X899" s="738"/>
      <c r="Y899" s="738"/>
      <c r="Z899" s="738"/>
      <c r="AA899" s="738"/>
      <c r="AB899" s="738"/>
      <c r="AC899" s="738"/>
      <c r="AD899" s="738"/>
      <c r="AE899" s="738"/>
      <c r="AF899" s="738"/>
      <c r="AG899" s="738"/>
      <c r="AH899" s="738"/>
      <c r="AI899" s="738"/>
      <c r="AJ899" s="738"/>
      <c r="AK899" s="738"/>
      <c r="AL899" s="738"/>
    </row>
    <row r="900">
      <c r="A900" s="738"/>
      <c r="B900" s="738"/>
      <c r="C900" s="738"/>
      <c r="D900" s="738"/>
      <c r="E900" s="738"/>
      <c r="F900" s="738"/>
      <c r="G900" s="738"/>
      <c r="H900" s="738"/>
      <c r="I900" s="738"/>
      <c r="J900" s="738"/>
      <c r="K900" s="738"/>
      <c r="L900" s="738"/>
      <c r="M900" s="738"/>
      <c r="N900" s="738"/>
      <c r="O900" s="738"/>
      <c r="P900" s="738"/>
      <c r="Q900" s="738"/>
      <c r="R900" s="738"/>
      <c r="S900" s="738"/>
      <c r="T900" s="738"/>
      <c r="U900" s="738"/>
      <c r="V900" s="738"/>
      <c r="W900" s="738"/>
      <c r="X900" s="738"/>
      <c r="Y900" s="738"/>
      <c r="Z900" s="738"/>
      <c r="AA900" s="738"/>
      <c r="AB900" s="738"/>
      <c r="AC900" s="738"/>
      <c r="AD900" s="738"/>
      <c r="AE900" s="738"/>
      <c r="AF900" s="738"/>
      <c r="AG900" s="738"/>
      <c r="AH900" s="738"/>
      <c r="AI900" s="738"/>
      <c r="AJ900" s="738"/>
      <c r="AK900" s="738"/>
      <c r="AL900" s="738"/>
    </row>
    <row r="901">
      <c r="A901" s="738"/>
      <c r="B901" s="738"/>
      <c r="C901" s="738"/>
      <c r="D901" s="738"/>
      <c r="E901" s="738"/>
      <c r="F901" s="738"/>
      <c r="G901" s="738"/>
      <c r="H901" s="738"/>
      <c r="I901" s="738"/>
      <c r="J901" s="738"/>
      <c r="K901" s="738"/>
      <c r="L901" s="738"/>
      <c r="M901" s="738"/>
      <c r="N901" s="738"/>
      <c r="O901" s="738"/>
      <c r="P901" s="738"/>
      <c r="Q901" s="738"/>
      <c r="R901" s="738"/>
      <c r="S901" s="738"/>
      <c r="T901" s="738"/>
      <c r="U901" s="738"/>
      <c r="V901" s="738"/>
      <c r="W901" s="738"/>
      <c r="X901" s="738"/>
      <c r="Y901" s="738"/>
      <c r="Z901" s="738"/>
      <c r="AA901" s="738"/>
      <c r="AB901" s="738"/>
      <c r="AC901" s="738"/>
      <c r="AD901" s="738"/>
      <c r="AE901" s="738"/>
      <c r="AF901" s="738"/>
      <c r="AG901" s="738"/>
      <c r="AH901" s="738"/>
      <c r="AI901" s="738"/>
      <c r="AJ901" s="738"/>
      <c r="AK901" s="738"/>
      <c r="AL901" s="738"/>
    </row>
    <row r="902">
      <c r="A902" s="738"/>
      <c r="B902" s="738"/>
      <c r="C902" s="738"/>
      <c r="D902" s="738"/>
      <c r="E902" s="738"/>
      <c r="F902" s="738"/>
      <c r="G902" s="738"/>
      <c r="H902" s="738"/>
      <c r="I902" s="738"/>
      <c r="J902" s="738"/>
      <c r="K902" s="738"/>
      <c r="L902" s="738"/>
      <c r="M902" s="738"/>
      <c r="N902" s="738"/>
      <c r="O902" s="738"/>
      <c r="P902" s="738"/>
      <c r="Q902" s="738"/>
      <c r="R902" s="738"/>
      <c r="S902" s="738"/>
      <c r="T902" s="738"/>
      <c r="U902" s="738"/>
      <c r="V902" s="738"/>
      <c r="W902" s="738"/>
      <c r="X902" s="738"/>
      <c r="Y902" s="738"/>
      <c r="Z902" s="738"/>
      <c r="AA902" s="738"/>
      <c r="AB902" s="738"/>
      <c r="AC902" s="738"/>
      <c r="AD902" s="738"/>
      <c r="AE902" s="738"/>
      <c r="AF902" s="738"/>
      <c r="AG902" s="738"/>
      <c r="AH902" s="738"/>
      <c r="AI902" s="738"/>
      <c r="AJ902" s="738"/>
      <c r="AK902" s="738"/>
      <c r="AL902" s="738"/>
    </row>
    <row r="903">
      <c r="A903" s="738"/>
      <c r="B903" s="738"/>
      <c r="C903" s="738"/>
      <c r="D903" s="738"/>
      <c r="E903" s="738"/>
      <c r="F903" s="738"/>
      <c r="G903" s="738"/>
      <c r="H903" s="738"/>
      <c r="I903" s="738"/>
      <c r="J903" s="738"/>
      <c r="K903" s="738"/>
      <c r="L903" s="738"/>
      <c r="M903" s="738"/>
      <c r="N903" s="738"/>
      <c r="O903" s="738"/>
      <c r="P903" s="738"/>
      <c r="Q903" s="738"/>
      <c r="R903" s="738"/>
      <c r="S903" s="738"/>
      <c r="T903" s="738"/>
      <c r="U903" s="738"/>
      <c r="V903" s="738"/>
      <c r="W903" s="738"/>
      <c r="X903" s="738"/>
      <c r="Y903" s="738"/>
      <c r="Z903" s="738"/>
      <c r="AA903" s="738"/>
      <c r="AB903" s="738"/>
      <c r="AC903" s="738"/>
      <c r="AD903" s="738"/>
      <c r="AE903" s="738"/>
      <c r="AF903" s="738"/>
      <c r="AG903" s="738"/>
      <c r="AH903" s="738"/>
      <c r="AI903" s="738"/>
      <c r="AJ903" s="738"/>
      <c r="AK903" s="738"/>
      <c r="AL903" s="738"/>
    </row>
    <row r="904">
      <c r="A904" s="738"/>
      <c r="B904" s="738"/>
      <c r="C904" s="738"/>
      <c r="D904" s="738"/>
      <c r="E904" s="738"/>
      <c r="F904" s="738"/>
      <c r="G904" s="738"/>
      <c r="H904" s="738"/>
      <c r="I904" s="738"/>
      <c r="J904" s="738"/>
      <c r="K904" s="738"/>
      <c r="L904" s="738"/>
      <c r="M904" s="738"/>
      <c r="N904" s="738"/>
      <c r="O904" s="738"/>
      <c r="P904" s="738"/>
      <c r="Q904" s="738"/>
      <c r="R904" s="738"/>
      <c r="S904" s="738"/>
      <c r="T904" s="738"/>
      <c r="U904" s="738"/>
      <c r="V904" s="738"/>
      <c r="W904" s="738"/>
      <c r="X904" s="738"/>
      <c r="Y904" s="738"/>
      <c r="Z904" s="738"/>
      <c r="AA904" s="738"/>
      <c r="AB904" s="738"/>
      <c r="AC904" s="738"/>
      <c r="AD904" s="738"/>
      <c r="AE904" s="738"/>
      <c r="AF904" s="738"/>
      <c r="AG904" s="738"/>
      <c r="AH904" s="738"/>
      <c r="AI904" s="738"/>
      <c r="AJ904" s="738"/>
      <c r="AK904" s="738"/>
      <c r="AL904" s="738"/>
    </row>
    <row r="905">
      <c r="A905" s="738"/>
      <c r="B905" s="738"/>
      <c r="C905" s="738"/>
      <c r="D905" s="738"/>
      <c r="E905" s="738"/>
      <c r="F905" s="738"/>
      <c r="G905" s="738"/>
      <c r="H905" s="738"/>
      <c r="I905" s="738"/>
      <c r="J905" s="738"/>
      <c r="K905" s="738"/>
      <c r="L905" s="738"/>
      <c r="M905" s="738"/>
      <c r="N905" s="738"/>
      <c r="O905" s="738"/>
      <c r="P905" s="738"/>
      <c r="Q905" s="738"/>
      <c r="R905" s="738"/>
      <c r="S905" s="738"/>
      <c r="T905" s="738"/>
      <c r="U905" s="738"/>
      <c r="V905" s="738"/>
      <c r="W905" s="738"/>
      <c r="X905" s="738"/>
      <c r="Y905" s="738"/>
      <c r="Z905" s="738"/>
      <c r="AA905" s="738"/>
      <c r="AB905" s="738"/>
      <c r="AC905" s="738"/>
      <c r="AD905" s="738"/>
      <c r="AE905" s="738"/>
      <c r="AF905" s="738"/>
      <c r="AG905" s="738"/>
      <c r="AH905" s="738"/>
      <c r="AI905" s="738"/>
      <c r="AJ905" s="738"/>
      <c r="AK905" s="738"/>
      <c r="AL905" s="738"/>
    </row>
    <row r="906">
      <c r="A906" s="738"/>
      <c r="B906" s="738"/>
      <c r="C906" s="738"/>
      <c r="D906" s="738"/>
      <c r="E906" s="738"/>
      <c r="F906" s="738"/>
      <c r="G906" s="738"/>
      <c r="H906" s="738"/>
      <c r="I906" s="738"/>
      <c r="J906" s="738"/>
      <c r="K906" s="738"/>
      <c r="L906" s="738"/>
      <c r="M906" s="738"/>
      <c r="N906" s="738"/>
      <c r="O906" s="738"/>
      <c r="P906" s="738"/>
      <c r="Q906" s="738"/>
      <c r="R906" s="738"/>
      <c r="S906" s="738"/>
      <c r="T906" s="738"/>
      <c r="U906" s="738"/>
      <c r="V906" s="738"/>
      <c r="W906" s="738"/>
      <c r="X906" s="738"/>
      <c r="Y906" s="738"/>
      <c r="Z906" s="738"/>
      <c r="AA906" s="738"/>
      <c r="AB906" s="738"/>
      <c r="AC906" s="738"/>
      <c r="AD906" s="738"/>
      <c r="AE906" s="738"/>
      <c r="AF906" s="738"/>
      <c r="AG906" s="738"/>
      <c r="AH906" s="738"/>
      <c r="AI906" s="738"/>
      <c r="AJ906" s="738"/>
      <c r="AK906" s="738"/>
      <c r="AL906" s="738"/>
    </row>
    <row r="907">
      <c r="A907" s="738"/>
      <c r="B907" s="738"/>
      <c r="C907" s="738"/>
      <c r="D907" s="738"/>
      <c r="E907" s="738"/>
      <c r="F907" s="738"/>
      <c r="G907" s="738"/>
      <c r="H907" s="738"/>
      <c r="I907" s="738"/>
      <c r="J907" s="738"/>
      <c r="K907" s="738"/>
      <c r="L907" s="738"/>
      <c r="M907" s="738"/>
      <c r="N907" s="738"/>
      <c r="O907" s="738"/>
      <c r="P907" s="738"/>
      <c r="Q907" s="738"/>
      <c r="R907" s="738"/>
      <c r="S907" s="738"/>
      <c r="T907" s="738"/>
      <c r="U907" s="738"/>
      <c r="V907" s="738"/>
      <c r="W907" s="738"/>
      <c r="X907" s="738"/>
      <c r="Y907" s="738"/>
      <c r="Z907" s="738"/>
      <c r="AA907" s="738"/>
      <c r="AB907" s="738"/>
      <c r="AC907" s="738"/>
      <c r="AD907" s="738"/>
      <c r="AE907" s="738"/>
      <c r="AF907" s="738"/>
      <c r="AG907" s="738"/>
      <c r="AH907" s="738"/>
      <c r="AI907" s="738"/>
      <c r="AJ907" s="738"/>
      <c r="AK907" s="738"/>
      <c r="AL907" s="738"/>
    </row>
    <row r="908">
      <c r="A908" s="738"/>
      <c r="B908" s="738"/>
      <c r="C908" s="738"/>
      <c r="D908" s="738"/>
      <c r="E908" s="738"/>
      <c r="F908" s="738"/>
      <c r="G908" s="738"/>
      <c r="H908" s="738"/>
      <c r="I908" s="738"/>
      <c r="J908" s="738"/>
      <c r="K908" s="738"/>
      <c r="L908" s="738"/>
      <c r="M908" s="738"/>
      <c r="N908" s="738"/>
      <c r="O908" s="738"/>
      <c r="P908" s="738"/>
      <c r="Q908" s="738"/>
      <c r="R908" s="738"/>
      <c r="S908" s="738"/>
      <c r="T908" s="738"/>
      <c r="U908" s="738"/>
      <c r="V908" s="738"/>
      <c r="W908" s="738"/>
      <c r="X908" s="738"/>
      <c r="Y908" s="738"/>
      <c r="Z908" s="738"/>
      <c r="AA908" s="738"/>
      <c r="AB908" s="738"/>
      <c r="AC908" s="738"/>
      <c r="AD908" s="738"/>
      <c r="AE908" s="738"/>
      <c r="AF908" s="738"/>
      <c r="AG908" s="738"/>
      <c r="AH908" s="738"/>
      <c r="AI908" s="738"/>
      <c r="AJ908" s="738"/>
      <c r="AK908" s="738"/>
      <c r="AL908" s="738"/>
    </row>
    <row r="909">
      <c r="A909" s="738"/>
      <c r="B909" s="738"/>
      <c r="C909" s="738"/>
      <c r="D909" s="738"/>
      <c r="E909" s="738"/>
      <c r="F909" s="738"/>
      <c r="G909" s="738"/>
      <c r="H909" s="738"/>
      <c r="I909" s="738"/>
      <c r="J909" s="738"/>
      <c r="K909" s="738"/>
      <c r="L909" s="738"/>
      <c r="M909" s="738"/>
      <c r="N909" s="738"/>
      <c r="O909" s="738"/>
      <c r="P909" s="738"/>
      <c r="Q909" s="738"/>
      <c r="R909" s="738"/>
      <c r="S909" s="738"/>
      <c r="T909" s="738"/>
      <c r="U909" s="738"/>
      <c r="V909" s="738"/>
      <c r="W909" s="738"/>
      <c r="X909" s="738"/>
      <c r="Y909" s="738"/>
      <c r="Z909" s="738"/>
      <c r="AA909" s="738"/>
      <c r="AB909" s="738"/>
      <c r="AC909" s="738"/>
      <c r="AD909" s="738"/>
      <c r="AE909" s="738"/>
      <c r="AF909" s="738"/>
      <c r="AG909" s="738"/>
      <c r="AH909" s="738"/>
      <c r="AI909" s="738"/>
      <c r="AJ909" s="738"/>
      <c r="AK909" s="738"/>
      <c r="AL909" s="738"/>
    </row>
    <row r="910">
      <c r="A910" s="738"/>
      <c r="B910" s="738"/>
      <c r="C910" s="738"/>
      <c r="D910" s="738"/>
      <c r="E910" s="738"/>
      <c r="F910" s="738"/>
      <c r="G910" s="738"/>
      <c r="H910" s="738"/>
      <c r="I910" s="738"/>
      <c r="J910" s="738"/>
      <c r="K910" s="738"/>
      <c r="L910" s="738"/>
      <c r="M910" s="738"/>
      <c r="N910" s="738"/>
      <c r="O910" s="738"/>
      <c r="P910" s="738"/>
      <c r="Q910" s="738"/>
      <c r="R910" s="738"/>
      <c r="S910" s="738"/>
      <c r="T910" s="738"/>
      <c r="U910" s="738"/>
      <c r="V910" s="738"/>
      <c r="W910" s="738"/>
      <c r="X910" s="738"/>
      <c r="Y910" s="738"/>
      <c r="Z910" s="738"/>
      <c r="AA910" s="738"/>
      <c r="AB910" s="738"/>
      <c r="AC910" s="738"/>
      <c r="AD910" s="738"/>
      <c r="AE910" s="738"/>
      <c r="AF910" s="738"/>
      <c r="AG910" s="738"/>
      <c r="AH910" s="738"/>
      <c r="AI910" s="738"/>
      <c r="AJ910" s="738"/>
      <c r="AK910" s="738"/>
      <c r="AL910" s="738"/>
    </row>
    <row r="911">
      <c r="A911" s="738"/>
      <c r="B911" s="738"/>
      <c r="C911" s="738"/>
      <c r="D911" s="738"/>
      <c r="E911" s="738"/>
      <c r="F911" s="738"/>
      <c r="G911" s="738"/>
      <c r="H911" s="738"/>
      <c r="I911" s="738"/>
      <c r="J911" s="738"/>
      <c r="K911" s="738"/>
      <c r="L911" s="738"/>
      <c r="M911" s="738"/>
      <c r="N911" s="738"/>
      <c r="O911" s="738"/>
      <c r="P911" s="738"/>
      <c r="Q911" s="738"/>
      <c r="R911" s="738"/>
      <c r="S911" s="738"/>
      <c r="T911" s="738"/>
      <c r="U911" s="738"/>
      <c r="V911" s="738"/>
      <c r="W911" s="738"/>
      <c r="X911" s="738"/>
      <c r="Y911" s="738"/>
      <c r="Z911" s="738"/>
      <c r="AA911" s="738"/>
      <c r="AB911" s="738"/>
      <c r="AC911" s="738"/>
      <c r="AD911" s="738"/>
      <c r="AE911" s="738"/>
      <c r="AF911" s="738"/>
      <c r="AG911" s="738"/>
      <c r="AH911" s="738"/>
      <c r="AI911" s="738"/>
      <c r="AJ911" s="738"/>
      <c r="AK911" s="738"/>
      <c r="AL911" s="738"/>
    </row>
    <row r="912">
      <c r="A912" s="738"/>
      <c r="B912" s="738"/>
      <c r="C912" s="738"/>
      <c r="D912" s="738"/>
      <c r="E912" s="738"/>
      <c r="F912" s="738"/>
      <c r="G912" s="738"/>
      <c r="H912" s="738"/>
      <c r="I912" s="738"/>
      <c r="J912" s="738"/>
      <c r="K912" s="738"/>
      <c r="L912" s="738"/>
      <c r="M912" s="738"/>
      <c r="N912" s="738"/>
      <c r="O912" s="738"/>
      <c r="P912" s="738"/>
      <c r="Q912" s="738"/>
      <c r="R912" s="738"/>
      <c r="S912" s="738"/>
      <c r="T912" s="738"/>
      <c r="U912" s="738"/>
      <c r="V912" s="738"/>
      <c r="W912" s="738"/>
      <c r="X912" s="738"/>
      <c r="Y912" s="738"/>
      <c r="Z912" s="738"/>
      <c r="AA912" s="738"/>
      <c r="AB912" s="738"/>
      <c r="AC912" s="738"/>
      <c r="AD912" s="738"/>
      <c r="AE912" s="738"/>
      <c r="AF912" s="738"/>
      <c r="AG912" s="738"/>
      <c r="AH912" s="738"/>
      <c r="AI912" s="738"/>
      <c r="AJ912" s="738"/>
      <c r="AK912" s="738"/>
      <c r="AL912" s="738"/>
    </row>
    <row r="913">
      <c r="A913" s="738"/>
      <c r="B913" s="738"/>
      <c r="C913" s="738"/>
      <c r="D913" s="738"/>
      <c r="E913" s="738"/>
      <c r="F913" s="738"/>
      <c r="G913" s="738"/>
      <c r="H913" s="738"/>
      <c r="I913" s="738"/>
      <c r="J913" s="738"/>
      <c r="K913" s="738"/>
      <c r="L913" s="738"/>
      <c r="M913" s="738"/>
      <c r="N913" s="738"/>
      <c r="O913" s="738"/>
      <c r="P913" s="738"/>
      <c r="Q913" s="738"/>
      <c r="R913" s="738"/>
      <c r="S913" s="738"/>
      <c r="T913" s="738"/>
      <c r="U913" s="738"/>
      <c r="V913" s="738"/>
      <c r="W913" s="738"/>
      <c r="X913" s="738"/>
      <c r="Y913" s="738"/>
      <c r="Z913" s="738"/>
      <c r="AA913" s="738"/>
      <c r="AB913" s="738"/>
      <c r="AC913" s="738"/>
      <c r="AD913" s="738"/>
      <c r="AE913" s="738"/>
      <c r="AF913" s="738"/>
      <c r="AG913" s="738"/>
      <c r="AH913" s="738"/>
      <c r="AI913" s="738"/>
      <c r="AJ913" s="738"/>
      <c r="AK913" s="738"/>
      <c r="AL913" s="738"/>
    </row>
    <row r="914">
      <c r="A914" s="738"/>
      <c r="B914" s="738"/>
      <c r="C914" s="738"/>
      <c r="D914" s="738"/>
      <c r="E914" s="738"/>
      <c r="F914" s="738"/>
      <c r="G914" s="738"/>
      <c r="H914" s="738"/>
      <c r="I914" s="738"/>
      <c r="J914" s="738"/>
      <c r="K914" s="738"/>
      <c r="L914" s="738"/>
      <c r="M914" s="738"/>
      <c r="N914" s="738"/>
      <c r="O914" s="738"/>
      <c r="P914" s="738"/>
      <c r="Q914" s="738"/>
      <c r="R914" s="738"/>
      <c r="S914" s="738"/>
      <c r="T914" s="738"/>
      <c r="U914" s="738"/>
      <c r="V914" s="738"/>
      <c r="W914" s="738"/>
      <c r="X914" s="738"/>
      <c r="Y914" s="738"/>
      <c r="Z914" s="738"/>
      <c r="AA914" s="738"/>
      <c r="AB914" s="738"/>
      <c r="AC914" s="738"/>
      <c r="AD914" s="738"/>
      <c r="AE914" s="738"/>
      <c r="AF914" s="738"/>
      <c r="AG914" s="738"/>
      <c r="AH914" s="738"/>
      <c r="AI914" s="738"/>
      <c r="AJ914" s="738"/>
      <c r="AK914" s="738"/>
      <c r="AL914" s="738"/>
    </row>
    <row r="915">
      <c r="A915" s="738"/>
      <c r="B915" s="738"/>
      <c r="C915" s="738"/>
      <c r="D915" s="738"/>
      <c r="E915" s="738"/>
      <c r="F915" s="738"/>
      <c r="G915" s="738"/>
      <c r="H915" s="738"/>
      <c r="I915" s="738"/>
      <c r="J915" s="738"/>
      <c r="K915" s="738"/>
      <c r="L915" s="738"/>
      <c r="M915" s="738"/>
      <c r="N915" s="738"/>
      <c r="O915" s="738"/>
      <c r="P915" s="738"/>
      <c r="Q915" s="738"/>
      <c r="R915" s="738"/>
      <c r="S915" s="738"/>
      <c r="T915" s="738"/>
      <c r="U915" s="738"/>
      <c r="V915" s="738"/>
      <c r="W915" s="738"/>
      <c r="X915" s="738"/>
      <c r="Y915" s="738"/>
      <c r="Z915" s="738"/>
      <c r="AA915" s="738"/>
      <c r="AB915" s="738"/>
      <c r="AC915" s="738"/>
      <c r="AD915" s="738"/>
      <c r="AE915" s="738"/>
      <c r="AF915" s="738"/>
      <c r="AG915" s="738"/>
      <c r="AH915" s="738"/>
      <c r="AI915" s="738"/>
      <c r="AJ915" s="738"/>
      <c r="AK915" s="738"/>
      <c r="AL915" s="738"/>
    </row>
    <row r="916">
      <c r="A916" s="738"/>
      <c r="B916" s="738"/>
      <c r="C916" s="738"/>
      <c r="D916" s="738"/>
      <c r="E916" s="738"/>
      <c r="F916" s="738"/>
      <c r="G916" s="738"/>
      <c r="H916" s="738"/>
      <c r="I916" s="738"/>
      <c r="J916" s="738"/>
      <c r="K916" s="738"/>
      <c r="L916" s="738"/>
      <c r="M916" s="738"/>
      <c r="N916" s="738"/>
      <c r="O916" s="738"/>
      <c r="P916" s="738"/>
      <c r="Q916" s="738"/>
      <c r="R916" s="738"/>
      <c r="S916" s="738"/>
      <c r="T916" s="738"/>
      <c r="U916" s="738"/>
      <c r="V916" s="738"/>
      <c r="W916" s="738"/>
      <c r="X916" s="738"/>
      <c r="Y916" s="738"/>
      <c r="Z916" s="738"/>
      <c r="AA916" s="738"/>
      <c r="AB916" s="738"/>
      <c r="AC916" s="738"/>
      <c r="AD916" s="738"/>
      <c r="AE916" s="738"/>
      <c r="AF916" s="738"/>
      <c r="AG916" s="738"/>
      <c r="AH916" s="738"/>
      <c r="AI916" s="738"/>
      <c r="AJ916" s="738"/>
      <c r="AK916" s="738"/>
      <c r="AL916" s="738"/>
    </row>
    <row r="917">
      <c r="A917" s="738"/>
      <c r="B917" s="738"/>
      <c r="C917" s="738"/>
      <c r="D917" s="738"/>
      <c r="E917" s="738"/>
      <c r="F917" s="738"/>
      <c r="G917" s="738"/>
      <c r="H917" s="738"/>
      <c r="I917" s="738"/>
      <c r="J917" s="738"/>
      <c r="K917" s="738"/>
      <c r="L917" s="738"/>
      <c r="M917" s="738"/>
      <c r="N917" s="738"/>
      <c r="O917" s="738"/>
      <c r="P917" s="738"/>
      <c r="Q917" s="738"/>
      <c r="R917" s="738"/>
      <c r="S917" s="738"/>
      <c r="T917" s="738"/>
      <c r="U917" s="738"/>
      <c r="V917" s="738"/>
      <c r="W917" s="738"/>
      <c r="X917" s="738"/>
      <c r="Y917" s="738"/>
      <c r="Z917" s="738"/>
      <c r="AA917" s="738"/>
      <c r="AB917" s="738"/>
      <c r="AC917" s="738"/>
      <c r="AD917" s="738"/>
      <c r="AE917" s="738"/>
      <c r="AF917" s="738"/>
      <c r="AG917" s="738"/>
      <c r="AH917" s="738"/>
      <c r="AI917" s="738"/>
      <c r="AJ917" s="738"/>
      <c r="AK917" s="738"/>
      <c r="AL917" s="738"/>
    </row>
    <row r="918">
      <c r="A918" s="738"/>
      <c r="B918" s="738"/>
      <c r="C918" s="738"/>
      <c r="D918" s="738"/>
      <c r="E918" s="738"/>
      <c r="F918" s="738"/>
      <c r="G918" s="738"/>
      <c r="H918" s="738"/>
      <c r="I918" s="738"/>
      <c r="J918" s="738"/>
      <c r="K918" s="738"/>
      <c r="L918" s="738"/>
      <c r="M918" s="738"/>
      <c r="N918" s="738"/>
      <c r="O918" s="738"/>
      <c r="P918" s="738"/>
      <c r="Q918" s="738"/>
      <c r="R918" s="738"/>
      <c r="S918" s="738"/>
      <c r="T918" s="738"/>
      <c r="U918" s="738"/>
      <c r="V918" s="738"/>
      <c r="W918" s="738"/>
      <c r="X918" s="738"/>
      <c r="Y918" s="738"/>
      <c r="Z918" s="738"/>
      <c r="AA918" s="738"/>
      <c r="AB918" s="738"/>
      <c r="AC918" s="738"/>
      <c r="AD918" s="738"/>
      <c r="AE918" s="738"/>
      <c r="AF918" s="738"/>
      <c r="AG918" s="738"/>
      <c r="AH918" s="738"/>
      <c r="AI918" s="738"/>
      <c r="AJ918" s="738"/>
      <c r="AK918" s="738"/>
      <c r="AL918" s="738"/>
    </row>
    <row r="919">
      <c r="A919" s="738"/>
      <c r="B919" s="738"/>
      <c r="C919" s="738"/>
      <c r="D919" s="738"/>
      <c r="E919" s="738"/>
      <c r="F919" s="738"/>
      <c r="G919" s="738"/>
      <c r="H919" s="738"/>
      <c r="I919" s="738"/>
      <c r="J919" s="738"/>
      <c r="K919" s="738"/>
      <c r="L919" s="738"/>
      <c r="M919" s="738"/>
      <c r="N919" s="738"/>
      <c r="O919" s="738"/>
      <c r="P919" s="738"/>
      <c r="Q919" s="738"/>
      <c r="R919" s="738"/>
      <c r="S919" s="738"/>
      <c r="T919" s="738"/>
      <c r="U919" s="738"/>
      <c r="V919" s="738"/>
      <c r="W919" s="738"/>
      <c r="X919" s="738"/>
      <c r="Y919" s="738"/>
      <c r="Z919" s="738"/>
      <c r="AA919" s="738"/>
      <c r="AB919" s="738"/>
      <c r="AC919" s="738"/>
      <c r="AD919" s="738"/>
      <c r="AE919" s="738"/>
      <c r="AF919" s="738"/>
      <c r="AG919" s="738"/>
      <c r="AH919" s="738"/>
      <c r="AI919" s="738"/>
      <c r="AJ919" s="738"/>
      <c r="AK919" s="738"/>
      <c r="AL919" s="738"/>
    </row>
    <row r="920">
      <c r="A920" s="738"/>
      <c r="B920" s="738"/>
      <c r="C920" s="738"/>
      <c r="D920" s="738"/>
      <c r="E920" s="738"/>
      <c r="F920" s="738"/>
      <c r="G920" s="738"/>
      <c r="H920" s="738"/>
      <c r="I920" s="738"/>
      <c r="J920" s="738"/>
      <c r="K920" s="738"/>
      <c r="L920" s="738"/>
      <c r="M920" s="738"/>
      <c r="N920" s="738"/>
      <c r="O920" s="738"/>
      <c r="P920" s="738"/>
      <c r="Q920" s="738"/>
      <c r="R920" s="738"/>
      <c r="S920" s="738"/>
      <c r="T920" s="738"/>
      <c r="U920" s="738"/>
      <c r="V920" s="738"/>
      <c r="W920" s="738"/>
      <c r="X920" s="738"/>
      <c r="Y920" s="738"/>
      <c r="Z920" s="738"/>
      <c r="AA920" s="738"/>
      <c r="AB920" s="738"/>
      <c r="AC920" s="738"/>
      <c r="AD920" s="738"/>
      <c r="AE920" s="738"/>
      <c r="AF920" s="738"/>
      <c r="AG920" s="738"/>
      <c r="AH920" s="738"/>
      <c r="AI920" s="738"/>
      <c r="AJ920" s="738"/>
      <c r="AK920" s="738"/>
      <c r="AL920" s="738"/>
    </row>
    <row r="921">
      <c r="A921" s="738"/>
      <c r="B921" s="738"/>
      <c r="C921" s="738"/>
      <c r="D921" s="738"/>
      <c r="E921" s="738"/>
      <c r="F921" s="738"/>
      <c r="G921" s="738"/>
      <c r="H921" s="738"/>
      <c r="I921" s="738"/>
      <c r="J921" s="738"/>
      <c r="K921" s="738"/>
      <c r="L921" s="738"/>
      <c r="M921" s="738"/>
      <c r="N921" s="738"/>
      <c r="O921" s="738"/>
      <c r="P921" s="738"/>
      <c r="Q921" s="738"/>
      <c r="R921" s="738"/>
      <c r="S921" s="738"/>
      <c r="T921" s="738"/>
      <c r="U921" s="738"/>
      <c r="V921" s="738"/>
      <c r="W921" s="738"/>
      <c r="X921" s="738"/>
      <c r="Y921" s="738"/>
      <c r="Z921" s="738"/>
      <c r="AA921" s="738"/>
      <c r="AB921" s="738"/>
      <c r="AC921" s="738"/>
      <c r="AD921" s="738"/>
      <c r="AE921" s="738"/>
      <c r="AF921" s="738"/>
      <c r="AG921" s="738"/>
      <c r="AH921" s="738"/>
      <c r="AI921" s="738"/>
      <c r="AJ921" s="738"/>
      <c r="AK921" s="738"/>
      <c r="AL921" s="738"/>
    </row>
    <row r="922">
      <c r="A922" s="738"/>
      <c r="B922" s="738"/>
      <c r="C922" s="738"/>
      <c r="D922" s="738"/>
      <c r="E922" s="738"/>
      <c r="F922" s="738"/>
      <c r="G922" s="738"/>
      <c r="H922" s="738"/>
      <c r="I922" s="738"/>
      <c r="J922" s="738"/>
      <c r="K922" s="738"/>
      <c r="L922" s="738"/>
      <c r="M922" s="738"/>
      <c r="N922" s="738"/>
      <c r="O922" s="738"/>
      <c r="P922" s="738"/>
      <c r="Q922" s="738"/>
      <c r="R922" s="738"/>
      <c r="S922" s="738"/>
      <c r="T922" s="738"/>
      <c r="U922" s="738"/>
      <c r="V922" s="738"/>
      <c r="W922" s="738"/>
      <c r="X922" s="738"/>
      <c r="Y922" s="738"/>
      <c r="Z922" s="738"/>
      <c r="AA922" s="738"/>
      <c r="AB922" s="738"/>
      <c r="AC922" s="738"/>
      <c r="AD922" s="738"/>
      <c r="AE922" s="738"/>
      <c r="AF922" s="738"/>
      <c r="AG922" s="738"/>
      <c r="AH922" s="738"/>
      <c r="AI922" s="738"/>
      <c r="AJ922" s="738"/>
      <c r="AK922" s="738"/>
      <c r="AL922" s="738"/>
    </row>
    <row r="923">
      <c r="A923" s="738"/>
      <c r="B923" s="738"/>
      <c r="C923" s="738"/>
      <c r="D923" s="738"/>
      <c r="E923" s="738"/>
      <c r="F923" s="738"/>
      <c r="G923" s="738"/>
      <c r="H923" s="738"/>
      <c r="I923" s="738"/>
      <c r="J923" s="738"/>
      <c r="K923" s="738"/>
      <c r="L923" s="738"/>
      <c r="M923" s="738"/>
      <c r="N923" s="738"/>
      <c r="O923" s="738"/>
      <c r="P923" s="738"/>
      <c r="Q923" s="738"/>
      <c r="R923" s="738"/>
      <c r="S923" s="738"/>
      <c r="T923" s="738"/>
      <c r="U923" s="738"/>
      <c r="V923" s="738"/>
      <c r="W923" s="738"/>
      <c r="X923" s="738"/>
      <c r="Y923" s="738"/>
      <c r="Z923" s="738"/>
      <c r="AA923" s="738"/>
      <c r="AB923" s="738"/>
      <c r="AC923" s="738"/>
      <c r="AD923" s="738"/>
      <c r="AE923" s="738"/>
      <c r="AF923" s="738"/>
      <c r="AG923" s="738"/>
      <c r="AH923" s="738"/>
      <c r="AI923" s="738"/>
      <c r="AJ923" s="738"/>
      <c r="AK923" s="738"/>
      <c r="AL923" s="738"/>
    </row>
    <row r="924">
      <c r="A924" s="738"/>
      <c r="B924" s="738"/>
      <c r="C924" s="738"/>
      <c r="D924" s="738"/>
      <c r="E924" s="738"/>
      <c r="F924" s="738"/>
      <c r="G924" s="738"/>
      <c r="H924" s="738"/>
      <c r="I924" s="738"/>
      <c r="J924" s="738"/>
      <c r="K924" s="738"/>
      <c r="L924" s="738"/>
      <c r="M924" s="738"/>
      <c r="N924" s="738"/>
      <c r="O924" s="738"/>
      <c r="P924" s="738"/>
      <c r="Q924" s="738"/>
      <c r="R924" s="738"/>
      <c r="S924" s="738"/>
      <c r="T924" s="738"/>
      <c r="U924" s="738"/>
      <c r="V924" s="738"/>
      <c r="W924" s="738"/>
      <c r="X924" s="738"/>
      <c r="Y924" s="738"/>
      <c r="Z924" s="738"/>
      <c r="AA924" s="738"/>
      <c r="AB924" s="738"/>
      <c r="AC924" s="738"/>
      <c r="AD924" s="738"/>
      <c r="AE924" s="738"/>
      <c r="AF924" s="738"/>
      <c r="AG924" s="738"/>
      <c r="AH924" s="738"/>
      <c r="AI924" s="738"/>
      <c r="AJ924" s="738"/>
      <c r="AK924" s="738"/>
      <c r="AL924" s="738"/>
    </row>
    <row r="925">
      <c r="A925" s="738"/>
      <c r="B925" s="738"/>
      <c r="C925" s="738"/>
      <c r="D925" s="738"/>
      <c r="E925" s="738"/>
      <c r="F925" s="738"/>
      <c r="G925" s="738"/>
      <c r="H925" s="738"/>
      <c r="I925" s="738"/>
      <c r="J925" s="738"/>
      <c r="K925" s="738"/>
      <c r="L925" s="738"/>
      <c r="M925" s="738"/>
      <c r="N925" s="738"/>
      <c r="O925" s="738"/>
      <c r="P925" s="738"/>
      <c r="Q925" s="738"/>
      <c r="R925" s="738"/>
      <c r="S925" s="738"/>
      <c r="T925" s="738"/>
      <c r="U925" s="738"/>
      <c r="V925" s="738"/>
      <c r="W925" s="738"/>
      <c r="X925" s="738"/>
      <c r="Y925" s="738"/>
      <c r="Z925" s="738"/>
      <c r="AA925" s="738"/>
      <c r="AB925" s="738"/>
      <c r="AC925" s="738"/>
      <c r="AD925" s="738"/>
      <c r="AE925" s="738"/>
      <c r="AF925" s="738"/>
      <c r="AG925" s="738"/>
      <c r="AH925" s="738"/>
      <c r="AI925" s="738"/>
      <c r="AJ925" s="738"/>
      <c r="AK925" s="738"/>
      <c r="AL925" s="738"/>
    </row>
    <row r="926">
      <c r="A926" s="738"/>
      <c r="B926" s="738"/>
      <c r="C926" s="738"/>
      <c r="D926" s="738"/>
      <c r="E926" s="738"/>
      <c r="F926" s="738"/>
      <c r="G926" s="738"/>
      <c r="H926" s="738"/>
      <c r="I926" s="738"/>
      <c r="J926" s="738"/>
      <c r="K926" s="738"/>
      <c r="L926" s="738"/>
      <c r="M926" s="738"/>
      <c r="N926" s="738"/>
      <c r="O926" s="738"/>
      <c r="P926" s="738"/>
      <c r="Q926" s="738"/>
      <c r="R926" s="738"/>
      <c r="S926" s="738"/>
      <c r="T926" s="738"/>
      <c r="U926" s="738"/>
      <c r="V926" s="738"/>
      <c r="W926" s="738"/>
      <c r="X926" s="738"/>
      <c r="Y926" s="738"/>
      <c r="Z926" s="738"/>
      <c r="AA926" s="738"/>
      <c r="AB926" s="738"/>
      <c r="AC926" s="738"/>
      <c r="AD926" s="738"/>
      <c r="AE926" s="738"/>
      <c r="AF926" s="738"/>
      <c r="AG926" s="738"/>
      <c r="AH926" s="738"/>
      <c r="AI926" s="738"/>
      <c r="AJ926" s="738"/>
      <c r="AK926" s="738"/>
      <c r="AL926" s="738"/>
    </row>
    <row r="927">
      <c r="A927" s="738"/>
      <c r="B927" s="738"/>
      <c r="C927" s="738"/>
      <c r="D927" s="738"/>
      <c r="E927" s="738"/>
      <c r="F927" s="738"/>
      <c r="G927" s="738"/>
      <c r="H927" s="738"/>
      <c r="I927" s="738"/>
      <c r="J927" s="738"/>
      <c r="K927" s="738"/>
      <c r="L927" s="738"/>
      <c r="M927" s="738"/>
      <c r="N927" s="738"/>
      <c r="O927" s="738"/>
      <c r="P927" s="738"/>
      <c r="Q927" s="738"/>
      <c r="R927" s="738"/>
      <c r="S927" s="738"/>
      <c r="T927" s="738"/>
      <c r="U927" s="738"/>
      <c r="V927" s="738"/>
      <c r="W927" s="738"/>
      <c r="X927" s="738"/>
      <c r="Y927" s="738"/>
      <c r="Z927" s="738"/>
      <c r="AA927" s="738"/>
      <c r="AB927" s="738"/>
      <c r="AC927" s="738"/>
      <c r="AD927" s="738"/>
      <c r="AE927" s="738"/>
      <c r="AF927" s="738"/>
      <c r="AG927" s="738"/>
      <c r="AH927" s="738"/>
      <c r="AI927" s="738"/>
      <c r="AJ927" s="738"/>
      <c r="AK927" s="738"/>
      <c r="AL927" s="738"/>
    </row>
    <row r="928">
      <c r="A928" s="738"/>
      <c r="B928" s="738"/>
      <c r="C928" s="738"/>
      <c r="D928" s="738"/>
      <c r="E928" s="738"/>
      <c r="F928" s="738"/>
      <c r="G928" s="738"/>
      <c r="H928" s="738"/>
      <c r="I928" s="738"/>
      <c r="J928" s="738"/>
      <c r="K928" s="738"/>
      <c r="L928" s="738"/>
      <c r="M928" s="738"/>
      <c r="N928" s="738"/>
      <c r="O928" s="738"/>
      <c r="P928" s="738"/>
      <c r="Q928" s="738"/>
      <c r="R928" s="738"/>
      <c r="S928" s="738"/>
      <c r="T928" s="738"/>
      <c r="U928" s="738"/>
      <c r="V928" s="738"/>
      <c r="W928" s="738"/>
      <c r="X928" s="738"/>
      <c r="Y928" s="738"/>
      <c r="Z928" s="738"/>
      <c r="AA928" s="738"/>
      <c r="AB928" s="738"/>
      <c r="AC928" s="738"/>
      <c r="AD928" s="738"/>
      <c r="AE928" s="738"/>
      <c r="AF928" s="738"/>
      <c r="AG928" s="738"/>
      <c r="AH928" s="738"/>
      <c r="AI928" s="738"/>
      <c r="AJ928" s="738"/>
      <c r="AK928" s="738"/>
      <c r="AL928" s="738"/>
    </row>
    <row r="929">
      <c r="A929" s="738"/>
      <c r="B929" s="738"/>
      <c r="C929" s="738"/>
      <c r="D929" s="738"/>
      <c r="E929" s="738"/>
      <c r="F929" s="738"/>
      <c r="G929" s="738"/>
      <c r="H929" s="738"/>
      <c r="I929" s="738"/>
      <c r="J929" s="738"/>
      <c r="K929" s="738"/>
      <c r="L929" s="738"/>
      <c r="M929" s="738"/>
      <c r="N929" s="738"/>
      <c r="O929" s="738"/>
      <c r="P929" s="738"/>
      <c r="Q929" s="738"/>
      <c r="R929" s="738"/>
      <c r="S929" s="738"/>
      <c r="T929" s="738"/>
      <c r="U929" s="738"/>
      <c r="V929" s="738"/>
      <c r="W929" s="738"/>
      <c r="X929" s="738"/>
      <c r="Y929" s="738"/>
      <c r="Z929" s="738"/>
      <c r="AA929" s="738"/>
      <c r="AB929" s="738"/>
      <c r="AC929" s="738"/>
      <c r="AD929" s="738"/>
      <c r="AE929" s="738"/>
      <c r="AF929" s="738"/>
      <c r="AG929" s="738"/>
      <c r="AH929" s="738"/>
      <c r="AI929" s="738"/>
      <c r="AJ929" s="738"/>
      <c r="AK929" s="738"/>
      <c r="AL929" s="738"/>
    </row>
    <row r="930">
      <c r="A930" s="738"/>
      <c r="B930" s="738"/>
      <c r="C930" s="738"/>
      <c r="D930" s="738"/>
      <c r="E930" s="738"/>
      <c r="F930" s="738"/>
      <c r="G930" s="738"/>
      <c r="H930" s="738"/>
      <c r="I930" s="738"/>
      <c r="J930" s="738"/>
      <c r="K930" s="738"/>
      <c r="L930" s="738"/>
      <c r="M930" s="738"/>
      <c r="N930" s="738"/>
      <c r="O930" s="738"/>
      <c r="P930" s="738"/>
      <c r="Q930" s="738"/>
      <c r="R930" s="738"/>
      <c r="S930" s="738"/>
      <c r="T930" s="738"/>
      <c r="U930" s="738"/>
      <c r="V930" s="738"/>
      <c r="W930" s="738"/>
      <c r="X930" s="738"/>
      <c r="Y930" s="738"/>
      <c r="Z930" s="738"/>
      <c r="AA930" s="738"/>
      <c r="AB930" s="738"/>
      <c r="AC930" s="738"/>
      <c r="AD930" s="738"/>
      <c r="AE930" s="738"/>
      <c r="AF930" s="738"/>
      <c r="AG930" s="738"/>
      <c r="AH930" s="738"/>
      <c r="AI930" s="738"/>
      <c r="AJ930" s="738"/>
      <c r="AK930" s="738"/>
      <c r="AL930" s="738"/>
    </row>
    <row r="931">
      <c r="A931" s="738"/>
      <c r="B931" s="738"/>
      <c r="C931" s="738"/>
      <c r="D931" s="738"/>
      <c r="E931" s="738"/>
      <c r="F931" s="738"/>
      <c r="G931" s="738"/>
      <c r="H931" s="738"/>
      <c r="I931" s="738"/>
      <c r="J931" s="738"/>
      <c r="K931" s="738"/>
      <c r="L931" s="738"/>
      <c r="M931" s="738"/>
      <c r="N931" s="738"/>
      <c r="O931" s="738"/>
      <c r="P931" s="738"/>
      <c r="Q931" s="738"/>
      <c r="R931" s="738"/>
      <c r="S931" s="738"/>
      <c r="T931" s="738"/>
      <c r="U931" s="738"/>
      <c r="V931" s="738"/>
      <c r="W931" s="738"/>
      <c r="X931" s="738"/>
      <c r="Y931" s="738"/>
      <c r="Z931" s="738"/>
      <c r="AA931" s="738"/>
      <c r="AB931" s="738"/>
      <c r="AC931" s="738"/>
      <c r="AD931" s="738"/>
      <c r="AE931" s="738"/>
      <c r="AF931" s="738"/>
      <c r="AG931" s="738"/>
      <c r="AH931" s="738"/>
      <c r="AI931" s="738"/>
      <c r="AJ931" s="738"/>
      <c r="AK931" s="738"/>
      <c r="AL931" s="738"/>
    </row>
    <row r="932">
      <c r="A932" s="738"/>
      <c r="B932" s="738"/>
      <c r="C932" s="738"/>
      <c r="D932" s="738"/>
      <c r="E932" s="738"/>
      <c r="F932" s="738"/>
      <c r="G932" s="738"/>
      <c r="H932" s="738"/>
      <c r="I932" s="738"/>
      <c r="J932" s="738"/>
      <c r="K932" s="738"/>
      <c r="L932" s="738"/>
      <c r="M932" s="738"/>
      <c r="N932" s="738"/>
      <c r="O932" s="738"/>
      <c r="P932" s="738"/>
      <c r="Q932" s="738"/>
      <c r="R932" s="738"/>
      <c r="S932" s="738"/>
      <c r="T932" s="738"/>
      <c r="U932" s="738"/>
      <c r="V932" s="738"/>
      <c r="W932" s="738"/>
      <c r="X932" s="738"/>
      <c r="Y932" s="738"/>
      <c r="Z932" s="738"/>
      <c r="AA932" s="738"/>
      <c r="AB932" s="738"/>
      <c r="AC932" s="738"/>
      <c r="AD932" s="738"/>
      <c r="AE932" s="738"/>
      <c r="AF932" s="738"/>
      <c r="AG932" s="738"/>
      <c r="AH932" s="738"/>
      <c r="AI932" s="738"/>
      <c r="AJ932" s="738"/>
      <c r="AK932" s="738"/>
      <c r="AL932" s="738"/>
    </row>
    <row r="933">
      <c r="A933" s="738"/>
      <c r="B933" s="738"/>
      <c r="C933" s="738"/>
      <c r="D933" s="738"/>
      <c r="E933" s="738"/>
      <c r="F933" s="738"/>
      <c r="G933" s="738"/>
      <c r="H933" s="738"/>
      <c r="I933" s="738"/>
      <c r="J933" s="738"/>
      <c r="K933" s="738"/>
      <c r="L933" s="738"/>
      <c r="M933" s="738"/>
      <c r="N933" s="738"/>
      <c r="O933" s="738"/>
      <c r="P933" s="738"/>
      <c r="Q933" s="738"/>
      <c r="R933" s="738"/>
      <c r="S933" s="738"/>
      <c r="T933" s="738"/>
      <c r="U933" s="738"/>
      <c r="V933" s="738"/>
      <c r="W933" s="738"/>
      <c r="X933" s="738"/>
      <c r="Y933" s="738"/>
      <c r="Z933" s="738"/>
      <c r="AA933" s="738"/>
      <c r="AB933" s="738"/>
      <c r="AC933" s="738"/>
      <c r="AD933" s="738"/>
      <c r="AE933" s="738"/>
      <c r="AF933" s="738"/>
      <c r="AG933" s="738"/>
      <c r="AH933" s="738"/>
      <c r="AI933" s="738"/>
      <c r="AJ933" s="738"/>
      <c r="AK933" s="738"/>
      <c r="AL933" s="738"/>
    </row>
    <row r="934">
      <c r="A934" s="738"/>
      <c r="B934" s="738"/>
      <c r="C934" s="738"/>
      <c r="D934" s="738"/>
      <c r="E934" s="738"/>
      <c r="F934" s="738"/>
      <c r="G934" s="738"/>
      <c r="H934" s="738"/>
      <c r="I934" s="738"/>
      <c r="J934" s="738"/>
      <c r="K934" s="738"/>
      <c r="L934" s="738"/>
      <c r="M934" s="738"/>
      <c r="N934" s="738"/>
      <c r="O934" s="738"/>
      <c r="P934" s="738"/>
      <c r="Q934" s="738"/>
      <c r="R934" s="738"/>
      <c r="S934" s="738"/>
      <c r="T934" s="738"/>
      <c r="U934" s="738"/>
      <c r="V934" s="738"/>
      <c r="W934" s="738"/>
      <c r="X934" s="738"/>
      <c r="Y934" s="738"/>
      <c r="Z934" s="738"/>
      <c r="AA934" s="738"/>
      <c r="AB934" s="738"/>
      <c r="AC934" s="738"/>
      <c r="AD934" s="738"/>
      <c r="AE934" s="738"/>
      <c r="AF934" s="738"/>
      <c r="AG934" s="738"/>
      <c r="AH934" s="738"/>
      <c r="AI934" s="738"/>
      <c r="AJ934" s="738"/>
      <c r="AK934" s="738"/>
      <c r="AL934" s="738"/>
    </row>
    <row r="935">
      <c r="A935" s="738"/>
      <c r="B935" s="738"/>
      <c r="C935" s="738"/>
      <c r="D935" s="738"/>
      <c r="E935" s="738"/>
      <c r="F935" s="738"/>
      <c r="G935" s="738"/>
      <c r="H935" s="738"/>
      <c r="I935" s="738"/>
      <c r="J935" s="738"/>
      <c r="K935" s="738"/>
      <c r="L935" s="738"/>
      <c r="M935" s="738"/>
      <c r="N935" s="738"/>
      <c r="O935" s="738"/>
      <c r="P935" s="738"/>
      <c r="Q935" s="738"/>
      <c r="R935" s="738"/>
      <c r="S935" s="738"/>
      <c r="T935" s="738"/>
      <c r="U935" s="738"/>
      <c r="V935" s="738"/>
      <c r="W935" s="738"/>
      <c r="X935" s="738"/>
      <c r="Y935" s="738"/>
      <c r="Z935" s="738"/>
      <c r="AA935" s="738"/>
      <c r="AB935" s="738"/>
      <c r="AC935" s="738"/>
      <c r="AD935" s="738"/>
      <c r="AE935" s="738"/>
      <c r="AF935" s="738"/>
      <c r="AG935" s="738"/>
      <c r="AH935" s="738"/>
      <c r="AI935" s="738"/>
      <c r="AJ935" s="738"/>
      <c r="AK935" s="738"/>
      <c r="AL935" s="738"/>
    </row>
    <row r="936">
      <c r="A936" s="738"/>
      <c r="B936" s="738"/>
      <c r="C936" s="738"/>
      <c r="D936" s="738"/>
      <c r="E936" s="738"/>
      <c r="F936" s="738"/>
      <c r="G936" s="738"/>
      <c r="H936" s="738"/>
      <c r="I936" s="738"/>
      <c r="J936" s="738"/>
      <c r="K936" s="738"/>
      <c r="L936" s="738"/>
      <c r="M936" s="738"/>
      <c r="N936" s="738"/>
      <c r="O936" s="738"/>
      <c r="P936" s="738"/>
      <c r="Q936" s="738"/>
      <c r="R936" s="738"/>
      <c r="S936" s="738"/>
      <c r="T936" s="738"/>
      <c r="U936" s="738"/>
      <c r="V936" s="738"/>
      <c r="W936" s="738"/>
      <c r="X936" s="738"/>
      <c r="Y936" s="738"/>
      <c r="Z936" s="738"/>
      <c r="AA936" s="738"/>
      <c r="AB936" s="738"/>
      <c r="AC936" s="738"/>
      <c r="AD936" s="738"/>
      <c r="AE936" s="738"/>
      <c r="AF936" s="738"/>
      <c r="AG936" s="738"/>
      <c r="AH936" s="738"/>
      <c r="AI936" s="738"/>
      <c r="AJ936" s="738"/>
      <c r="AK936" s="738"/>
      <c r="AL936" s="738"/>
    </row>
    <row r="937">
      <c r="A937" s="738"/>
      <c r="B937" s="738"/>
      <c r="C937" s="738"/>
      <c r="D937" s="738"/>
      <c r="E937" s="738"/>
      <c r="F937" s="738"/>
      <c r="G937" s="738"/>
      <c r="H937" s="738"/>
      <c r="I937" s="738"/>
      <c r="J937" s="738"/>
      <c r="K937" s="738"/>
      <c r="L937" s="738"/>
      <c r="M937" s="738"/>
      <c r="N937" s="738"/>
      <c r="O937" s="738"/>
      <c r="P937" s="738"/>
      <c r="Q937" s="738"/>
      <c r="R937" s="738"/>
      <c r="S937" s="738"/>
      <c r="T937" s="738"/>
      <c r="U937" s="738"/>
      <c r="V937" s="738"/>
      <c r="W937" s="738"/>
      <c r="X937" s="738"/>
      <c r="Y937" s="738"/>
      <c r="Z937" s="738"/>
      <c r="AA937" s="738"/>
      <c r="AB937" s="738"/>
      <c r="AC937" s="738"/>
      <c r="AD937" s="738"/>
      <c r="AE937" s="738"/>
      <c r="AF937" s="738"/>
      <c r="AG937" s="738"/>
      <c r="AH937" s="738"/>
      <c r="AI937" s="738"/>
      <c r="AJ937" s="738"/>
      <c r="AK937" s="738"/>
      <c r="AL937" s="738"/>
    </row>
    <row r="938">
      <c r="A938" s="738"/>
      <c r="B938" s="738"/>
      <c r="C938" s="738"/>
      <c r="D938" s="738"/>
      <c r="E938" s="738"/>
      <c r="F938" s="738"/>
      <c r="G938" s="738"/>
      <c r="H938" s="738"/>
      <c r="I938" s="738"/>
      <c r="J938" s="738"/>
      <c r="K938" s="738"/>
      <c r="L938" s="738"/>
      <c r="M938" s="738"/>
      <c r="N938" s="738"/>
      <c r="O938" s="738"/>
      <c r="P938" s="738"/>
      <c r="Q938" s="738"/>
      <c r="R938" s="738"/>
      <c r="S938" s="738"/>
      <c r="T938" s="738"/>
      <c r="U938" s="738"/>
      <c r="V938" s="738"/>
      <c r="W938" s="738"/>
      <c r="X938" s="738"/>
      <c r="Y938" s="738"/>
      <c r="Z938" s="738"/>
      <c r="AA938" s="738"/>
      <c r="AB938" s="738"/>
      <c r="AC938" s="738"/>
      <c r="AD938" s="738"/>
      <c r="AE938" s="738"/>
      <c r="AF938" s="738"/>
      <c r="AG938" s="738"/>
      <c r="AH938" s="738"/>
      <c r="AI938" s="738"/>
      <c r="AJ938" s="738"/>
      <c r="AK938" s="738"/>
      <c r="AL938" s="738"/>
    </row>
    <row r="939">
      <c r="A939" s="738"/>
      <c r="B939" s="738"/>
      <c r="C939" s="738"/>
      <c r="D939" s="738"/>
      <c r="E939" s="738"/>
      <c r="F939" s="738"/>
      <c r="G939" s="738"/>
      <c r="H939" s="738"/>
      <c r="I939" s="738"/>
      <c r="J939" s="738"/>
      <c r="K939" s="738"/>
      <c r="L939" s="738"/>
      <c r="M939" s="738"/>
      <c r="N939" s="738"/>
      <c r="O939" s="738"/>
      <c r="P939" s="738"/>
      <c r="Q939" s="738"/>
      <c r="R939" s="738"/>
      <c r="S939" s="738"/>
      <c r="T939" s="738"/>
      <c r="U939" s="738"/>
      <c r="V939" s="738"/>
      <c r="W939" s="738"/>
      <c r="X939" s="738"/>
      <c r="Y939" s="738"/>
      <c r="Z939" s="738"/>
      <c r="AA939" s="738"/>
      <c r="AB939" s="738"/>
      <c r="AC939" s="738"/>
      <c r="AD939" s="738"/>
      <c r="AE939" s="738"/>
      <c r="AF939" s="738"/>
      <c r="AG939" s="738"/>
      <c r="AH939" s="738"/>
      <c r="AI939" s="738"/>
      <c r="AJ939" s="738"/>
      <c r="AK939" s="738"/>
      <c r="AL939" s="738"/>
    </row>
    <row r="940">
      <c r="A940" s="738"/>
      <c r="B940" s="738"/>
      <c r="C940" s="738"/>
      <c r="D940" s="738"/>
      <c r="E940" s="738"/>
      <c r="F940" s="738"/>
      <c r="G940" s="738"/>
      <c r="H940" s="738"/>
      <c r="I940" s="738"/>
      <c r="J940" s="738"/>
      <c r="K940" s="738"/>
      <c r="L940" s="738"/>
      <c r="M940" s="738"/>
      <c r="N940" s="738"/>
      <c r="O940" s="738"/>
      <c r="P940" s="738"/>
      <c r="Q940" s="738"/>
      <c r="R940" s="738"/>
      <c r="S940" s="738"/>
      <c r="T940" s="738"/>
      <c r="U940" s="738"/>
      <c r="V940" s="738"/>
      <c r="W940" s="738"/>
      <c r="X940" s="738"/>
      <c r="Y940" s="738"/>
      <c r="Z940" s="738"/>
      <c r="AA940" s="738"/>
      <c r="AB940" s="738"/>
      <c r="AC940" s="738"/>
      <c r="AD940" s="738"/>
      <c r="AE940" s="738"/>
      <c r="AF940" s="738"/>
      <c r="AG940" s="738"/>
      <c r="AH940" s="738"/>
      <c r="AI940" s="738"/>
      <c r="AJ940" s="738"/>
      <c r="AK940" s="738"/>
      <c r="AL940" s="738"/>
    </row>
    <row r="941">
      <c r="A941" s="738"/>
      <c r="B941" s="738"/>
      <c r="C941" s="738"/>
      <c r="D941" s="738"/>
      <c r="E941" s="738"/>
      <c r="F941" s="738"/>
      <c r="G941" s="738"/>
      <c r="H941" s="738"/>
      <c r="I941" s="738"/>
      <c r="J941" s="738"/>
      <c r="K941" s="738"/>
      <c r="L941" s="738"/>
      <c r="M941" s="738"/>
      <c r="N941" s="738"/>
      <c r="O941" s="738"/>
      <c r="P941" s="738"/>
      <c r="Q941" s="738"/>
      <c r="R941" s="738"/>
      <c r="S941" s="738"/>
      <c r="T941" s="738"/>
      <c r="U941" s="738"/>
      <c r="V941" s="738"/>
      <c r="W941" s="738"/>
      <c r="X941" s="738"/>
      <c r="Y941" s="738"/>
      <c r="Z941" s="738"/>
      <c r="AA941" s="738"/>
      <c r="AB941" s="738"/>
      <c r="AC941" s="738"/>
      <c r="AD941" s="738"/>
      <c r="AE941" s="738"/>
      <c r="AF941" s="738"/>
      <c r="AG941" s="738"/>
      <c r="AH941" s="738"/>
      <c r="AI941" s="738"/>
      <c r="AJ941" s="738"/>
      <c r="AK941" s="738"/>
      <c r="AL941" s="738"/>
    </row>
    <row r="942">
      <c r="A942" s="738"/>
      <c r="B942" s="738"/>
      <c r="C942" s="738"/>
      <c r="D942" s="738"/>
      <c r="E942" s="738"/>
      <c r="F942" s="738"/>
      <c r="G942" s="738"/>
      <c r="H942" s="738"/>
      <c r="I942" s="738"/>
      <c r="J942" s="738"/>
      <c r="K942" s="738"/>
      <c r="L942" s="738"/>
      <c r="M942" s="738"/>
      <c r="N942" s="738"/>
      <c r="O942" s="738"/>
      <c r="P942" s="738"/>
      <c r="Q942" s="738"/>
      <c r="R942" s="738"/>
      <c r="S942" s="738"/>
      <c r="T942" s="738"/>
      <c r="U942" s="738"/>
      <c r="V942" s="738"/>
      <c r="W942" s="738"/>
      <c r="X942" s="738"/>
      <c r="Y942" s="738"/>
      <c r="Z942" s="738"/>
      <c r="AA942" s="738"/>
      <c r="AB942" s="738"/>
      <c r="AC942" s="738"/>
      <c r="AD942" s="738"/>
      <c r="AE942" s="738"/>
      <c r="AF942" s="738"/>
      <c r="AG942" s="738"/>
      <c r="AH942" s="738"/>
      <c r="AI942" s="738"/>
      <c r="AJ942" s="738"/>
      <c r="AK942" s="738"/>
      <c r="AL942" s="738"/>
    </row>
    <row r="943">
      <c r="A943" s="738"/>
      <c r="B943" s="738"/>
      <c r="C943" s="738"/>
      <c r="D943" s="738"/>
      <c r="E943" s="738"/>
      <c r="F943" s="738"/>
      <c r="G943" s="738"/>
      <c r="H943" s="738"/>
      <c r="I943" s="738"/>
      <c r="J943" s="738"/>
      <c r="K943" s="738"/>
      <c r="L943" s="738"/>
      <c r="M943" s="738"/>
      <c r="N943" s="738"/>
      <c r="O943" s="738"/>
      <c r="P943" s="738"/>
      <c r="Q943" s="738"/>
      <c r="R943" s="738"/>
      <c r="S943" s="738"/>
      <c r="T943" s="738"/>
      <c r="U943" s="738"/>
      <c r="V943" s="738"/>
      <c r="W943" s="738"/>
      <c r="X943" s="738"/>
      <c r="Y943" s="738"/>
      <c r="Z943" s="738"/>
      <c r="AA943" s="738"/>
      <c r="AB943" s="738"/>
      <c r="AC943" s="738"/>
      <c r="AD943" s="738"/>
      <c r="AE943" s="738"/>
      <c r="AF943" s="738"/>
      <c r="AG943" s="738"/>
      <c r="AH943" s="738"/>
      <c r="AI943" s="738"/>
      <c r="AJ943" s="738"/>
      <c r="AK943" s="738"/>
      <c r="AL943" s="738"/>
    </row>
    <row r="944">
      <c r="A944" s="738"/>
      <c r="B944" s="738"/>
      <c r="C944" s="738"/>
      <c r="D944" s="738"/>
      <c r="E944" s="738"/>
      <c r="F944" s="738"/>
      <c r="G944" s="738"/>
      <c r="H944" s="738"/>
      <c r="I944" s="738"/>
      <c r="J944" s="738"/>
      <c r="K944" s="738"/>
      <c r="L944" s="738"/>
      <c r="M944" s="738"/>
      <c r="N944" s="738"/>
      <c r="O944" s="738"/>
      <c r="P944" s="738"/>
      <c r="Q944" s="738"/>
      <c r="R944" s="738"/>
      <c r="S944" s="738"/>
      <c r="T944" s="738"/>
      <c r="U944" s="738"/>
      <c r="V944" s="738"/>
      <c r="W944" s="738"/>
      <c r="X944" s="738"/>
      <c r="Y944" s="738"/>
      <c r="Z944" s="738"/>
      <c r="AA944" s="738"/>
      <c r="AB944" s="738"/>
      <c r="AC944" s="738"/>
      <c r="AD944" s="738"/>
      <c r="AE944" s="738"/>
      <c r="AF944" s="738"/>
      <c r="AG944" s="738"/>
      <c r="AH944" s="738"/>
      <c r="AI944" s="738"/>
      <c r="AJ944" s="738"/>
      <c r="AK944" s="738"/>
      <c r="AL944" s="738"/>
    </row>
    <row r="945">
      <c r="A945" s="738"/>
      <c r="B945" s="738"/>
      <c r="C945" s="738"/>
      <c r="D945" s="738"/>
      <c r="E945" s="738"/>
      <c r="F945" s="738"/>
      <c r="G945" s="738"/>
      <c r="H945" s="738"/>
      <c r="I945" s="738"/>
      <c r="J945" s="738"/>
      <c r="K945" s="738"/>
      <c r="L945" s="738"/>
      <c r="M945" s="738"/>
      <c r="N945" s="738"/>
      <c r="O945" s="738"/>
      <c r="P945" s="738"/>
      <c r="Q945" s="738"/>
      <c r="R945" s="738"/>
      <c r="S945" s="738"/>
      <c r="T945" s="738"/>
      <c r="U945" s="738"/>
      <c r="V945" s="738"/>
      <c r="W945" s="738"/>
      <c r="X945" s="738"/>
      <c r="Y945" s="738"/>
      <c r="Z945" s="738"/>
      <c r="AA945" s="738"/>
      <c r="AB945" s="738"/>
      <c r="AC945" s="738"/>
      <c r="AD945" s="738"/>
      <c r="AE945" s="738"/>
      <c r="AF945" s="738"/>
      <c r="AG945" s="738"/>
      <c r="AH945" s="738"/>
      <c r="AI945" s="738"/>
      <c r="AJ945" s="738"/>
      <c r="AK945" s="738"/>
      <c r="AL945" s="738"/>
    </row>
    <row r="946">
      <c r="A946" s="738"/>
      <c r="B946" s="738"/>
      <c r="C946" s="738"/>
      <c r="D946" s="738"/>
      <c r="E946" s="738"/>
      <c r="F946" s="738"/>
      <c r="G946" s="738"/>
      <c r="H946" s="738"/>
      <c r="I946" s="738"/>
      <c r="J946" s="738"/>
      <c r="K946" s="738"/>
      <c r="L946" s="738"/>
      <c r="M946" s="738"/>
      <c r="N946" s="738"/>
      <c r="O946" s="738"/>
      <c r="P946" s="738"/>
      <c r="Q946" s="738"/>
      <c r="R946" s="738"/>
      <c r="S946" s="738"/>
      <c r="T946" s="738"/>
      <c r="U946" s="738"/>
      <c r="V946" s="738"/>
      <c r="W946" s="738"/>
      <c r="X946" s="738"/>
      <c r="Y946" s="738"/>
      <c r="Z946" s="738"/>
      <c r="AA946" s="738"/>
      <c r="AB946" s="738"/>
      <c r="AC946" s="738"/>
      <c r="AD946" s="738"/>
      <c r="AE946" s="738"/>
      <c r="AF946" s="738"/>
      <c r="AG946" s="738"/>
      <c r="AH946" s="738"/>
      <c r="AI946" s="738"/>
      <c r="AJ946" s="738"/>
      <c r="AK946" s="738"/>
      <c r="AL946" s="738"/>
    </row>
    <row r="947">
      <c r="A947" s="738"/>
      <c r="B947" s="738"/>
      <c r="C947" s="738"/>
      <c r="D947" s="738"/>
      <c r="E947" s="738"/>
      <c r="F947" s="738"/>
      <c r="G947" s="738"/>
      <c r="H947" s="738"/>
      <c r="I947" s="738"/>
      <c r="J947" s="738"/>
      <c r="K947" s="738"/>
      <c r="L947" s="738"/>
      <c r="M947" s="738"/>
      <c r="N947" s="738"/>
      <c r="O947" s="738"/>
      <c r="P947" s="738"/>
      <c r="Q947" s="738"/>
      <c r="R947" s="738"/>
      <c r="S947" s="738"/>
      <c r="T947" s="738"/>
      <c r="U947" s="738"/>
      <c r="V947" s="738"/>
      <c r="W947" s="738"/>
      <c r="X947" s="738"/>
      <c r="Y947" s="738"/>
      <c r="Z947" s="738"/>
      <c r="AA947" s="738"/>
      <c r="AB947" s="738"/>
      <c r="AC947" s="738"/>
      <c r="AD947" s="738"/>
      <c r="AE947" s="738"/>
      <c r="AF947" s="738"/>
      <c r="AG947" s="738"/>
      <c r="AH947" s="738"/>
      <c r="AI947" s="738"/>
      <c r="AJ947" s="738"/>
      <c r="AK947" s="738"/>
      <c r="AL947" s="738"/>
    </row>
    <row r="948">
      <c r="A948" s="738"/>
      <c r="B948" s="738"/>
      <c r="C948" s="738"/>
      <c r="D948" s="738"/>
      <c r="E948" s="738"/>
      <c r="F948" s="738"/>
      <c r="G948" s="738"/>
      <c r="H948" s="738"/>
      <c r="I948" s="738"/>
      <c r="J948" s="738"/>
      <c r="K948" s="738"/>
      <c r="L948" s="738"/>
      <c r="M948" s="738"/>
      <c r="N948" s="738"/>
      <c r="O948" s="738"/>
      <c r="P948" s="738"/>
      <c r="Q948" s="738"/>
      <c r="R948" s="738"/>
      <c r="S948" s="738"/>
      <c r="T948" s="738"/>
      <c r="U948" s="738"/>
      <c r="V948" s="738"/>
      <c r="W948" s="738"/>
      <c r="X948" s="738"/>
      <c r="Y948" s="738"/>
      <c r="Z948" s="738"/>
      <c r="AA948" s="738"/>
      <c r="AB948" s="738"/>
      <c r="AC948" s="738"/>
      <c r="AD948" s="738"/>
      <c r="AE948" s="738"/>
      <c r="AF948" s="738"/>
      <c r="AG948" s="738"/>
      <c r="AH948" s="738"/>
      <c r="AI948" s="738"/>
      <c r="AJ948" s="738"/>
      <c r="AK948" s="738"/>
      <c r="AL948" s="738"/>
    </row>
    <row r="949">
      <c r="A949" s="738"/>
      <c r="B949" s="738"/>
      <c r="C949" s="738"/>
      <c r="D949" s="738"/>
      <c r="E949" s="738"/>
      <c r="F949" s="738"/>
      <c r="G949" s="738"/>
      <c r="H949" s="738"/>
      <c r="I949" s="738"/>
      <c r="J949" s="738"/>
      <c r="K949" s="738"/>
      <c r="L949" s="738"/>
      <c r="M949" s="738"/>
      <c r="N949" s="738"/>
      <c r="O949" s="738"/>
      <c r="P949" s="738"/>
      <c r="Q949" s="738"/>
      <c r="R949" s="738"/>
      <c r="S949" s="738"/>
      <c r="T949" s="738"/>
      <c r="U949" s="738"/>
      <c r="V949" s="738"/>
      <c r="W949" s="738"/>
      <c r="X949" s="738"/>
      <c r="Y949" s="738"/>
      <c r="Z949" s="738"/>
      <c r="AA949" s="738"/>
      <c r="AB949" s="738"/>
      <c r="AC949" s="738"/>
      <c r="AD949" s="738"/>
      <c r="AE949" s="738"/>
      <c r="AF949" s="738"/>
      <c r="AG949" s="738"/>
      <c r="AH949" s="738"/>
      <c r="AI949" s="738"/>
      <c r="AJ949" s="738"/>
      <c r="AK949" s="738"/>
      <c r="AL949" s="738"/>
    </row>
    <row r="950">
      <c r="A950" s="738"/>
      <c r="B950" s="738"/>
      <c r="C950" s="738"/>
      <c r="D950" s="738"/>
      <c r="E950" s="738"/>
      <c r="F950" s="738"/>
      <c r="G950" s="738"/>
      <c r="H950" s="738"/>
      <c r="I950" s="738"/>
      <c r="J950" s="738"/>
      <c r="K950" s="738"/>
      <c r="L950" s="738"/>
      <c r="M950" s="738"/>
      <c r="N950" s="738"/>
      <c r="O950" s="738"/>
      <c r="P950" s="738"/>
      <c r="Q950" s="738"/>
      <c r="R950" s="738"/>
      <c r="S950" s="738"/>
      <c r="T950" s="738"/>
      <c r="U950" s="738"/>
      <c r="V950" s="738"/>
      <c r="W950" s="738"/>
      <c r="X950" s="738"/>
      <c r="Y950" s="738"/>
      <c r="Z950" s="738"/>
      <c r="AA950" s="738"/>
      <c r="AB950" s="738"/>
      <c r="AC950" s="738"/>
      <c r="AD950" s="738"/>
      <c r="AE950" s="738"/>
      <c r="AF950" s="738"/>
      <c r="AG950" s="738"/>
      <c r="AH950" s="738"/>
      <c r="AI950" s="738"/>
      <c r="AJ950" s="738"/>
      <c r="AK950" s="738"/>
      <c r="AL950" s="738"/>
    </row>
    <row r="951">
      <c r="A951" s="738"/>
      <c r="B951" s="738"/>
      <c r="C951" s="738"/>
      <c r="D951" s="738"/>
      <c r="E951" s="738"/>
      <c r="F951" s="738"/>
      <c r="G951" s="738"/>
      <c r="H951" s="738"/>
      <c r="I951" s="738"/>
      <c r="J951" s="738"/>
      <c r="K951" s="738"/>
      <c r="L951" s="738"/>
      <c r="M951" s="738"/>
      <c r="N951" s="738"/>
      <c r="O951" s="738"/>
      <c r="P951" s="738"/>
      <c r="Q951" s="738"/>
      <c r="R951" s="738"/>
      <c r="S951" s="738"/>
      <c r="T951" s="738"/>
      <c r="U951" s="738"/>
      <c r="V951" s="738"/>
      <c r="W951" s="738"/>
      <c r="X951" s="738"/>
      <c r="Y951" s="738"/>
      <c r="Z951" s="738"/>
      <c r="AA951" s="738"/>
      <c r="AB951" s="738"/>
      <c r="AC951" s="738"/>
      <c r="AD951" s="738"/>
      <c r="AE951" s="738"/>
      <c r="AF951" s="738"/>
      <c r="AG951" s="738"/>
      <c r="AH951" s="738"/>
      <c r="AI951" s="738"/>
      <c r="AJ951" s="738"/>
      <c r="AK951" s="738"/>
      <c r="AL951" s="738"/>
    </row>
    <row r="952">
      <c r="A952" s="738"/>
      <c r="B952" s="738"/>
      <c r="C952" s="738"/>
      <c r="D952" s="738"/>
      <c r="E952" s="738"/>
      <c r="F952" s="738"/>
      <c r="G952" s="738"/>
      <c r="H952" s="738"/>
      <c r="I952" s="738"/>
      <c r="J952" s="738"/>
      <c r="K952" s="738"/>
      <c r="L952" s="738"/>
      <c r="M952" s="738"/>
      <c r="N952" s="738"/>
      <c r="O952" s="738"/>
      <c r="P952" s="738"/>
      <c r="Q952" s="738"/>
      <c r="R952" s="738"/>
      <c r="S952" s="738"/>
      <c r="T952" s="738"/>
      <c r="U952" s="738"/>
      <c r="V952" s="738"/>
      <c r="W952" s="738"/>
      <c r="X952" s="738"/>
      <c r="Y952" s="738"/>
      <c r="Z952" s="738"/>
      <c r="AA952" s="738"/>
      <c r="AB952" s="738"/>
      <c r="AC952" s="738"/>
      <c r="AD952" s="738"/>
      <c r="AE952" s="738"/>
      <c r="AF952" s="738"/>
      <c r="AG952" s="738"/>
      <c r="AH952" s="738"/>
      <c r="AI952" s="738"/>
      <c r="AJ952" s="738"/>
      <c r="AK952" s="738"/>
      <c r="AL952" s="738"/>
    </row>
    <row r="953">
      <c r="A953" s="738"/>
      <c r="B953" s="738"/>
      <c r="C953" s="738"/>
      <c r="D953" s="738"/>
      <c r="E953" s="738"/>
      <c r="F953" s="738"/>
      <c r="G953" s="738"/>
      <c r="H953" s="738"/>
      <c r="I953" s="738"/>
      <c r="J953" s="738"/>
      <c r="K953" s="738"/>
      <c r="L953" s="738"/>
      <c r="M953" s="738"/>
      <c r="N953" s="738"/>
      <c r="O953" s="738"/>
      <c r="P953" s="738"/>
      <c r="Q953" s="738"/>
      <c r="R953" s="738"/>
      <c r="S953" s="738"/>
      <c r="T953" s="738"/>
      <c r="U953" s="738"/>
      <c r="V953" s="738"/>
      <c r="W953" s="738"/>
      <c r="X953" s="738"/>
      <c r="Y953" s="738"/>
      <c r="Z953" s="738"/>
      <c r="AA953" s="738"/>
      <c r="AB953" s="738"/>
      <c r="AC953" s="738"/>
      <c r="AD953" s="738"/>
      <c r="AE953" s="738"/>
      <c r="AF953" s="738"/>
      <c r="AG953" s="738"/>
      <c r="AH953" s="738"/>
      <c r="AI953" s="738"/>
      <c r="AJ953" s="738"/>
      <c r="AK953" s="738"/>
      <c r="AL953" s="738"/>
    </row>
    <row r="954">
      <c r="A954" s="738"/>
      <c r="B954" s="738"/>
      <c r="C954" s="738"/>
      <c r="D954" s="738"/>
      <c r="E954" s="738"/>
      <c r="F954" s="738"/>
      <c r="G954" s="738"/>
      <c r="H954" s="738"/>
      <c r="I954" s="738"/>
      <c r="J954" s="738"/>
      <c r="K954" s="738"/>
      <c r="L954" s="738"/>
      <c r="M954" s="738"/>
      <c r="N954" s="738"/>
      <c r="O954" s="738"/>
      <c r="P954" s="738"/>
      <c r="Q954" s="738"/>
      <c r="R954" s="738"/>
      <c r="S954" s="738"/>
      <c r="T954" s="738"/>
      <c r="U954" s="738"/>
      <c r="V954" s="738"/>
      <c r="W954" s="738"/>
      <c r="X954" s="738"/>
      <c r="Y954" s="738"/>
      <c r="Z954" s="738"/>
      <c r="AA954" s="738"/>
      <c r="AB954" s="738"/>
      <c r="AC954" s="738"/>
      <c r="AD954" s="738"/>
      <c r="AE954" s="738"/>
      <c r="AF954" s="738"/>
      <c r="AG954" s="738"/>
      <c r="AH954" s="738"/>
      <c r="AI954" s="738"/>
      <c r="AJ954" s="738"/>
      <c r="AK954" s="738"/>
      <c r="AL954" s="738"/>
    </row>
    <row r="955">
      <c r="A955" s="738"/>
      <c r="B955" s="738"/>
      <c r="C955" s="738"/>
      <c r="D955" s="738"/>
      <c r="E955" s="738"/>
      <c r="F955" s="738"/>
      <c r="G955" s="738"/>
      <c r="H955" s="738"/>
      <c r="I955" s="738"/>
      <c r="J955" s="738"/>
      <c r="K955" s="738"/>
      <c r="L955" s="738"/>
      <c r="M955" s="738"/>
      <c r="N955" s="738"/>
      <c r="O955" s="738"/>
      <c r="P955" s="738"/>
      <c r="Q955" s="738"/>
      <c r="R955" s="738"/>
      <c r="S955" s="738"/>
      <c r="T955" s="738"/>
      <c r="U955" s="738"/>
      <c r="V955" s="738"/>
      <c r="W955" s="738"/>
      <c r="X955" s="738"/>
      <c r="Y955" s="738"/>
      <c r="Z955" s="738"/>
      <c r="AA955" s="738"/>
      <c r="AB955" s="738"/>
      <c r="AC955" s="738"/>
      <c r="AD955" s="738"/>
      <c r="AE955" s="738"/>
      <c r="AF955" s="738"/>
      <c r="AG955" s="738"/>
      <c r="AH955" s="738"/>
      <c r="AI955" s="738"/>
      <c r="AJ955" s="738"/>
      <c r="AK955" s="738"/>
      <c r="AL955" s="738"/>
    </row>
    <row r="956">
      <c r="A956" s="738"/>
      <c r="B956" s="738"/>
      <c r="C956" s="738"/>
      <c r="D956" s="738"/>
      <c r="E956" s="738"/>
      <c r="F956" s="738"/>
      <c r="G956" s="738"/>
      <c r="H956" s="738"/>
      <c r="I956" s="738"/>
      <c r="J956" s="738"/>
      <c r="K956" s="738"/>
      <c r="L956" s="738"/>
      <c r="M956" s="738"/>
      <c r="N956" s="738"/>
      <c r="O956" s="738"/>
      <c r="P956" s="738"/>
      <c r="Q956" s="738"/>
      <c r="R956" s="738"/>
      <c r="S956" s="738"/>
      <c r="T956" s="738"/>
      <c r="U956" s="738"/>
      <c r="V956" s="738"/>
      <c r="W956" s="738"/>
      <c r="X956" s="738"/>
      <c r="Y956" s="738"/>
      <c r="Z956" s="738"/>
      <c r="AA956" s="738"/>
      <c r="AB956" s="738"/>
      <c r="AC956" s="738"/>
      <c r="AD956" s="738"/>
      <c r="AE956" s="738"/>
      <c r="AF956" s="738"/>
      <c r="AG956" s="738"/>
      <c r="AH956" s="738"/>
      <c r="AI956" s="738"/>
      <c r="AJ956" s="738"/>
      <c r="AK956" s="738"/>
      <c r="AL956" s="738"/>
    </row>
    <row r="957">
      <c r="A957" s="738"/>
      <c r="B957" s="738"/>
      <c r="C957" s="738"/>
      <c r="D957" s="738"/>
      <c r="E957" s="738"/>
      <c r="F957" s="738"/>
      <c r="G957" s="738"/>
      <c r="H957" s="738"/>
      <c r="I957" s="738"/>
      <c r="J957" s="738"/>
      <c r="K957" s="738"/>
      <c r="L957" s="738"/>
      <c r="M957" s="738"/>
      <c r="N957" s="738"/>
      <c r="O957" s="738"/>
      <c r="P957" s="738"/>
      <c r="Q957" s="738"/>
      <c r="R957" s="738"/>
      <c r="S957" s="738"/>
      <c r="T957" s="738"/>
      <c r="U957" s="738"/>
      <c r="V957" s="738"/>
      <c r="W957" s="738"/>
      <c r="X957" s="738"/>
      <c r="Y957" s="738"/>
      <c r="Z957" s="738"/>
      <c r="AA957" s="738"/>
      <c r="AB957" s="738"/>
      <c r="AC957" s="738"/>
      <c r="AD957" s="738"/>
      <c r="AE957" s="738"/>
      <c r="AF957" s="738"/>
      <c r="AG957" s="738"/>
      <c r="AH957" s="738"/>
      <c r="AI957" s="738"/>
      <c r="AJ957" s="738"/>
      <c r="AK957" s="738"/>
      <c r="AL957" s="738"/>
    </row>
    <row r="958">
      <c r="A958" s="738"/>
      <c r="B958" s="738"/>
      <c r="C958" s="738"/>
      <c r="D958" s="738"/>
      <c r="E958" s="738"/>
      <c r="F958" s="738"/>
      <c r="G958" s="738"/>
      <c r="H958" s="738"/>
      <c r="I958" s="738"/>
      <c r="J958" s="738"/>
      <c r="K958" s="738"/>
      <c r="L958" s="738"/>
      <c r="M958" s="738"/>
      <c r="N958" s="738"/>
      <c r="O958" s="738"/>
      <c r="P958" s="738"/>
      <c r="Q958" s="738"/>
      <c r="R958" s="738"/>
      <c r="S958" s="738"/>
      <c r="T958" s="738"/>
      <c r="U958" s="738"/>
      <c r="V958" s="738"/>
      <c r="W958" s="738"/>
      <c r="X958" s="738"/>
      <c r="Y958" s="738"/>
      <c r="Z958" s="738"/>
      <c r="AA958" s="738"/>
      <c r="AB958" s="738"/>
      <c r="AC958" s="738"/>
      <c r="AD958" s="738"/>
      <c r="AE958" s="738"/>
      <c r="AF958" s="738"/>
      <c r="AG958" s="738"/>
      <c r="AH958" s="738"/>
      <c r="AI958" s="738"/>
      <c r="AJ958" s="738"/>
      <c r="AK958" s="738"/>
      <c r="AL958" s="738"/>
    </row>
    <row r="959">
      <c r="A959" s="738"/>
      <c r="B959" s="738"/>
      <c r="C959" s="738"/>
      <c r="D959" s="738"/>
      <c r="E959" s="738"/>
      <c r="F959" s="738"/>
      <c r="G959" s="738"/>
      <c r="H959" s="738"/>
      <c r="I959" s="738"/>
      <c r="J959" s="738"/>
      <c r="K959" s="738"/>
      <c r="L959" s="738"/>
      <c r="M959" s="738"/>
      <c r="N959" s="738"/>
      <c r="O959" s="738"/>
      <c r="P959" s="738"/>
      <c r="Q959" s="738"/>
      <c r="R959" s="738"/>
      <c r="S959" s="738"/>
      <c r="T959" s="738"/>
      <c r="U959" s="738"/>
      <c r="V959" s="738"/>
      <c r="W959" s="738"/>
      <c r="X959" s="738"/>
      <c r="Y959" s="738"/>
      <c r="Z959" s="738"/>
      <c r="AA959" s="738"/>
      <c r="AB959" s="738"/>
      <c r="AC959" s="738"/>
      <c r="AD959" s="738"/>
      <c r="AE959" s="738"/>
      <c r="AF959" s="738"/>
      <c r="AG959" s="738"/>
      <c r="AH959" s="738"/>
      <c r="AI959" s="738"/>
      <c r="AJ959" s="738"/>
      <c r="AK959" s="738"/>
      <c r="AL959" s="738"/>
    </row>
    <row r="960">
      <c r="A960" s="738"/>
      <c r="B960" s="738"/>
      <c r="C960" s="738"/>
      <c r="D960" s="738"/>
      <c r="E960" s="738"/>
      <c r="F960" s="738"/>
      <c r="G960" s="738"/>
      <c r="H960" s="738"/>
      <c r="I960" s="738"/>
      <c r="J960" s="738"/>
      <c r="K960" s="738"/>
      <c r="L960" s="738"/>
      <c r="M960" s="738"/>
      <c r="N960" s="738"/>
      <c r="O960" s="738"/>
      <c r="P960" s="738"/>
      <c r="Q960" s="738"/>
      <c r="R960" s="738"/>
      <c r="S960" s="738"/>
      <c r="T960" s="738"/>
      <c r="U960" s="738"/>
      <c r="V960" s="738"/>
      <c r="W960" s="738"/>
      <c r="X960" s="738"/>
      <c r="Y960" s="738"/>
      <c r="Z960" s="738"/>
      <c r="AA960" s="738"/>
      <c r="AB960" s="738"/>
      <c r="AC960" s="738"/>
      <c r="AD960" s="738"/>
      <c r="AE960" s="738"/>
      <c r="AF960" s="738"/>
      <c r="AG960" s="738"/>
      <c r="AH960" s="738"/>
      <c r="AI960" s="738"/>
      <c r="AJ960" s="738"/>
      <c r="AK960" s="738"/>
      <c r="AL960" s="738"/>
    </row>
    <row r="961">
      <c r="A961" s="738"/>
      <c r="B961" s="738"/>
      <c r="C961" s="738"/>
      <c r="D961" s="738"/>
      <c r="E961" s="738"/>
      <c r="F961" s="738"/>
      <c r="G961" s="738"/>
      <c r="H961" s="738"/>
      <c r="I961" s="738"/>
      <c r="J961" s="738"/>
      <c r="K961" s="738"/>
      <c r="L961" s="738"/>
      <c r="M961" s="738"/>
      <c r="N961" s="738"/>
      <c r="O961" s="738"/>
      <c r="P961" s="738"/>
      <c r="Q961" s="738"/>
      <c r="R961" s="738"/>
      <c r="S961" s="738"/>
      <c r="T961" s="738"/>
      <c r="U961" s="738"/>
      <c r="V961" s="738"/>
      <c r="W961" s="738"/>
      <c r="X961" s="738"/>
      <c r="Y961" s="738"/>
      <c r="Z961" s="738"/>
      <c r="AA961" s="738"/>
      <c r="AB961" s="738"/>
      <c r="AC961" s="738"/>
      <c r="AD961" s="738"/>
      <c r="AE961" s="738"/>
      <c r="AF961" s="738"/>
      <c r="AG961" s="738"/>
      <c r="AH961" s="738"/>
      <c r="AI961" s="738"/>
      <c r="AJ961" s="738"/>
      <c r="AK961" s="738"/>
      <c r="AL961" s="738"/>
    </row>
    <row r="962">
      <c r="A962" s="738"/>
      <c r="B962" s="738"/>
      <c r="C962" s="738"/>
      <c r="D962" s="738"/>
      <c r="E962" s="738"/>
      <c r="F962" s="738"/>
      <c r="G962" s="738"/>
      <c r="H962" s="738"/>
      <c r="I962" s="738"/>
      <c r="J962" s="738"/>
      <c r="K962" s="738"/>
      <c r="L962" s="738"/>
      <c r="M962" s="738"/>
      <c r="N962" s="738"/>
      <c r="O962" s="738"/>
      <c r="P962" s="738"/>
      <c r="Q962" s="738"/>
      <c r="R962" s="738"/>
      <c r="S962" s="738"/>
      <c r="T962" s="738"/>
      <c r="U962" s="738"/>
      <c r="V962" s="738"/>
      <c r="W962" s="738"/>
      <c r="X962" s="738"/>
      <c r="Y962" s="738"/>
      <c r="Z962" s="738"/>
      <c r="AA962" s="738"/>
      <c r="AB962" s="738"/>
      <c r="AC962" s="738"/>
      <c r="AD962" s="738"/>
      <c r="AE962" s="738"/>
      <c r="AF962" s="738"/>
      <c r="AG962" s="738"/>
      <c r="AH962" s="738"/>
      <c r="AI962" s="738"/>
      <c r="AJ962" s="738"/>
      <c r="AK962" s="738"/>
      <c r="AL962" s="738"/>
    </row>
    <row r="963">
      <c r="A963" s="738"/>
      <c r="B963" s="738"/>
      <c r="C963" s="738"/>
      <c r="D963" s="738"/>
      <c r="E963" s="738"/>
      <c r="F963" s="738"/>
      <c r="G963" s="738"/>
      <c r="H963" s="738"/>
      <c r="I963" s="738"/>
      <c r="J963" s="738"/>
      <c r="K963" s="738"/>
      <c r="L963" s="738"/>
      <c r="M963" s="738"/>
      <c r="N963" s="738"/>
      <c r="O963" s="738"/>
      <c r="P963" s="738"/>
      <c r="Q963" s="738"/>
      <c r="R963" s="738"/>
      <c r="S963" s="738"/>
      <c r="T963" s="738"/>
      <c r="U963" s="738"/>
      <c r="V963" s="738"/>
      <c r="W963" s="738"/>
      <c r="X963" s="738"/>
      <c r="Y963" s="738"/>
      <c r="Z963" s="738"/>
      <c r="AA963" s="738"/>
      <c r="AB963" s="738"/>
      <c r="AC963" s="738"/>
      <c r="AD963" s="738"/>
      <c r="AE963" s="738"/>
      <c r="AF963" s="738"/>
      <c r="AG963" s="738"/>
      <c r="AH963" s="738"/>
      <c r="AI963" s="738"/>
      <c r="AJ963" s="738"/>
      <c r="AK963" s="738"/>
      <c r="AL963" s="738"/>
    </row>
    <row r="964">
      <c r="A964" s="738"/>
      <c r="B964" s="738"/>
      <c r="C964" s="738"/>
      <c r="D964" s="738"/>
      <c r="E964" s="738"/>
      <c r="F964" s="738"/>
      <c r="G964" s="738"/>
      <c r="H964" s="738"/>
      <c r="I964" s="738"/>
      <c r="J964" s="738"/>
      <c r="K964" s="738"/>
      <c r="L964" s="738"/>
      <c r="M964" s="738"/>
      <c r="N964" s="738"/>
      <c r="O964" s="738"/>
      <c r="P964" s="738"/>
      <c r="Q964" s="738"/>
      <c r="R964" s="738"/>
      <c r="S964" s="738"/>
      <c r="T964" s="738"/>
      <c r="U964" s="738"/>
      <c r="V964" s="738"/>
      <c r="W964" s="738"/>
      <c r="X964" s="738"/>
      <c r="Y964" s="738"/>
      <c r="Z964" s="738"/>
      <c r="AA964" s="738"/>
      <c r="AB964" s="738"/>
      <c r="AC964" s="738"/>
      <c r="AD964" s="738"/>
      <c r="AE964" s="738"/>
      <c r="AF964" s="738"/>
      <c r="AG964" s="738"/>
      <c r="AH964" s="738"/>
      <c r="AI964" s="738"/>
      <c r="AJ964" s="738"/>
      <c r="AK964" s="738"/>
      <c r="AL964" s="738"/>
    </row>
    <row r="965">
      <c r="A965" s="738"/>
      <c r="B965" s="738"/>
      <c r="C965" s="738"/>
      <c r="D965" s="738"/>
      <c r="E965" s="738"/>
      <c r="F965" s="738"/>
      <c r="G965" s="738"/>
      <c r="H965" s="738"/>
      <c r="I965" s="738"/>
      <c r="J965" s="738"/>
      <c r="K965" s="738"/>
      <c r="L965" s="738"/>
      <c r="M965" s="738"/>
      <c r="N965" s="738"/>
      <c r="O965" s="738"/>
      <c r="P965" s="738"/>
      <c r="Q965" s="738"/>
      <c r="R965" s="738"/>
      <c r="S965" s="738"/>
      <c r="T965" s="738"/>
      <c r="U965" s="738"/>
      <c r="V965" s="738"/>
      <c r="W965" s="738"/>
      <c r="X965" s="738"/>
      <c r="Y965" s="738"/>
      <c r="Z965" s="738"/>
      <c r="AA965" s="738"/>
      <c r="AB965" s="738"/>
      <c r="AC965" s="738"/>
      <c r="AD965" s="738"/>
      <c r="AE965" s="738"/>
      <c r="AF965" s="738"/>
      <c r="AG965" s="738"/>
      <c r="AH965" s="738"/>
      <c r="AI965" s="738"/>
      <c r="AJ965" s="738"/>
      <c r="AK965" s="738"/>
      <c r="AL965" s="738"/>
    </row>
    <row r="966">
      <c r="A966" s="738"/>
      <c r="B966" s="738"/>
      <c r="C966" s="738"/>
      <c r="D966" s="738"/>
      <c r="E966" s="738"/>
      <c r="F966" s="738"/>
      <c r="G966" s="738"/>
      <c r="H966" s="738"/>
      <c r="I966" s="738"/>
      <c r="J966" s="738"/>
      <c r="K966" s="738"/>
      <c r="L966" s="738"/>
      <c r="M966" s="738"/>
      <c r="N966" s="738"/>
      <c r="O966" s="738"/>
      <c r="P966" s="738"/>
      <c r="Q966" s="738"/>
      <c r="R966" s="738"/>
      <c r="S966" s="738"/>
      <c r="T966" s="738"/>
      <c r="U966" s="738"/>
      <c r="V966" s="738"/>
      <c r="W966" s="738"/>
      <c r="X966" s="738"/>
      <c r="Y966" s="738"/>
      <c r="Z966" s="738"/>
      <c r="AA966" s="738"/>
      <c r="AB966" s="738"/>
      <c r="AC966" s="738"/>
      <c r="AD966" s="738"/>
      <c r="AE966" s="738"/>
      <c r="AF966" s="738"/>
      <c r="AG966" s="738"/>
      <c r="AH966" s="738"/>
      <c r="AI966" s="738"/>
      <c r="AJ966" s="738"/>
      <c r="AK966" s="738"/>
      <c r="AL966" s="738"/>
    </row>
    <row r="967">
      <c r="A967" s="738"/>
      <c r="B967" s="738"/>
      <c r="C967" s="738"/>
      <c r="D967" s="738"/>
      <c r="E967" s="738"/>
      <c r="F967" s="738"/>
      <c r="G967" s="738"/>
      <c r="H967" s="738"/>
      <c r="I967" s="738"/>
      <c r="J967" s="738"/>
      <c r="K967" s="738"/>
      <c r="L967" s="738"/>
      <c r="M967" s="738"/>
      <c r="N967" s="738"/>
      <c r="O967" s="738"/>
      <c r="P967" s="738"/>
      <c r="Q967" s="738"/>
      <c r="R967" s="738"/>
      <c r="S967" s="738"/>
      <c r="T967" s="738"/>
      <c r="U967" s="738"/>
      <c r="V967" s="738"/>
      <c r="W967" s="738"/>
      <c r="X967" s="738"/>
      <c r="Y967" s="738"/>
      <c r="Z967" s="738"/>
      <c r="AA967" s="738"/>
      <c r="AB967" s="738"/>
      <c r="AC967" s="738"/>
      <c r="AD967" s="738"/>
      <c r="AE967" s="738"/>
      <c r="AF967" s="738"/>
      <c r="AG967" s="738"/>
      <c r="AH967" s="738"/>
      <c r="AI967" s="738"/>
      <c r="AJ967" s="738"/>
      <c r="AK967" s="738"/>
      <c r="AL967" s="738"/>
    </row>
    <row r="968">
      <c r="A968" s="738"/>
      <c r="B968" s="738"/>
      <c r="C968" s="738"/>
      <c r="D968" s="738"/>
      <c r="E968" s="738"/>
      <c r="F968" s="738"/>
      <c r="G968" s="738"/>
      <c r="H968" s="738"/>
      <c r="I968" s="738"/>
      <c r="J968" s="738"/>
      <c r="K968" s="738"/>
      <c r="L968" s="738"/>
      <c r="M968" s="738"/>
      <c r="N968" s="738"/>
      <c r="O968" s="738"/>
      <c r="P968" s="738"/>
      <c r="Q968" s="738"/>
      <c r="R968" s="738"/>
      <c r="S968" s="738"/>
      <c r="T968" s="738"/>
      <c r="U968" s="738"/>
      <c r="V968" s="738"/>
      <c r="W968" s="738"/>
      <c r="X968" s="738"/>
      <c r="Y968" s="738"/>
      <c r="Z968" s="738"/>
      <c r="AA968" s="738"/>
      <c r="AB968" s="738"/>
      <c r="AC968" s="738"/>
      <c r="AD968" s="738"/>
      <c r="AE968" s="738"/>
      <c r="AF968" s="738"/>
      <c r="AG968" s="738"/>
      <c r="AH968" s="738"/>
      <c r="AI968" s="738"/>
      <c r="AJ968" s="738"/>
      <c r="AK968" s="738"/>
      <c r="AL968" s="738"/>
    </row>
    <row r="969">
      <c r="A969" s="738"/>
      <c r="B969" s="738"/>
      <c r="C969" s="738"/>
      <c r="D969" s="738"/>
      <c r="E969" s="738"/>
      <c r="F969" s="738"/>
      <c r="G969" s="738"/>
      <c r="H969" s="738"/>
      <c r="I969" s="738"/>
      <c r="J969" s="738"/>
      <c r="K969" s="738"/>
      <c r="L969" s="738"/>
      <c r="M969" s="738"/>
      <c r="N969" s="738"/>
      <c r="O969" s="738"/>
      <c r="P969" s="738"/>
      <c r="Q969" s="738"/>
      <c r="R969" s="738"/>
      <c r="S969" s="738"/>
      <c r="T969" s="738"/>
      <c r="U969" s="738"/>
      <c r="V969" s="738"/>
      <c r="W969" s="738"/>
      <c r="X969" s="738"/>
      <c r="Y969" s="738"/>
      <c r="Z969" s="738"/>
      <c r="AA969" s="738"/>
      <c r="AB969" s="738"/>
      <c r="AC969" s="738"/>
      <c r="AD969" s="738"/>
      <c r="AE969" s="738"/>
      <c r="AF969" s="738"/>
      <c r="AG969" s="738"/>
      <c r="AH969" s="738"/>
      <c r="AI969" s="738"/>
      <c r="AJ969" s="738"/>
      <c r="AK969" s="738"/>
      <c r="AL969" s="738"/>
    </row>
    <row r="970">
      <c r="A970" s="738"/>
      <c r="B970" s="738"/>
      <c r="C970" s="738"/>
      <c r="D970" s="738"/>
      <c r="E970" s="738"/>
      <c r="F970" s="738"/>
      <c r="G970" s="738"/>
      <c r="H970" s="738"/>
      <c r="I970" s="738"/>
      <c r="J970" s="738"/>
      <c r="K970" s="738"/>
      <c r="L970" s="738"/>
      <c r="M970" s="738"/>
      <c r="N970" s="738"/>
      <c r="O970" s="738"/>
      <c r="P970" s="738"/>
      <c r="Q970" s="738"/>
      <c r="R970" s="738"/>
      <c r="S970" s="738"/>
      <c r="T970" s="738"/>
      <c r="U970" s="738"/>
      <c r="V970" s="738"/>
      <c r="W970" s="738"/>
      <c r="X970" s="738"/>
      <c r="Y970" s="738"/>
      <c r="Z970" s="738"/>
      <c r="AA970" s="738"/>
      <c r="AB970" s="738"/>
      <c r="AC970" s="738"/>
      <c r="AD970" s="738"/>
      <c r="AE970" s="738"/>
      <c r="AF970" s="738"/>
      <c r="AG970" s="738"/>
      <c r="AH970" s="738"/>
      <c r="AI970" s="738"/>
      <c r="AJ970" s="738"/>
      <c r="AK970" s="738"/>
      <c r="AL970" s="738"/>
    </row>
    <row r="971">
      <c r="A971" s="738"/>
      <c r="B971" s="738"/>
      <c r="C971" s="738"/>
      <c r="D971" s="738"/>
      <c r="E971" s="738"/>
      <c r="F971" s="738"/>
      <c r="G971" s="738"/>
      <c r="H971" s="738"/>
      <c r="I971" s="738"/>
      <c r="J971" s="738"/>
      <c r="K971" s="738"/>
      <c r="L971" s="738"/>
      <c r="M971" s="738"/>
      <c r="N971" s="738"/>
      <c r="O971" s="738"/>
      <c r="P971" s="738"/>
      <c r="Q971" s="738"/>
      <c r="R971" s="738"/>
      <c r="S971" s="738"/>
      <c r="T971" s="738"/>
      <c r="U971" s="738"/>
      <c r="V971" s="738"/>
      <c r="W971" s="738"/>
      <c r="X971" s="738"/>
      <c r="Y971" s="738"/>
      <c r="Z971" s="738"/>
      <c r="AA971" s="738"/>
      <c r="AB971" s="738"/>
      <c r="AC971" s="738"/>
      <c r="AD971" s="738"/>
      <c r="AE971" s="738"/>
      <c r="AF971" s="738"/>
      <c r="AG971" s="738"/>
      <c r="AH971" s="738"/>
      <c r="AI971" s="738"/>
      <c r="AJ971" s="738"/>
      <c r="AK971" s="738"/>
      <c r="AL971" s="738"/>
    </row>
    <row r="972">
      <c r="A972" s="738"/>
      <c r="B972" s="738"/>
      <c r="C972" s="738"/>
      <c r="D972" s="738"/>
      <c r="E972" s="738"/>
      <c r="F972" s="738"/>
      <c r="G972" s="738"/>
      <c r="H972" s="738"/>
      <c r="I972" s="738"/>
      <c r="J972" s="738"/>
      <c r="K972" s="738"/>
      <c r="L972" s="738"/>
      <c r="M972" s="738"/>
      <c r="N972" s="738"/>
      <c r="O972" s="738"/>
      <c r="P972" s="738"/>
      <c r="Q972" s="738"/>
      <c r="R972" s="738"/>
      <c r="S972" s="738"/>
      <c r="T972" s="738"/>
      <c r="U972" s="738"/>
      <c r="V972" s="738"/>
      <c r="W972" s="738"/>
      <c r="X972" s="738"/>
      <c r="Y972" s="738"/>
      <c r="Z972" s="738"/>
      <c r="AA972" s="738"/>
      <c r="AB972" s="738"/>
      <c r="AC972" s="738"/>
      <c r="AD972" s="738"/>
      <c r="AE972" s="738"/>
      <c r="AF972" s="738"/>
      <c r="AG972" s="738"/>
      <c r="AH972" s="738"/>
      <c r="AI972" s="738"/>
      <c r="AJ972" s="738"/>
      <c r="AK972" s="738"/>
      <c r="AL972" s="738"/>
    </row>
    <row r="973">
      <c r="A973" s="738"/>
      <c r="B973" s="738"/>
      <c r="C973" s="738"/>
      <c r="D973" s="738"/>
      <c r="E973" s="738"/>
      <c r="F973" s="738"/>
      <c r="G973" s="738"/>
      <c r="H973" s="738"/>
      <c r="I973" s="738"/>
      <c r="J973" s="738"/>
      <c r="K973" s="738"/>
      <c r="L973" s="738"/>
      <c r="M973" s="738"/>
      <c r="N973" s="738"/>
      <c r="O973" s="738"/>
      <c r="P973" s="738"/>
      <c r="Q973" s="738"/>
      <c r="R973" s="738"/>
      <c r="S973" s="738"/>
      <c r="T973" s="738"/>
      <c r="U973" s="738"/>
      <c r="V973" s="738"/>
      <c r="W973" s="738"/>
      <c r="X973" s="738"/>
      <c r="Y973" s="738"/>
      <c r="Z973" s="738"/>
      <c r="AA973" s="738"/>
      <c r="AB973" s="738"/>
      <c r="AC973" s="738"/>
      <c r="AD973" s="738"/>
      <c r="AE973" s="738"/>
      <c r="AF973" s="738"/>
      <c r="AG973" s="738"/>
      <c r="AH973" s="738"/>
      <c r="AI973" s="738"/>
      <c r="AJ973" s="738"/>
      <c r="AK973" s="738"/>
      <c r="AL973" s="738"/>
    </row>
    <row r="974">
      <c r="A974" s="738"/>
      <c r="B974" s="738"/>
      <c r="C974" s="738"/>
      <c r="D974" s="738"/>
      <c r="E974" s="738"/>
      <c r="F974" s="738"/>
      <c r="G974" s="738"/>
      <c r="H974" s="738"/>
      <c r="I974" s="738"/>
      <c r="J974" s="738"/>
      <c r="K974" s="738"/>
      <c r="L974" s="738"/>
      <c r="M974" s="738"/>
      <c r="N974" s="738"/>
      <c r="O974" s="738"/>
      <c r="P974" s="738"/>
      <c r="Q974" s="738"/>
      <c r="R974" s="738"/>
      <c r="S974" s="738"/>
      <c r="T974" s="738"/>
      <c r="U974" s="738"/>
      <c r="V974" s="738"/>
      <c r="W974" s="738"/>
      <c r="X974" s="738"/>
      <c r="Y974" s="738"/>
      <c r="Z974" s="738"/>
      <c r="AA974" s="738"/>
      <c r="AB974" s="738"/>
      <c r="AC974" s="738"/>
      <c r="AD974" s="738"/>
      <c r="AE974" s="738"/>
      <c r="AF974" s="738"/>
      <c r="AG974" s="738"/>
      <c r="AH974" s="738"/>
      <c r="AI974" s="738"/>
      <c r="AJ974" s="738"/>
      <c r="AK974" s="738"/>
      <c r="AL974" s="738"/>
    </row>
    <row r="975">
      <c r="A975" s="738"/>
      <c r="B975" s="738"/>
      <c r="C975" s="738"/>
      <c r="D975" s="738"/>
      <c r="E975" s="738"/>
      <c r="F975" s="738"/>
      <c r="G975" s="738"/>
      <c r="H975" s="738"/>
      <c r="I975" s="738"/>
      <c r="J975" s="738"/>
      <c r="K975" s="738"/>
      <c r="L975" s="738"/>
      <c r="M975" s="738"/>
      <c r="N975" s="738"/>
      <c r="O975" s="738"/>
      <c r="P975" s="738"/>
      <c r="Q975" s="738"/>
      <c r="R975" s="738"/>
      <c r="S975" s="738"/>
      <c r="T975" s="738"/>
      <c r="U975" s="738"/>
      <c r="V975" s="738"/>
      <c r="W975" s="738"/>
      <c r="X975" s="738"/>
      <c r="Y975" s="738"/>
      <c r="Z975" s="738"/>
      <c r="AA975" s="738"/>
      <c r="AB975" s="738"/>
      <c r="AC975" s="738"/>
      <c r="AD975" s="738"/>
      <c r="AE975" s="738"/>
      <c r="AF975" s="738"/>
      <c r="AG975" s="738"/>
      <c r="AH975" s="738"/>
      <c r="AI975" s="738"/>
      <c r="AJ975" s="738"/>
      <c r="AK975" s="738"/>
      <c r="AL975" s="738"/>
    </row>
    <row r="976">
      <c r="A976" s="738"/>
      <c r="B976" s="738"/>
      <c r="C976" s="738"/>
      <c r="D976" s="738"/>
      <c r="E976" s="738"/>
      <c r="F976" s="738"/>
      <c r="G976" s="738"/>
      <c r="H976" s="738"/>
      <c r="I976" s="738"/>
      <c r="J976" s="738"/>
      <c r="K976" s="738"/>
      <c r="L976" s="738"/>
      <c r="M976" s="738"/>
      <c r="N976" s="738"/>
      <c r="O976" s="738"/>
      <c r="P976" s="738"/>
      <c r="Q976" s="738"/>
      <c r="R976" s="738"/>
      <c r="S976" s="738"/>
      <c r="T976" s="738"/>
      <c r="U976" s="738"/>
      <c r="V976" s="738"/>
      <c r="W976" s="738"/>
      <c r="X976" s="738"/>
      <c r="Y976" s="738"/>
      <c r="Z976" s="738"/>
      <c r="AA976" s="738"/>
      <c r="AB976" s="738"/>
      <c r="AC976" s="738"/>
      <c r="AD976" s="738"/>
      <c r="AE976" s="738"/>
      <c r="AF976" s="738"/>
      <c r="AG976" s="738"/>
      <c r="AH976" s="738"/>
      <c r="AI976" s="738"/>
      <c r="AJ976" s="738"/>
      <c r="AK976" s="738"/>
      <c r="AL976" s="738"/>
    </row>
    <row r="977">
      <c r="A977" s="738"/>
      <c r="B977" s="738"/>
      <c r="C977" s="738"/>
      <c r="D977" s="738"/>
      <c r="E977" s="738"/>
      <c r="F977" s="738"/>
      <c r="G977" s="738"/>
      <c r="H977" s="738"/>
      <c r="I977" s="738"/>
      <c r="J977" s="738"/>
      <c r="K977" s="738"/>
      <c r="L977" s="738"/>
      <c r="M977" s="738"/>
      <c r="N977" s="738"/>
      <c r="O977" s="738"/>
      <c r="P977" s="738"/>
      <c r="Q977" s="738"/>
      <c r="R977" s="738"/>
      <c r="S977" s="738"/>
      <c r="T977" s="738"/>
      <c r="U977" s="738"/>
      <c r="V977" s="738"/>
      <c r="W977" s="738"/>
      <c r="X977" s="738"/>
      <c r="Y977" s="738"/>
      <c r="Z977" s="738"/>
      <c r="AA977" s="738"/>
      <c r="AB977" s="738"/>
      <c r="AC977" s="738"/>
      <c r="AD977" s="738"/>
      <c r="AE977" s="738"/>
      <c r="AF977" s="738"/>
      <c r="AG977" s="738"/>
      <c r="AH977" s="738"/>
      <c r="AI977" s="738"/>
      <c r="AJ977" s="738"/>
      <c r="AK977" s="738"/>
      <c r="AL977" s="738"/>
    </row>
    <row r="978">
      <c r="A978" s="738"/>
      <c r="B978" s="738"/>
      <c r="C978" s="738"/>
      <c r="D978" s="738"/>
      <c r="E978" s="738"/>
      <c r="F978" s="738"/>
      <c r="G978" s="738"/>
      <c r="H978" s="738"/>
      <c r="I978" s="738"/>
      <c r="J978" s="738"/>
      <c r="K978" s="738"/>
      <c r="L978" s="738"/>
      <c r="M978" s="738"/>
      <c r="N978" s="738"/>
      <c r="O978" s="738"/>
      <c r="P978" s="738"/>
      <c r="Q978" s="738"/>
      <c r="R978" s="738"/>
      <c r="S978" s="738"/>
      <c r="T978" s="738"/>
      <c r="U978" s="738"/>
      <c r="V978" s="738"/>
      <c r="W978" s="738"/>
      <c r="X978" s="738"/>
      <c r="Y978" s="738"/>
      <c r="Z978" s="738"/>
      <c r="AA978" s="738"/>
      <c r="AB978" s="738"/>
      <c r="AC978" s="738"/>
      <c r="AD978" s="738"/>
      <c r="AE978" s="738"/>
      <c r="AF978" s="738"/>
      <c r="AG978" s="738"/>
      <c r="AH978" s="738"/>
      <c r="AI978" s="738"/>
      <c r="AJ978" s="738"/>
      <c r="AK978" s="738"/>
      <c r="AL978" s="738"/>
    </row>
    <row r="979">
      <c r="A979" s="738"/>
      <c r="B979" s="738"/>
      <c r="C979" s="738"/>
      <c r="D979" s="738"/>
      <c r="E979" s="738"/>
      <c r="F979" s="738"/>
      <c r="G979" s="738"/>
      <c r="H979" s="738"/>
      <c r="I979" s="738"/>
      <c r="J979" s="738"/>
      <c r="K979" s="738"/>
      <c r="L979" s="738"/>
      <c r="M979" s="738"/>
      <c r="N979" s="738"/>
      <c r="O979" s="738"/>
      <c r="P979" s="738"/>
      <c r="Q979" s="738"/>
      <c r="R979" s="738"/>
      <c r="S979" s="738"/>
      <c r="T979" s="738"/>
      <c r="U979" s="738"/>
      <c r="V979" s="738"/>
      <c r="W979" s="738"/>
      <c r="X979" s="738"/>
      <c r="Y979" s="738"/>
      <c r="Z979" s="738"/>
      <c r="AA979" s="738"/>
      <c r="AB979" s="738"/>
      <c r="AC979" s="738"/>
      <c r="AD979" s="738"/>
      <c r="AE979" s="738"/>
      <c r="AF979" s="738"/>
      <c r="AG979" s="738"/>
      <c r="AH979" s="738"/>
      <c r="AI979" s="738"/>
      <c r="AJ979" s="738"/>
      <c r="AK979" s="738"/>
      <c r="AL979" s="738"/>
    </row>
    <row r="980">
      <c r="A980" s="738"/>
      <c r="B980" s="738"/>
      <c r="C980" s="738"/>
      <c r="D980" s="738"/>
      <c r="E980" s="738"/>
      <c r="F980" s="738"/>
      <c r="G980" s="738"/>
      <c r="H980" s="738"/>
      <c r="I980" s="738"/>
      <c r="J980" s="738"/>
      <c r="K980" s="738"/>
      <c r="L980" s="738"/>
      <c r="M980" s="738"/>
      <c r="N980" s="738"/>
      <c r="O980" s="738"/>
      <c r="P980" s="738"/>
      <c r="Q980" s="738"/>
      <c r="R980" s="738"/>
      <c r="S980" s="738"/>
      <c r="T980" s="738"/>
      <c r="U980" s="738"/>
      <c r="V980" s="738"/>
      <c r="W980" s="738"/>
      <c r="X980" s="738"/>
      <c r="Y980" s="738"/>
      <c r="Z980" s="738"/>
      <c r="AA980" s="738"/>
      <c r="AB980" s="738"/>
      <c r="AC980" s="738"/>
      <c r="AD980" s="738"/>
      <c r="AE980" s="738"/>
      <c r="AF980" s="738"/>
      <c r="AG980" s="738"/>
      <c r="AH980" s="738"/>
      <c r="AI980" s="738"/>
      <c r="AJ980" s="738"/>
      <c r="AK980" s="738"/>
      <c r="AL980" s="738"/>
    </row>
    <row r="981">
      <c r="A981" s="738"/>
      <c r="B981" s="738"/>
      <c r="C981" s="738"/>
      <c r="D981" s="738"/>
      <c r="E981" s="738"/>
      <c r="F981" s="738"/>
      <c r="G981" s="738"/>
      <c r="H981" s="738"/>
      <c r="I981" s="738"/>
      <c r="J981" s="738"/>
      <c r="K981" s="738"/>
      <c r="L981" s="738"/>
      <c r="M981" s="738"/>
      <c r="N981" s="738"/>
      <c r="O981" s="738"/>
      <c r="P981" s="738"/>
      <c r="Q981" s="738"/>
      <c r="R981" s="738"/>
      <c r="S981" s="738"/>
      <c r="T981" s="738"/>
      <c r="U981" s="738"/>
      <c r="V981" s="738"/>
      <c r="W981" s="738"/>
      <c r="X981" s="738"/>
      <c r="Y981" s="738"/>
      <c r="Z981" s="738"/>
      <c r="AA981" s="738"/>
      <c r="AB981" s="738"/>
      <c r="AC981" s="738"/>
      <c r="AD981" s="738"/>
      <c r="AE981" s="738"/>
      <c r="AF981" s="738"/>
      <c r="AG981" s="738"/>
      <c r="AH981" s="738"/>
      <c r="AI981" s="738"/>
      <c r="AJ981" s="738"/>
      <c r="AK981" s="738"/>
      <c r="AL981" s="738"/>
    </row>
    <row r="982">
      <c r="A982" s="738"/>
      <c r="B982" s="738"/>
      <c r="C982" s="738"/>
      <c r="D982" s="738"/>
      <c r="E982" s="738"/>
      <c r="F982" s="738"/>
      <c r="G982" s="738"/>
      <c r="H982" s="738"/>
      <c r="I982" s="738"/>
      <c r="J982" s="738"/>
      <c r="K982" s="738"/>
      <c r="L982" s="738"/>
      <c r="M982" s="738"/>
      <c r="N982" s="738"/>
      <c r="O982" s="738"/>
      <c r="P982" s="738"/>
      <c r="Q982" s="738"/>
      <c r="R982" s="738"/>
      <c r="S982" s="738"/>
      <c r="T982" s="738"/>
      <c r="U982" s="738"/>
      <c r="V982" s="738"/>
      <c r="W982" s="738"/>
      <c r="X982" s="738"/>
      <c r="Y982" s="738"/>
      <c r="Z982" s="738"/>
      <c r="AA982" s="738"/>
      <c r="AB982" s="738"/>
      <c r="AC982" s="738"/>
      <c r="AD982" s="738"/>
      <c r="AE982" s="738"/>
      <c r="AF982" s="738"/>
      <c r="AG982" s="738"/>
      <c r="AH982" s="738"/>
      <c r="AI982" s="738"/>
      <c r="AJ982" s="738"/>
      <c r="AK982" s="738"/>
      <c r="AL982" s="738"/>
    </row>
    <row r="983">
      <c r="A983" s="738"/>
      <c r="B983" s="738"/>
      <c r="C983" s="738"/>
      <c r="D983" s="738"/>
      <c r="E983" s="738"/>
      <c r="F983" s="738"/>
      <c r="G983" s="738"/>
      <c r="H983" s="738"/>
      <c r="I983" s="738"/>
      <c r="J983" s="738"/>
      <c r="K983" s="738"/>
      <c r="L983" s="738"/>
      <c r="M983" s="738"/>
      <c r="N983" s="738"/>
      <c r="O983" s="738"/>
      <c r="P983" s="738"/>
      <c r="Q983" s="738"/>
      <c r="R983" s="738"/>
      <c r="S983" s="738"/>
      <c r="T983" s="738"/>
      <c r="U983" s="738"/>
      <c r="V983" s="738"/>
      <c r="W983" s="738"/>
      <c r="X983" s="738"/>
      <c r="Y983" s="738"/>
      <c r="Z983" s="738"/>
      <c r="AA983" s="738"/>
      <c r="AB983" s="738"/>
      <c r="AC983" s="738"/>
      <c r="AD983" s="738"/>
      <c r="AE983" s="738"/>
      <c r="AF983" s="738"/>
      <c r="AG983" s="738"/>
      <c r="AH983" s="738"/>
      <c r="AI983" s="738"/>
      <c r="AJ983" s="738"/>
      <c r="AK983" s="738"/>
      <c r="AL983" s="738"/>
    </row>
    <row r="984">
      <c r="A984" s="738"/>
      <c r="B984" s="738"/>
      <c r="C984" s="738"/>
      <c r="D984" s="738"/>
      <c r="E984" s="738"/>
      <c r="F984" s="738"/>
      <c r="G984" s="738"/>
      <c r="H984" s="738"/>
      <c r="I984" s="738"/>
      <c r="J984" s="738"/>
      <c r="K984" s="738"/>
      <c r="L984" s="738"/>
      <c r="M984" s="738"/>
      <c r="N984" s="738"/>
      <c r="O984" s="738"/>
      <c r="P984" s="738"/>
      <c r="Q984" s="738"/>
      <c r="R984" s="738"/>
      <c r="S984" s="738"/>
      <c r="T984" s="738"/>
      <c r="U984" s="738"/>
      <c r="V984" s="738"/>
      <c r="W984" s="738"/>
      <c r="X984" s="738"/>
      <c r="Y984" s="738"/>
      <c r="Z984" s="738"/>
      <c r="AA984" s="738"/>
      <c r="AB984" s="738"/>
      <c r="AC984" s="738"/>
      <c r="AD984" s="738"/>
      <c r="AE984" s="738"/>
      <c r="AF984" s="738"/>
      <c r="AG984" s="738"/>
      <c r="AH984" s="738"/>
      <c r="AI984" s="738"/>
      <c r="AJ984" s="738"/>
      <c r="AK984" s="738"/>
      <c r="AL984" s="738"/>
    </row>
    <row r="985">
      <c r="A985" s="738"/>
      <c r="B985" s="738"/>
      <c r="C985" s="738"/>
      <c r="D985" s="738"/>
      <c r="E985" s="738"/>
      <c r="F985" s="738"/>
      <c r="G985" s="738"/>
      <c r="H985" s="738"/>
      <c r="I985" s="738"/>
      <c r="J985" s="738"/>
      <c r="K985" s="738"/>
      <c r="L985" s="738"/>
      <c r="M985" s="738"/>
      <c r="N985" s="738"/>
      <c r="O985" s="738"/>
      <c r="P985" s="738"/>
      <c r="Q985" s="738"/>
      <c r="R985" s="738"/>
      <c r="S985" s="738"/>
      <c r="T985" s="738"/>
      <c r="U985" s="738"/>
      <c r="V985" s="738"/>
      <c r="W985" s="738"/>
      <c r="X985" s="738"/>
      <c r="Y985" s="738"/>
      <c r="Z985" s="738"/>
      <c r="AA985" s="738"/>
      <c r="AB985" s="738"/>
      <c r="AC985" s="738"/>
      <c r="AD985" s="738"/>
      <c r="AE985" s="738"/>
      <c r="AF985" s="738"/>
      <c r="AG985" s="738"/>
      <c r="AH985" s="738"/>
      <c r="AI985" s="738"/>
      <c r="AJ985" s="738"/>
      <c r="AK985" s="738"/>
      <c r="AL985" s="738"/>
    </row>
    <row r="986">
      <c r="A986" s="738"/>
      <c r="B986" s="738"/>
      <c r="C986" s="738"/>
      <c r="D986" s="738"/>
      <c r="E986" s="738"/>
      <c r="F986" s="738"/>
      <c r="G986" s="738"/>
      <c r="H986" s="738"/>
      <c r="I986" s="738"/>
      <c r="J986" s="738"/>
      <c r="K986" s="738"/>
      <c r="L986" s="738"/>
      <c r="M986" s="738"/>
      <c r="N986" s="738"/>
      <c r="O986" s="738"/>
      <c r="P986" s="738"/>
      <c r="Q986" s="738"/>
      <c r="R986" s="738"/>
      <c r="S986" s="738"/>
      <c r="T986" s="738"/>
      <c r="U986" s="738"/>
      <c r="V986" s="738"/>
      <c r="W986" s="738"/>
      <c r="X986" s="738"/>
      <c r="Y986" s="738"/>
      <c r="Z986" s="738"/>
      <c r="AA986" s="738"/>
      <c r="AB986" s="738"/>
      <c r="AC986" s="738"/>
      <c r="AD986" s="738"/>
      <c r="AE986" s="738"/>
      <c r="AF986" s="738"/>
      <c r="AG986" s="738"/>
      <c r="AH986" s="738"/>
      <c r="AI986" s="738"/>
      <c r="AJ986" s="738"/>
      <c r="AK986" s="738"/>
      <c r="AL986" s="738"/>
    </row>
    <row r="987">
      <c r="A987" s="738"/>
      <c r="B987" s="738"/>
      <c r="C987" s="738"/>
      <c r="D987" s="738"/>
      <c r="E987" s="738"/>
      <c r="F987" s="738"/>
      <c r="G987" s="738"/>
      <c r="H987" s="738"/>
      <c r="I987" s="738"/>
      <c r="J987" s="738"/>
      <c r="K987" s="738"/>
      <c r="L987" s="738"/>
      <c r="M987" s="738"/>
      <c r="N987" s="738"/>
      <c r="O987" s="738"/>
      <c r="P987" s="738"/>
      <c r="Q987" s="738"/>
      <c r="R987" s="738"/>
      <c r="S987" s="738"/>
      <c r="T987" s="738"/>
      <c r="U987" s="738"/>
      <c r="V987" s="738"/>
      <c r="W987" s="738"/>
      <c r="X987" s="738"/>
      <c r="Y987" s="738"/>
      <c r="Z987" s="738"/>
      <c r="AA987" s="738"/>
      <c r="AB987" s="738"/>
      <c r="AC987" s="738"/>
      <c r="AD987" s="738"/>
      <c r="AE987" s="738"/>
      <c r="AF987" s="738"/>
      <c r="AG987" s="738"/>
      <c r="AH987" s="738"/>
      <c r="AI987" s="738"/>
      <c r="AJ987" s="738"/>
      <c r="AK987" s="738"/>
      <c r="AL987" s="738"/>
    </row>
    <row r="988">
      <c r="A988" s="738"/>
      <c r="B988" s="738"/>
      <c r="C988" s="738"/>
      <c r="D988" s="738"/>
      <c r="E988" s="738"/>
      <c r="F988" s="738"/>
      <c r="G988" s="738"/>
      <c r="H988" s="738"/>
      <c r="I988" s="738"/>
      <c r="J988" s="738"/>
      <c r="K988" s="738"/>
      <c r="L988" s="738"/>
      <c r="M988" s="738"/>
      <c r="N988" s="738"/>
      <c r="O988" s="738"/>
      <c r="P988" s="738"/>
      <c r="Q988" s="738"/>
      <c r="R988" s="738"/>
      <c r="S988" s="738"/>
      <c r="T988" s="738"/>
      <c r="U988" s="738"/>
      <c r="V988" s="738"/>
      <c r="W988" s="738"/>
      <c r="X988" s="738"/>
      <c r="Y988" s="738"/>
      <c r="Z988" s="738"/>
      <c r="AA988" s="738"/>
      <c r="AB988" s="738"/>
      <c r="AC988" s="738"/>
      <c r="AD988" s="738"/>
      <c r="AE988" s="738"/>
      <c r="AF988" s="738"/>
      <c r="AG988" s="738"/>
      <c r="AH988" s="738"/>
      <c r="AI988" s="738"/>
      <c r="AJ988" s="738"/>
      <c r="AK988" s="738"/>
      <c r="AL988" s="738"/>
    </row>
    <row r="989">
      <c r="A989" s="738"/>
      <c r="B989" s="738"/>
      <c r="C989" s="738"/>
      <c r="D989" s="738"/>
      <c r="E989" s="738"/>
      <c r="F989" s="738"/>
      <c r="G989" s="738"/>
      <c r="H989" s="738"/>
      <c r="I989" s="738"/>
      <c r="J989" s="738"/>
      <c r="K989" s="738"/>
      <c r="L989" s="738"/>
      <c r="M989" s="738"/>
      <c r="N989" s="738"/>
      <c r="O989" s="738"/>
      <c r="P989" s="738"/>
      <c r="Q989" s="738"/>
      <c r="R989" s="738"/>
      <c r="S989" s="738"/>
      <c r="T989" s="738"/>
      <c r="U989" s="738"/>
      <c r="V989" s="738"/>
      <c r="W989" s="738"/>
      <c r="X989" s="738"/>
      <c r="Y989" s="738"/>
      <c r="Z989" s="738"/>
      <c r="AA989" s="738"/>
      <c r="AB989" s="738"/>
      <c r="AC989" s="738"/>
      <c r="AD989" s="738"/>
      <c r="AE989" s="738"/>
      <c r="AF989" s="738"/>
      <c r="AG989" s="738"/>
      <c r="AH989" s="738"/>
      <c r="AI989" s="738"/>
      <c r="AJ989" s="738"/>
      <c r="AK989" s="738"/>
      <c r="AL989" s="738"/>
    </row>
    <row r="990">
      <c r="A990" s="738"/>
      <c r="B990" s="738"/>
      <c r="C990" s="738"/>
      <c r="D990" s="738"/>
      <c r="E990" s="738"/>
      <c r="F990" s="738"/>
      <c r="G990" s="738"/>
      <c r="H990" s="738"/>
      <c r="I990" s="738"/>
      <c r="J990" s="738"/>
      <c r="K990" s="738"/>
      <c r="L990" s="738"/>
      <c r="M990" s="738"/>
      <c r="N990" s="738"/>
      <c r="O990" s="738"/>
      <c r="P990" s="738"/>
      <c r="Q990" s="738"/>
      <c r="R990" s="738"/>
      <c r="S990" s="738"/>
      <c r="T990" s="738"/>
      <c r="U990" s="738"/>
      <c r="V990" s="738"/>
      <c r="W990" s="738"/>
      <c r="X990" s="738"/>
      <c r="Y990" s="738"/>
      <c r="Z990" s="738"/>
      <c r="AA990" s="738"/>
      <c r="AB990" s="738"/>
      <c r="AC990" s="738"/>
      <c r="AD990" s="738"/>
      <c r="AE990" s="738"/>
      <c r="AF990" s="738"/>
      <c r="AG990" s="738"/>
      <c r="AH990" s="738"/>
      <c r="AI990" s="738"/>
      <c r="AJ990" s="738"/>
      <c r="AK990" s="738"/>
      <c r="AL990" s="738"/>
    </row>
    <row r="991">
      <c r="A991" s="738"/>
      <c r="B991" s="738"/>
      <c r="C991" s="738"/>
      <c r="D991" s="738"/>
      <c r="E991" s="738"/>
      <c r="F991" s="738"/>
      <c r="G991" s="738"/>
      <c r="H991" s="738"/>
      <c r="I991" s="738"/>
      <c r="J991" s="738"/>
      <c r="K991" s="738"/>
      <c r="L991" s="738"/>
      <c r="M991" s="738"/>
      <c r="N991" s="738"/>
      <c r="O991" s="738"/>
      <c r="P991" s="738"/>
      <c r="Q991" s="738"/>
      <c r="R991" s="738"/>
      <c r="S991" s="738"/>
      <c r="T991" s="738"/>
      <c r="U991" s="738"/>
      <c r="V991" s="738"/>
      <c r="W991" s="738"/>
      <c r="X991" s="738"/>
      <c r="Y991" s="738"/>
      <c r="Z991" s="738"/>
      <c r="AA991" s="738"/>
      <c r="AB991" s="738"/>
      <c r="AC991" s="738"/>
      <c r="AD991" s="738"/>
      <c r="AE991" s="738"/>
      <c r="AF991" s="738"/>
      <c r="AG991" s="738"/>
      <c r="AH991" s="738"/>
      <c r="AI991" s="738"/>
      <c r="AJ991" s="738"/>
      <c r="AK991" s="738"/>
      <c r="AL991" s="738"/>
    </row>
    <row r="992">
      <c r="A992" s="738"/>
      <c r="B992" s="738"/>
      <c r="C992" s="738"/>
      <c r="D992" s="738"/>
      <c r="E992" s="738"/>
      <c r="F992" s="738"/>
      <c r="G992" s="738"/>
      <c r="H992" s="738"/>
      <c r="I992" s="738"/>
      <c r="J992" s="738"/>
      <c r="K992" s="738"/>
      <c r="L992" s="738"/>
      <c r="M992" s="738"/>
      <c r="N992" s="738"/>
      <c r="O992" s="738"/>
      <c r="P992" s="738"/>
      <c r="Q992" s="738"/>
      <c r="R992" s="738"/>
      <c r="S992" s="738"/>
      <c r="T992" s="738"/>
      <c r="U992" s="738"/>
      <c r="V992" s="738"/>
      <c r="W992" s="738"/>
      <c r="X992" s="738"/>
      <c r="Y992" s="738"/>
      <c r="Z992" s="738"/>
      <c r="AA992" s="738"/>
      <c r="AB992" s="738"/>
      <c r="AC992" s="738"/>
      <c r="AD992" s="738"/>
      <c r="AE992" s="738"/>
      <c r="AF992" s="738"/>
      <c r="AG992" s="738"/>
      <c r="AH992" s="738"/>
      <c r="AI992" s="738"/>
      <c r="AJ992" s="738"/>
      <c r="AK992" s="738"/>
      <c r="AL992" s="738"/>
    </row>
    <row r="993">
      <c r="A993" s="738"/>
      <c r="B993" s="738"/>
      <c r="C993" s="738"/>
      <c r="D993" s="738"/>
      <c r="E993" s="738"/>
      <c r="F993" s="738"/>
      <c r="G993" s="738"/>
      <c r="H993" s="738"/>
      <c r="I993" s="738"/>
      <c r="J993" s="738"/>
      <c r="K993" s="738"/>
      <c r="L993" s="738"/>
      <c r="M993" s="738"/>
      <c r="N993" s="738"/>
      <c r="O993" s="738"/>
      <c r="P993" s="738"/>
      <c r="Q993" s="738"/>
      <c r="R993" s="738"/>
      <c r="S993" s="738"/>
      <c r="T993" s="738"/>
      <c r="U993" s="738"/>
      <c r="V993" s="738"/>
      <c r="W993" s="738"/>
      <c r="X993" s="738"/>
      <c r="Y993" s="738"/>
      <c r="Z993" s="738"/>
      <c r="AA993" s="738"/>
      <c r="AB993" s="738"/>
      <c r="AC993" s="738"/>
      <c r="AD993" s="738"/>
      <c r="AE993" s="738"/>
      <c r="AF993" s="738"/>
      <c r="AG993" s="738"/>
      <c r="AH993" s="738"/>
      <c r="AI993" s="738"/>
      <c r="AJ993" s="738"/>
      <c r="AK993" s="738"/>
      <c r="AL993" s="738"/>
    </row>
    <row r="994">
      <c r="A994" s="738"/>
      <c r="B994" s="738"/>
      <c r="C994" s="738"/>
      <c r="D994" s="738"/>
      <c r="E994" s="738"/>
      <c r="F994" s="738"/>
      <c r="G994" s="738"/>
      <c r="H994" s="738"/>
      <c r="I994" s="738"/>
      <c r="J994" s="738"/>
      <c r="K994" s="738"/>
      <c r="L994" s="738"/>
      <c r="M994" s="738"/>
      <c r="N994" s="738"/>
      <c r="O994" s="738"/>
      <c r="P994" s="738"/>
      <c r="Q994" s="738"/>
      <c r="R994" s="738"/>
      <c r="S994" s="738"/>
      <c r="T994" s="738"/>
      <c r="U994" s="738"/>
      <c r="V994" s="738"/>
      <c r="W994" s="738"/>
      <c r="X994" s="738"/>
      <c r="Y994" s="738"/>
      <c r="Z994" s="738"/>
      <c r="AA994" s="738"/>
      <c r="AB994" s="738"/>
      <c r="AC994" s="738"/>
      <c r="AD994" s="738"/>
      <c r="AE994" s="738"/>
      <c r="AF994" s="738"/>
      <c r="AG994" s="738"/>
      <c r="AH994" s="738"/>
      <c r="AI994" s="738"/>
      <c r="AJ994" s="738"/>
      <c r="AK994" s="738"/>
      <c r="AL994" s="738"/>
    </row>
    <row r="995">
      <c r="A995" s="738"/>
      <c r="B995" s="738"/>
      <c r="C995" s="738"/>
      <c r="D995" s="738"/>
      <c r="E995" s="738"/>
      <c r="F995" s="738"/>
      <c r="G995" s="738"/>
      <c r="H995" s="738"/>
      <c r="I995" s="738"/>
      <c r="J995" s="738"/>
      <c r="K995" s="738"/>
      <c r="L995" s="738"/>
      <c r="M995" s="738"/>
      <c r="N995" s="738"/>
      <c r="O995" s="738"/>
      <c r="P995" s="738"/>
      <c r="Q995" s="738"/>
      <c r="R995" s="738"/>
      <c r="S995" s="738"/>
      <c r="T995" s="738"/>
      <c r="U995" s="738"/>
      <c r="V995" s="738"/>
      <c r="W995" s="738"/>
      <c r="X995" s="738"/>
      <c r="Y995" s="738"/>
      <c r="Z995" s="738"/>
      <c r="AA995" s="738"/>
      <c r="AB995" s="738"/>
      <c r="AC995" s="738"/>
      <c r="AD995" s="738"/>
      <c r="AE995" s="738"/>
      <c r="AF995" s="738"/>
      <c r="AG995" s="738"/>
      <c r="AH995" s="738"/>
      <c r="AI995" s="738"/>
      <c r="AJ995" s="738"/>
      <c r="AK995" s="738"/>
      <c r="AL995" s="738"/>
    </row>
    <row r="996">
      <c r="A996" s="738"/>
      <c r="B996" s="738"/>
      <c r="C996" s="738"/>
      <c r="D996" s="738"/>
      <c r="E996" s="738"/>
      <c r="F996" s="738"/>
      <c r="G996" s="738"/>
      <c r="H996" s="738"/>
      <c r="I996" s="738"/>
      <c r="J996" s="738"/>
      <c r="K996" s="738"/>
      <c r="L996" s="738"/>
      <c r="M996" s="738"/>
      <c r="N996" s="738"/>
      <c r="O996" s="738"/>
      <c r="P996" s="738"/>
      <c r="Q996" s="738"/>
      <c r="R996" s="738"/>
      <c r="S996" s="738"/>
      <c r="T996" s="738"/>
      <c r="U996" s="738"/>
      <c r="V996" s="738"/>
      <c r="W996" s="738"/>
      <c r="X996" s="738"/>
      <c r="Y996" s="738"/>
      <c r="Z996" s="738"/>
      <c r="AA996" s="738"/>
      <c r="AB996" s="738"/>
      <c r="AC996" s="738"/>
      <c r="AD996" s="738"/>
      <c r="AE996" s="738"/>
      <c r="AF996" s="738"/>
      <c r="AG996" s="738"/>
      <c r="AH996" s="738"/>
      <c r="AI996" s="738"/>
      <c r="AJ996" s="738"/>
      <c r="AK996" s="738"/>
      <c r="AL996" s="738"/>
    </row>
    <row r="997">
      <c r="A997" s="738"/>
      <c r="B997" s="738"/>
      <c r="C997" s="738"/>
      <c r="D997" s="738"/>
      <c r="E997" s="738"/>
      <c r="F997" s="738"/>
      <c r="G997" s="738"/>
      <c r="H997" s="738"/>
      <c r="I997" s="738"/>
      <c r="J997" s="738"/>
      <c r="K997" s="738"/>
      <c r="L997" s="738"/>
      <c r="M997" s="738"/>
      <c r="N997" s="738"/>
      <c r="O997" s="738"/>
      <c r="P997" s="738"/>
      <c r="Q997" s="738"/>
      <c r="R997" s="738"/>
      <c r="S997" s="738"/>
      <c r="T997" s="738"/>
      <c r="U997" s="738"/>
      <c r="V997" s="738"/>
      <c r="W997" s="738"/>
      <c r="X997" s="738"/>
      <c r="Y997" s="738"/>
      <c r="Z997" s="738"/>
      <c r="AA997" s="738"/>
      <c r="AB997" s="738"/>
      <c r="AC997" s="738"/>
      <c r="AD997" s="738"/>
      <c r="AE997" s="738"/>
      <c r="AF997" s="738"/>
      <c r="AG997" s="738"/>
      <c r="AH997" s="738"/>
      <c r="AI997" s="738"/>
      <c r="AJ997" s="738"/>
      <c r="AK997" s="738"/>
      <c r="AL997" s="738"/>
    </row>
    <row r="998">
      <c r="A998" s="738"/>
      <c r="B998" s="738"/>
      <c r="C998" s="738"/>
      <c r="D998" s="738"/>
      <c r="E998" s="738"/>
      <c r="F998" s="738"/>
      <c r="G998" s="738"/>
      <c r="H998" s="738"/>
      <c r="I998" s="738"/>
      <c r="J998" s="738"/>
      <c r="K998" s="738"/>
      <c r="L998" s="738"/>
      <c r="M998" s="738"/>
      <c r="N998" s="738"/>
      <c r="O998" s="738"/>
      <c r="P998" s="738"/>
      <c r="Q998" s="738"/>
      <c r="R998" s="738"/>
      <c r="S998" s="738"/>
      <c r="T998" s="738"/>
      <c r="U998" s="738"/>
      <c r="V998" s="738"/>
      <c r="W998" s="738"/>
      <c r="X998" s="738"/>
      <c r="Y998" s="738"/>
      <c r="Z998" s="738"/>
      <c r="AA998" s="738"/>
      <c r="AB998" s="738"/>
      <c r="AC998" s="738"/>
      <c r="AD998" s="738"/>
      <c r="AE998" s="738"/>
      <c r="AF998" s="738"/>
      <c r="AG998" s="738"/>
      <c r="AH998" s="738"/>
      <c r="AI998" s="738"/>
      <c r="AJ998" s="738"/>
      <c r="AK998" s="738"/>
      <c r="AL998" s="738"/>
    </row>
    <row r="999">
      <c r="A999" s="738"/>
      <c r="B999" s="738"/>
      <c r="C999" s="738"/>
      <c r="D999" s="738"/>
      <c r="E999" s="738"/>
      <c r="F999" s="738"/>
      <c r="G999" s="738"/>
      <c r="H999" s="738"/>
      <c r="I999" s="738"/>
      <c r="J999" s="738"/>
      <c r="K999" s="738"/>
      <c r="L999" s="738"/>
      <c r="M999" s="738"/>
      <c r="N999" s="738"/>
      <c r="O999" s="738"/>
      <c r="P999" s="738"/>
      <c r="Q999" s="738"/>
      <c r="R999" s="738"/>
      <c r="S999" s="738"/>
      <c r="T999" s="738"/>
      <c r="U999" s="738"/>
      <c r="V999" s="738"/>
      <c r="W999" s="738"/>
      <c r="X999" s="738"/>
      <c r="Y999" s="738"/>
      <c r="Z999" s="738"/>
      <c r="AA999" s="738"/>
      <c r="AB999" s="738"/>
      <c r="AC999" s="738"/>
      <c r="AD999" s="738"/>
      <c r="AE999" s="738"/>
      <c r="AF999" s="738"/>
      <c r="AG999" s="738"/>
      <c r="AH999" s="738"/>
      <c r="AI999" s="738"/>
      <c r="AJ999" s="738"/>
      <c r="AK999" s="738"/>
      <c r="AL999" s="738"/>
    </row>
    <row r="1000">
      <c r="A1000" s="738"/>
      <c r="B1000" s="738"/>
      <c r="C1000" s="738"/>
      <c r="D1000" s="738"/>
      <c r="E1000" s="738"/>
      <c r="F1000" s="738"/>
      <c r="G1000" s="738"/>
      <c r="H1000" s="738"/>
      <c r="I1000" s="738"/>
      <c r="J1000" s="738"/>
      <c r="K1000" s="738"/>
      <c r="L1000" s="738"/>
      <c r="M1000" s="738"/>
      <c r="N1000" s="738"/>
      <c r="O1000" s="738"/>
      <c r="P1000" s="738"/>
      <c r="Q1000" s="738"/>
      <c r="R1000" s="738"/>
      <c r="S1000" s="738"/>
      <c r="T1000" s="738"/>
      <c r="U1000" s="738"/>
      <c r="V1000" s="738"/>
      <c r="W1000" s="738"/>
      <c r="X1000" s="738"/>
      <c r="Y1000" s="738"/>
      <c r="Z1000" s="738"/>
      <c r="AA1000" s="738"/>
      <c r="AB1000" s="738"/>
      <c r="AC1000" s="738"/>
      <c r="AD1000" s="738"/>
      <c r="AE1000" s="738"/>
      <c r="AF1000" s="738"/>
      <c r="AG1000" s="738"/>
      <c r="AH1000" s="738"/>
      <c r="AI1000" s="738"/>
      <c r="AJ1000" s="738"/>
      <c r="AK1000" s="738"/>
      <c r="AL1000" s="738"/>
    </row>
    <row r="1001">
      <c r="A1001" s="738"/>
      <c r="B1001" s="738"/>
      <c r="C1001" s="738"/>
      <c r="D1001" s="738"/>
      <c r="E1001" s="738"/>
      <c r="F1001" s="738"/>
      <c r="G1001" s="738"/>
      <c r="H1001" s="738"/>
      <c r="I1001" s="738"/>
      <c r="J1001" s="738"/>
      <c r="K1001" s="738"/>
      <c r="L1001" s="738"/>
      <c r="M1001" s="738"/>
      <c r="N1001" s="738"/>
      <c r="O1001" s="738"/>
      <c r="P1001" s="738"/>
      <c r="Q1001" s="738"/>
      <c r="R1001" s="738"/>
      <c r="S1001" s="738"/>
      <c r="T1001" s="738"/>
      <c r="U1001" s="738"/>
      <c r="V1001" s="738"/>
      <c r="W1001" s="738"/>
      <c r="X1001" s="738"/>
      <c r="Y1001" s="738"/>
      <c r="Z1001" s="738"/>
      <c r="AA1001" s="738"/>
      <c r="AB1001" s="738"/>
      <c r="AC1001" s="738"/>
      <c r="AD1001" s="738"/>
      <c r="AE1001" s="738"/>
      <c r="AF1001" s="738"/>
      <c r="AG1001" s="738"/>
      <c r="AH1001" s="738"/>
      <c r="AI1001" s="738"/>
      <c r="AJ1001" s="738"/>
      <c r="AK1001" s="738"/>
      <c r="AL1001" s="738"/>
    </row>
    <row r="1002">
      <c r="A1002" s="738"/>
      <c r="B1002" s="738"/>
      <c r="C1002" s="738"/>
      <c r="D1002" s="738"/>
      <c r="E1002" s="738"/>
      <c r="F1002" s="738"/>
      <c r="G1002" s="738"/>
      <c r="H1002" s="738"/>
      <c r="I1002" s="738"/>
      <c r="J1002" s="738"/>
      <c r="K1002" s="738"/>
      <c r="L1002" s="738"/>
      <c r="M1002" s="738"/>
      <c r="N1002" s="738"/>
      <c r="O1002" s="738"/>
      <c r="P1002" s="738"/>
      <c r="Q1002" s="738"/>
      <c r="R1002" s="738"/>
      <c r="S1002" s="738"/>
      <c r="T1002" s="738"/>
      <c r="U1002" s="738"/>
      <c r="V1002" s="738"/>
      <c r="W1002" s="738"/>
      <c r="X1002" s="738"/>
      <c r="Y1002" s="738"/>
      <c r="Z1002" s="738"/>
      <c r="AA1002" s="738"/>
      <c r="AB1002" s="738"/>
      <c r="AC1002" s="738"/>
      <c r="AD1002" s="738"/>
      <c r="AE1002" s="738"/>
      <c r="AF1002" s="738"/>
      <c r="AG1002" s="738"/>
      <c r="AH1002" s="738"/>
      <c r="AI1002" s="738"/>
      <c r="AJ1002" s="738"/>
      <c r="AK1002" s="738"/>
      <c r="AL1002" s="738"/>
    </row>
    <row r="1003">
      <c r="A1003" s="738"/>
      <c r="B1003" s="738"/>
      <c r="C1003" s="738"/>
      <c r="D1003" s="738"/>
      <c r="E1003" s="738"/>
      <c r="F1003" s="738"/>
      <c r="G1003" s="738"/>
      <c r="H1003" s="738"/>
      <c r="I1003" s="738"/>
      <c r="J1003" s="738"/>
      <c r="K1003" s="738"/>
      <c r="L1003" s="738"/>
      <c r="M1003" s="738"/>
      <c r="N1003" s="738"/>
      <c r="O1003" s="738"/>
      <c r="P1003" s="738"/>
      <c r="Q1003" s="738"/>
      <c r="R1003" s="738"/>
      <c r="S1003" s="738"/>
      <c r="T1003" s="738"/>
      <c r="U1003" s="738"/>
      <c r="V1003" s="738"/>
      <c r="W1003" s="738"/>
      <c r="X1003" s="738"/>
      <c r="Y1003" s="738"/>
      <c r="Z1003" s="738"/>
      <c r="AA1003" s="738"/>
      <c r="AB1003" s="738"/>
      <c r="AC1003" s="738"/>
      <c r="AD1003" s="738"/>
      <c r="AE1003" s="738"/>
      <c r="AF1003" s="738"/>
      <c r="AG1003" s="738"/>
      <c r="AH1003" s="738"/>
      <c r="AI1003" s="738"/>
      <c r="AJ1003" s="738"/>
      <c r="AK1003" s="738"/>
      <c r="AL1003" s="738"/>
    </row>
    <row r="1004">
      <c r="A1004" s="738"/>
      <c r="B1004" s="738"/>
      <c r="C1004" s="738"/>
      <c r="D1004" s="738"/>
      <c r="E1004" s="738"/>
      <c r="F1004" s="738"/>
      <c r="G1004" s="738"/>
      <c r="H1004" s="738"/>
      <c r="I1004" s="738"/>
      <c r="J1004" s="738"/>
      <c r="K1004" s="738"/>
      <c r="L1004" s="738"/>
      <c r="M1004" s="738"/>
      <c r="N1004" s="738"/>
      <c r="O1004" s="738"/>
      <c r="P1004" s="738"/>
      <c r="Q1004" s="738"/>
      <c r="R1004" s="738"/>
      <c r="S1004" s="738"/>
      <c r="T1004" s="738"/>
      <c r="U1004" s="738"/>
      <c r="V1004" s="738"/>
      <c r="W1004" s="738"/>
      <c r="X1004" s="738"/>
      <c r="Y1004" s="738"/>
      <c r="Z1004" s="738"/>
      <c r="AA1004" s="738"/>
      <c r="AB1004" s="738"/>
      <c r="AC1004" s="738"/>
      <c r="AD1004" s="738"/>
      <c r="AE1004" s="738"/>
      <c r="AF1004" s="738"/>
      <c r="AG1004" s="738"/>
      <c r="AH1004" s="738"/>
      <c r="AI1004" s="738"/>
      <c r="AJ1004" s="738"/>
      <c r="AK1004" s="738"/>
      <c r="AL1004" s="738"/>
    </row>
    <row r="1005">
      <c r="A1005" s="738"/>
      <c r="B1005" s="738"/>
      <c r="C1005" s="738"/>
      <c r="D1005" s="738"/>
      <c r="E1005" s="738"/>
      <c r="F1005" s="738"/>
      <c r="G1005" s="738"/>
      <c r="H1005" s="738"/>
      <c r="I1005" s="738"/>
      <c r="J1005" s="738"/>
      <c r="K1005" s="738"/>
      <c r="L1005" s="738"/>
      <c r="M1005" s="738"/>
      <c r="N1005" s="738"/>
      <c r="O1005" s="738"/>
      <c r="P1005" s="738"/>
      <c r="Q1005" s="738"/>
      <c r="R1005" s="738"/>
      <c r="S1005" s="738"/>
      <c r="T1005" s="738"/>
      <c r="U1005" s="738"/>
      <c r="V1005" s="738"/>
      <c r="W1005" s="738"/>
      <c r="X1005" s="738"/>
      <c r="Y1005" s="738"/>
      <c r="Z1005" s="738"/>
      <c r="AA1005" s="738"/>
      <c r="AB1005" s="738"/>
      <c r="AC1005" s="738"/>
      <c r="AD1005" s="738"/>
      <c r="AE1005" s="738"/>
      <c r="AF1005" s="738"/>
      <c r="AG1005" s="738"/>
      <c r="AH1005" s="738"/>
      <c r="AI1005" s="738"/>
      <c r="AJ1005" s="738"/>
      <c r="AK1005" s="738"/>
      <c r="AL1005" s="738"/>
    </row>
    <row r="1006">
      <c r="A1006" s="738"/>
      <c r="B1006" s="738"/>
      <c r="C1006" s="738"/>
      <c r="D1006" s="738"/>
      <c r="E1006" s="738"/>
      <c r="F1006" s="738"/>
      <c r="G1006" s="738"/>
      <c r="H1006" s="738"/>
      <c r="I1006" s="738"/>
      <c r="J1006" s="738"/>
      <c r="K1006" s="738"/>
      <c r="L1006" s="738"/>
      <c r="M1006" s="738"/>
      <c r="N1006" s="738"/>
      <c r="O1006" s="738"/>
      <c r="P1006" s="738"/>
      <c r="Q1006" s="738"/>
      <c r="R1006" s="738"/>
      <c r="S1006" s="738"/>
      <c r="T1006" s="738"/>
      <c r="U1006" s="738"/>
      <c r="V1006" s="738"/>
      <c r="W1006" s="738"/>
      <c r="X1006" s="738"/>
      <c r="Y1006" s="738"/>
      <c r="Z1006" s="738"/>
      <c r="AA1006" s="738"/>
      <c r="AB1006" s="738"/>
      <c r="AC1006" s="738"/>
      <c r="AD1006" s="738"/>
      <c r="AE1006" s="738"/>
      <c r="AF1006" s="738"/>
      <c r="AG1006" s="738"/>
      <c r="AH1006" s="738"/>
      <c r="AI1006" s="738"/>
      <c r="AJ1006" s="738"/>
      <c r="AK1006" s="738"/>
      <c r="AL1006" s="738"/>
    </row>
    <row r="1007">
      <c r="A1007" s="738"/>
      <c r="B1007" s="738"/>
      <c r="C1007" s="738"/>
      <c r="D1007" s="738"/>
      <c r="E1007" s="738"/>
      <c r="F1007" s="738"/>
      <c r="G1007" s="738"/>
      <c r="H1007" s="738"/>
      <c r="I1007" s="738"/>
      <c r="J1007" s="738"/>
      <c r="K1007" s="738"/>
      <c r="L1007" s="738"/>
      <c r="M1007" s="738"/>
      <c r="N1007" s="738"/>
      <c r="O1007" s="738"/>
      <c r="P1007" s="738"/>
      <c r="Q1007" s="738"/>
      <c r="R1007" s="738"/>
      <c r="S1007" s="738"/>
      <c r="T1007" s="738"/>
      <c r="U1007" s="738"/>
      <c r="V1007" s="738"/>
      <c r="W1007" s="738"/>
      <c r="X1007" s="738"/>
      <c r="Y1007" s="738"/>
      <c r="Z1007" s="738"/>
      <c r="AA1007" s="738"/>
      <c r="AB1007" s="738"/>
      <c r="AC1007" s="738"/>
      <c r="AD1007" s="738"/>
      <c r="AE1007" s="738"/>
      <c r="AF1007" s="738"/>
      <c r="AG1007" s="738"/>
      <c r="AH1007" s="738"/>
      <c r="AI1007" s="738"/>
      <c r="AJ1007" s="738"/>
      <c r="AK1007" s="738"/>
      <c r="AL1007" s="738"/>
    </row>
    <row r="1008">
      <c r="A1008" s="738"/>
      <c r="B1008" s="738"/>
      <c r="C1008" s="738"/>
      <c r="D1008" s="738"/>
      <c r="E1008" s="738"/>
      <c r="F1008" s="738"/>
      <c r="G1008" s="738"/>
      <c r="H1008" s="738"/>
      <c r="I1008" s="738"/>
      <c r="J1008" s="738"/>
      <c r="K1008" s="738"/>
      <c r="L1008" s="738"/>
      <c r="M1008" s="738"/>
      <c r="N1008" s="738"/>
      <c r="O1008" s="738"/>
      <c r="P1008" s="738"/>
      <c r="Q1008" s="738"/>
      <c r="R1008" s="738"/>
      <c r="S1008" s="738"/>
      <c r="T1008" s="738"/>
      <c r="U1008" s="738"/>
      <c r="V1008" s="738"/>
      <c r="W1008" s="738"/>
      <c r="X1008" s="738"/>
      <c r="Y1008" s="738"/>
      <c r="Z1008" s="738"/>
      <c r="AA1008" s="738"/>
      <c r="AB1008" s="738"/>
      <c r="AC1008" s="738"/>
      <c r="AD1008" s="738"/>
      <c r="AE1008" s="738"/>
      <c r="AF1008" s="738"/>
      <c r="AG1008" s="738"/>
      <c r="AH1008" s="738"/>
      <c r="AI1008" s="738"/>
      <c r="AJ1008" s="738"/>
      <c r="AK1008" s="738"/>
      <c r="AL1008" s="738"/>
    </row>
    <row r="1009">
      <c r="A1009" s="738"/>
      <c r="B1009" s="738"/>
      <c r="C1009" s="738"/>
      <c r="D1009" s="738"/>
      <c r="E1009" s="738"/>
      <c r="F1009" s="738"/>
      <c r="G1009" s="738"/>
      <c r="H1009" s="738"/>
      <c r="I1009" s="738"/>
      <c r="J1009" s="738"/>
      <c r="K1009" s="738"/>
      <c r="L1009" s="738"/>
      <c r="M1009" s="738"/>
      <c r="N1009" s="738"/>
      <c r="O1009" s="738"/>
      <c r="P1009" s="738"/>
      <c r="Q1009" s="738"/>
      <c r="R1009" s="738"/>
      <c r="S1009" s="738"/>
      <c r="T1009" s="738"/>
      <c r="U1009" s="738"/>
      <c r="V1009" s="738"/>
      <c r="W1009" s="738"/>
      <c r="X1009" s="738"/>
      <c r="Y1009" s="738"/>
      <c r="Z1009" s="738"/>
      <c r="AA1009" s="738"/>
      <c r="AB1009" s="738"/>
      <c r="AC1009" s="738"/>
      <c r="AD1009" s="738"/>
      <c r="AE1009" s="738"/>
      <c r="AF1009" s="738"/>
      <c r="AG1009" s="738"/>
      <c r="AH1009" s="738"/>
      <c r="AI1009" s="738"/>
      <c r="AJ1009" s="738"/>
      <c r="AK1009" s="738"/>
      <c r="AL1009" s="738"/>
    </row>
    <row r="1010">
      <c r="A1010" s="738"/>
      <c r="B1010" s="738"/>
      <c r="C1010" s="738"/>
      <c r="D1010" s="738"/>
      <c r="E1010" s="738"/>
      <c r="F1010" s="738"/>
      <c r="G1010" s="738"/>
      <c r="H1010" s="738"/>
      <c r="I1010" s="738"/>
      <c r="J1010" s="738"/>
      <c r="K1010" s="738"/>
      <c r="L1010" s="738"/>
      <c r="M1010" s="738"/>
      <c r="N1010" s="738"/>
      <c r="O1010" s="738"/>
      <c r="P1010" s="738"/>
      <c r="Q1010" s="738"/>
      <c r="R1010" s="738"/>
      <c r="S1010" s="738"/>
      <c r="T1010" s="738"/>
      <c r="U1010" s="738"/>
      <c r="V1010" s="738"/>
      <c r="W1010" s="738"/>
      <c r="X1010" s="738"/>
      <c r="Y1010" s="738"/>
      <c r="Z1010" s="738"/>
      <c r="AA1010" s="738"/>
      <c r="AB1010" s="738"/>
      <c r="AC1010" s="738"/>
      <c r="AD1010" s="738"/>
      <c r="AE1010" s="738"/>
      <c r="AF1010" s="738"/>
      <c r="AG1010" s="738"/>
      <c r="AH1010" s="738"/>
      <c r="AI1010" s="738"/>
      <c r="AJ1010" s="738"/>
      <c r="AK1010" s="738"/>
      <c r="AL1010" s="738"/>
    </row>
    <row r="1011">
      <c r="A1011" s="738"/>
      <c r="B1011" s="738"/>
      <c r="C1011" s="738"/>
      <c r="D1011" s="738"/>
      <c r="E1011" s="738"/>
      <c r="F1011" s="738"/>
      <c r="G1011" s="738"/>
      <c r="H1011" s="738"/>
      <c r="I1011" s="738"/>
      <c r="J1011" s="738"/>
      <c r="K1011" s="738"/>
      <c r="L1011" s="738"/>
      <c r="M1011" s="738"/>
      <c r="N1011" s="738"/>
      <c r="O1011" s="738"/>
      <c r="P1011" s="738"/>
      <c r="Q1011" s="738"/>
      <c r="R1011" s="738"/>
      <c r="S1011" s="738"/>
      <c r="T1011" s="738"/>
      <c r="U1011" s="738"/>
      <c r="V1011" s="738"/>
      <c r="W1011" s="738"/>
      <c r="X1011" s="738"/>
      <c r="Y1011" s="738"/>
      <c r="Z1011" s="738"/>
      <c r="AA1011" s="738"/>
      <c r="AB1011" s="738"/>
      <c r="AC1011" s="738"/>
      <c r="AD1011" s="738"/>
      <c r="AE1011" s="738"/>
      <c r="AF1011" s="738"/>
      <c r="AG1011" s="738"/>
      <c r="AH1011" s="738"/>
      <c r="AI1011" s="738"/>
      <c r="AJ1011" s="738"/>
      <c r="AK1011" s="738"/>
      <c r="AL1011" s="738"/>
    </row>
    <row r="1012">
      <c r="A1012" s="738"/>
      <c r="B1012" s="738"/>
      <c r="C1012" s="738"/>
      <c r="D1012" s="738"/>
      <c r="E1012" s="738"/>
      <c r="F1012" s="738"/>
      <c r="G1012" s="738"/>
      <c r="H1012" s="738"/>
      <c r="I1012" s="738"/>
      <c r="J1012" s="738"/>
      <c r="K1012" s="738"/>
      <c r="L1012" s="738"/>
      <c r="M1012" s="738"/>
      <c r="N1012" s="738"/>
      <c r="O1012" s="738"/>
      <c r="P1012" s="738"/>
      <c r="Q1012" s="738"/>
      <c r="R1012" s="738"/>
      <c r="S1012" s="738"/>
      <c r="T1012" s="738"/>
      <c r="U1012" s="738"/>
      <c r="V1012" s="738"/>
      <c r="W1012" s="738"/>
      <c r="X1012" s="738"/>
      <c r="Y1012" s="738"/>
      <c r="Z1012" s="738"/>
      <c r="AA1012" s="738"/>
      <c r="AB1012" s="738"/>
      <c r="AC1012" s="738"/>
      <c r="AD1012" s="738"/>
      <c r="AE1012" s="738"/>
      <c r="AF1012" s="738"/>
      <c r="AG1012" s="738"/>
      <c r="AH1012" s="738"/>
      <c r="AI1012" s="738"/>
      <c r="AJ1012" s="738"/>
      <c r="AK1012" s="738"/>
      <c r="AL1012" s="738"/>
    </row>
    <row r="1013">
      <c r="A1013" s="738"/>
      <c r="B1013" s="738"/>
      <c r="C1013" s="738"/>
      <c r="D1013" s="738"/>
      <c r="E1013" s="738"/>
      <c r="F1013" s="738"/>
      <c r="G1013" s="738"/>
      <c r="H1013" s="738"/>
      <c r="I1013" s="738"/>
      <c r="J1013" s="738"/>
      <c r="K1013" s="738"/>
      <c r="L1013" s="738"/>
      <c r="M1013" s="738"/>
      <c r="N1013" s="738"/>
      <c r="O1013" s="738"/>
      <c r="P1013" s="738"/>
      <c r="Q1013" s="738"/>
      <c r="R1013" s="738"/>
      <c r="S1013" s="738"/>
      <c r="T1013" s="738"/>
      <c r="U1013" s="738"/>
      <c r="V1013" s="738"/>
      <c r="W1013" s="738"/>
      <c r="X1013" s="738"/>
      <c r="Y1013" s="738"/>
      <c r="Z1013" s="738"/>
      <c r="AA1013" s="738"/>
      <c r="AB1013" s="738"/>
      <c r="AC1013" s="738"/>
      <c r="AD1013" s="738"/>
      <c r="AE1013" s="738"/>
      <c r="AF1013" s="738"/>
      <c r="AG1013" s="738"/>
      <c r="AH1013" s="738"/>
      <c r="AI1013" s="738"/>
      <c r="AJ1013" s="738"/>
      <c r="AK1013" s="738"/>
      <c r="AL1013" s="738"/>
    </row>
    <row r="1014">
      <c r="A1014" s="738"/>
      <c r="B1014" s="738"/>
      <c r="C1014" s="738"/>
      <c r="D1014" s="738"/>
      <c r="E1014" s="738"/>
      <c r="F1014" s="738"/>
      <c r="G1014" s="738"/>
      <c r="H1014" s="738"/>
      <c r="I1014" s="738"/>
      <c r="J1014" s="738"/>
      <c r="K1014" s="738"/>
      <c r="L1014" s="738"/>
      <c r="M1014" s="738"/>
      <c r="N1014" s="738"/>
      <c r="O1014" s="738"/>
      <c r="P1014" s="738"/>
      <c r="Q1014" s="738"/>
      <c r="R1014" s="738"/>
      <c r="S1014" s="738"/>
      <c r="T1014" s="738"/>
      <c r="U1014" s="738"/>
      <c r="V1014" s="738"/>
      <c r="W1014" s="738"/>
      <c r="X1014" s="738"/>
      <c r="Y1014" s="738"/>
      <c r="Z1014" s="738"/>
      <c r="AA1014" s="738"/>
      <c r="AB1014" s="738"/>
      <c r="AC1014" s="738"/>
      <c r="AD1014" s="738"/>
      <c r="AE1014" s="738"/>
      <c r="AF1014" s="738"/>
      <c r="AG1014" s="738"/>
      <c r="AH1014" s="738"/>
      <c r="AI1014" s="738"/>
      <c r="AJ1014" s="738"/>
      <c r="AK1014" s="738"/>
      <c r="AL1014" s="738"/>
    </row>
    <row r="1015">
      <c r="A1015" s="738"/>
      <c r="B1015" s="738"/>
      <c r="C1015" s="738"/>
      <c r="D1015" s="738"/>
      <c r="E1015" s="738"/>
      <c r="F1015" s="738"/>
      <c r="G1015" s="738"/>
      <c r="H1015" s="738"/>
      <c r="I1015" s="738"/>
      <c r="J1015" s="738"/>
      <c r="K1015" s="738"/>
      <c r="L1015" s="738"/>
      <c r="M1015" s="738"/>
      <c r="N1015" s="738"/>
      <c r="O1015" s="738"/>
      <c r="P1015" s="738"/>
      <c r="Q1015" s="738"/>
      <c r="R1015" s="738"/>
      <c r="S1015" s="738"/>
      <c r="T1015" s="738"/>
      <c r="U1015" s="738"/>
      <c r="V1015" s="738"/>
      <c r="W1015" s="738"/>
      <c r="X1015" s="738"/>
      <c r="Y1015" s="738"/>
      <c r="Z1015" s="738"/>
      <c r="AA1015" s="738"/>
      <c r="AB1015" s="738"/>
      <c r="AC1015" s="738"/>
      <c r="AD1015" s="738"/>
      <c r="AE1015" s="738"/>
      <c r="AF1015" s="738"/>
      <c r="AG1015" s="738"/>
      <c r="AH1015" s="738"/>
      <c r="AI1015" s="738"/>
      <c r="AJ1015" s="738"/>
      <c r="AK1015" s="738"/>
      <c r="AL1015" s="738"/>
    </row>
    <row r="1016">
      <c r="A1016" s="738"/>
      <c r="B1016" s="738"/>
      <c r="C1016" s="738"/>
      <c r="D1016" s="738"/>
      <c r="E1016" s="738"/>
      <c r="F1016" s="738"/>
      <c r="G1016" s="738"/>
      <c r="H1016" s="738"/>
      <c r="I1016" s="738"/>
      <c r="J1016" s="738"/>
      <c r="K1016" s="738"/>
      <c r="L1016" s="738"/>
      <c r="M1016" s="738"/>
      <c r="N1016" s="738"/>
      <c r="O1016" s="738"/>
      <c r="P1016" s="738"/>
      <c r="Q1016" s="738"/>
      <c r="R1016" s="738"/>
      <c r="S1016" s="738"/>
      <c r="T1016" s="738"/>
      <c r="U1016" s="738"/>
      <c r="V1016" s="738"/>
      <c r="W1016" s="738"/>
      <c r="X1016" s="738"/>
      <c r="Y1016" s="738"/>
      <c r="Z1016" s="738"/>
      <c r="AA1016" s="738"/>
      <c r="AB1016" s="738"/>
      <c r="AC1016" s="738"/>
      <c r="AD1016" s="738"/>
      <c r="AE1016" s="738"/>
      <c r="AF1016" s="738"/>
      <c r="AG1016" s="738"/>
      <c r="AH1016" s="738"/>
      <c r="AI1016" s="738"/>
      <c r="AJ1016" s="738"/>
      <c r="AK1016" s="738"/>
      <c r="AL1016" s="738"/>
    </row>
    <row r="1017">
      <c r="A1017" s="738"/>
      <c r="B1017" s="738"/>
      <c r="C1017" s="738"/>
      <c r="D1017" s="738"/>
      <c r="E1017" s="738"/>
      <c r="F1017" s="738"/>
      <c r="G1017" s="738"/>
      <c r="H1017" s="738"/>
      <c r="I1017" s="738"/>
      <c r="J1017" s="738"/>
      <c r="K1017" s="738"/>
      <c r="L1017" s="738"/>
      <c r="M1017" s="738"/>
      <c r="N1017" s="738"/>
      <c r="O1017" s="738"/>
      <c r="P1017" s="738"/>
      <c r="Q1017" s="738"/>
      <c r="R1017" s="738"/>
      <c r="S1017" s="738"/>
      <c r="T1017" s="738"/>
      <c r="U1017" s="738"/>
      <c r="V1017" s="738"/>
      <c r="W1017" s="738"/>
      <c r="X1017" s="738"/>
      <c r="Y1017" s="738"/>
      <c r="Z1017" s="738"/>
      <c r="AA1017" s="738"/>
      <c r="AB1017" s="738"/>
      <c r="AC1017" s="738"/>
      <c r="AD1017" s="738"/>
      <c r="AE1017" s="738"/>
      <c r="AF1017" s="738"/>
      <c r="AG1017" s="738"/>
      <c r="AH1017" s="738"/>
      <c r="AI1017" s="738"/>
      <c r="AJ1017" s="738"/>
      <c r="AK1017" s="738"/>
      <c r="AL1017" s="738"/>
    </row>
    <row r="1018">
      <c r="A1018" s="738"/>
      <c r="B1018" s="738"/>
      <c r="C1018" s="738"/>
      <c r="D1018" s="738"/>
      <c r="E1018" s="738"/>
      <c r="F1018" s="738"/>
      <c r="G1018" s="738"/>
      <c r="H1018" s="738"/>
      <c r="I1018" s="738"/>
      <c r="J1018" s="738"/>
      <c r="K1018" s="738"/>
      <c r="L1018" s="738"/>
      <c r="M1018" s="738"/>
      <c r="N1018" s="738"/>
      <c r="O1018" s="738"/>
      <c r="P1018" s="738"/>
      <c r="Q1018" s="738"/>
      <c r="R1018" s="738"/>
      <c r="S1018" s="738"/>
      <c r="T1018" s="738"/>
      <c r="U1018" s="738"/>
      <c r="V1018" s="738"/>
      <c r="W1018" s="738"/>
      <c r="X1018" s="738"/>
      <c r="Y1018" s="738"/>
      <c r="Z1018" s="738"/>
      <c r="AA1018" s="738"/>
      <c r="AB1018" s="738"/>
      <c r="AC1018" s="738"/>
      <c r="AD1018" s="738"/>
      <c r="AE1018" s="738"/>
      <c r="AF1018" s="738"/>
      <c r="AG1018" s="738"/>
      <c r="AH1018" s="738"/>
      <c r="AI1018" s="738"/>
      <c r="AJ1018" s="738"/>
      <c r="AK1018" s="738"/>
      <c r="AL1018" s="738"/>
    </row>
    <row r="1019">
      <c r="A1019" s="738"/>
      <c r="B1019" s="738"/>
      <c r="C1019" s="738"/>
      <c r="D1019" s="738"/>
      <c r="E1019" s="738"/>
      <c r="F1019" s="738"/>
      <c r="G1019" s="738"/>
      <c r="H1019" s="738"/>
      <c r="I1019" s="738"/>
      <c r="J1019" s="738"/>
      <c r="K1019" s="738"/>
      <c r="L1019" s="738"/>
      <c r="M1019" s="738"/>
      <c r="N1019" s="738"/>
      <c r="O1019" s="738"/>
      <c r="P1019" s="738"/>
      <c r="Q1019" s="738"/>
      <c r="R1019" s="738"/>
      <c r="S1019" s="738"/>
      <c r="T1019" s="738"/>
      <c r="U1019" s="738"/>
      <c r="V1019" s="738"/>
      <c r="W1019" s="738"/>
      <c r="X1019" s="738"/>
      <c r="Y1019" s="738"/>
      <c r="Z1019" s="738"/>
      <c r="AA1019" s="738"/>
      <c r="AB1019" s="738"/>
      <c r="AC1019" s="738"/>
      <c r="AD1019" s="738"/>
      <c r="AE1019" s="738"/>
      <c r="AF1019" s="738"/>
      <c r="AG1019" s="738"/>
      <c r="AH1019" s="738"/>
      <c r="AI1019" s="738"/>
      <c r="AJ1019" s="738"/>
      <c r="AK1019" s="738"/>
      <c r="AL1019" s="738"/>
    </row>
    <row r="1020">
      <c r="A1020" s="738"/>
      <c r="B1020" s="738"/>
      <c r="C1020" s="738"/>
      <c r="D1020" s="738"/>
      <c r="E1020" s="738"/>
      <c r="F1020" s="738"/>
      <c r="G1020" s="738"/>
      <c r="H1020" s="738"/>
      <c r="I1020" s="738"/>
      <c r="J1020" s="738"/>
      <c r="K1020" s="738"/>
      <c r="L1020" s="738"/>
      <c r="M1020" s="738"/>
      <c r="N1020" s="738"/>
      <c r="O1020" s="738"/>
      <c r="P1020" s="738"/>
      <c r="Q1020" s="738"/>
      <c r="R1020" s="738"/>
      <c r="S1020" s="738"/>
      <c r="T1020" s="738"/>
      <c r="U1020" s="738"/>
      <c r="V1020" s="738"/>
      <c r="W1020" s="738"/>
      <c r="X1020" s="738"/>
      <c r="Y1020" s="738"/>
      <c r="Z1020" s="738"/>
      <c r="AA1020" s="738"/>
      <c r="AB1020" s="738"/>
      <c r="AC1020" s="738"/>
      <c r="AD1020" s="738"/>
      <c r="AE1020" s="738"/>
      <c r="AF1020" s="738"/>
      <c r="AG1020" s="738"/>
      <c r="AH1020" s="738"/>
      <c r="AI1020" s="738"/>
      <c r="AJ1020" s="738"/>
      <c r="AK1020" s="738"/>
      <c r="AL1020" s="738"/>
    </row>
    <row r="1021">
      <c r="A1021" s="738"/>
      <c r="B1021" s="738"/>
      <c r="C1021" s="738"/>
      <c r="D1021" s="738"/>
      <c r="E1021" s="738"/>
      <c r="F1021" s="738"/>
      <c r="G1021" s="738"/>
      <c r="H1021" s="738"/>
      <c r="I1021" s="738"/>
      <c r="J1021" s="738"/>
      <c r="K1021" s="738"/>
      <c r="L1021" s="738"/>
      <c r="M1021" s="738"/>
      <c r="N1021" s="738"/>
      <c r="O1021" s="738"/>
      <c r="P1021" s="738"/>
      <c r="Q1021" s="738"/>
      <c r="R1021" s="738"/>
      <c r="S1021" s="738"/>
      <c r="T1021" s="738"/>
      <c r="U1021" s="738"/>
      <c r="V1021" s="738"/>
      <c r="W1021" s="738"/>
      <c r="X1021" s="738"/>
      <c r="Y1021" s="738"/>
      <c r="Z1021" s="738"/>
      <c r="AA1021" s="738"/>
      <c r="AB1021" s="738"/>
      <c r="AC1021" s="738"/>
      <c r="AD1021" s="738"/>
      <c r="AE1021" s="738"/>
      <c r="AF1021" s="738"/>
      <c r="AG1021" s="738"/>
      <c r="AH1021" s="738"/>
      <c r="AI1021" s="738"/>
      <c r="AJ1021" s="738"/>
      <c r="AK1021" s="738"/>
      <c r="AL1021" s="738"/>
    </row>
    <row r="1022">
      <c r="A1022" s="738"/>
      <c r="B1022" s="738"/>
      <c r="C1022" s="738"/>
      <c r="D1022" s="738"/>
      <c r="E1022" s="738"/>
      <c r="F1022" s="738"/>
      <c r="G1022" s="738"/>
      <c r="H1022" s="738"/>
      <c r="I1022" s="738"/>
      <c r="J1022" s="738"/>
      <c r="K1022" s="738"/>
      <c r="L1022" s="738"/>
      <c r="M1022" s="738"/>
      <c r="N1022" s="738"/>
      <c r="O1022" s="738"/>
      <c r="P1022" s="738"/>
      <c r="Q1022" s="738"/>
      <c r="R1022" s="738"/>
      <c r="S1022" s="738"/>
      <c r="T1022" s="738"/>
      <c r="U1022" s="738"/>
      <c r="V1022" s="738"/>
      <c r="W1022" s="738"/>
      <c r="X1022" s="738"/>
      <c r="Y1022" s="738"/>
      <c r="Z1022" s="738"/>
      <c r="AA1022" s="738"/>
      <c r="AB1022" s="738"/>
      <c r="AC1022" s="738"/>
      <c r="AD1022" s="738"/>
      <c r="AE1022" s="738"/>
      <c r="AF1022" s="738"/>
      <c r="AG1022" s="738"/>
      <c r="AH1022" s="738"/>
      <c r="AI1022" s="738"/>
      <c r="AJ1022" s="738"/>
      <c r="AK1022" s="738"/>
      <c r="AL1022" s="738"/>
    </row>
    <row r="1023">
      <c r="A1023" s="738"/>
      <c r="B1023" s="738"/>
      <c r="C1023" s="738"/>
      <c r="D1023" s="738"/>
      <c r="E1023" s="738"/>
      <c r="F1023" s="738"/>
      <c r="G1023" s="738"/>
      <c r="H1023" s="738"/>
      <c r="I1023" s="738"/>
      <c r="J1023" s="738"/>
      <c r="K1023" s="738"/>
      <c r="L1023" s="738"/>
      <c r="M1023" s="738"/>
      <c r="N1023" s="738"/>
      <c r="O1023" s="738"/>
      <c r="P1023" s="738"/>
      <c r="Q1023" s="738"/>
      <c r="R1023" s="738"/>
      <c r="S1023" s="738"/>
      <c r="T1023" s="738"/>
      <c r="U1023" s="738"/>
      <c r="V1023" s="738"/>
      <c r="W1023" s="738"/>
      <c r="X1023" s="738"/>
      <c r="Y1023" s="738"/>
      <c r="Z1023" s="738"/>
      <c r="AA1023" s="738"/>
      <c r="AB1023" s="738"/>
      <c r="AC1023" s="738"/>
      <c r="AD1023" s="738"/>
      <c r="AE1023" s="738"/>
      <c r="AF1023" s="738"/>
      <c r="AG1023" s="738"/>
      <c r="AH1023" s="738"/>
      <c r="AI1023" s="738"/>
      <c r="AJ1023" s="738"/>
      <c r="AK1023" s="738"/>
      <c r="AL1023" s="738"/>
    </row>
    <row r="1024">
      <c r="A1024" s="738"/>
      <c r="B1024" s="738"/>
      <c r="C1024" s="738"/>
      <c r="D1024" s="738"/>
      <c r="E1024" s="738"/>
      <c r="F1024" s="738"/>
      <c r="G1024" s="738"/>
      <c r="H1024" s="738"/>
      <c r="I1024" s="738"/>
      <c r="J1024" s="738"/>
      <c r="K1024" s="738"/>
      <c r="L1024" s="738"/>
      <c r="M1024" s="738"/>
      <c r="N1024" s="738"/>
      <c r="O1024" s="738"/>
      <c r="P1024" s="738"/>
      <c r="Q1024" s="738"/>
      <c r="R1024" s="738"/>
      <c r="S1024" s="738"/>
      <c r="T1024" s="738"/>
      <c r="U1024" s="738"/>
      <c r="V1024" s="738"/>
      <c r="W1024" s="738"/>
      <c r="X1024" s="738"/>
      <c r="Y1024" s="738"/>
      <c r="Z1024" s="738"/>
      <c r="AA1024" s="738"/>
      <c r="AB1024" s="738"/>
      <c r="AC1024" s="738"/>
      <c r="AD1024" s="738"/>
      <c r="AE1024" s="738"/>
      <c r="AF1024" s="738"/>
      <c r="AG1024" s="738"/>
      <c r="AH1024" s="738"/>
      <c r="AI1024" s="738"/>
      <c r="AJ1024" s="738"/>
      <c r="AK1024" s="738"/>
      <c r="AL1024" s="738"/>
    </row>
    <row r="1025">
      <c r="A1025" s="738"/>
      <c r="B1025" s="738"/>
      <c r="C1025" s="738"/>
      <c r="D1025" s="738"/>
      <c r="E1025" s="738"/>
      <c r="F1025" s="738"/>
      <c r="G1025" s="738"/>
      <c r="H1025" s="738"/>
      <c r="I1025" s="738"/>
      <c r="J1025" s="738"/>
      <c r="K1025" s="738"/>
      <c r="L1025" s="738"/>
      <c r="M1025" s="738"/>
      <c r="N1025" s="738"/>
      <c r="O1025" s="738"/>
      <c r="P1025" s="738"/>
      <c r="Q1025" s="738"/>
      <c r="R1025" s="738"/>
      <c r="S1025" s="738"/>
      <c r="T1025" s="738"/>
      <c r="U1025" s="738"/>
      <c r="V1025" s="738"/>
      <c r="W1025" s="738"/>
      <c r="X1025" s="738"/>
      <c r="Y1025" s="738"/>
      <c r="Z1025" s="738"/>
      <c r="AA1025" s="738"/>
      <c r="AB1025" s="738"/>
      <c r="AC1025" s="738"/>
      <c r="AD1025" s="738"/>
      <c r="AE1025" s="738"/>
      <c r="AF1025" s="738"/>
      <c r="AG1025" s="738"/>
      <c r="AH1025" s="738"/>
      <c r="AI1025" s="738"/>
      <c r="AJ1025" s="738"/>
      <c r="AK1025" s="738"/>
      <c r="AL1025" s="738"/>
    </row>
    <row r="1026">
      <c r="A1026" s="738"/>
      <c r="B1026" s="738"/>
      <c r="C1026" s="738"/>
      <c r="D1026" s="738"/>
      <c r="E1026" s="738"/>
      <c r="F1026" s="738"/>
      <c r="G1026" s="738"/>
      <c r="H1026" s="738"/>
      <c r="I1026" s="738"/>
      <c r="J1026" s="738"/>
      <c r="K1026" s="738"/>
      <c r="L1026" s="738"/>
      <c r="M1026" s="738"/>
      <c r="N1026" s="738"/>
      <c r="O1026" s="738"/>
      <c r="P1026" s="738"/>
      <c r="Q1026" s="738"/>
      <c r="R1026" s="738"/>
      <c r="S1026" s="738"/>
      <c r="T1026" s="738"/>
      <c r="U1026" s="738"/>
      <c r="V1026" s="738"/>
      <c r="W1026" s="738"/>
      <c r="X1026" s="738"/>
      <c r="Y1026" s="738"/>
      <c r="Z1026" s="738"/>
      <c r="AA1026" s="738"/>
      <c r="AB1026" s="738"/>
      <c r="AC1026" s="738"/>
      <c r="AD1026" s="738"/>
      <c r="AE1026" s="738"/>
      <c r="AF1026" s="738"/>
      <c r="AG1026" s="738"/>
      <c r="AH1026" s="738"/>
      <c r="AI1026" s="738"/>
      <c r="AJ1026" s="738"/>
      <c r="AK1026" s="738"/>
      <c r="AL1026" s="738"/>
    </row>
    <row r="1027">
      <c r="A1027" s="738"/>
      <c r="B1027" s="738"/>
      <c r="C1027" s="738"/>
      <c r="D1027" s="738"/>
      <c r="E1027" s="738"/>
      <c r="F1027" s="738"/>
      <c r="G1027" s="738"/>
      <c r="H1027" s="738"/>
      <c r="I1027" s="738"/>
      <c r="J1027" s="738"/>
      <c r="K1027" s="738"/>
      <c r="L1027" s="738"/>
      <c r="M1027" s="738"/>
      <c r="N1027" s="738"/>
      <c r="O1027" s="738"/>
      <c r="P1027" s="738"/>
      <c r="Q1027" s="738"/>
      <c r="R1027" s="738"/>
      <c r="S1027" s="738"/>
      <c r="T1027" s="738"/>
      <c r="U1027" s="738"/>
      <c r="V1027" s="738"/>
      <c r="W1027" s="738"/>
      <c r="X1027" s="738"/>
      <c r="Y1027" s="738"/>
      <c r="Z1027" s="738"/>
      <c r="AA1027" s="738"/>
      <c r="AB1027" s="738"/>
      <c r="AC1027" s="738"/>
      <c r="AD1027" s="738"/>
      <c r="AE1027" s="738"/>
      <c r="AF1027" s="738"/>
      <c r="AG1027" s="738"/>
      <c r="AH1027" s="738"/>
      <c r="AI1027" s="738"/>
      <c r="AJ1027" s="738"/>
      <c r="AK1027" s="738"/>
      <c r="AL1027" s="738"/>
    </row>
  </sheetData>
  <mergeCells count="19">
    <mergeCell ref="C10:E10"/>
    <mergeCell ref="F10:H10"/>
    <mergeCell ref="I10:K10"/>
    <mergeCell ref="L10:N10"/>
    <mergeCell ref="O10:Q10"/>
    <mergeCell ref="R10:T10"/>
    <mergeCell ref="U10:W10"/>
    <mergeCell ref="C49:K49"/>
    <mergeCell ref="C62:K62"/>
    <mergeCell ref="L62:T62"/>
    <mergeCell ref="C75:K75"/>
    <mergeCell ref="L75:T75"/>
    <mergeCell ref="C23:K23"/>
    <mergeCell ref="L23:T23"/>
    <mergeCell ref="U23:AC23"/>
    <mergeCell ref="AD23:AL23"/>
    <mergeCell ref="C36:K36"/>
    <mergeCell ref="L36:T36"/>
    <mergeCell ref="L49:T49"/>
  </mergeCells>
  <hyperlinks>
    <hyperlink r:id="rId1" location="/qlsc/tientrinh-xuly-suco" ref="H3"/>
    <hyperlink r:id="rId2" location="/thong-ke/baocao-tonghop-xlsc-brcd-toantrinh-cd5" ref="H4"/>
  </hyperlinks>
  <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7.38"/>
    <col customWidth="1" min="4" max="4" width="15.63"/>
    <col customWidth="1" min="5" max="9" width="15.75"/>
  </cols>
  <sheetData>
    <row r="10">
      <c r="C10" s="1238"/>
      <c r="D10" s="1238" t="s">
        <v>651</v>
      </c>
      <c r="I10" s="1239"/>
    </row>
    <row r="11">
      <c r="A11" s="594" t="s">
        <v>28</v>
      </c>
      <c r="B11" s="594" t="s">
        <v>586</v>
      </c>
      <c r="C11" s="1240" t="s">
        <v>652</v>
      </c>
      <c r="D11" s="1240" t="s">
        <v>653</v>
      </c>
      <c r="E11" s="1240" t="s">
        <v>654</v>
      </c>
      <c r="F11" s="1240" t="s">
        <v>655</v>
      </c>
      <c r="G11" s="1240" t="s">
        <v>656</v>
      </c>
      <c r="H11" s="1240" t="s">
        <v>657</v>
      </c>
      <c r="I11" s="1240" t="s">
        <v>658</v>
      </c>
    </row>
    <row r="12">
      <c r="A12" s="1241" t="s">
        <v>406</v>
      </c>
      <c r="B12" s="1242" t="s">
        <v>407</v>
      </c>
      <c r="C12" s="1243">
        <v>0.9395</v>
      </c>
      <c r="D12" s="1244">
        <v>0.93</v>
      </c>
      <c r="E12" s="1244">
        <v>0.91</v>
      </c>
      <c r="F12" s="1244">
        <v>0.94</v>
      </c>
      <c r="G12" s="1245" t="s">
        <v>659</v>
      </c>
      <c r="H12" s="1245"/>
      <c r="I12" s="1245"/>
    </row>
    <row r="13">
      <c r="A13" s="1246">
        <v>1.0</v>
      </c>
      <c r="B13" s="1247" t="s">
        <v>42</v>
      </c>
      <c r="C13" s="1243">
        <v>0.9048</v>
      </c>
      <c r="D13" s="1244">
        <v>1.0</v>
      </c>
      <c r="E13" s="1244">
        <v>1.0</v>
      </c>
      <c r="F13" s="1244">
        <v>0.92</v>
      </c>
      <c r="G13" s="1245" t="s">
        <v>660</v>
      </c>
      <c r="H13" s="1245"/>
      <c r="I13" s="1245"/>
    </row>
    <row r="14">
      <c r="A14" s="1246">
        <v>2.0</v>
      </c>
      <c r="B14" s="1247" t="s">
        <v>43</v>
      </c>
      <c r="C14" s="1244">
        <v>1.0</v>
      </c>
      <c r="D14" s="1244">
        <v>1.0</v>
      </c>
      <c r="E14" s="1244">
        <v>0.92</v>
      </c>
      <c r="F14" s="1244">
        <v>0.85</v>
      </c>
      <c r="G14" s="1245" t="s">
        <v>661</v>
      </c>
      <c r="H14" s="1245"/>
      <c r="I14" s="1245"/>
    </row>
    <row r="15">
      <c r="A15" s="1246">
        <v>3.0</v>
      </c>
      <c r="B15" s="1247" t="s">
        <v>44</v>
      </c>
      <c r="C15" s="1243">
        <v>0.9198</v>
      </c>
      <c r="D15" s="1244">
        <v>0.89</v>
      </c>
      <c r="E15" s="1244">
        <v>0.93</v>
      </c>
      <c r="F15" s="1244">
        <v>0.99</v>
      </c>
      <c r="G15" s="1245" t="s">
        <v>662</v>
      </c>
      <c r="H15" s="1245"/>
      <c r="I15" s="1245"/>
    </row>
    <row r="16">
      <c r="A16" s="1246">
        <v>4.0</v>
      </c>
      <c r="B16" s="1247" t="s">
        <v>45</v>
      </c>
      <c r="C16" s="1243">
        <v>0.9048</v>
      </c>
      <c r="D16" s="1244">
        <v>0.92</v>
      </c>
      <c r="E16" s="1244">
        <v>1.0</v>
      </c>
      <c r="F16" s="1244">
        <v>1.0</v>
      </c>
      <c r="G16" s="1245" t="s">
        <v>660</v>
      </c>
      <c r="H16" s="1245"/>
      <c r="I16" s="1245"/>
    </row>
    <row r="17">
      <c r="A17" s="1246">
        <v>5.0</v>
      </c>
      <c r="B17" s="1247" t="s">
        <v>47</v>
      </c>
      <c r="C17" s="1243">
        <v>0.9552</v>
      </c>
      <c r="D17" s="1244">
        <v>1.0</v>
      </c>
      <c r="E17" s="1244">
        <v>0.84</v>
      </c>
      <c r="F17" s="1244">
        <v>0.95</v>
      </c>
      <c r="G17" s="1245" t="s">
        <v>663</v>
      </c>
      <c r="H17" s="1245"/>
      <c r="I17" s="1245"/>
    </row>
    <row r="18">
      <c r="A18" s="1246">
        <v>6.0</v>
      </c>
      <c r="B18" s="1247" t="s">
        <v>48</v>
      </c>
      <c r="C18" s="1243">
        <v>0.8947</v>
      </c>
      <c r="D18" s="1244">
        <v>0.81</v>
      </c>
      <c r="E18" s="1244">
        <v>0.86</v>
      </c>
      <c r="F18" s="1244">
        <v>0.83</v>
      </c>
      <c r="G18" s="1245" t="s">
        <v>660</v>
      </c>
      <c r="H18" s="1245"/>
      <c r="I18" s="1245"/>
    </row>
    <row r="19">
      <c r="A19" s="1246">
        <v>7.0</v>
      </c>
      <c r="B19" s="1247" t="s">
        <v>49</v>
      </c>
      <c r="C19" s="1243">
        <v>0.9756</v>
      </c>
      <c r="D19" s="1244">
        <v>1.0</v>
      </c>
      <c r="E19" s="1244">
        <v>0.82</v>
      </c>
      <c r="F19" s="1244">
        <v>0.94</v>
      </c>
      <c r="G19" s="1245" t="s">
        <v>660</v>
      </c>
      <c r="H19" s="1245"/>
      <c r="I19" s="1245"/>
    </row>
    <row r="20">
      <c r="A20" s="1248"/>
    </row>
    <row r="21">
      <c r="A21" s="1248"/>
    </row>
    <row r="22">
      <c r="A22" s="1248"/>
    </row>
    <row r="23">
      <c r="A23" s="1248"/>
    </row>
    <row r="24">
      <c r="A24" s="1248"/>
    </row>
    <row r="25">
      <c r="A25" s="1248"/>
    </row>
    <row r="26">
      <c r="A26" s="1248"/>
    </row>
    <row r="27">
      <c r="A27" s="1248"/>
    </row>
    <row r="28">
      <c r="A28" s="1248"/>
    </row>
    <row r="29">
      <c r="A29" s="1248"/>
    </row>
    <row r="30">
      <c r="A30" s="1248"/>
    </row>
    <row r="31">
      <c r="A31" s="1248"/>
    </row>
    <row r="32">
      <c r="A32" s="1248"/>
    </row>
    <row r="33">
      <c r="A33" s="1248"/>
    </row>
    <row r="34">
      <c r="A34" s="1248"/>
    </row>
    <row r="35">
      <c r="A35" s="1248"/>
    </row>
    <row r="36">
      <c r="A36" s="1248"/>
    </row>
    <row r="37">
      <c r="A37" s="1248"/>
    </row>
    <row r="38">
      <c r="A38" s="1248"/>
    </row>
    <row r="39">
      <c r="A39" s="1248"/>
    </row>
  </sheetData>
  <mergeCells count="1">
    <mergeCell ref="D10:I10"/>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0"/>
  </cols>
  <sheetData>
    <row r="10">
      <c r="A10" s="1254" t="s">
        <v>28</v>
      </c>
      <c r="B10" s="1255" t="s">
        <v>403</v>
      </c>
      <c r="C10" s="1256" t="s">
        <v>390</v>
      </c>
      <c r="D10" s="629"/>
      <c r="E10" s="630"/>
      <c r="F10" s="1256" t="s">
        <v>391</v>
      </c>
      <c r="G10" s="629"/>
      <c r="H10" s="630"/>
      <c r="I10" s="1256" t="s">
        <v>392</v>
      </c>
      <c r="J10" s="629"/>
      <c r="K10" s="630"/>
      <c r="L10" s="1256" t="s">
        <v>393</v>
      </c>
      <c r="M10" s="629"/>
      <c r="N10" s="630"/>
      <c r="O10" s="1256" t="s">
        <v>394</v>
      </c>
      <c r="P10" s="629"/>
      <c r="Q10" s="630"/>
      <c r="R10" s="1256" t="s">
        <v>395</v>
      </c>
      <c r="S10" s="629"/>
      <c r="T10" s="630"/>
      <c r="U10" s="1256" t="s">
        <v>396</v>
      </c>
      <c r="V10" s="629"/>
      <c r="W10" s="630"/>
    </row>
    <row r="11">
      <c r="A11" s="388"/>
      <c r="B11" s="746"/>
      <c r="C11" s="1258" t="s">
        <v>666</v>
      </c>
      <c r="D11" s="1259" t="s">
        <v>635</v>
      </c>
      <c r="E11" s="1260" t="s">
        <v>667</v>
      </c>
      <c r="F11" s="1258" t="s">
        <v>666</v>
      </c>
      <c r="G11" s="1259" t="s">
        <v>635</v>
      </c>
      <c r="H11" s="1260" t="s">
        <v>667</v>
      </c>
      <c r="I11" s="1258" t="s">
        <v>666</v>
      </c>
      <c r="J11" s="1259" t="s">
        <v>635</v>
      </c>
      <c r="K11" s="1260" t="s">
        <v>667</v>
      </c>
      <c r="L11" s="1258" t="s">
        <v>666</v>
      </c>
      <c r="M11" s="1259" t="s">
        <v>635</v>
      </c>
      <c r="N11" s="1260" t="s">
        <v>667</v>
      </c>
      <c r="O11" s="1258" t="s">
        <v>666</v>
      </c>
      <c r="P11" s="1259" t="s">
        <v>635</v>
      </c>
      <c r="Q11" s="1260" t="s">
        <v>667</v>
      </c>
      <c r="R11" s="1258" t="s">
        <v>666</v>
      </c>
      <c r="S11" s="1259" t="s">
        <v>635</v>
      </c>
      <c r="T11" s="1260" t="s">
        <v>667</v>
      </c>
      <c r="U11" s="1258" t="s">
        <v>666</v>
      </c>
      <c r="V11" s="1259" t="s">
        <v>635</v>
      </c>
      <c r="W11" s="1260" t="s">
        <v>667</v>
      </c>
    </row>
    <row r="12">
      <c r="A12" s="1261" t="s">
        <v>406</v>
      </c>
      <c r="B12" s="1262" t="s">
        <v>407</v>
      </c>
      <c r="C12" s="1263"/>
      <c r="D12" s="1264"/>
      <c r="E12" s="1265"/>
      <c r="F12" s="1267">
        <v>25.0</v>
      </c>
      <c r="G12" s="1268">
        <v>30.0</v>
      </c>
      <c r="H12" s="1269">
        <v>0.8333</v>
      </c>
      <c r="I12" s="1270"/>
      <c r="J12" s="558"/>
      <c r="K12" s="1271"/>
      <c r="L12" s="1270"/>
      <c r="M12" s="558"/>
      <c r="N12" s="1271"/>
      <c r="O12" s="1270"/>
      <c r="P12" s="558"/>
      <c r="Q12" s="1271"/>
      <c r="R12" s="1270"/>
      <c r="S12" s="558"/>
      <c r="T12" s="1271"/>
      <c r="U12" s="1270"/>
      <c r="V12" s="558"/>
      <c r="W12" s="1271"/>
    </row>
    <row r="13">
      <c r="A13" s="697">
        <v>1.0</v>
      </c>
      <c r="B13" s="1275" t="s">
        <v>673</v>
      </c>
      <c r="C13" s="1276"/>
      <c r="D13" s="1264"/>
      <c r="E13" s="1265"/>
      <c r="F13" s="1277">
        <v>7.0</v>
      </c>
      <c r="G13" s="1268">
        <v>7.0</v>
      </c>
      <c r="H13" s="1269">
        <v>1.0</v>
      </c>
      <c r="I13" s="1279"/>
      <c r="J13" s="558"/>
      <c r="K13" s="1271"/>
      <c r="L13" s="1279"/>
      <c r="M13" s="558"/>
      <c r="N13" s="1271"/>
      <c r="O13" s="1279"/>
      <c r="P13" s="558"/>
      <c r="Q13" s="1271"/>
      <c r="R13" s="1279"/>
      <c r="S13" s="558"/>
      <c r="T13" s="1271"/>
      <c r="U13" s="1279"/>
      <c r="V13" s="558"/>
      <c r="W13" s="1271"/>
    </row>
    <row r="14">
      <c r="A14" s="697">
        <v>2.0</v>
      </c>
      <c r="B14" s="1275" t="s">
        <v>674</v>
      </c>
      <c r="C14" s="1276"/>
      <c r="D14" s="1264"/>
      <c r="E14" s="1265"/>
      <c r="F14" s="1277">
        <v>5.0</v>
      </c>
      <c r="G14" s="1268">
        <v>8.0</v>
      </c>
      <c r="H14" s="1269">
        <v>0.625</v>
      </c>
      <c r="I14" s="1279"/>
      <c r="J14" s="558"/>
      <c r="K14" s="1271"/>
      <c r="L14" s="1279"/>
      <c r="M14" s="558"/>
      <c r="N14" s="1271"/>
      <c r="O14" s="1279"/>
      <c r="P14" s="558"/>
      <c r="Q14" s="1271"/>
      <c r="R14" s="1279"/>
      <c r="S14" s="558"/>
      <c r="T14" s="1271"/>
      <c r="U14" s="1279"/>
      <c r="V14" s="558"/>
      <c r="W14" s="1271"/>
    </row>
    <row r="15">
      <c r="A15" s="697">
        <v>3.0</v>
      </c>
      <c r="B15" s="1275" t="s">
        <v>675</v>
      </c>
      <c r="C15" s="1276"/>
      <c r="D15" s="1264"/>
      <c r="E15" s="1265"/>
      <c r="F15" s="1277">
        <v>4.0</v>
      </c>
      <c r="G15" s="1268">
        <v>5.0</v>
      </c>
      <c r="H15" s="1269">
        <v>0.8</v>
      </c>
      <c r="I15" s="1279"/>
      <c r="J15" s="558"/>
      <c r="K15" s="1271"/>
      <c r="L15" s="1279"/>
      <c r="M15" s="558"/>
      <c r="N15" s="1271"/>
      <c r="O15" s="1279"/>
      <c r="P15" s="558"/>
      <c r="Q15" s="1271"/>
      <c r="R15" s="1279"/>
      <c r="S15" s="558"/>
      <c r="T15" s="1271"/>
      <c r="U15" s="1279"/>
      <c r="V15" s="558"/>
      <c r="W15" s="1271"/>
    </row>
    <row r="16">
      <c r="A16" s="697">
        <v>4.0</v>
      </c>
      <c r="B16" s="1275" t="s">
        <v>676</v>
      </c>
      <c r="C16" s="1276"/>
      <c r="D16" s="1264"/>
      <c r="E16" s="1265"/>
      <c r="F16" s="1277">
        <v>1.0</v>
      </c>
      <c r="G16" s="1268">
        <v>1.0</v>
      </c>
      <c r="H16" s="1269">
        <v>1.0</v>
      </c>
      <c r="I16" s="1279"/>
      <c r="J16" s="558"/>
      <c r="K16" s="1271"/>
      <c r="L16" s="1279"/>
      <c r="M16" s="558"/>
      <c r="N16" s="1271"/>
      <c r="O16" s="1279"/>
      <c r="P16" s="558"/>
      <c r="Q16" s="1271"/>
      <c r="R16" s="1279"/>
      <c r="S16" s="558"/>
      <c r="T16" s="1271"/>
      <c r="U16" s="1279"/>
      <c r="V16" s="558"/>
      <c r="W16" s="1271"/>
    </row>
    <row r="17">
      <c r="A17" s="697">
        <v>5.0</v>
      </c>
      <c r="B17" s="1275" t="s">
        <v>677</v>
      </c>
      <c r="C17" s="1276"/>
      <c r="D17" s="1264"/>
      <c r="E17" s="1265"/>
      <c r="F17" s="1277">
        <v>7.0</v>
      </c>
      <c r="G17" s="1268">
        <v>7.0</v>
      </c>
      <c r="H17" s="1269">
        <v>1.0</v>
      </c>
      <c r="I17" s="1279"/>
      <c r="J17" s="558"/>
      <c r="K17" s="1271"/>
      <c r="L17" s="1279"/>
      <c r="M17" s="558"/>
      <c r="N17" s="1271"/>
      <c r="O17" s="1279"/>
      <c r="P17" s="558"/>
      <c r="Q17" s="1271"/>
      <c r="R17" s="1279"/>
      <c r="S17" s="558"/>
      <c r="T17" s="1271"/>
      <c r="U17" s="1279"/>
      <c r="V17" s="558"/>
      <c r="W17" s="1271"/>
    </row>
    <row r="18">
      <c r="A18" s="697">
        <v>6.0</v>
      </c>
      <c r="B18" s="1275" t="s">
        <v>678</v>
      </c>
      <c r="C18" s="1276"/>
      <c r="D18" s="1264"/>
      <c r="E18" s="1265"/>
      <c r="F18" s="1277">
        <v>0.0</v>
      </c>
      <c r="G18" s="1268">
        <v>1.0</v>
      </c>
      <c r="H18" s="1269">
        <v>0.0</v>
      </c>
      <c r="I18" s="1279"/>
      <c r="J18" s="558"/>
      <c r="K18" s="1271"/>
      <c r="L18" s="1279"/>
      <c r="M18" s="558"/>
      <c r="N18" s="1271"/>
      <c r="O18" s="1279"/>
      <c r="P18" s="558"/>
      <c r="Q18" s="1271"/>
      <c r="R18" s="1279"/>
      <c r="S18" s="558"/>
      <c r="T18" s="1271"/>
      <c r="U18" s="1279"/>
      <c r="V18" s="558"/>
      <c r="W18" s="1271"/>
    </row>
    <row r="19">
      <c r="A19" s="697">
        <v>7.0</v>
      </c>
      <c r="B19" s="1275" t="s">
        <v>680</v>
      </c>
      <c r="C19" s="1291"/>
      <c r="D19" s="1293"/>
      <c r="E19" s="1294"/>
      <c r="F19" s="1295">
        <v>1.0</v>
      </c>
      <c r="G19" s="1296">
        <v>1.0</v>
      </c>
      <c r="H19" s="1297">
        <v>1.0</v>
      </c>
      <c r="I19" s="1298"/>
      <c r="J19" s="1299"/>
      <c r="K19" s="1300"/>
      <c r="L19" s="1298"/>
      <c r="M19" s="1299"/>
      <c r="N19" s="1300"/>
      <c r="O19" s="1298"/>
      <c r="P19" s="1299"/>
      <c r="Q19" s="1300"/>
      <c r="R19" s="1298"/>
      <c r="S19" s="1299"/>
      <c r="T19" s="1300"/>
      <c r="U19" s="1298"/>
      <c r="V19" s="1299"/>
      <c r="W19" s="1300"/>
    </row>
  </sheetData>
  <mergeCells count="9">
    <mergeCell ref="R10:T10"/>
    <mergeCell ref="U10:W10"/>
    <mergeCell ref="A10:A11"/>
    <mergeCell ref="B10:B11"/>
    <mergeCell ref="C10:E10"/>
    <mergeCell ref="F10:H10"/>
    <mergeCell ref="I10:K10"/>
    <mergeCell ref="L10:N10"/>
    <mergeCell ref="O10:Q10"/>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2" max="2" width="15.38"/>
  </cols>
  <sheetData>
    <row r="1">
      <c r="G1" s="205" t="s">
        <v>230</v>
      </c>
    </row>
    <row r="2">
      <c r="G2" s="205" t="s">
        <v>668</v>
      </c>
    </row>
    <row r="3">
      <c r="G3" s="205" t="s">
        <v>343</v>
      </c>
      <c r="H3" s="776" t="s">
        <v>669</v>
      </c>
    </row>
    <row r="10">
      <c r="A10" s="1254" t="s">
        <v>28</v>
      </c>
      <c r="B10" s="1255" t="s">
        <v>403</v>
      </c>
      <c r="C10" s="1266" t="s">
        <v>612</v>
      </c>
      <c r="D10" s="1256" t="s">
        <v>389</v>
      </c>
      <c r="E10" s="629"/>
      <c r="F10" s="630"/>
      <c r="G10" s="1256" t="s">
        <v>390</v>
      </c>
      <c r="H10" s="629"/>
      <c r="I10" s="630"/>
      <c r="J10" s="1256" t="s">
        <v>391</v>
      </c>
      <c r="K10" s="629"/>
      <c r="L10" s="630"/>
    </row>
    <row r="11">
      <c r="A11" s="388"/>
      <c r="B11" s="746"/>
      <c r="C11" s="746"/>
      <c r="D11" s="1272" t="s">
        <v>670</v>
      </c>
      <c r="E11" s="1273" t="s">
        <v>671</v>
      </c>
      <c r="F11" s="1274" t="s">
        <v>672</v>
      </c>
      <c r="G11" s="1272" t="s">
        <v>670</v>
      </c>
      <c r="H11" s="1273" t="s">
        <v>671</v>
      </c>
      <c r="I11" s="1274" t="s">
        <v>672</v>
      </c>
      <c r="J11" s="1272" t="s">
        <v>670</v>
      </c>
      <c r="K11" s="1273" t="s">
        <v>671</v>
      </c>
      <c r="L11" s="1274" t="s">
        <v>672</v>
      </c>
    </row>
    <row r="12">
      <c r="A12" s="1261" t="s">
        <v>406</v>
      </c>
      <c r="B12" s="1262" t="s">
        <v>407</v>
      </c>
      <c r="C12" s="1278">
        <v>2280.0</v>
      </c>
      <c r="D12" s="1280">
        <v>1718.0</v>
      </c>
      <c r="E12" s="769">
        <v>1151.0</v>
      </c>
      <c r="F12" s="770">
        <v>1.2583</v>
      </c>
      <c r="G12" s="1281">
        <v>1262.0</v>
      </c>
      <c r="H12" s="766">
        <v>866.0</v>
      </c>
      <c r="I12" s="1282">
        <v>0.9333</v>
      </c>
      <c r="J12" s="1283">
        <v>951.0</v>
      </c>
      <c r="K12" s="1283">
        <v>691.0</v>
      </c>
      <c r="L12" s="770">
        <f t="shared" ref="L12:L19" si="1">(J12+K12)/C12</f>
        <v>0.7201754386</v>
      </c>
    </row>
    <row r="13">
      <c r="A13" s="697">
        <v>1.0</v>
      </c>
      <c r="B13" s="1275" t="s">
        <v>42</v>
      </c>
      <c r="C13" s="1284">
        <v>601.0</v>
      </c>
      <c r="D13" s="1280">
        <v>345.0</v>
      </c>
      <c r="E13" s="769">
        <v>240.0</v>
      </c>
      <c r="F13" s="770">
        <v>0.9734</v>
      </c>
      <c r="G13" s="1281">
        <v>363.0</v>
      </c>
      <c r="H13" s="766">
        <v>237.0</v>
      </c>
      <c r="I13" s="1282">
        <v>0.9983</v>
      </c>
      <c r="J13" s="1283">
        <v>394.0</v>
      </c>
      <c r="K13" s="1283">
        <v>265.0</v>
      </c>
      <c r="L13" s="770">
        <f t="shared" si="1"/>
        <v>1.096505824</v>
      </c>
    </row>
    <row r="14">
      <c r="A14" s="697">
        <v>2.0</v>
      </c>
      <c r="B14" s="1275" t="s">
        <v>43</v>
      </c>
      <c r="C14" s="1278">
        <v>313.0</v>
      </c>
      <c r="D14" s="1280">
        <v>320.0</v>
      </c>
      <c r="E14" s="769">
        <v>204.0</v>
      </c>
      <c r="F14" s="770">
        <v>1.6741</v>
      </c>
      <c r="G14" s="1281">
        <v>256.0</v>
      </c>
      <c r="H14" s="766">
        <v>186.0</v>
      </c>
      <c r="I14" s="1282">
        <v>1.4121</v>
      </c>
      <c r="J14" s="1283">
        <v>155.0</v>
      </c>
      <c r="K14" s="1283">
        <v>96.0</v>
      </c>
      <c r="L14" s="770">
        <f t="shared" si="1"/>
        <v>0.8019169329</v>
      </c>
    </row>
    <row r="15">
      <c r="A15" s="697">
        <v>3.0</v>
      </c>
      <c r="B15" s="1275" t="s">
        <v>44</v>
      </c>
      <c r="C15" s="1278">
        <v>259.0</v>
      </c>
      <c r="D15" s="1280">
        <v>176.0</v>
      </c>
      <c r="E15" s="769">
        <v>93.0</v>
      </c>
      <c r="F15" s="770">
        <v>1.0386</v>
      </c>
      <c r="G15" s="1281">
        <v>67.0</v>
      </c>
      <c r="H15" s="766">
        <v>46.0</v>
      </c>
      <c r="I15" s="1282">
        <v>0.4363</v>
      </c>
      <c r="J15" s="1283">
        <v>36.0</v>
      </c>
      <c r="K15" s="1283">
        <v>35.0</v>
      </c>
      <c r="L15" s="770">
        <f t="shared" si="1"/>
        <v>0.2741312741</v>
      </c>
    </row>
    <row r="16">
      <c r="A16" s="697">
        <v>4.0</v>
      </c>
      <c r="B16" s="1275" t="s">
        <v>45</v>
      </c>
      <c r="C16" s="1278">
        <v>195.0</v>
      </c>
      <c r="D16" s="1280">
        <v>128.0</v>
      </c>
      <c r="E16" s="769">
        <v>133.0</v>
      </c>
      <c r="F16" s="770">
        <v>1.3385</v>
      </c>
      <c r="G16" s="1281">
        <v>117.0</v>
      </c>
      <c r="H16" s="766">
        <v>91.0</v>
      </c>
      <c r="I16" s="1282">
        <v>1.0667</v>
      </c>
      <c r="J16" s="1283">
        <v>76.0</v>
      </c>
      <c r="K16" s="1283">
        <v>47.0</v>
      </c>
      <c r="L16" s="770">
        <f t="shared" si="1"/>
        <v>0.6307692308</v>
      </c>
    </row>
    <row r="17">
      <c r="A17" s="697">
        <v>5.0</v>
      </c>
      <c r="B17" s="1275" t="s">
        <v>47</v>
      </c>
      <c r="C17" s="1278">
        <v>364.0</v>
      </c>
      <c r="D17" s="1280">
        <v>254.0</v>
      </c>
      <c r="E17" s="769">
        <v>139.0</v>
      </c>
      <c r="F17" s="770">
        <v>1.0797</v>
      </c>
      <c r="G17" s="1281">
        <v>202.0</v>
      </c>
      <c r="H17" s="766">
        <v>130.0</v>
      </c>
      <c r="I17" s="1282">
        <v>0.9121</v>
      </c>
      <c r="J17" s="1283">
        <v>100.0</v>
      </c>
      <c r="K17" s="1283">
        <v>80.0</v>
      </c>
      <c r="L17" s="770">
        <f t="shared" si="1"/>
        <v>0.4945054945</v>
      </c>
    </row>
    <row r="18">
      <c r="A18" s="697">
        <v>6.0</v>
      </c>
      <c r="B18" s="1275" t="s">
        <v>48</v>
      </c>
      <c r="C18" s="1278">
        <v>209.0</v>
      </c>
      <c r="D18" s="1280">
        <v>214.0</v>
      </c>
      <c r="E18" s="769">
        <v>144.0</v>
      </c>
      <c r="F18" s="770">
        <v>1.7129</v>
      </c>
      <c r="G18" s="1281">
        <v>71.0</v>
      </c>
      <c r="H18" s="766">
        <v>79.0</v>
      </c>
      <c r="I18" s="1282">
        <v>0.7177</v>
      </c>
      <c r="J18" s="1283">
        <v>63.0</v>
      </c>
      <c r="K18" s="1283">
        <v>43.0</v>
      </c>
      <c r="L18" s="770">
        <f t="shared" si="1"/>
        <v>0.5071770335</v>
      </c>
    </row>
    <row r="19">
      <c r="A19" s="697">
        <v>7.0</v>
      </c>
      <c r="B19" s="1275" t="s">
        <v>49</v>
      </c>
      <c r="C19" s="1278">
        <v>339.0</v>
      </c>
      <c r="D19" s="1286">
        <v>281.0</v>
      </c>
      <c r="E19" s="781">
        <v>198.0</v>
      </c>
      <c r="F19" s="782">
        <v>1.413</v>
      </c>
      <c r="G19" s="1287">
        <v>186.0</v>
      </c>
      <c r="H19" s="1288">
        <v>97.0</v>
      </c>
      <c r="I19" s="1289">
        <v>0.8348</v>
      </c>
      <c r="J19" s="1290">
        <v>127.0</v>
      </c>
      <c r="K19" s="1290">
        <v>125.0</v>
      </c>
      <c r="L19" s="782">
        <f t="shared" si="1"/>
        <v>0.7433628319</v>
      </c>
    </row>
    <row r="23">
      <c r="A23" s="1254" t="s">
        <v>28</v>
      </c>
      <c r="B23" s="1255" t="s">
        <v>403</v>
      </c>
      <c r="C23" s="1266" t="s">
        <v>612</v>
      </c>
      <c r="D23" s="1256" t="s">
        <v>414</v>
      </c>
      <c r="E23" s="629"/>
      <c r="F23" s="630"/>
    </row>
    <row r="24">
      <c r="A24" s="388"/>
      <c r="B24" s="746"/>
      <c r="C24" s="746"/>
      <c r="D24" s="1272" t="s">
        <v>670</v>
      </c>
      <c r="E24" s="1273" t="s">
        <v>671</v>
      </c>
      <c r="F24" s="1274" t="s">
        <v>672</v>
      </c>
    </row>
    <row r="25">
      <c r="A25" s="1261" t="s">
        <v>406</v>
      </c>
      <c r="B25" s="1262" t="s">
        <v>407</v>
      </c>
      <c r="C25" s="1278">
        <f>sum(C26:C32)</f>
        <v>2299</v>
      </c>
      <c r="D25" s="1301">
        <v>1824.0</v>
      </c>
      <c r="E25" s="1302">
        <v>1229.0</v>
      </c>
      <c r="F25" s="1303">
        <v>1.328</v>
      </c>
    </row>
    <row r="26">
      <c r="A26" s="697">
        <v>1.0</v>
      </c>
      <c r="B26" s="1275" t="s">
        <v>42</v>
      </c>
      <c r="C26" s="1304">
        <v>605.0</v>
      </c>
      <c r="D26" s="1305">
        <v>411.0</v>
      </c>
      <c r="E26" s="1302">
        <v>262.0</v>
      </c>
      <c r="F26" s="1303">
        <v>1.1124</v>
      </c>
    </row>
    <row r="27">
      <c r="A27" s="697">
        <v>2.0</v>
      </c>
      <c r="B27" s="1275" t="s">
        <v>43</v>
      </c>
      <c r="C27" s="769">
        <v>317.0</v>
      </c>
      <c r="D27" s="1305">
        <v>349.0</v>
      </c>
      <c r="E27" s="1302">
        <v>210.0</v>
      </c>
      <c r="F27" s="1303">
        <v>1.7634</v>
      </c>
    </row>
    <row r="28">
      <c r="A28" s="697">
        <v>3.0</v>
      </c>
      <c r="B28" s="1275" t="s">
        <v>44</v>
      </c>
      <c r="C28" s="769">
        <v>262.0</v>
      </c>
      <c r="D28" s="1305">
        <v>162.0</v>
      </c>
      <c r="E28" s="1302">
        <v>112.0</v>
      </c>
      <c r="F28" s="1303">
        <v>1.0458</v>
      </c>
    </row>
    <row r="29">
      <c r="A29" s="697">
        <v>4.0</v>
      </c>
      <c r="B29" s="1275" t="s">
        <v>45</v>
      </c>
      <c r="C29" s="769">
        <v>197.0</v>
      </c>
      <c r="D29" s="1305">
        <v>131.0</v>
      </c>
      <c r="E29" s="1302">
        <v>110.0</v>
      </c>
      <c r="F29" s="1303">
        <v>1.2234</v>
      </c>
    </row>
    <row r="30">
      <c r="A30" s="697">
        <v>5.0</v>
      </c>
      <c r="B30" s="1275" t="s">
        <v>47</v>
      </c>
      <c r="C30" s="769">
        <v>369.0</v>
      </c>
      <c r="D30" s="1305">
        <v>281.0</v>
      </c>
      <c r="E30" s="1302">
        <v>158.0</v>
      </c>
      <c r="F30" s="1303">
        <v>1.1897</v>
      </c>
    </row>
    <row r="31">
      <c r="A31" s="697">
        <v>6.0</v>
      </c>
      <c r="B31" s="1275" t="s">
        <v>48</v>
      </c>
      <c r="C31" s="769">
        <v>211.0</v>
      </c>
      <c r="D31" s="1305">
        <v>198.0</v>
      </c>
      <c r="E31" s="1302">
        <v>172.0</v>
      </c>
      <c r="F31" s="1303">
        <v>1.7536</v>
      </c>
    </row>
    <row r="32">
      <c r="A32" s="697">
        <v>7.0</v>
      </c>
      <c r="B32" s="1275" t="s">
        <v>49</v>
      </c>
      <c r="C32" s="769">
        <v>338.0</v>
      </c>
      <c r="D32" s="1306">
        <v>292.0</v>
      </c>
      <c r="E32" s="1307">
        <v>205.0</v>
      </c>
      <c r="F32" s="1308">
        <v>1.4704</v>
      </c>
    </row>
    <row r="36">
      <c r="A36" s="1254" t="s">
        <v>28</v>
      </c>
      <c r="B36" s="1255" t="s">
        <v>403</v>
      </c>
      <c r="C36" s="1266" t="s">
        <v>612</v>
      </c>
      <c r="D36" s="1256" t="s">
        <v>468</v>
      </c>
      <c r="E36" s="629"/>
      <c r="F36" s="630"/>
    </row>
    <row r="37">
      <c r="A37" s="388"/>
      <c r="B37" s="746"/>
      <c r="C37" s="746"/>
      <c r="D37" s="1272" t="s">
        <v>670</v>
      </c>
      <c r="E37" s="1273" t="s">
        <v>671</v>
      </c>
      <c r="F37" s="1274" t="s">
        <v>672</v>
      </c>
      <c r="G37" s="1309"/>
      <c r="H37" s="1309"/>
      <c r="I37" s="1309"/>
    </row>
    <row r="38">
      <c r="A38" s="1261" t="s">
        <v>406</v>
      </c>
      <c r="B38" s="1262" t="s">
        <v>407</v>
      </c>
      <c r="C38" s="1278"/>
      <c r="D38" s="1310"/>
      <c r="E38" s="1311"/>
      <c r="F38" s="1265"/>
      <c r="G38" s="1309"/>
      <c r="H38" s="1309"/>
      <c r="I38" s="1309"/>
    </row>
    <row r="39">
      <c r="A39" s="697">
        <v>1.0</v>
      </c>
      <c r="B39" s="1275" t="s">
        <v>42</v>
      </c>
      <c r="C39" s="1304"/>
      <c r="D39" s="1312"/>
      <c r="E39" s="1311"/>
      <c r="F39" s="1265"/>
      <c r="G39" s="1309"/>
      <c r="H39" s="1309"/>
      <c r="I39" s="1309"/>
    </row>
    <row r="40">
      <c r="A40" s="697">
        <v>2.0</v>
      </c>
      <c r="B40" s="1275" t="s">
        <v>43</v>
      </c>
      <c r="C40" s="769"/>
      <c r="D40" s="1312"/>
      <c r="E40" s="1311"/>
      <c r="F40" s="1265"/>
      <c r="G40" s="1309"/>
      <c r="H40" s="1309"/>
      <c r="I40" s="1309"/>
    </row>
    <row r="41">
      <c r="A41" s="697">
        <v>3.0</v>
      </c>
      <c r="B41" s="1275" t="s">
        <v>44</v>
      </c>
      <c r="C41" s="769"/>
      <c r="D41" s="1312"/>
      <c r="E41" s="1311"/>
      <c r="F41" s="1265"/>
      <c r="G41" s="1309"/>
      <c r="H41" s="1309"/>
      <c r="I41" s="1309"/>
    </row>
    <row r="42">
      <c r="A42" s="697">
        <v>4.0</v>
      </c>
      <c r="B42" s="1275" t="s">
        <v>45</v>
      </c>
      <c r="C42" s="769"/>
      <c r="D42" s="1312"/>
      <c r="E42" s="1311"/>
      <c r="F42" s="1265"/>
      <c r="G42" s="1309"/>
      <c r="H42" s="1309"/>
      <c r="I42" s="1309"/>
    </row>
    <row r="43">
      <c r="A43" s="697">
        <v>5.0</v>
      </c>
      <c r="B43" s="1275" t="s">
        <v>47</v>
      </c>
      <c r="C43" s="769"/>
      <c r="D43" s="1312"/>
      <c r="E43" s="1311"/>
      <c r="F43" s="1265"/>
      <c r="G43" s="1309"/>
      <c r="H43" s="1309"/>
      <c r="I43" s="1309"/>
    </row>
    <row r="44">
      <c r="A44" s="697">
        <v>6.0</v>
      </c>
      <c r="B44" s="1275" t="s">
        <v>48</v>
      </c>
      <c r="C44" s="769"/>
      <c r="D44" s="1312"/>
      <c r="E44" s="1311"/>
      <c r="F44" s="1265"/>
      <c r="G44" s="1309"/>
      <c r="H44" s="1309"/>
      <c r="I44" s="1309"/>
    </row>
    <row r="45">
      <c r="A45" s="697">
        <v>7.0</v>
      </c>
      <c r="B45" s="1275" t="s">
        <v>49</v>
      </c>
      <c r="C45" s="769"/>
      <c r="D45" s="1315"/>
      <c r="E45" s="1316"/>
      <c r="F45" s="1294"/>
      <c r="G45" s="1309"/>
      <c r="H45" s="1309"/>
      <c r="I45" s="1309"/>
    </row>
    <row r="46">
      <c r="A46" s="1309"/>
      <c r="B46" s="1309"/>
      <c r="C46" s="1309"/>
      <c r="D46" s="1309"/>
      <c r="E46" s="1309"/>
      <c r="F46" s="1309"/>
      <c r="G46" s="1309"/>
      <c r="H46" s="1309"/>
      <c r="I46" s="1309"/>
    </row>
    <row r="47">
      <c r="A47" s="1309"/>
      <c r="B47" s="1309"/>
      <c r="C47" s="1309"/>
      <c r="D47" s="1309"/>
      <c r="E47" s="1309"/>
      <c r="F47" s="1309"/>
      <c r="G47" s="1309"/>
      <c r="H47" s="1309"/>
      <c r="I47" s="1309"/>
    </row>
    <row r="48">
      <c r="A48" s="1309"/>
      <c r="B48" s="1309"/>
      <c r="C48" s="1309"/>
      <c r="D48" s="1309"/>
      <c r="E48" s="1309"/>
      <c r="F48" s="1309"/>
      <c r="G48" s="1309"/>
      <c r="H48" s="1309"/>
      <c r="I48" s="1309"/>
    </row>
    <row r="49">
      <c r="A49" s="1254" t="s">
        <v>28</v>
      </c>
      <c r="B49" s="1255" t="s">
        <v>403</v>
      </c>
      <c r="C49" s="1266" t="s">
        <v>612</v>
      </c>
      <c r="D49" s="1256" t="s">
        <v>463</v>
      </c>
      <c r="E49" s="629"/>
      <c r="F49" s="630"/>
      <c r="G49" s="1256" t="s">
        <v>413</v>
      </c>
      <c r="H49" s="629"/>
      <c r="I49" s="630"/>
    </row>
    <row r="50">
      <c r="A50" s="388"/>
      <c r="B50" s="746"/>
      <c r="C50" s="746"/>
      <c r="D50" s="1258" t="s">
        <v>670</v>
      </c>
      <c r="E50" s="1259" t="s">
        <v>671</v>
      </c>
      <c r="F50" s="1260" t="s">
        <v>672</v>
      </c>
      <c r="G50" s="1258" t="s">
        <v>670</v>
      </c>
      <c r="H50" s="1259" t="s">
        <v>671</v>
      </c>
      <c r="I50" s="1260" t="s">
        <v>672</v>
      </c>
    </row>
    <row r="51">
      <c r="A51" s="1261" t="s">
        <v>406</v>
      </c>
      <c r="B51" s="1262" t="s">
        <v>407</v>
      </c>
      <c r="C51" s="1278">
        <f>sum(C52:C58)</f>
        <v>2165</v>
      </c>
      <c r="D51" s="1263"/>
      <c r="E51" s="1264"/>
      <c r="F51" s="1265"/>
      <c r="G51" s="1301">
        <v>2567.0</v>
      </c>
      <c r="H51" s="1302">
        <v>1524.0</v>
      </c>
      <c r="I51" s="1303">
        <v>1.8896</v>
      </c>
    </row>
    <row r="52">
      <c r="A52" s="697">
        <v>1.0</v>
      </c>
      <c r="B52" s="1275" t="s">
        <v>42</v>
      </c>
      <c r="C52" s="1304">
        <v>576.0</v>
      </c>
      <c r="D52" s="1276"/>
      <c r="E52" s="1264"/>
      <c r="F52" s="1265"/>
      <c r="G52" s="1305">
        <v>437.0</v>
      </c>
      <c r="H52" s="1302">
        <v>284.0</v>
      </c>
      <c r="I52" s="1303">
        <v>1.2517</v>
      </c>
    </row>
    <row r="53">
      <c r="A53" s="697">
        <v>2.0</v>
      </c>
      <c r="B53" s="1275" t="s">
        <v>43</v>
      </c>
      <c r="C53" s="769">
        <v>302.0</v>
      </c>
      <c r="D53" s="1276"/>
      <c r="E53" s="1264"/>
      <c r="F53" s="1265"/>
      <c r="G53" s="1305">
        <v>310.0</v>
      </c>
      <c r="H53" s="1302">
        <v>176.0</v>
      </c>
      <c r="I53" s="1303">
        <v>1.6093</v>
      </c>
    </row>
    <row r="54">
      <c r="A54" s="697">
        <v>3.0</v>
      </c>
      <c r="B54" s="1275" t="s">
        <v>44</v>
      </c>
      <c r="C54" s="769">
        <v>250.0</v>
      </c>
      <c r="D54" s="1276"/>
      <c r="E54" s="1264"/>
      <c r="F54" s="1265"/>
      <c r="G54" s="1305">
        <v>464.0</v>
      </c>
      <c r="H54" s="1302">
        <v>211.0</v>
      </c>
      <c r="I54" s="1303">
        <v>2.7</v>
      </c>
    </row>
    <row r="55">
      <c r="A55" s="697">
        <v>4.0</v>
      </c>
      <c r="B55" s="1275" t="s">
        <v>45</v>
      </c>
      <c r="C55" s="769">
        <v>179.0</v>
      </c>
      <c r="D55" s="1276"/>
      <c r="E55" s="1264"/>
      <c r="F55" s="1265"/>
      <c r="G55" s="1305">
        <v>188.0</v>
      </c>
      <c r="H55" s="1302">
        <v>147.0</v>
      </c>
      <c r="I55" s="1303">
        <v>1.8715</v>
      </c>
    </row>
    <row r="56">
      <c r="A56" s="697">
        <v>5.0</v>
      </c>
      <c r="B56" s="1275" t="s">
        <v>47</v>
      </c>
      <c r="C56" s="769">
        <v>343.0</v>
      </c>
      <c r="D56" s="1276"/>
      <c r="E56" s="1264"/>
      <c r="F56" s="1265"/>
      <c r="G56" s="1305">
        <v>283.0</v>
      </c>
      <c r="H56" s="1302">
        <v>194.0</v>
      </c>
      <c r="I56" s="1303">
        <v>1.3907</v>
      </c>
    </row>
    <row r="57">
      <c r="A57" s="697">
        <v>6.0</v>
      </c>
      <c r="B57" s="1275" t="s">
        <v>48</v>
      </c>
      <c r="C57" s="769">
        <v>199.0</v>
      </c>
      <c r="D57" s="1276"/>
      <c r="E57" s="1264"/>
      <c r="F57" s="1265"/>
      <c r="G57" s="1305">
        <v>440.0</v>
      </c>
      <c r="H57" s="1302">
        <v>236.0</v>
      </c>
      <c r="I57" s="1303">
        <v>3.397</v>
      </c>
    </row>
    <row r="58">
      <c r="A58" s="697">
        <v>7.0</v>
      </c>
      <c r="B58" s="1275" t="s">
        <v>49</v>
      </c>
      <c r="C58" s="769">
        <v>316.0</v>
      </c>
      <c r="D58" s="1291"/>
      <c r="E58" s="1293"/>
      <c r="F58" s="1294"/>
      <c r="G58" s="1306">
        <v>445.0</v>
      </c>
      <c r="H58" s="1307">
        <v>276.0</v>
      </c>
      <c r="I58" s="1308">
        <v>2.2816</v>
      </c>
    </row>
  </sheetData>
  <mergeCells count="19">
    <mergeCell ref="A10:A11"/>
    <mergeCell ref="B10:B11"/>
    <mergeCell ref="C10:C11"/>
    <mergeCell ref="D10:F10"/>
    <mergeCell ref="G10:I10"/>
    <mergeCell ref="J10:L10"/>
    <mergeCell ref="A23:A24"/>
    <mergeCell ref="D23:F23"/>
    <mergeCell ref="B49:B50"/>
    <mergeCell ref="C49:C50"/>
    <mergeCell ref="G49:I49"/>
    <mergeCell ref="B23:B24"/>
    <mergeCell ref="C23:C24"/>
    <mergeCell ref="A36:A37"/>
    <mergeCell ref="B36:B37"/>
    <mergeCell ref="C36:C37"/>
    <mergeCell ref="D36:F36"/>
    <mergeCell ref="A49:A50"/>
    <mergeCell ref="D49:F49"/>
  </mergeCells>
  <hyperlinks>
    <hyperlink r:id="rId1" ref="H3"/>
  </hyperlinks>
  <drawing r:id="rId2"/>
</worksheet>
</file>